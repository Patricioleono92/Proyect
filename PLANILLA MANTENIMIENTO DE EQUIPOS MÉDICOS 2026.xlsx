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ten Domiciliaria\Desktop\PLANILLAS DE MANTENIMIENTO 2024\"/>
    </mc:Choice>
  </mc:AlternateContent>
  <xr:revisionPtr revIDLastSave="0" documentId="13_ncr:1_{6E166000-F9D2-4ECB-B295-E28AA27D82A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etalle1" sheetId="7" state="hidden" r:id="rId1"/>
    <sheet name="CATASTRO Y PLANIFICACIÓN MP" sheetId="1" r:id="rId2"/>
    <sheet name="Hoja3" sheetId="17" r:id="rId3"/>
    <sheet name="SEGUIMIENTO GASTO" sheetId="6" r:id="rId4"/>
    <sheet name="Detalle2" sheetId="14" state="hidden" r:id="rId5"/>
    <sheet name="Detalle3" sheetId="15" state="hidden" r:id="rId6"/>
    <sheet name="TABLA CÁLCULO" sheetId="3" r:id="rId7"/>
    <sheet name="PROYECCIÓN 2025" sheetId="8" state="hidden" r:id="rId8"/>
    <sheet name="Hoja1" sheetId="12" state="hidden" r:id="rId9"/>
    <sheet name="Hoja2" sheetId="13" state="hidden" r:id="rId10"/>
    <sheet name="proyeccion correctivos" sheetId="11" state="hidden" r:id="rId11"/>
  </sheets>
  <externalReferences>
    <externalReference r:id="rId12"/>
  </externalReferences>
  <definedNames>
    <definedName name="_xlnm._FilterDatabase" localSheetId="1" hidden="1">'CATASTRO Y PLANIFICACIÓN MP'!$A$15:$AJ$329</definedName>
    <definedName name="_xlnm.Print_Area" localSheetId="1">'CATASTRO Y PLANIFICACIÓN MP'!$B$15:$H$151</definedName>
    <definedName name="nproducto">[1]NPRODUCTOS!$J$9:$U$7009</definedName>
  </definedNames>
  <calcPr calcId="191028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29" i="1" l="1"/>
  <c r="L328" i="1"/>
  <c r="L327" i="1"/>
  <c r="L323" i="1"/>
  <c r="L322" i="1"/>
  <c r="L321" i="1"/>
  <c r="L54" i="1"/>
  <c r="L55" i="1"/>
  <c r="L56" i="1"/>
  <c r="L57" i="1"/>
  <c r="L58" i="1"/>
  <c r="L59" i="1"/>
  <c r="L60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6" i="1"/>
  <c r="L127" i="1"/>
  <c r="L128" i="1"/>
  <c r="L129" i="1"/>
  <c r="L130" i="1"/>
  <c r="L131" i="1"/>
  <c r="L137" i="1"/>
  <c r="L138" i="1"/>
  <c r="L139" i="1"/>
  <c r="L148" i="1"/>
  <c r="L149" i="1"/>
  <c r="L151" i="1"/>
  <c r="L156" i="1"/>
  <c r="L157" i="1"/>
  <c r="L158" i="1"/>
  <c r="L159" i="1"/>
  <c r="L160" i="1"/>
  <c r="L161" i="1"/>
  <c r="L162" i="1"/>
  <c r="L168" i="1"/>
  <c r="L169" i="1"/>
  <c r="L170" i="1"/>
  <c r="L171" i="1"/>
  <c r="L172" i="1"/>
  <c r="L173" i="1"/>
  <c r="L174" i="1"/>
  <c r="L176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20" i="1"/>
  <c r="L266" i="1"/>
  <c r="L221" i="1"/>
  <c r="L222" i="1"/>
  <c r="L223" i="1"/>
  <c r="L224" i="1"/>
  <c r="L225" i="1"/>
  <c r="L226" i="1"/>
  <c r="L227" i="1"/>
  <c r="L228" i="1"/>
  <c r="L229" i="1"/>
  <c r="L230" i="1"/>
  <c r="L231" i="1"/>
  <c r="L236" i="1"/>
  <c r="L237" i="1"/>
  <c r="L238" i="1"/>
  <c r="L239" i="1"/>
  <c r="L240" i="1"/>
  <c r="L24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91" i="1"/>
  <c r="L292" i="1"/>
  <c r="L293" i="1"/>
  <c r="L294" i="1"/>
  <c r="L295" i="1"/>
  <c r="L296" i="1"/>
  <c r="L298" i="1"/>
  <c r="L299" i="1"/>
  <c r="L300" i="1"/>
  <c r="L301" i="1"/>
  <c r="L302" i="1"/>
  <c r="L303" i="1"/>
  <c r="L304" i="1"/>
  <c r="L305" i="1"/>
  <c r="L306" i="1"/>
  <c r="L309" i="1"/>
  <c r="L310" i="1"/>
  <c r="L311" i="1"/>
  <c r="L312" i="1"/>
  <c r="L313" i="1"/>
  <c r="L314" i="1"/>
  <c r="L315" i="1"/>
  <c r="L316" i="1"/>
  <c r="L17" i="1"/>
  <c r="L53" i="1"/>
  <c r="L52" i="1"/>
  <c r="L51" i="1"/>
  <c r="L46" i="1"/>
  <c r="L45" i="1"/>
  <c r="L44" i="1"/>
  <c r="L43" i="1"/>
  <c r="L42" i="1"/>
  <c r="L41" i="1"/>
  <c r="L31" i="1"/>
  <c r="L30" i="1"/>
  <c r="L29" i="1"/>
  <c r="L28" i="1"/>
  <c r="L26" i="1"/>
  <c r="L25" i="1"/>
  <c r="L24" i="1"/>
  <c r="L23" i="1"/>
  <c r="L22" i="1"/>
  <c r="L21" i="1"/>
  <c r="L19" i="1"/>
  <c r="L18" i="1"/>
  <c r="L16" i="1"/>
  <c r="AI11" i="6" l="1"/>
  <c r="AI12" i="6"/>
  <c r="AI13" i="6"/>
  <c r="M13" i="3" l="1"/>
  <c r="L13" i="3"/>
  <c r="K13" i="3"/>
  <c r="J13" i="3"/>
  <c r="I13" i="3"/>
  <c r="H13" i="3"/>
  <c r="G13" i="3"/>
  <c r="F13" i="3"/>
  <c r="E13" i="3"/>
  <c r="D13" i="3"/>
  <c r="C13" i="3"/>
  <c r="B13" i="3"/>
  <c r="B13" i="1"/>
  <c r="B11" i="1"/>
  <c r="P12" i="3"/>
  <c r="L32" i="1" l="1"/>
  <c r="L40" i="1"/>
  <c r="AI9" i="6"/>
  <c r="AI10" i="6"/>
  <c r="AI8" i="6"/>
  <c r="P16" i="3"/>
  <c r="P17" i="3"/>
  <c r="P15" i="3"/>
  <c r="AI56" i="8" l="1"/>
  <c r="AI57" i="8"/>
  <c r="AI58" i="8"/>
  <c r="AI59" i="8"/>
  <c r="L10" i="13"/>
  <c r="L9" i="13"/>
  <c r="L8" i="13"/>
  <c r="L6" i="13" l="1"/>
  <c r="L4" i="13"/>
  <c r="L3" i="13"/>
  <c r="L1" i="13"/>
  <c r="L5" i="12"/>
  <c r="L4" i="12"/>
  <c r="L3" i="12"/>
  <c r="B29" i="3" l="1"/>
  <c r="B31" i="3"/>
  <c r="L8" i="8"/>
  <c r="L38" i="8"/>
  <c r="L36" i="8"/>
  <c r="L34" i="8"/>
  <c r="L32" i="8"/>
  <c r="G74" i="8"/>
  <c r="AG68" i="8"/>
  <c r="AG69" i="8"/>
  <c r="AG70" i="8"/>
  <c r="I8" i="8"/>
  <c r="AG67" i="8"/>
  <c r="O8" i="11"/>
  <c r="P8" i="11"/>
  <c r="Q8" i="11"/>
  <c r="R8" i="11"/>
  <c r="S8" i="11"/>
  <c r="T8" i="11"/>
  <c r="U8" i="11"/>
  <c r="V8" i="11"/>
  <c r="W8" i="11"/>
  <c r="X8" i="11"/>
  <c r="Y8" i="11"/>
  <c r="N8" i="11"/>
  <c r="I60" i="8" l="1"/>
  <c r="AI39" i="8"/>
  <c r="AI37" i="8"/>
  <c r="AI35" i="8"/>
  <c r="AI33" i="8" l="1"/>
  <c r="AI53" i="8"/>
  <c r="AI54" i="8"/>
  <c r="AI51" i="8"/>
  <c r="AI44" i="8"/>
  <c r="AI42" i="8"/>
  <c r="AI28" i="8"/>
  <c r="AI30" i="8"/>
  <c r="AI55" i="8"/>
  <c r="AI52" i="8"/>
  <c r="AI50" i="8"/>
  <c r="AI49" i="8"/>
  <c r="AI48" i="8"/>
  <c r="AI47" i="8"/>
  <c r="AI46" i="8"/>
  <c r="AI45" i="8"/>
  <c r="AI43" i="8"/>
  <c r="AI41" i="8"/>
  <c r="AI40" i="8"/>
  <c r="AI38" i="8"/>
  <c r="AI32" i="8"/>
  <c r="AI31" i="8"/>
  <c r="AI29" i="8"/>
  <c r="AI27" i="8"/>
  <c r="AI26" i="8"/>
  <c r="AI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34" i="8" l="1"/>
  <c r="AI36" i="8"/>
  <c r="C14" i="3"/>
  <c r="C16" i="3" l="1"/>
  <c r="D16" i="3"/>
  <c r="E16" i="3"/>
  <c r="F16" i="3"/>
  <c r="G16" i="3"/>
  <c r="H16" i="3"/>
  <c r="I16" i="3"/>
  <c r="J16" i="3"/>
  <c r="K16" i="3"/>
  <c r="L16" i="3"/>
  <c r="M16" i="3"/>
  <c r="C17" i="3"/>
  <c r="D17" i="3"/>
  <c r="E17" i="3"/>
  <c r="F17" i="3"/>
  <c r="G17" i="3"/>
  <c r="H17" i="3"/>
  <c r="I17" i="3"/>
  <c r="J17" i="3"/>
  <c r="K17" i="3"/>
  <c r="L17" i="3"/>
  <c r="M17" i="3"/>
  <c r="C18" i="3"/>
  <c r="D18" i="3"/>
  <c r="E18" i="3"/>
  <c r="F18" i="3"/>
  <c r="G18" i="3"/>
  <c r="H18" i="3"/>
  <c r="I18" i="3"/>
  <c r="J18" i="3"/>
  <c r="K18" i="3"/>
  <c r="L18" i="3"/>
  <c r="M18" i="3"/>
  <c r="C19" i="3"/>
  <c r="D19" i="3"/>
  <c r="E19" i="3"/>
  <c r="F19" i="3"/>
  <c r="G19" i="3"/>
  <c r="H19" i="3"/>
  <c r="I19" i="3"/>
  <c r="J19" i="3"/>
  <c r="K19" i="3"/>
  <c r="L19" i="3"/>
  <c r="M19" i="3"/>
  <c r="C20" i="3"/>
  <c r="D20" i="3"/>
  <c r="E20" i="3"/>
  <c r="F20" i="3"/>
  <c r="G20" i="3"/>
  <c r="H20" i="3"/>
  <c r="I20" i="3"/>
  <c r="J20" i="3"/>
  <c r="K20" i="3"/>
  <c r="L20" i="3"/>
  <c r="M20" i="3"/>
  <c r="C21" i="3"/>
  <c r="D21" i="3"/>
  <c r="E21" i="3"/>
  <c r="F21" i="3"/>
  <c r="G21" i="3"/>
  <c r="H21" i="3"/>
  <c r="I21" i="3"/>
  <c r="J21" i="3"/>
  <c r="K21" i="3"/>
  <c r="L21" i="3"/>
  <c r="M21" i="3"/>
  <c r="D14" i="3"/>
  <c r="E14" i="3"/>
  <c r="F14" i="3"/>
  <c r="G14" i="3"/>
  <c r="H14" i="3"/>
  <c r="I14" i="3"/>
  <c r="J14" i="3"/>
  <c r="K14" i="3"/>
  <c r="L14" i="3"/>
  <c r="M14" i="3"/>
  <c r="B14" i="3"/>
  <c r="P13" i="3" l="1"/>
  <c r="K24" i="3"/>
  <c r="I24" i="3"/>
  <c r="C24" i="3"/>
  <c r="G24" i="3"/>
  <c r="M24" i="3"/>
  <c r="J24" i="3"/>
  <c r="L24" i="3"/>
  <c r="H24" i="3"/>
  <c r="F24" i="3"/>
  <c r="E24" i="3"/>
  <c r="D24" i="3"/>
  <c r="J27" i="3"/>
  <c r="I26" i="3"/>
  <c r="H25" i="3"/>
  <c r="K26" i="3"/>
  <c r="L27" i="3"/>
  <c r="K27" i="3"/>
  <c r="J26" i="3"/>
  <c r="I25" i="3"/>
  <c r="I27" i="3"/>
  <c r="H26" i="3"/>
  <c r="G25" i="3"/>
  <c r="H27" i="3"/>
  <c r="G26" i="3"/>
  <c r="F25" i="3"/>
  <c r="G27" i="3"/>
  <c r="F26" i="3"/>
  <c r="E25" i="3"/>
  <c r="F27" i="3"/>
  <c r="E26" i="3"/>
  <c r="D25" i="3"/>
  <c r="E27" i="3"/>
  <c r="D26" i="3"/>
  <c r="C25" i="3"/>
  <c r="D27" i="3"/>
  <c r="C26" i="3"/>
  <c r="C27" i="3"/>
  <c r="M25" i="3"/>
  <c r="M26" i="3"/>
  <c r="L25" i="3"/>
  <c r="M27" i="3"/>
  <c r="L26" i="3"/>
  <c r="K25" i="3"/>
  <c r="J25" i="3"/>
  <c r="I14" i="6" l="1"/>
  <c r="E11" i="1" l="1"/>
  <c r="AG26" i="6" l="1"/>
  <c r="B19" i="3"/>
  <c r="AG21" i="6"/>
  <c r="AG22" i="6"/>
  <c r="AG23" i="6"/>
  <c r="AG24" i="6"/>
  <c r="AG25" i="6"/>
  <c r="B35" i="3" l="1"/>
  <c r="E13" i="1"/>
  <c r="B33" i="3"/>
  <c r="B37" i="3" s="1"/>
  <c r="B39" i="3" l="1"/>
  <c r="D37" i="3"/>
  <c r="B21" i="3"/>
  <c r="B20" i="3"/>
  <c r="B16" i="3"/>
  <c r="P23" i="3" l="1"/>
  <c r="P14" i="3"/>
  <c r="B24" i="3"/>
  <c r="B25" i="3"/>
  <c r="B17" i="3"/>
  <c r="B18" i="3"/>
  <c r="AF11" i="1" l="1"/>
  <c r="AC11" i="1"/>
  <c r="AC10" i="1"/>
  <c r="AC9" i="1"/>
  <c r="AH8" i="1"/>
  <c r="AD9" i="1"/>
  <c r="AE8" i="1"/>
  <c r="AC8" i="1"/>
  <c r="AB10" i="1"/>
  <c r="AB9" i="1"/>
  <c r="AF10" i="1"/>
  <c r="AD10" i="1"/>
  <c r="AA11" i="1"/>
  <c r="AA10" i="1"/>
  <c r="AA9" i="1"/>
  <c r="AE11" i="1"/>
  <c r="AB11" i="1"/>
  <c r="AB8" i="1"/>
  <c r="AA8" i="1"/>
  <c r="AE9" i="1"/>
  <c r="AF8" i="1"/>
  <c r="Z8" i="1"/>
  <c r="AD8" i="1"/>
  <c r="AE10" i="1"/>
  <c r="AJ11" i="1"/>
  <c r="AJ10" i="1"/>
  <c r="AJ9" i="1"/>
  <c r="Y9" i="1"/>
  <c r="AF9" i="1"/>
  <c r="AG8" i="1"/>
  <c r="AI11" i="1"/>
  <c r="AI10" i="1"/>
  <c r="AI9" i="1"/>
  <c r="Y8" i="1"/>
  <c r="AH11" i="1"/>
  <c r="AH10" i="1"/>
  <c r="AH9" i="1"/>
  <c r="AD11" i="1"/>
  <c r="AJ8" i="1"/>
  <c r="AI8" i="1"/>
  <c r="AG11" i="1"/>
  <c r="AG10" i="1"/>
  <c r="AG9" i="1"/>
  <c r="P18" i="3"/>
  <c r="P24" i="3" s="1"/>
  <c r="P20" i="3"/>
  <c r="P26" i="3" s="1"/>
  <c r="P19" i="3"/>
  <c r="P25" i="3" s="1"/>
  <c r="B27" i="3"/>
  <c r="B26" i="3"/>
  <c r="D39" i="3"/>
  <c r="Y10" i="1" l="1"/>
  <c r="Z9" i="1"/>
  <c r="Z10" i="1"/>
  <c r="Z11" i="1"/>
  <c r="Y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Minsal</author>
    <author>tc={C7A4D10B-95D7-4A58-9C50-A643A6000554}</author>
    <author>tc={4EAC5B05-4D43-4194-BA96-5EB4AF9DC54D}</author>
    <author>tc={0BF7B0F2-872D-460F-9926-13F45099993E}</author>
    <author>tc={C0DABC42-FE58-49ED-A7BA-8E224E72F0E1}</author>
    <author>tc={996082C3-A31C-4984-9448-6A3D54C4757E}</author>
    <author>tc={CABD5794-9B90-48E1-ACFB-1DA365D8FFDA}</author>
    <author>tc={20C7FC70-2384-4ED7-A513-E3FA9090AB04}</author>
    <author>tc={AA5D7913-D70E-4BFA-B274-4761C7CBD8B9}</author>
    <author>tc={5971AAA9-4A55-4103-AFA7-7566791391AB}</author>
  </authors>
  <commentList>
    <comment ref="I22" authorId="0" shapeId="0" xr:uid="{DB1959E9-CD41-402F-A4DF-5851FE49E7DF}">
      <text>
        <r>
          <rPr>
            <b/>
            <sz val="9"/>
            <color indexed="81"/>
            <rFont val="Tahoma"/>
            <family val="2"/>
          </rPr>
          <t>Usuario Minsal:</t>
        </r>
        <r>
          <rPr>
            <sz val="9"/>
            <color indexed="81"/>
            <rFont val="Tahoma"/>
            <family val="2"/>
          </rPr>
          <t xml:space="preserve">
Monto estimado</t>
        </r>
      </text>
    </comment>
    <comment ref="I24" authorId="1" shapeId="0" xr:uid="{C7A4D10B-95D7-4A58-9C50-A643A600055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estimado</t>
        </r>
      </text>
    </comment>
    <comment ref="I25" authorId="2" shapeId="0" xr:uid="{4EAC5B05-4D43-4194-BA96-5EB4AF9DC54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proyectado</t>
        </r>
      </text>
    </comment>
    <comment ref="I28" authorId="3" shapeId="0" xr:uid="{0BF7B0F2-872D-460F-9926-13F45099993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proyectado
Respuesta:
    Valor por CODEDUR</t>
        </r>
      </text>
    </comment>
    <comment ref="I30" authorId="4" shapeId="0" xr:uid="{C0DABC42-FE58-49ED-A7BA-8E224E72F0E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proyectado</t>
        </r>
      </text>
    </comment>
    <comment ref="I42" authorId="5" shapeId="0" xr:uid="{996082C3-A31C-4984-9448-6A3D54C4757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estimado</t>
        </r>
      </text>
    </comment>
    <comment ref="I44" authorId="6" shapeId="0" xr:uid="{CABD5794-9B90-48E1-ACFB-1DA365D8FFD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estimado</t>
        </r>
      </text>
    </comment>
    <comment ref="I46" authorId="7" shapeId="0" xr:uid="{20C7FC70-2384-4ED7-A513-E3FA9090AB0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estimado CODESUR</t>
        </r>
      </text>
    </comment>
    <comment ref="P47" authorId="8" shapeId="0" xr:uid="{AA5D7913-D70E-4BFA-B274-4761C7CBD8B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Falto considerar erbe</t>
        </r>
      </text>
    </comment>
    <comment ref="I51" authorId="9" shapeId="0" xr:uid="{5971AAA9-4A55-4103-AFA7-7566791391A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proyectado VENTMEDICAL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tc={D7570D1C-0753-41BF-8317-DEDCE4924BCC}</author>
    <author>tc={A854948D-D596-4AAB-9948-045E04FCE8A5}</author>
    <author>tc={BDF20079-0C64-462A-8F7E-8C9A3E50EA3B}</author>
  </authors>
  <commentList>
    <comment ref="AF3" authorId="0" shapeId="0" xr:uid="{D7570D1C-0753-41BF-8317-DEDCE4924BC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esperará hasta que se abra laboratorio en Chile</t>
        </r>
      </text>
    </comment>
    <comment ref="AF4" authorId="1" shapeId="0" xr:uid="{A854948D-D596-4AAB-9948-045E04FCE8A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esperará hasta que se abra laboratorio en Chile</t>
        </r>
      </text>
    </comment>
    <comment ref="AF5" authorId="2" shapeId="0" xr:uid="{BDF20079-0C64-462A-8F7E-8C9A3E50EA3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esperará hasta que se abra laboratorio en Chile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Minsal</author>
    <author>tc={D54BA5C4-B240-4216-90CD-EECAF77E8854}</author>
  </authors>
  <commentList>
    <comment ref="E6" authorId="0" shapeId="0" xr:uid="{DC3F1B25-709E-40DC-8E46-5739E8D4B35E}">
      <text>
        <r>
          <rPr>
            <b/>
            <sz val="9"/>
            <color indexed="81"/>
            <rFont val="Tahoma"/>
            <family val="2"/>
          </rPr>
          <t>Usuario Minsal:</t>
        </r>
        <r>
          <rPr>
            <sz val="9"/>
            <color indexed="81"/>
            <rFont val="Tahoma"/>
            <family val="2"/>
          </rPr>
          <t xml:space="preserve">
04-04-2024: Aparentemente corresponde a cama mecánica y no a cama eléctrica</t>
        </r>
      </text>
    </comment>
    <comment ref="W6" authorId="0" shapeId="0" xr:uid="{7B4EC9C2-254C-4DB3-B8A5-B6D3F723EAD4}">
      <text>
        <r>
          <rPr>
            <b/>
            <sz val="9"/>
            <color indexed="81"/>
            <rFont val="Tahoma"/>
            <family val="2"/>
          </rPr>
          <t>Usuario Minsal:</t>
        </r>
        <r>
          <rPr>
            <sz val="9"/>
            <color indexed="81"/>
            <rFont val="Tahoma"/>
            <family val="2"/>
          </rPr>
          <t xml:space="preserve">
dar de baja?</t>
        </r>
      </text>
    </comment>
    <comment ref="AB6" authorId="1" shapeId="0" xr:uid="{D54BA5C4-B240-4216-90CD-EECAF77E885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Cama no aparece
Respuesta:
    Dar de baja?</t>
        </r>
      </text>
    </comment>
  </commentList>
</comments>
</file>

<file path=xl/sharedStrings.xml><?xml version="1.0" encoding="utf-8"?>
<sst xmlns="http://schemas.openxmlformats.org/spreadsheetml/2006/main" count="13111" uniqueCount="1486">
  <si>
    <t>Detalles para Suma de FRECUENCIA ANUAL DE MANTENIMIENTO - CRÍTICO/ RELEVANTE / IM≥12 / NO APLICA: CRÍTICO, AÑO INGRESO A PLAN DE MANTENIMIENTO (2023 / 2024 / 2025 / 2026): 2023</t>
  </si>
  <si>
    <t>SERVICIO CLÍNICO</t>
  </si>
  <si>
    <t>RECINTO</t>
  </si>
  <si>
    <t>CLASE</t>
  </si>
  <si>
    <t>SUBCLASE</t>
  </si>
  <si>
    <t>NOMBRE EQUIPO</t>
  </si>
  <si>
    <t>MARCA</t>
  </si>
  <si>
    <t>MODELO</t>
  </si>
  <si>
    <t>SERIE</t>
  </si>
  <si>
    <t>N° INVENTARIO</t>
  </si>
  <si>
    <t>AÑO DE ADQUISICIÓN</t>
  </si>
  <si>
    <t>VIDA ÚTIL</t>
  </si>
  <si>
    <t>VIDA ÚTIL RESIDUAL</t>
  </si>
  <si>
    <t>PROPIO / ARRIENDO / COMODATO</t>
  </si>
  <si>
    <t>ESTADO (BUENO / REGULAR / MALO / BAJA)</t>
  </si>
  <si>
    <t>CRÍTICO/ RELEVANTE / IM≥12 / NO APLICA</t>
  </si>
  <si>
    <t>EN GARANTÍA (SI / NO)</t>
  </si>
  <si>
    <t>AÑO VENCIMIENTO GARANTÍA</t>
  </si>
  <si>
    <t>BAJO PLAN DE MANTENIMIENTO (SI / NO)</t>
  </si>
  <si>
    <t>AÑO INGRESO A PLAN DE MANTENIMIENTO (2023 / 2024 / 2025 / 2026)</t>
  </si>
  <si>
    <t>MANTENIMIENTO INTERNO O MANTENIMIENTO EXTERNO O CONTRATO</t>
  </si>
  <si>
    <t>NOMBRE DE PROVEEDOR O MANTENIMIENTO INTERNO</t>
  </si>
  <si>
    <t>ID CONVENIO DE MANTENIMIENTO / ID DE REFERENCIA / COTIZACIÓN DE REFERENCIA</t>
  </si>
  <si>
    <t>COSTO ANUAL DE MANTENIMIENTO SEGÚN CONVENIO / PRECIO DE REFERENCIA MANTENIMIENTO ANUAL</t>
  </si>
  <si>
    <t>FRECUENCIA ANUAL DE MANTENIMIENTO</t>
  </si>
  <si>
    <t>UTI - 9D</t>
  </si>
  <si>
    <t>Hospital Penco Lirquen</t>
  </si>
  <si>
    <t>Apoyo Terapéutico</t>
  </si>
  <si>
    <t>Alto Costo</t>
  </si>
  <si>
    <t>Ventilador mecánico no Invasivo</t>
  </si>
  <si>
    <t>Philips</t>
  </si>
  <si>
    <t>Trilogy 202</t>
  </si>
  <si>
    <t>TV016091214</t>
  </si>
  <si>
    <t>HPL24850</t>
  </si>
  <si>
    <t>Propio</t>
  </si>
  <si>
    <t xml:space="preserve">Bueno </t>
  </si>
  <si>
    <t>CRÍTICO</t>
  </si>
  <si>
    <t>NO</t>
  </si>
  <si>
    <t>SI</t>
  </si>
  <si>
    <t>EXTERNO</t>
  </si>
  <si>
    <t>TDM</t>
  </si>
  <si>
    <t>1057540-65-LE21</t>
  </si>
  <si>
    <t>Ambulancia</t>
  </si>
  <si>
    <t>Otros</t>
  </si>
  <si>
    <t>Mercedes - Benz</t>
  </si>
  <si>
    <t>Sprinter 315</t>
  </si>
  <si>
    <t>FFRG-92</t>
  </si>
  <si>
    <t>HPL29456</t>
  </si>
  <si>
    <t>N/A</t>
  </si>
  <si>
    <t>FFRG-94</t>
  </si>
  <si>
    <t>HPL29457</t>
  </si>
  <si>
    <t>Sprinter 314</t>
  </si>
  <si>
    <t>PGHF-57</t>
  </si>
  <si>
    <t>HPL29451</t>
  </si>
  <si>
    <t>Ambulancia - 6B</t>
  </si>
  <si>
    <t>Monitoreo</t>
  </si>
  <si>
    <t xml:space="preserve">Mediano Costo </t>
  </si>
  <si>
    <t>Desfibrilador externo automático (DEA)</t>
  </si>
  <si>
    <t>Mindray</t>
  </si>
  <si>
    <t>BeneHeart C2</t>
  </si>
  <si>
    <t>AE7-01001130</t>
  </si>
  <si>
    <t>HPL30209</t>
  </si>
  <si>
    <t>INTERNO</t>
  </si>
  <si>
    <t>TECNICO EQM HPL</t>
  </si>
  <si>
    <t>Ambulancia - 7B</t>
  </si>
  <si>
    <t>Monitor ECG Baja Complejidad</t>
  </si>
  <si>
    <t>Nihon Kohden</t>
  </si>
  <si>
    <t>SVM-7260</t>
  </si>
  <si>
    <t>00292</t>
  </si>
  <si>
    <t>HPL30123</t>
  </si>
  <si>
    <t>Monitor de signos vitales</t>
  </si>
  <si>
    <t>DPM3</t>
  </si>
  <si>
    <t>DQ-18000401</t>
  </si>
  <si>
    <t>HPL30239</t>
  </si>
  <si>
    <t>uMEC10</t>
  </si>
  <si>
    <t>KN-03065493</t>
  </si>
  <si>
    <t>HPL30261</t>
  </si>
  <si>
    <t>Ambulancia -11</t>
  </si>
  <si>
    <t>Heart Start</t>
  </si>
  <si>
    <t>A19K-06543</t>
  </si>
  <si>
    <t>HPL30200</t>
  </si>
  <si>
    <t>TV016091211</t>
  </si>
  <si>
    <t>HPL24776</t>
  </si>
  <si>
    <t>UTI - 1B</t>
  </si>
  <si>
    <t>Ventilador mecánico Invasivo</t>
  </si>
  <si>
    <t>Aeonmed</t>
  </si>
  <si>
    <t>VG70</t>
  </si>
  <si>
    <t>XZZT14086</t>
  </si>
  <si>
    <t>HPL30403</t>
  </si>
  <si>
    <t>Préstamo</t>
  </si>
  <si>
    <t>XZZT13533</t>
  </si>
  <si>
    <t xml:space="preserve"> .- </t>
  </si>
  <si>
    <t> </t>
  </si>
  <si>
    <t>BODEGA DE EQUIPOS MÉDICOS</t>
  </si>
  <si>
    <t>XZZT17062</t>
  </si>
  <si>
    <t>HPL30404</t>
  </si>
  <si>
    <t>LIC 5</t>
  </si>
  <si>
    <t>BODEGA DE EQUIPOS MÉDICOS - 1B</t>
  </si>
  <si>
    <t>MECKics</t>
  </si>
  <si>
    <t>MV2000-EVO 5</t>
  </si>
  <si>
    <t>MV2000UA1C0315</t>
  </si>
  <si>
    <t>HPL30269</t>
  </si>
  <si>
    <t>MV2000UA1C0316</t>
  </si>
  <si>
    <t>HPL30270</t>
  </si>
  <si>
    <t>MV2000UA1C0317</t>
  </si>
  <si>
    <t>HPL30271</t>
  </si>
  <si>
    <t>MV2000UA1C0549</t>
  </si>
  <si>
    <t>HPL30272</t>
  </si>
  <si>
    <t>Bodega de Equipos Médicos - 6B</t>
  </si>
  <si>
    <t>A15G-08197</t>
  </si>
  <si>
    <t>HPL30196</t>
  </si>
  <si>
    <t>XZZT11901</t>
  </si>
  <si>
    <t>HPL30402</t>
  </si>
  <si>
    <t>XZZS27794</t>
  </si>
  <si>
    <t>Trilogy 100</t>
  </si>
  <si>
    <t>TV11909271B</t>
  </si>
  <si>
    <t>HPL30385</t>
  </si>
  <si>
    <t>MV2000UA1C0551</t>
  </si>
  <si>
    <t>HPL30273</t>
  </si>
  <si>
    <t>Monitor desfibrilador con carro de paro</t>
  </si>
  <si>
    <t>Zoll</t>
  </si>
  <si>
    <t>Serie R ALS</t>
  </si>
  <si>
    <t>AF20F118297</t>
  </si>
  <si>
    <t>HPL30215</t>
  </si>
  <si>
    <t>Covidien</t>
  </si>
  <si>
    <t>Puritan Bennet 560</t>
  </si>
  <si>
    <t>40966N0858</t>
  </si>
  <si>
    <t>HPL30188</t>
  </si>
  <si>
    <t>Bodega equipos médicos - 1A</t>
  </si>
  <si>
    <t>Monitor ECG mediana complejidad</t>
  </si>
  <si>
    <t>BSM-6301K</t>
  </si>
  <si>
    <t>HPL29882</t>
  </si>
  <si>
    <t>HPL25047</t>
  </si>
  <si>
    <t>HPL29885</t>
  </si>
  <si>
    <t>40966N0851</t>
  </si>
  <si>
    <t>HPL30187</t>
  </si>
  <si>
    <t>UTI - 1A</t>
  </si>
  <si>
    <t>Monitor ECG mediana complejidad (pequeño adosado a 03726 )</t>
  </si>
  <si>
    <t>BSM-1763K</t>
  </si>
  <si>
    <t>08701</t>
  </si>
  <si>
    <t>HPL30135</t>
  </si>
  <si>
    <t>Bodega equipos médicos - 9C</t>
  </si>
  <si>
    <t>Schiller</t>
  </si>
  <si>
    <t>Defigard 4000</t>
  </si>
  <si>
    <t>HPL30092</t>
  </si>
  <si>
    <t>Monitor ECG mediana complejidad (pequeño adosado a 03714)</t>
  </si>
  <si>
    <t>08699</t>
  </si>
  <si>
    <t>HPL30134</t>
  </si>
  <si>
    <t>Monitor ECG mediana complejidad (pequeño adosado a 03717)</t>
  </si>
  <si>
    <t>08697</t>
  </si>
  <si>
    <t>HPL30133</t>
  </si>
  <si>
    <t>Monitor ECG mediana complejidad (pequeño adosado a 03740)</t>
  </si>
  <si>
    <t>08694</t>
  </si>
  <si>
    <t>HPL30132</t>
  </si>
  <si>
    <t>CSM-1502</t>
  </si>
  <si>
    <t>03740</t>
  </si>
  <si>
    <t>HPL30129</t>
  </si>
  <si>
    <t>03739</t>
  </si>
  <si>
    <t>HPL30128</t>
  </si>
  <si>
    <t>03726</t>
  </si>
  <si>
    <t>HPL30127</t>
  </si>
  <si>
    <t>03723</t>
  </si>
  <si>
    <t>HPL30126</t>
  </si>
  <si>
    <t>03717</t>
  </si>
  <si>
    <t>HPL30125</t>
  </si>
  <si>
    <t>03714</t>
  </si>
  <si>
    <t>HPL30124</t>
  </si>
  <si>
    <t>Monitor multiparametros transporte</t>
  </si>
  <si>
    <t>BSM - 1763K</t>
  </si>
  <si>
    <t>HPL29879</t>
  </si>
  <si>
    <t>Urgencia - 7B</t>
  </si>
  <si>
    <t>General Electric</t>
  </si>
  <si>
    <t>B20</t>
  </si>
  <si>
    <t>SGF15151303WA</t>
  </si>
  <si>
    <t>HPL30370</t>
  </si>
  <si>
    <t>SGF15131190WA</t>
  </si>
  <si>
    <t>HPL30369</t>
  </si>
  <si>
    <t>Fukuda Denshi</t>
  </si>
  <si>
    <t>Dinascope DSL-8001</t>
  </si>
  <si>
    <t>HPL30044</t>
  </si>
  <si>
    <t>HPL30039</t>
  </si>
  <si>
    <t>Urgencia - 7A</t>
  </si>
  <si>
    <t>HPL30037</t>
  </si>
  <si>
    <t>HPL30035</t>
  </si>
  <si>
    <t>HPL30034</t>
  </si>
  <si>
    <t>HPL30033</t>
  </si>
  <si>
    <t>Corta Estadia - 4</t>
  </si>
  <si>
    <t>HPL25510</t>
  </si>
  <si>
    <t>HPL21701</t>
  </si>
  <si>
    <t>HPL30030</t>
  </si>
  <si>
    <t>HPL30029</t>
  </si>
  <si>
    <t>A19K-06055</t>
  </si>
  <si>
    <t>HPL30198</t>
  </si>
  <si>
    <t>PVM-2701</t>
  </si>
  <si>
    <t>HPL29917</t>
  </si>
  <si>
    <t>HPL29913</t>
  </si>
  <si>
    <t>HPL29911</t>
  </si>
  <si>
    <t>Urgencia - 6B</t>
  </si>
  <si>
    <t>Zoll medical</t>
  </si>
  <si>
    <t>AF15D045654</t>
  </si>
  <si>
    <t>HPL30211</t>
  </si>
  <si>
    <t>AF15D045649</t>
  </si>
  <si>
    <t>HPL30210</t>
  </si>
  <si>
    <t>A19K-06534</t>
  </si>
  <si>
    <t>HPL30199</t>
  </si>
  <si>
    <t>AED plus</t>
  </si>
  <si>
    <t>(21) X16K874144</t>
  </si>
  <si>
    <t>HPL30119</t>
  </si>
  <si>
    <t>Urgencia - 1B</t>
  </si>
  <si>
    <t>Ventilador mecánico invasivo de transporte</t>
  </si>
  <si>
    <t>Drager</t>
  </si>
  <si>
    <t>Oxylog 3000 plus</t>
  </si>
  <si>
    <t>ASNH-0102</t>
  </si>
  <si>
    <t>HPL30220</t>
  </si>
  <si>
    <t>URGENCIA</t>
  </si>
  <si>
    <t>XZZT19761</t>
  </si>
  <si>
    <t>HPL30405</t>
  </si>
  <si>
    <t>Salud del personal - 5</t>
  </si>
  <si>
    <t>Edan</t>
  </si>
  <si>
    <t>M3A</t>
  </si>
  <si>
    <t>302019-M14505610013</t>
  </si>
  <si>
    <t>HPL11939</t>
  </si>
  <si>
    <t>Rehabilitacion Integral - 10</t>
  </si>
  <si>
    <t>HPL30040</t>
  </si>
  <si>
    <t>Parto Integral - 2</t>
  </si>
  <si>
    <t>Creative medical</t>
  </si>
  <si>
    <t>PC-900</t>
  </si>
  <si>
    <t>J0100JL01720</t>
  </si>
  <si>
    <t>HPL30259</t>
  </si>
  <si>
    <t>Incubadora de transporte</t>
  </si>
  <si>
    <t>TI 500</t>
  </si>
  <si>
    <t>EF10863</t>
  </si>
  <si>
    <t>HPL30240</t>
  </si>
  <si>
    <t>Monitor desfibrilador</t>
  </si>
  <si>
    <t>AF15D045660</t>
  </si>
  <si>
    <t>HPL30213</t>
  </si>
  <si>
    <t>HPL30042</t>
  </si>
  <si>
    <t>Pabellón - 3C</t>
  </si>
  <si>
    <t>SGF15131188WA</t>
  </si>
  <si>
    <t>HPL30368</t>
  </si>
  <si>
    <t>HPL30032</t>
  </si>
  <si>
    <t>Indura</t>
  </si>
  <si>
    <t>Lifecare 740</t>
  </si>
  <si>
    <t>HPL29945</t>
  </si>
  <si>
    <t>HPL29918</t>
  </si>
  <si>
    <t>HPL29916</t>
  </si>
  <si>
    <t>HPL29915</t>
  </si>
  <si>
    <t>HPL29914</t>
  </si>
  <si>
    <t>Endoscopia y PCM - 13B</t>
  </si>
  <si>
    <t>HPL30041</t>
  </si>
  <si>
    <t>Instramed</t>
  </si>
  <si>
    <t>Cardiomax</t>
  </si>
  <si>
    <t>10608CM2833</t>
  </si>
  <si>
    <t>HPL30137</t>
  </si>
  <si>
    <t>Progetti</t>
  </si>
  <si>
    <t>TGS50</t>
  </si>
  <si>
    <t>Q068E034129</t>
  </si>
  <si>
    <t>HPL30277</t>
  </si>
  <si>
    <t>HPL29912</t>
  </si>
  <si>
    <t>Endoscopia y PCM (urgencia) - 13B</t>
  </si>
  <si>
    <t>DQ-18000395</t>
  </si>
  <si>
    <t>HPL30238</t>
  </si>
  <si>
    <t>Pabellón - 3B</t>
  </si>
  <si>
    <t>Apoyo Quirúrgico</t>
  </si>
  <si>
    <t>Máquina de Anestesia</t>
  </si>
  <si>
    <t>Fabius GS Premium 8607000</t>
  </si>
  <si>
    <t>ASHJ-0206</t>
  </si>
  <si>
    <t>HPL30219</t>
  </si>
  <si>
    <t>1057540-40-LP20</t>
  </si>
  <si>
    <t>ASHJ-0205</t>
  </si>
  <si>
    <t>HPL30218</t>
  </si>
  <si>
    <t>ASFN-0031</t>
  </si>
  <si>
    <t>HPL30217</t>
  </si>
  <si>
    <t>AF15D045672</t>
  </si>
  <si>
    <t>HPL30214</t>
  </si>
  <si>
    <t>AF15D045656</t>
  </si>
  <si>
    <t>HPL30212</t>
  </si>
  <si>
    <t>Pabellón - 3A</t>
  </si>
  <si>
    <t>Incubadora</t>
  </si>
  <si>
    <t>Medix</t>
  </si>
  <si>
    <t>TR200</t>
  </si>
  <si>
    <t>HPL29859</t>
  </si>
  <si>
    <t>Laboratorio - 14A</t>
  </si>
  <si>
    <t>Criticare</t>
  </si>
  <si>
    <t xml:space="preserve">506DN </t>
  </si>
  <si>
    <t>HPL30046</t>
  </si>
  <si>
    <t>Imagenologia - 8</t>
  </si>
  <si>
    <t>AF20G120257</t>
  </si>
  <si>
    <t>HPL30216</t>
  </si>
  <si>
    <t>HPL30038</t>
  </si>
  <si>
    <t>Hospitalizados - 9E</t>
  </si>
  <si>
    <t>uMEC12</t>
  </si>
  <si>
    <t>KQ-04039751</t>
  </si>
  <si>
    <t>HPL30267</t>
  </si>
  <si>
    <t>KQ-04039657</t>
  </si>
  <si>
    <t>HPL30266</t>
  </si>
  <si>
    <t>Especialidades cuidados paliativos - 15B</t>
  </si>
  <si>
    <t>V100</t>
  </si>
  <si>
    <t>SH617070056SA</t>
  </si>
  <si>
    <t>HPL5044</t>
  </si>
  <si>
    <t>KQ-04039627</t>
  </si>
  <si>
    <t>HPL30265</t>
  </si>
  <si>
    <t>KQ-04039590</t>
  </si>
  <si>
    <t>HPL30264</t>
  </si>
  <si>
    <t>SH617070057SA</t>
  </si>
  <si>
    <t>HPL5046</t>
  </si>
  <si>
    <t>KQ-04039029</t>
  </si>
  <si>
    <t>HPL30263</t>
  </si>
  <si>
    <t>KQ-04039010</t>
  </si>
  <si>
    <t>HPL30262</t>
  </si>
  <si>
    <t>DQ-18000407</t>
  </si>
  <si>
    <t>HPL25044</t>
  </si>
  <si>
    <t>DQ-18000403</t>
  </si>
  <si>
    <t>HPL25252</t>
  </si>
  <si>
    <t>DQ-18000398</t>
  </si>
  <si>
    <t>HPL25043</t>
  </si>
  <si>
    <t>Hospitalizados - 9D</t>
  </si>
  <si>
    <t>Mediano Costo</t>
  </si>
  <si>
    <t>SH622300074SA</t>
  </si>
  <si>
    <t>PV EQUIP</t>
  </si>
  <si>
    <t>Ventilador Mecanico No Invasivo</t>
  </si>
  <si>
    <t>Trilogy EV300</t>
  </si>
  <si>
    <t>H29910884D650</t>
  </si>
  <si>
    <t>Andover</t>
  </si>
  <si>
    <t>-</t>
  </si>
  <si>
    <t>Hospitalizados - 9C</t>
  </si>
  <si>
    <t>506DN</t>
  </si>
  <si>
    <t>HPL25045</t>
  </si>
  <si>
    <t>HPL30043</t>
  </si>
  <si>
    <t>HPL25264</t>
  </si>
  <si>
    <t>HPL30036</t>
  </si>
  <si>
    <t>HPL30031</t>
  </si>
  <si>
    <t>HPL25042</t>
  </si>
  <si>
    <t>HPL25041</t>
  </si>
  <si>
    <t>Hospitalizados - 9B</t>
  </si>
  <si>
    <t>AF15D045673</t>
  </si>
  <si>
    <t>HPL24730</t>
  </si>
  <si>
    <t>AF15D045651</t>
  </si>
  <si>
    <t>HPL25081</t>
  </si>
  <si>
    <t>Hospitalizados - 9A</t>
  </si>
  <si>
    <t>SH617010136SA</t>
  </si>
  <si>
    <t>HPL24760</t>
  </si>
  <si>
    <t>SH617010135SA</t>
  </si>
  <si>
    <t>HPL30371</t>
  </si>
  <si>
    <t>SH617010134SA</t>
  </si>
  <si>
    <t>HPL25263</t>
  </si>
  <si>
    <t>SH617010133SA</t>
  </si>
  <si>
    <t>HPL25250</t>
  </si>
  <si>
    <t>SH617010132SA</t>
  </si>
  <si>
    <t>HPL24770</t>
  </si>
  <si>
    <t>SH617010131SA</t>
  </si>
  <si>
    <t>HPL25249</t>
  </si>
  <si>
    <t>PVM-2703</t>
  </si>
  <si>
    <t>HPL24773</t>
  </si>
  <si>
    <t>HPL24763</t>
  </si>
  <si>
    <t>Hospitalizados - 1A</t>
  </si>
  <si>
    <t>CSM-1501 (G5)</t>
  </si>
  <si>
    <t>01634</t>
  </si>
  <si>
    <t>HPL24766</t>
  </si>
  <si>
    <t>HPL29886</t>
  </si>
  <si>
    <t>HPL29884</t>
  </si>
  <si>
    <t>HPL29883</t>
  </si>
  <si>
    <t>Hospital de dia - 4</t>
  </si>
  <si>
    <t>HPL21418</t>
  </si>
  <si>
    <t>Iris</t>
  </si>
  <si>
    <t>PMS8210A</t>
  </si>
  <si>
    <t>HPL29944</t>
  </si>
  <si>
    <t>HODOM - 5</t>
  </si>
  <si>
    <t>HPL30045</t>
  </si>
  <si>
    <t>HODOM - 11</t>
  </si>
  <si>
    <t>A19J-10092</t>
  </si>
  <si>
    <t>HPL30197</t>
  </si>
  <si>
    <t>Ginecologia Hospitalizados - 2</t>
  </si>
  <si>
    <t>J0100KC00256</t>
  </si>
  <si>
    <t>HPL30260</t>
  </si>
  <si>
    <t>Especialidades Psiquiatria - 15B</t>
  </si>
  <si>
    <t>SH617070028SA</t>
  </si>
  <si>
    <t>HPL18918</t>
  </si>
  <si>
    <t>Especialidades Pediatria - 15B</t>
  </si>
  <si>
    <t>SH617070007SA</t>
  </si>
  <si>
    <t>HPL12230</t>
  </si>
  <si>
    <t>Especialidades oftalmologia - 15</t>
  </si>
  <si>
    <t>SH617070208SA</t>
  </si>
  <si>
    <t>HPL18562</t>
  </si>
  <si>
    <t>Especialidades Neurologia - 15B</t>
  </si>
  <si>
    <t>SH617070060SA</t>
  </si>
  <si>
    <t>HPL18642</t>
  </si>
  <si>
    <t>Especialidades Medico Quirurgico - 15B</t>
  </si>
  <si>
    <t>SH617070055SA</t>
  </si>
  <si>
    <t>HPL12145</t>
  </si>
  <si>
    <t>Especialidades Dental - 12</t>
  </si>
  <si>
    <t>HPL18715</t>
  </si>
  <si>
    <t>SERVICIO DE SALUD</t>
  </si>
  <si>
    <t>NOMBRE ESTABLECIMIENTO</t>
  </si>
  <si>
    <t>HOSPITAL PENCO LIRQUEN</t>
  </si>
  <si>
    <t>RESPONSABLE TÉCNICO</t>
  </si>
  <si>
    <t>MONITOREO MENSUAL DEL PLAN</t>
  </si>
  <si>
    <t>% EJECUCIÓN MP TOTAL MENSUAL</t>
  </si>
  <si>
    <t>AÑO DE LEVANTAMIENTO</t>
  </si>
  <si>
    <t>% EJECUCIÓN MP EQC MENSUAL</t>
  </si>
  <si>
    <t>% EJECUCIÓN MP EQR MENSUAL</t>
  </si>
  <si>
    <t>GASTO PROGRAMADO MP</t>
  </si>
  <si>
    <t>EJECUCIÓN GASTO MP</t>
  </si>
  <si>
    <t>% EJECUCIÓN MP IM≥12 MENSUAL</t>
  </si>
  <si>
    <t>GASTO PROGRAMADO MC</t>
  </si>
  <si>
    <t>EJECUCIÓN GASTO MC</t>
  </si>
  <si>
    <t>% EJECUCIÓN GASTO MP</t>
  </si>
  <si>
    <t>% EJECUCIÓN GASTO MC</t>
  </si>
  <si>
    <t>CUMPLIMIENTO MANTENIMIENTO PREVENTIVO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</si>
  <si>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</si>
  <si>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</si>
  <si>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</si>
  <si>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</si>
  <si>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</si>
  <si>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</si>
  <si>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</si>
  <si>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</si>
  <si>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</si>
  <si>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</si>
  <si>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</si>
  <si>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</si>
  <si>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 APLICA</t>
  </si>
  <si>
    <t>X</t>
  </si>
  <si>
    <t>Laboratorio/Farmac</t>
  </si>
  <si>
    <t>Bajo costo</t>
  </si>
  <si>
    <t>IM ≥ 12</t>
  </si>
  <si>
    <t>CONTRATO</t>
  </si>
  <si>
    <t>1057540-100-LE23</t>
  </si>
  <si>
    <t>si</t>
  </si>
  <si>
    <t>Bodega de Equipos Médicos</t>
  </si>
  <si>
    <t>Comodato</t>
  </si>
  <si>
    <t>MALO</t>
  </si>
  <si>
    <t>√</t>
  </si>
  <si>
    <t>Corta Estadia</t>
  </si>
  <si>
    <t>No corresponde según orientanción técnica, debería hacerse al menos cada 2 años</t>
  </si>
  <si>
    <t>Mobiliario</t>
  </si>
  <si>
    <t>Clínico</t>
  </si>
  <si>
    <t>Malvestio</t>
  </si>
  <si>
    <t>Endoscopia y PCM</t>
  </si>
  <si>
    <t>PROPIO</t>
  </si>
  <si>
    <t>BUENO</t>
  </si>
  <si>
    <t>S/N</t>
  </si>
  <si>
    <t>Odontología</t>
  </si>
  <si>
    <t>COLDAS 2022</t>
  </si>
  <si>
    <t xml:space="preserve">Endoscopia y PCM </t>
  </si>
  <si>
    <t>CODESUR</t>
  </si>
  <si>
    <t>1057540-110-LE23</t>
  </si>
  <si>
    <t>POR LICITAR</t>
  </si>
  <si>
    <t>Mesa quirúrgica</t>
  </si>
  <si>
    <t>1057540-70-LE23</t>
  </si>
  <si>
    <t>Equipos Médicos</t>
  </si>
  <si>
    <t>Especialidades cuidados paliativos</t>
  </si>
  <si>
    <t>1057931-4-LE24</t>
  </si>
  <si>
    <t>Monitor Signos Vitales</t>
  </si>
  <si>
    <t>Nothern Meditec Limited</t>
  </si>
  <si>
    <t>Aquarius</t>
  </si>
  <si>
    <t>JHC01B508004</t>
  </si>
  <si>
    <t>BALDER</t>
  </si>
  <si>
    <t xml:space="preserve">Especialidades cuidados paliativos </t>
  </si>
  <si>
    <t>no</t>
  </si>
  <si>
    <t>Especialidades Dental</t>
  </si>
  <si>
    <t>Unidad dental</t>
  </si>
  <si>
    <t>PENDIENTE</t>
  </si>
  <si>
    <t>1057540-130-LE23</t>
  </si>
  <si>
    <t>RELEVANTE</t>
  </si>
  <si>
    <t>RIGOBERTO FUICA</t>
  </si>
  <si>
    <t>1057540-115-LE23</t>
  </si>
  <si>
    <t>Corresponde 1 según orientación técnica, se programan 3 por equipos viejos.</t>
  </si>
  <si>
    <t>1057540-49-LE23</t>
  </si>
  <si>
    <t>1057540-17-LE23</t>
  </si>
  <si>
    <t>Especialidades Medico Quirurgico</t>
  </si>
  <si>
    <t>Especialidades Neurologia</t>
  </si>
  <si>
    <t>Espirómetro portátil</t>
  </si>
  <si>
    <t>MGC diagnostics</t>
  </si>
  <si>
    <t>CPF-S7D</t>
  </si>
  <si>
    <t>1057540-78-LE23</t>
  </si>
  <si>
    <t>Especialidades oftalmologia</t>
  </si>
  <si>
    <t>1057540-61-LE24</t>
  </si>
  <si>
    <t>1057540-20-LE24</t>
  </si>
  <si>
    <t>COLDAS</t>
  </si>
  <si>
    <t>Especialidades Pediatria</t>
  </si>
  <si>
    <t xml:space="preserve">Especialidades Psiquiatria </t>
  </si>
  <si>
    <t xml:space="preserve">REGULAR </t>
  </si>
  <si>
    <t>S/M</t>
  </si>
  <si>
    <t>1057540-38-LE23</t>
  </si>
  <si>
    <t>1057540-129-LE23</t>
  </si>
  <si>
    <t>1057540-91-LP23</t>
  </si>
  <si>
    <t>1057540-122-LE23</t>
  </si>
  <si>
    <t>Ginecologia Hospitalizados</t>
  </si>
  <si>
    <t>Cama clínica eléctrica</t>
  </si>
  <si>
    <t>SERVITEC</t>
  </si>
  <si>
    <t>1057540-128-LE23</t>
  </si>
  <si>
    <t>HODOM</t>
  </si>
  <si>
    <t>Hospital de dia</t>
  </si>
  <si>
    <t>Hospitalizados</t>
  </si>
  <si>
    <t>HPL31303</t>
  </si>
  <si>
    <t xml:space="preserve">Monitor desfibrilador </t>
  </si>
  <si>
    <t>Efficia CM100</t>
  </si>
  <si>
    <t>CN12099177</t>
  </si>
  <si>
    <t>1057540-125-LE23</t>
  </si>
  <si>
    <t>CN12099176</t>
  </si>
  <si>
    <t>CN12099175</t>
  </si>
  <si>
    <t>Sistema de alto flujo humidificado</t>
  </si>
  <si>
    <t>Fisher &amp; Paykel Healthcare</t>
  </si>
  <si>
    <t>Airvo 2</t>
  </si>
  <si>
    <t>Imagenologia</t>
  </si>
  <si>
    <t>1057540-3-LQ23</t>
  </si>
  <si>
    <t>Laboratorio</t>
  </si>
  <si>
    <t>Cobas</t>
  </si>
  <si>
    <t>COMODATO</t>
  </si>
  <si>
    <t>ROCHE</t>
  </si>
  <si>
    <t>1057540-126-LP23</t>
  </si>
  <si>
    <t>Analizador de orina</t>
  </si>
  <si>
    <t>U411</t>
  </si>
  <si>
    <t>1057540-16-LE24</t>
  </si>
  <si>
    <t>Mecheros portátiles</t>
  </si>
  <si>
    <t>Aleman</t>
  </si>
  <si>
    <t>Bunsen</t>
  </si>
  <si>
    <t xml:space="preserve">Laboratorio </t>
  </si>
  <si>
    <t>Pabellón</t>
  </si>
  <si>
    <t>CN12099172</t>
  </si>
  <si>
    <t>1057540-83-LE23</t>
  </si>
  <si>
    <t>Pabellón 1 - 3B</t>
  </si>
  <si>
    <t>1057540-40-LP22</t>
  </si>
  <si>
    <t>Pabellón 2 - 3B</t>
  </si>
  <si>
    <t>Pabellón CMA - 3B</t>
  </si>
  <si>
    <t>Parto Integral</t>
  </si>
  <si>
    <t>Rehabilitacion Integral</t>
  </si>
  <si>
    <t>Med. Física Rehabilitación</t>
  </si>
  <si>
    <t>Cicloergómetro de mano</t>
  </si>
  <si>
    <t>Comprar materiales para realizar interno</t>
  </si>
  <si>
    <t xml:space="preserve">Rehabilitacion Integral </t>
  </si>
  <si>
    <t>1057540-134-LE23</t>
  </si>
  <si>
    <t>Salud del personal</t>
  </si>
  <si>
    <t>1057540-14-LE24</t>
  </si>
  <si>
    <t>Urgencia</t>
  </si>
  <si>
    <t>NIHON KOHDEN</t>
  </si>
  <si>
    <t>AED-3100</t>
  </si>
  <si>
    <t>SH622300059SA</t>
  </si>
  <si>
    <t>HPL31304</t>
  </si>
  <si>
    <t>SH622300072SA</t>
  </si>
  <si>
    <t>HPL31305</t>
  </si>
  <si>
    <t>SH622330003SA</t>
  </si>
  <si>
    <t>HPL31306</t>
  </si>
  <si>
    <t>SH622300047SA</t>
  </si>
  <si>
    <t>HPL31307</t>
  </si>
  <si>
    <t>1057540-101-LE23</t>
  </si>
  <si>
    <t>UTI</t>
  </si>
  <si>
    <t xml:space="preserve">	
HPL31308</t>
  </si>
  <si>
    <t xml:space="preserve">UTI </t>
  </si>
  <si>
    <t>Monitor ECG alta complejidad</t>
  </si>
  <si>
    <t>Monitor ECG transporte alta complejidad (pequeño adosado a 03740)</t>
  </si>
  <si>
    <t>UTI - 1C</t>
  </si>
  <si>
    <t>HPL29987</t>
  </si>
  <si>
    <t>SEGUIMIENTO GASTO CONVENIOS DE MANTENIMIENTO</t>
  </si>
  <si>
    <t>CONTROL MENSUAL EJECUCIÓN</t>
  </si>
  <si>
    <t>Nº</t>
  </si>
  <si>
    <t>ESTABLECIMIENTO</t>
  </si>
  <si>
    <t xml:space="preserve">NOMBRE CONVENIO DE MANTENIMIENTO </t>
  </si>
  <si>
    <t>Nº RESOLUCIÓN / ID / ORDEN DE COMPRA DEL CONVENIO</t>
  </si>
  <si>
    <t>FECHA RESOLUCIÓN</t>
  </si>
  <si>
    <t>FECHA DE EXPIRACION CONVENIO</t>
  </si>
  <si>
    <t>MONTO ANUAL ($)</t>
  </si>
  <si>
    <t>SUBASIGNACIÓN SIGFE</t>
  </si>
  <si>
    <t>N° ORDEN DE COMPRA / N° FACTURA</t>
  </si>
  <si>
    <t>MONTO ($)</t>
  </si>
  <si>
    <t>TOTAL</t>
  </si>
  <si>
    <t>SERVICIO DE SALUD TALCAHUANO</t>
  </si>
  <si>
    <r>
      <rPr>
        <sz val="10"/>
        <color rgb="FF000000"/>
        <rFont val="Calibri"/>
        <family val="2"/>
        <scheme val="minor"/>
      </rPr>
      <t xml:space="preserve">CONVENIO MANTENIMIENTO PREVENTIVO Y CORRECTIVO DE </t>
    </r>
    <r>
      <rPr>
        <b/>
        <sz val="11"/>
        <color rgb="FF000000"/>
        <rFont val="Calibri"/>
        <family val="2"/>
        <scheme val="minor"/>
      </rPr>
      <t>MAQUINAS ANESTESIA</t>
    </r>
    <r>
      <rPr>
        <sz val="10"/>
        <color rgb="FF000000"/>
        <rFont val="Calibri"/>
        <family val="2"/>
        <scheme val="minor"/>
      </rPr>
      <t xml:space="preserve"> PARA HOSPITAL PENCO LIRQUEN</t>
    </r>
  </si>
  <si>
    <t>1057540-77-LP24</t>
  </si>
  <si>
    <t>22.06.006.003</t>
  </si>
  <si>
    <r>
      <t xml:space="preserve">SERVICIO DE MANTENCION PRE VENTIVA , CORRECTIVA PARA SIETE </t>
    </r>
    <r>
      <rPr>
        <b/>
        <sz val="10"/>
        <color rgb="FF000000"/>
        <rFont val="Calibri"/>
        <family val="2"/>
        <scheme val="minor"/>
      </rPr>
      <t>UNIDADES DENTALES</t>
    </r>
  </si>
  <si>
    <r>
      <t xml:space="preserve">SERVICIO DE MANTENCION PREVENTIVA, CORRECTIVA PARA EQUIPOS DE ESTERILIZACIÓN PARA EL HOSPITAL - </t>
    </r>
    <r>
      <rPr>
        <b/>
        <sz val="12"/>
        <color theme="1"/>
        <rFont val="Calibri"/>
        <family val="2"/>
        <scheme val="minor"/>
      </rPr>
      <t>Reprocesadora de Endoscopios</t>
    </r>
  </si>
  <si>
    <t>4.1</t>
  </si>
  <si>
    <r>
      <t xml:space="preserve">SERVICIO DE MANTENCION PREVENTIVA, CORRECTIVA PARA EQUIPOS DE ESTERILIZACIÓN PARA EL HOSPITAL - </t>
    </r>
    <r>
      <rPr>
        <b/>
        <sz val="12"/>
        <color theme="1"/>
        <rFont val="Calibri"/>
        <family val="2"/>
        <scheme val="minor"/>
      </rPr>
      <t>Esterilizador de Plasma</t>
    </r>
  </si>
  <si>
    <t>4.2</t>
  </si>
  <si>
    <r>
      <rPr>
        <sz val="10"/>
        <color rgb="FF000000"/>
        <rFont val="Calibri"/>
        <family val="2"/>
        <scheme val="minor"/>
      </rPr>
      <t>SERVICIO DE MANTENCION PREVENTIVA, CORRECTIVA PARA EQUIPOS DE ESTERILIZACIÓN PARA EL HOSPITAL -</t>
    </r>
    <r>
      <rPr>
        <b/>
        <sz val="12"/>
        <color rgb="FF000000"/>
        <rFont val="Calibri"/>
        <family val="2"/>
        <scheme val="minor"/>
      </rPr>
      <t xml:space="preserve"> Secadora de tubos</t>
    </r>
  </si>
  <si>
    <t>4.3</t>
  </si>
  <si>
    <r>
      <rPr>
        <sz val="10"/>
        <color rgb="FF000000"/>
        <rFont val="Calibri"/>
        <family val="2"/>
        <scheme val="minor"/>
      </rPr>
      <t>SERVICIO DE MANTENCION PREVENTIVA, CORRECTIVA PARA EQUIPOS DE ESTERILIZACIÓN PARA EL HOSPITAL -</t>
    </r>
    <r>
      <rPr>
        <b/>
        <sz val="12"/>
        <color rgb="FF000000"/>
        <rFont val="Calibri"/>
        <family val="2"/>
        <scheme val="minor"/>
      </rPr>
      <t xml:space="preserve"> Lavadora descontaminadora</t>
    </r>
  </si>
  <si>
    <r>
      <t xml:space="preserve">CONVENIO DE MANTENIMIENTO PREVENTIVO Y CORRECTIVO PARA 28 </t>
    </r>
    <r>
      <rPr>
        <b/>
        <sz val="10"/>
        <color rgb="FF000000"/>
        <rFont val="Calibri"/>
        <family val="2"/>
        <scheme val="minor"/>
      </rPr>
      <t>REFRIGERADORE</t>
    </r>
    <r>
      <rPr>
        <sz val="10"/>
        <color rgb="FF000000"/>
        <rFont val="Calibri"/>
        <family val="2"/>
        <scheme val="minor"/>
      </rPr>
      <t>S CLINICOS DEL HOSPITAL PENCO LIRQUÉN</t>
    </r>
  </si>
  <si>
    <r>
      <rPr>
        <sz val="10"/>
        <color rgb="FF000000"/>
        <rFont val="Calibri"/>
        <family val="2"/>
        <scheme val="minor"/>
      </rPr>
      <t>CONVENIO DE MANTENCION PREVENTIVA Y CORRECTIVA PARA</t>
    </r>
    <r>
      <rPr>
        <b/>
        <sz val="10"/>
        <color rgb="FF000000"/>
        <rFont val="Calibri"/>
        <family val="2"/>
        <scheme val="minor"/>
      </rPr>
      <t xml:space="preserve"> PISCINA TERAPEUTICA</t>
    </r>
    <r>
      <rPr>
        <sz val="10"/>
        <color rgb="FF000000"/>
        <rFont val="Calibri"/>
        <family val="2"/>
        <scheme val="minor"/>
      </rPr>
      <t xml:space="preserve"> DE SERVICIO CLINICO DE REHABILITACION DEL HOSPITAL PENCO LIRQUÉN</t>
    </r>
  </si>
  <si>
    <r>
      <t xml:space="preserve">CONVENIO DE MANTENCION PREVENTIVA Y CORRECTIVA PARA </t>
    </r>
    <r>
      <rPr>
        <b/>
        <sz val="11"/>
        <color theme="1"/>
        <rFont val="Calibri"/>
        <family val="2"/>
        <scheme val="minor"/>
      </rPr>
      <t>REENVASADORAS</t>
    </r>
    <r>
      <rPr>
        <sz val="10"/>
        <color theme="1"/>
        <rFont val="Calibri"/>
        <family val="2"/>
        <scheme val="minor"/>
      </rPr>
      <t xml:space="preserve"> DE UNIDAD DE FARMACIA DEL HOSPITAL PENCO LIRQUÉN</t>
    </r>
  </si>
  <si>
    <r>
      <rPr>
        <sz val="10"/>
        <color rgb="FF000000"/>
        <rFont val="Calibri"/>
        <family val="2"/>
      </rPr>
      <t xml:space="preserve">MANTENCION PREVENTIVA, CORRECTIVA PARA EQUIPOS </t>
    </r>
    <r>
      <rPr>
        <b/>
        <sz val="10"/>
        <color rgb="FF000000"/>
        <rFont val="Calibri"/>
        <family val="2"/>
      </rPr>
      <t>MICROSCOPIOS</t>
    </r>
    <r>
      <rPr>
        <sz val="10"/>
        <color rgb="FF000000"/>
        <rFont val="Calibri"/>
        <family val="2"/>
      </rPr>
      <t xml:space="preserve"> </t>
    </r>
  </si>
  <si>
    <r>
      <t xml:space="preserve">CONTRATACION DE SERVICIOS DE MANTENIMIENTO PREVENTIVO Y CORRECTIVO PARA EQUIPOS AUTOCLAVE, CÁMARA MORTUORIA Y ELEVADOR DE CADÁVERES DEL HOSPITAL DE PENCO-LIRQUÉN - </t>
    </r>
    <r>
      <rPr>
        <b/>
        <sz val="12"/>
        <color theme="1"/>
        <rFont val="Calibri"/>
        <family val="2"/>
        <scheme val="minor"/>
      </rPr>
      <t>Cámara Mortuoria y Carro Elevador</t>
    </r>
  </si>
  <si>
    <r>
      <t xml:space="preserve">CONTRATACION DE SERVICIOS DE MANTENIMIENTO PREVENTIVO Y CORRECTIVO PARA EQUIPOS AUTOCLAVE, CÁMARA MORTUORIA Y ELEVADOR DE CADÁVERES DEL HOSPITAL DE PENCO-LIRQUÉN - </t>
    </r>
    <r>
      <rPr>
        <b/>
        <sz val="12"/>
        <color theme="1"/>
        <rFont val="Calibri"/>
        <family val="2"/>
        <scheme val="minor"/>
      </rPr>
      <t xml:space="preserve">Autoclaves Raypa </t>
    </r>
  </si>
  <si>
    <r>
      <t xml:space="preserve">CONTRATACION DE SERVICIOS DE MANTENIMIENTO PREVENTIVO Y CORRECTIVO PARA EQUIPOS AUTOCLAVE, CÁMARA MORTUORIA Y ELEVADOR DE CADÁVERES DEL HOSPITAL DE PENCO-LIRQUÉN - </t>
    </r>
    <r>
      <rPr>
        <b/>
        <sz val="12"/>
        <color theme="1"/>
        <rFont val="Calibri"/>
        <family val="2"/>
        <scheme val="minor"/>
      </rPr>
      <t xml:space="preserve">Autoclave 21ED </t>
    </r>
  </si>
  <si>
    <r>
      <t>CONVENIO DE MANTENCION PARA EQUIPOS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OFTALMOLÓGICOS</t>
    </r>
  </si>
  <si>
    <r>
      <t xml:space="preserve">CONVENIO DE MANTENIMIENTO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NASOFIBROSCOPIO</t>
    </r>
  </si>
  <si>
    <r>
      <rPr>
        <sz val="10"/>
        <color rgb="FF000000"/>
        <rFont val="Calibri"/>
        <family val="2"/>
        <scheme val="minor"/>
      </rPr>
      <t>MANTENIMIENTO EQUIPOS DE</t>
    </r>
    <r>
      <rPr>
        <b/>
        <sz val="10"/>
        <color rgb="FF000000"/>
        <rFont val="Calibri"/>
        <family val="2"/>
        <scheme val="minor"/>
      </rPr>
      <t xml:space="preserve"> LABORATORIO</t>
    </r>
  </si>
  <si>
    <r>
      <t xml:space="preserve">CONVENIO DE MANTENIMIENTO CORRECTIVO PARA EQUIPOS DE </t>
    </r>
    <r>
      <rPr>
        <b/>
        <sz val="11"/>
        <color theme="1"/>
        <rFont val="Calibri"/>
        <family val="2"/>
        <scheme val="minor"/>
      </rPr>
      <t>LAPAROSCOPIA Y ARTROSCOPIA</t>
    </r>
  </si>
  <si>
    <r>
      <t xml:space="preserve">CONVENIO MANTENCION EQUIPOS OTORRINO- </t>
    </r>
    <r>
      <rPr>
        <b/>
        <sz val="11"/>
        <color rgb="FF000000"/>
        <rFont val="Calibri"/>
        <family val="2"/>
        <scheme val="minor"/>
      </rPr>
      <t>Video oculo instagmografo VNG</t>
    </r>
  </si>
  <si>
    <r>
      <rPr>
        <sz val="10"/>
        <color rgb="FF000000"/>
        <rFont val="Calibri"/>
        <family val="2"/>
        <scheme val="minor"/>
      </rPr>
      <t xml:space="preserve">SERVICIO DE MANTENIMIENTO PREVENTIVO Y CORRECTIVO PARA EQUIPOS DE UNIDAD DE </t>
    </r>
    <r>
      <rPr>
        <b/>
        <sz val="10"/>
        <color rgb="FF000000"/>
        <rFont val="Calibri"/>
        <family val="2"/>
        <scheme val="minor"/>
      </rPr>
      <t>MEDICINA FISICA Y REHABILITACION Y NEUROLOGIA</t>
    </r>
    <r>
      <rPr>
        <sz val="10"/>
        <color rgb="FF000000"/>
        <rFont val="Calibri"/>
        <family val="2"/>
        <scheme val="minor"/>
      </rPr>
      <t xml:space="preserve"> DEL HOSPITAL DE PENCO-LIRQUEN </t>
    </r>
  </si>
  <si>
    <r>
      <rPr>
        <sz val="10"/>
        <color rgb="FF000000"/>
        <rFont val="Calibri"/>
        <family val="2"/>
        <scheme val="minor"/>
      </rPr>
      <t xml:space="preserve">SERVICIO DE MANTENIMIENTO PREVENTIVO Y CORRECTIVO PARA MESAS QUIRURGICAS DEL HOSPITAL DE PENCO-LIRQUEN. </t>
    </r>
    <r>
      <rPr>
        <b/>
        <sz val="11"/>
        <color rgb="FF000000"/>
        <rFont val="Calibri"/>
        <family val="2"/>
        <scheme val="minor"/>
      </rPr>
      <t>Mesa Maquet SN 1848 y Mesa Schmitz SN 17453</t>
    </r>
  </si>
  <si>
    <t>17.1</t>
  </si>
  <si>
    <r>
      <t xml:space="preserve">SERVICIO DE MANTENIMIENTO PREVENTIVO Y CORRECTIVO PARA MESAS QUIRURGICAS DEL HOSPITAL DE PENCO-LIRQUEN. </t>
    </r>
    <r>
      <rPr>
        <b/>
        <sz val="11"/>
        <color rgb="FF000000"/>
        <rFont val="Calibri"/>
        <family val="2"/>
        <scheme val="minor"/>
      </rPr>
      <t>Mesa Maquet SN 1848 y Mesa Schmitz SN 17453</t>
    </r>
    <r>
      <rPr>
        <sz val="10"/>
        <color rgb="FF000000"/>
        <rFont val="Calibri"/>
        <family val="2"/>
        <scheme val="minor"/>
      </rPr>
      <t xml:space="preserve">
(SEGUNDO SEMESTRE)</t>
    </r>
  </si>
  <si>
    <r>
      <t xml:space="preserve">SERVICIO DE MANTENIMIENTO PREVENTIVO Y CORRECTIVO DE </t>
    </r>
    <r>
      <rPr>
        <b/>
        <sz val="12"/>
        <color theme="1"/>
        <rFont val="Calibri"/>
        <family val="2"/>
        <scheme val="minor"/>
      </rPr>
      <t>Ecografos GE</t>
    </r>
  </si>
  <si>
    <t>18.1</t>
  </si>
  <si>
    <r>
      <t xml:space="preserve">SERVICIO DE MANTENIMIENTO PREVENTIVO Y CORRECTIVO DE </t>
    </r>
    <r>
      <rPr>
        <b/>
        <sz val="12"/>
        <color theme="1"/>
        <rFont val="Calibri"/>
        <family val="2"/>
        <scheme val="minor"/>
      </rPr>
      <t>Ecografos GE</t>
    </r>
    <r>
      <rPr>
        <sz val="10"/>
        <color theme="1"/>
        <rFont val="Calibri"/>
        <family val="2"/>
        <scheme val="minor"/>
      </rPr>
      <t xml:space="preserve">
(SEGUNDO SEMESTRE)</t>
    </r>
  </si>
  <si>
    <r>
      <rPr>
        <sz val="10"/>
        <color rgb="FF000000"/>
        <rFont val="Calibri"/>
        <family val="2"/>
        <scheme val="minor"/>
      </rPr>
      <t>SERVICIO DE MANTENIMIENTO PREVENTIVO Y CORRECTIVO</t>
    </r>
    <r>
      <rPr>
        <b/>
        <sz val="10"/>
        <color rgb="FF000000"/>
        <rFont val="Calibri"/>
        <family val="2"/>
        <scheme val="minor"/>
      </rPr>
      <t xml:space="preserve"> DE CAMAS CLINICAS ELECTRICAS</t>
    </r>
  </si>
  <si>
    <r>
      <t xml:space="preserve">SERVICIO MANTENIMIENTO PREVENTIVO, CORRECTIVO Y DE EMERGENCIA PARA EQUIPOS MEDICOS DE RX Y MAMOGRAFO- </t>
    </r>
    <r>
      <rPr>
        <b/>
        <sz val="12"/>
        <color theme="1"/>
        <rFont val="Calibri"/>
        <family val="2"/>
        <scheme val="minor"/>
      </rPr>
      <t>Mamógrafo (Siemens)</t>
    </r>
    <r>
      <rPr>
        <sz val="10"/>
        <color theme="1"/>
        <rFont val="Calibri"/>
        <family val="2"/>
        <scheme val="minor"/>
      </rPr>
      <t xml:space="preserve"> ENE-MAR</t>
    </r>
  </si>
  <si>
    <t>20.1</t>
  </si>
  <si>
    <r>
      <t xml:space="preserve">SERVICIO MANTENIMIENTO PREVENTIVO, CORRECTIVO Y DE EMERGENCIA PARA EQUIPOS MEDICOS DE RX Y MAMOGRAFO- </t>
    </r>
    <r>
      <rPr>
        <b/>
        <sz val="12"/>
        <color theme="1"/>
        <rFont val="Calibri"/>
        <family val="2"/>
        <scheme val="minor"/>
      </rPr>
      <t>Mamógrafo (Siemens)</t>
    </r>
    <r>
      <rPr>
        <sz val="10"/>
        <color theme="1"/>
        <rFont val="Calibri"/>
        <family val="2"/>
        <scheme val="minor"/>
      </rPr>
      <t xml:space="preserve"> ABR-DIC</t>
    </r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</si>
  <si>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Osteopulmonar</t>
    </r>
    <r>
      <rPr>
        <sz val="10"/>
        <color rgb="FF000000"/>
        <rFont val="Calibri"/>
        <family val="2"/>
        <scheme val="minor"/>
      </rPr>
      <t xml:space="preserve"> ENE-MAR</t>
    </r>
  </si>
  <si>
    <t>1057540-3-LQ24</t>
  </si>
  <si>
    <t>21.2</t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</si>
  <si>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Osteopulmonar</t>
    </r>
    <r>
      <rPr>
        <sz val="10"/>
        <color rgb="FF000000"/>
        <rFont val="Calibri"/>
        <family val="2"/>
        <scheme val="minor"/>
      </rPr>
      <t xml:space="preserve"> ABR-DIC</t>
    </r>
  </si>
  <si>
    <t>21.3</t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</si>
  <si>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RX portátil</t>
    </r>
    <r>
      <rPr>
        <sz val="10"/>
        <color rgb="FF000000"/>
        <rFont val="Calibri"/>
        <family val="2"/>
        <scheme val="minor"/>
      </rPr>
      <t xml:space="preserve"> ENE-MAR</t>
    </r>
  </si>
  <si>
    <t>21.4</t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</si>
  <si>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RX portátil</t>
    </r>
    <r>
      <rPr>
        <sz val="10"/>
        <color rgb="FF000000"/>
        <rFont val="Calibri"/>
        <family val="2"/>
        <scheme val="minor"/>
      </rPr>
      <t xml:space="preserve"> ABR-DIC</t>
    </r>
  </si>
  <si>
    <t>21.5</t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</si>
  <si>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Arco C (Philips)</t>
    </r>
    <r>
      <rPr>
        <sz val="10"/>
        <color rgb="FF000000"/>
        <rFont val="Calibri"/>
        <family val="2"/>
        <scheme val="minor"/>
      </rPr>
      <t xml:space="preserve"> ENE-MAR</t>
    </r>
  </si>
  <si>
    <t>21.6</t>
  </si>
  <si>
    <r>
      <t xml:space="preserve">SERVICIO MANTENIMIENTO PREVENTIVO, CORRECTIVO Y DE EMERGENCIA PARA EQUIPOS MEDICOS DE RX Y MAMOGRAFO </t>
    </r>
    <r>
      <rPr>
        <b/>
        <sz val="12"/>
        <color rgb="FF000000"/>
        <rFont val="Calibri"/>
        <family val="2"/>
        <scheme val="minor"/>
      </rPr>
      <t>Arco C (Philips)</t>
    </r>
    <r>
      <rPr>
        <sz val="10"/>
        <color rgb="FF000000"/>
        <rFont val="Calibri"/>
        <family val="2"/>
        <scheme val="minor"/>
      </rPr>
      <t xml:space="preserve"> ABR-MAR</t>
    </r>
  </si>
  <si>
    <r>
      <t>CONVENIO DE MANTENIMIENTO EQUIPOS OTORRINO (</t>
    </r>
    <r>
      <rPr>
        <b/>
        <sz val="11"/>
        <color theme="1"/>
        <rFont val="Calibri"/>
        <family val="2"/>
        <scheme val="minor"/>
      </rPr>
      <t>Cámara silente, impedanciometro y audiometro)</t>
    </r>
  </si>
  <si>
    <r>
      <rPr>
        <sz val="10"/>
        <color rgb="FF000000"/>
        <rFont val="Calibri"/>
        <family val="2"/>
        <scheme val="minor"/>
      </rPr>
      <t xml:space="preserve">CONVENIO SERVICIO DE MANTENIMIENTO PREVENTIVO Y CORRECTIVO </t>
    </r>
    <r>
      <rPr>
        <b/>
        <sz val="11"/>
        <color rgb="FF000000"/>
        <rFont val="Calibri"/>
        <family val="2"/>
        <scheme val="minor"/>
      </rPr>
      <t>RX DENTAL</t>
    </r>
    <r>
      <rPr>
        <sz val="11"/>
        <color rgb="FF000000"/>
        <rFont val="Calibri"/>
        <family val="2"/>
        <scheme val="minor"/>
      </rPr>
      <t xml:space="preserve"> Y </t>
    </r>
    <r>
      <rPr>
        <b/>
        <sz val="11"/>
        <color rgb="FF000000"/>
        <rFont val="Calibri"/>
        <family val="2"/>
        <scheme val="minor"/>
      </rPr>
      <t>ECOGRAFO SAMSUNG</t>
    </r>
  </si>
  <si>
    <t>23.1</t>
  </si>
  <si>
    <r>
      <t xml:space="preserve">CONVENIO SERVICIO DE MANTENIMIENTO PREVENTIVO Y CORRECTIVO </t>
    </r>
    <r>
      <rPr>
        <b/>
        <sz val="11"/>
        <color rgb="FF000000"/>
        <rFont val="Calibri"/>
        <family val="2"/>
        <scheme val="minor"/>
      </rPr>
      <t>RX DENTAL</t>
    </r>
    <r>
      <rPr>
        <sz val="11"/>
        <color rgb="FF000000"/>
        <rFont val="Calibri"/>
        <family val="2"/>
        <scheme val="minor"/>
      </rPr>
      <t xml:space="preserve"> Y </t>
    </r>
    <r>
      <rPr>
        <b/>
        <sz val="11"/>
        <color rgb="FF000000"/>
        <rFont val="Calibri"/>
        <family val="2"/>
        <scheme val="minor"/>
      </rPr>
      <t>ECOGRAFO SAMSUNG</t>
    </r>
    <r>
      <rPr>
        <sz val="10"/>
        <color rgb="FF000000"/>
        <rFont val="Calibri"/>
        <family val="2"/>
        <scheme val="minor"/>
      </rPr>
      <t xml:space="preserve"> (2DO SEMESTRE)</t>
    </r>
  </si>
  <si>
    <r>
      <rPr>
        <sz val="10"/>
        <color rgb="FF000000"/>
        <rFont val="Calibri"/>
        <family val="2"/>
        <scheme val="minor"/>
      </rPr>
      <t xml:space="preserve">MANTENIMIENTO EQUIPOS AUTOCLAVES ESTERILIZACION - </t>
    </r>
    <r>
      <rPr>
        <b/>
        <sz val="11"/>
        <color rgb="FF000000"/>
        <rFont val="Calibri"/>
        <family val="2"/>
        <scheme val="minor"/>
      </rPr>
      <t>AUTOCLAVES MATACHANA</t>
    </r>
  </si>
  <si>
    <t>24.1</t>
  </si>
  <si>
    <r>
      <t xml:space="preserve">MANTENIMIENTO EQUIPOS AUTOCLAVES ESTERILIZACION - </t>
    </r>
    <r>
      <rPr>
        <b/>
        <sz val="11"/>
        <color rgb="FF000000"/>
        <rFont val="Calibri"/>
        <family val="2"/>
        <scheme val="minor"/>
      </rPr>
      <t>AUTOCLAVES MATACHANA</t>
    </r>
    <r>
      <rPr>
        <sz val="10"/>
        <color rgb="FF000000"/>
        <rFont val="Calibri"/>
        <family val="2"/>
        <scheme val="minor"/>
      </rPr>
      <t xml:space="preserve"> (2DO SEMESTRE)</t>
    </r>
  </si>
  <si>
    <r>
      <t xml:space="preserve">CONVENIO DE MANTENIMIENTO PREVENTIVO Y CORRECTIVO PARA </t>
    </r>
    <r>
      <rPr>
        <b/>
        <sz val="11"/>
        <color theme="1"/>
        <rFont val="Calibri"/>
        <family val="2"/>
        <scheme val="minor"/>
      </rPr>
      <t>CUNAS RADIANTES</t>
    </r>
  </si>
  <si>
    <r>
      <t xml:space="preserve">CONVENIO DE MANTENIMIENTO PREVENTIVO Y CORRECTIVO PARA </t>
    </r>
    <r>
      <rPr>
        <b/>
        <sz val="11"/>
        <color theme="1"/>
        <rFont val="Calibri"/>
        <family val="2"/>
        <scheme val="minor"/>
      </rPr>
      <t xml:space="preserve">COLUMNAS, LÁMPARAS Y PANTALLAS </t>
    </r>
    <r>
      <rPr>
        <sz val="11"/>
        <color theme="1"/>
        <rFont val="Calibri"/>
        <family val="2"/>
        <scheme val="minor"/>
      </rPr>
      <t>DE PABELLÓN CENTRAL</t>
    </r>
  </si>
  <si>
    <r>
      <t xml:space="preserve">CONVENIO MANTENIM IENTO EQUIPOS DE PABELLÓN Y GINECOLOGIA - </t>
    </r>
    <r>
      <rPr>
        <b/>
        <sz val="11"/>
        <color theme="1"/>
        <rFont val="Calibri"/>
        <family val="2"/>
        <scheme val="minor"/>
      </rPr>
      <t>ELECTROBISTURÍ INCUBADORAS</t>
    </r>
  </si>
  <si>
    <t>27.1</t>
  </si>
  <si>
    <r>
      <t xml:space="preserve">CONVENIO MANTENIM IENTO EQUIPOS DE PABELLÓN Y GINECOLOGIA - </t>
    </r>
    <r>
      <rPr>
        <b/>
        <sz val="11"/>
        <color theme="1"/>
        <rFont val="Calibri"/>
        <family val="2"/>
        <scheme val="minor"/>
      </rPr>
      <t>ELECTROBISTURÍ INCUBADORAS</t>
    </r>
    <r>
      <rPr>
        <sz val="10"/>
        <color theme="1"/>
        <rFont val="Calibri"/>
        <family val="2"/>
        <scheme val="minor"/>
      </rPr>
      <t xml:space="preserve"> (2DO SEMESTRE)</t>
    </r>
  </si>
  <si>
    <t>27.2</t>
  </si>
  <si>
    <r>
      <t xml:space="preserve">CONVENIO MANTENIM IENTO EQUIPOS DE PABELLÓN Y GINECOLOGIA - </t>
    </r>
    <r>
      <rPr>
        <b/>
        <sz val="10"/>
        <color theme="1"/>
        <rFont val="Calibri"/>
        <family val="2"/>
        <scheme val="minor"/>
      </rPr>
      <t>MONITOFES Y DETECTORES CARDIOFETALES Y EQUIPO DE ISQUEMIA</t>
    </r>
  </si>
  <si>
    <r>
      <t xml:space="preserve">CONVENIO MANTENIM IENTO EQUIPOS DE PABELLÓN Y GINECOLOGIA - </t>
    </r>
    <r>
      <rPr>
        <b/>
        <sz val="11"/>
        <color theme="1"/>
        <rFont val="Calibri"/>
        <family val="2"/>
        <scheme val="minor"/>
      </rPr>
      <t>VENTILADORES MECÁNICOS</t>
    </r>
  </si>
  <si>
    <t>28.1</t>
  </si>
  <si>
    <r>
      <t xml:space="preserve">CONVENIO MANTENIM IENTO EQUIPOS DE PABELLÓN Y GINECOLOGIA - </t>
    </r>
    <r>
      <rPr>
        <b/>
        <sz val="11"/>
        <color theme="1"/>
        <rFont val="Calibri"/>
        <family val="2"/>
        <scheme val="minor"/>
      </rPr>
      <t>VENTILADORES MECÁNICOS</t>
    </r>
    <r>
      <rPr>
        <sz val="10"/>
        <color theme="1"/>
        <rFont val="Calibri"/>
        <family val="2"/>
        <scheme val="minor"/>
      </rPr>
      <t xml:space="preserve"> (SEGUNDO SEMESTRE)</t>
    </r>
  </si>
  <si>
    <r>
      <rPr>
        <sz val="10"/>
        <color rgb="FF000000"/>
        <rFont val="Calibri"/>
        <family val="2"/>
      </rPr>
      <t xml:space="preserve">CONVENIO MANTENIMIENTO EQUIPOS </t>
    </r>
    <r>
      <rPr>
        <b/>
        <sz val="10"/>
        <color rgb="FF000000"/>
        <rFont val="Calibri"/>
        <family val="2"/>
      </rPr>
      <t>LAVADORA ULTRASONICA</t>
    </r>
  </si>
  <si>
    <r>
      <t xml:space="preserve">CONVENIO MANTENIMIENTO EQUIPOS </t>
    </r>
    <r>
      <rPr>
        <b/>
        <sz val="10"/>
        <color rgb="FF000000"/>
        <rFont val="Calibri"/>
        <family val="2"/>
      </rPr>
      <t>PATRONES</t>
    </r>
  </si>
  <si>
    <r>
      <t xml:space="preserve">CONVENIO MANTENIMIENTO EQUIPOS </t>
    </r>
    <r>
      <rPr>
        <b/>
        <sz val="10"/>
        <color rgb="FF000000"/>
        <rFont val="Calibri"/>
        <family val="2"/>
      </rPr>
      <t>MOTORES IMPLANTES</t>
    </r>
  </si>
  <si>
    <r>
      <t xml:space="preserve">CONVENIO MANTENIMIENTO EQUIPOS </t>
    </r>
    <r>
      <rPr>
        <b/>
        <sz val="10"/>
        <color rgb="FF000000"/>
        <rFont val="Calibri"/>
        <family val="2"/>
      </rPr>
      <t>HOLTER PRESIÓN Y CALENTADOR PACIENTES</t>
    </r>
  </si>
  <si>
    <t>CONVENIO MANTENIMIENTO CAD CAM</t>
  </si>
  <si>
    <t>CONVENIO MANTENIMIENTO TAC (OCT-NOV-DIC 2025)</t>
  </si>
  <si>
    <t>CONVENIO MANTENIMIENTO CNAF</t>
  </si>
  <si>
    <t>SEGUIMIENTO GASTO MANTENIMIENTO CORRECTIVO / ADQUISICIÓN DE REPUESTOS / ADQUISICIÓN DE INSUMOS / ADQUISICIÓN DE ACCESORIOS</t>
  </si>
  <si>
    <t>DESCRIPCIÓN DE LA COMPRA</t>
  </si>
  <si>
    <t>TIPO DE GASTO CORRECTIVO</t>
  </si>
  <si>
    <t>MONTO</t>
  </si>
  <si>
    <t>N° ORDEN DE COMPRA</t>
  </si>
  <si>
    <t>Servicio  de Salud Talcahuano</t>
  </si>
  <si>
    <t>Hospital Penco Lirquén</t>
  </si>
  <si>
    <t>MANTENIMIENTO CORRECTIVO</t>
  </si>
  <si>
    <t>ADQUISICIÓN DE REPUESTOS</t>
  </si>
  <si>
    <t>Detalles para Suma de FRECUENCIA ANUAL DE MANTENIMIENTO - CRÍTICO/ RELEVANTE / IM≥12 / NO APLICA: CRÍTICO</t>
  </si>
  <si>
    <t>ꓣ</t>
  </si>
  <si>
    <t>Monitor ECG transporte mediana complejidad (pequeño adosado a 03740)</t>
  </si>
  <si>
    <t>COLDAS 2023 (BLUMEDICAL)</t>
  </si>
  <si>
    <t>Endoscopia y PCM (urgencia)</t>
  </si>
  <si>
    <t>PAVEZ</t>
  </si>
  <si>
    <t>1031849-6-LR21</t>
  </si>
  <si>
    <t>Detalles para Suma de COSTO ANUAL DE MANTENIMIENTO SEGÚN CONVENIO / PRECIO DE REFERENCIA MANTENIMIENTO ANUAL - AÑO INGRESO A PLAN DE MANTENIMIENTO (2023 / 2024 / 2025 / 2026): 2025</t>
  </si>
  <si>
    <t>Etiquetas de fila</t>
  </si>
  <si>
    <t>Suma de FRECUENCIA ANUAL DE MANTENIMIENTO</t>
  </si>
  <si>
    <t>Total general</t>
  </si>
  <si>
    <t>TOTAL MP PROGRAMADAS</t>
  </si>
  <si>
    <t xml:space="preserve">N° MP EJECUTADAS </t>
  </si>
  <si>
    <t>TOTAL MP EJECUTADAS</t>
  </si>
  <si>
    <t>PROGRAMADO</t>
  </si>
  <si>
    <t>N° MP REPROGRAMADAS</t>
  </si>
  <si>
    <t>TOTAL MP REPROGRAMADAS</t>
  </si>
  <si>
    <t>REALIZADO</t>
  </si>
  <si>
    <t xml:space="preserve">ARRIENDO </t>
  </si>
  <si>
    <t>TOTAL MP PROGRAMADAS EQC</t>
  </si>
  <si>
    <t>REPROGRAMADO</t>
  </si>
  <si>
    <r>
      <t xml:space="preserve">IM </t>
    </r>
    <r>
      <rPr>
        <sz val="10"/>
        <color theme="1"/>
        <rFont val="Calibri"/>
        <family val="2"/>
      </rPr>
      <t>≥ 12</t>
    </r>
  </si>
  <si>
    <t>N° MP EJECUTADAS EQ 2.1</t>
  </si>
  <si>
    <t>TOTAL MP PROGRAMADAS EQR</t>
  </si>
  <si>
    <t>PRÉSTAMO</t>
  </si>
  <si>
    <t>BAJA, PARA REPOSICIÓN</t>
  </si>
  <si>
    <t>N° MP EJECUTADAS EQ 2.2</t>
  </si>
  <si>
    <r>
      <t>TOTAL MP PROGRAMADAS IM</t>
    </r>
    <r>
      <rPr>
        <sz val="10"/>
        <color theme="1"/>
        <rFont val="Calibri"/>
        <family val="2"/>
      </rPr>
      <t>≥12</t>
    </r>
  </si>
  <si>
    <t>N° MP EJECUTADAS IM≥12</t>
  </si>
  <si>
    <t>TOTAL MP EJECUTADAS EQC</t>
  </si>
  <si>
    <t>N° MP REPROGRAMADAS EQ 2.1</t>
  </si>
  <si>
    <t>TOTAL MP EJECUTADAS EQR</t>
  </si>
  <si>
    <t>N° MP REPROGRAMADAS EQ 2.2</t>
  </si>
  <si>
    <t>TOTAL MP EJECUTADAS IM≥12</t>
  </si>
  <si>
    <t>N° MP REPROGRAMADAS IM≥12</t>
  </si>
  <si>
    <t>ADQUISICIÓN DE INSUMOS</t>
  </si>
  <si>
    <t>INDICADOR</t>
  </si>
  <si>
    <t>NIVEL ALCANZADO</t>
  </si>
  <si>
    <t>ADQUISICION DE ACCESORIOS</t>
  </si>
  <si>
    <t>% EJECUCION ANUAL MP</t>
  </si>
  <si>
    <t>OTRO</t>
  </si>
  <si>
    <t>% EJECUCIÓN ANUAL EQC</t>
  </si>
  <si>
    <t>% EJECUCIÓN ANUAL EQR</t>
  </si>
  <si>
    <t>% EJECUCIÓN ANUAL IM≥12</t>
  </si>
  <si>
    <t>% EJECUCIÓN DEL GASTO MP</t>
  </si>
  <si>
    <t>% EJECUCIÓN DEL GASTO MC</t>
  </si>
  <si>
    <t>Suma de COSTO ANUAL DE MANTENIMIENTO SEGÚN CONVENIO / PRECIO DE REFERENCIA MANTENIMIENTO ANUAL</t>
  </si>
  <si>
    <t>(en blanco)</t>
  </si>
  <si>
    <r>
      <t xml:space="preserve">CONVENIO MANTENIMIENTO </t>
    </r>
    <r>
      <rPr>
        <b/>
        <sz val="10"/>
        <color rgb="FF000000"/>
        <rFont val="Calibri"/>
        <family val="2"/>
      </rPr>
      <t>CENTRAL DE MONITOREO</t>
    </r>
  </si>
  <si>
    <t>22.06.006.004</t>
  </si>
  <si>
    <t>22.06.006.005</t>
  </si>
  <si>
    <t>22.06.006.006</t>
  </si>
  <si>
    <t xml:space="preserve">MONTO PREVENTIVO POYECTADO </t>
  </si>
  <si>
    <t>MC - Cambio tarjeta ECG Monitor Fukuda Denshi Hospitalizados</t>
  </si>
  <si>
    <t>Repuestos Autoclave Matachana E-31058 segun MP oct 2024</t>
  </si>
  <si>
    <t>Repuestos Autoclave Matachana E-31059 segun MP oct 2024</t>
  </si>
  <si>
    <t>MONTO CORRECTIVO PROYECTADO</t>
  </si>
  <si>
    <t>Analizador de monitores</t>
  </si>
  <si>
    <t>Fluke</t>
  </si>
  <si>
    <t>Prosim 8</t>
  </si>
  <si>
    <t>HPL29951</t>
  </si>
  <si>
    <t>Analizador de pruebas eléctricas</t>
  </si>
  <si>
    <t>ESA612</t>
  </si>
  <si>
    <t>HPL29953</t>
  </si>
  <si>
    <t>Analizador desfibrilador y ecg</t>
  </si>
  <si>
    <t>Impulse 700DP</t>
  </si>
  <si>
    <t>HPL29952</t>
  </si>
  <si>
    <t>KTK</t>
  </si>
  <si>
    <t>HPL29873</t>
  </si>
  <si>
    <t>Equipo de baja operacional</t>
  </si>
  <si>
    <t>reprocesadora medivators: porque tiene monto de mp</t>
  </si>
  <si>
    <t>Dabi Atlante</t>
  </si>
  <si>
    <t>Croma SF</t>
  </si>
  <si>
    <t>K000915</t>
  </si>
  <si>
    <t>HPL18752</t>
  </si>
  <si>
    <t>Croma plus</t>
  </si>
  <si>
    <t>k026826</t>
  </si>
  <si>
    <t>HPL18708</t>
  </si>
  <si>
    <t>eliminado de programacion</t>
  </si>
  <si>
    <t>HPL30288</t>
  </si>
  <si>
    <t>200611138798</t>
  </si>
  <si>
    <t>HPL30169</t>
  </si>
  <si>
    <t>HPL30331</t>
  </si>
  <si>
    <t>valor sin tubo RX</t>
  </si>
  <si>
    <t>monto correctivo ejecutado 2022</t>
  </si>
  <si>
    <t>monto correctivo ejecutado 2023</t>
  </si>
  <si>
    <t xml:space="preserve">$- </t>
  </si>
  <si>
    <t xml:space="preserve"> $- </t>
  </si>
  <si>
    <t>monto correctivo ejecutado 2024</t>
  </si>
  <si>
    <t>monto proyectado 2025</t>
  </si>
  <si>
    <t>AYSEN</t>
  </si>
  <si>
    <t>RODRIGO RAMÍREZ PÉREZ</t>
  </si>
  <si>
    <t>HAIER</t>
  </si>
  <si>
    <t>MELING</t>
  </si>
  <si>
    <t>B105M</t>
  </si>
  <si>
    <t>EDAN</t>
  </si>
  <si>
    <t>MINDRAY</t>
  </si>
  <si>
    <t>BAJO PLAN DE 
MANTENIMIENTO (SI / NO)</t>
  </si>
  <si>
    <t>ID CONVENIO DE MANTENIMIENTO 
/ ID DE REFERENCIA 
/ COTIZACIÓN DE REFERENCIA</t>
  </si>
  <si>
    <t>MIR</t>
  </si>
  <si>
    <t>SPIROLAB</t>
  </si>
  <si>
    <t>HYC-390</t>
  </si>
  <si>
    <t>HOSPITAL DR. LEOPOLDO ORTEGA RODRIGUEZ</t>
  </si>
  <si>
    <t>Hematología Química Clínica</t>
  </si>
  <si>
    <t>Bacteriología y Orina</t>
  </si>
  <si>
    <t>Atención Abierta</t>
  </si>
  <si>
    <t xml:space="preserve">Laboratorio Dental </t>
  </si>
  <si>
    <t>Esterilización</t>
  </si>
  <si>
    <t>Material Esteril (Autoclave)</t>
  </si>
  <si>
    <t>Sedile</t>
  </si>
  <si>
    <t xml:space="preserve">Descontaminacion y Lavado </t>
  </si>
  <si>
    <t>Box Rondas Médicas</t>
  </si>
  <si>
    <t>Entrega de Sangre (Unidad Medicina Transfusional)</t>
  </si>
  <si>
    <t>Medicina Fisica y Rehabilitación</t>
  </si>
  <si>
    <t>Area de Gimnasio  infantil y adulto (actividades terapeuticas)</t>
  </si>
  <si>
    <t>Atención Cerrada Hospitalización</t>
  </si>
  <si>
    <t>Bodega de Equipos</t>
  </si>
  <si>
    <t>Unidad Urgencia Pabellón Quirúrgico</t>
  </si>
  <si>
    <t>Pabellón Quirúrgico Multiproposito</t>
  </si>
  <si>
    <t>Sala de Parto Integral</t>
  </si>
  <si>
    <t>Box Tratamiento Respiratorio (IRA)</t>
  </si>
  <si>
    <t>Estación Enfermería</t>
  </si>
  <si>
    <t>Sala Reanimación</t>
  </si>
  <si>
    <t>Box Atención 2</t>
  </si>
  <si>
    <t>Estación Enfermería (Área Limpia)</t>
  </si>
  <si>
    <t>Box Observación</t>
  </si>
  <si>
    <t>Sala Recuperación</t>
  </si>
  <si>
    <t>Camilla 2</t>
  </si>
  <si>
    <t>Depósito de Cadáveres</t>
  </si>
  <si>
    <t>Morgue</t>
  </si>
  <si>
    <t>Area de Gimnasio infantil y adulto (actividades terapeuticas)</t>
  </si>
  <si>
    <t>Sala de espera y entrega de Cadaveres</t>
  </si>
  <si>
    <t>Camilla 1</t>
  </si>
  <si>
    <t>Sala de evaluación</t>
  </si>
  <si>
    <t>Box Procedimientos N°2</t>
  </si>
  <si>
    <t>Box Multiproposito N°6</t>
  </si>
  <si>
    <t>Box Multipropósito Nº2</t>
  </si>
  <si>
    <t>Box Multipropósito Nº3</t>
  </si>
  <si>
    <t>Box Multipropósito Nº4</t>
  </si>
  <si>
    <t>Box Multipropósito Nº5</t>
  </si>
  <si>
    <t>Box Multipropósito N°8</t>
  </si>
  <si>
    <t>Box Tratamiento Respiratorio Adulto (ERA)</t>
  </si>
  <si>
    <t>Box Vacunatorio</t>
  </si>
  <si>
    <t>Box Matrona</t>
  </si>
  <si>
    <t>Sala Acogida Primaria</t>
  </si>
  <si>
    <t>Box Atención 1</t>
  </si>
  <si>
    <t>Box Atención Yeso</t>
  </si>
  <si>
    <t>Box Ecografía</t>
  </si>
  <si>
    <t>Box Multiproposito N°1</t>
  </si>
  <si>
    <t>Box Podología</t>
  </si>
  <si>
    <t>Box Procedimientos</t>
  </si>
  <si>
    <t>Categorización y Registro</t>
  </si>
  <si>
    <t>Estacionamiento camillas</t>
  </si>
  <si>
    <t>Hall de Ingreso (cambio camillas)</t>
  </si>
  <si>
    <t>Sala Procedimientos</t>
  </si>
  <si>
    <t>Toma de Muestras</t>
  </si>
  <si>
    <t>Sala 1- 2 camas + Baño</t>
  </si>
  <si>
    <t>Sala 2- 2 camas + Baño</t>
  </si>
  <si>
    <t>Sala 3 -2 camas + Baño</t>
  </si>
  <si>
    <t>Sala 4 - 1 camas + Baño</t>
  </si>
  <si>
    <t>Sala 4- 1 cama + Baño</t>
  </si>
  <si>
    <t>Bodegas</t>
  </si>
  <si>
    <t>Fototerapia</t>
  </si>
  <si>
    <t>Sala de parto integral</t>
  </si>
  <si>
    <t>Administración Atención Abierta</t>
  </si>
  <si>
    <t>Espera 1</t>
  </si>
  <si>
    <t>Espera 7AA</t>
  </si>
  <si>
    <t>Bodega Equipos</t>
  </si>
  <si>
    <t>Sala Rayos X Dental</t>
  </si>
  <si>
    <t>Descontaminacion y Lavado</t>
  </si>
  <si>
    <t>Area de Preparación material (embalado)</t>
  </si>
  <si>
    <t>Parasitología</t>
  </si>
  <si>
    <t>Tuberculosis</t>
  </si>
  <si>
    <t>Equipos Medicos</t>
  </si>
  <si>
    <t>Unidad Esterilización</t>
  </si>
  <si>
    <t>Box Procedimientos N°1</t>
  </si>
  <si>
    <t>Box Dental 1</t>
  </si>
  <si>
    <t>Box Dental 2</t>
  </si>
  <si>
    <t>Box Dental 3</t>
  </si>
  <si>
    <t xml:space="preserve">Recepción y Lavado </t>
  </si>
  <si>
    <t>Unidad Imagenología</t>
  </si>
  <si>
    <t xml:space="preserve">Sala Rayos X </t>
  </si>
  <si>
    <t>Área Lactancia Materna (Amamantamiento)</t>
  </si>
  <si>
    <t>Bodega Laboratorio</t>
  </si>
  <si>
    <t>Farmacia</t>
  </si>
  <si>
    <t>Bodega Medicamentos e Insumos Clínicos</t>
  </si>
  <si>
    <t>Recuperación</t>
  </si>
  <si>
    <t>Box Vacunatorio (Bodega)</t>
  </si>
  <si>
    <t xml:space="preserve">Box Atención Yeso </t>
  </si>
  <si>
    <t>Turbión</t>
  </si>
  <si>
    <t>Agitador de muestras (tipo vortex)</t>
  </si>
  <si>
    <t>DLAB</t>
  </si>
  <si>
    <t>MX-S</t>
  </si>
  <si>
    <t>VB232AS0008474</t>
  </si>
  <si>
    <t>Agitador Magnetico (RPR)</t>
  </si>
  <si>
    <t>DIGISYSTEM</t>
  </si>
  <si>
    <t>DS-DSR2100D</t>
  </si>
  <si>
    <t>S/S</t>
  </si>
  <si>
    <t>Analizador Hematologico Digital (Células Sanguíneas)</t>
  </si>
  <si>
    <t>DBC-9D-M</t>
  </si>
  <si>
    <t>Arenadora con cajón</t>
  </si>
  <si>
    <t>ESSENCE</t>
  </si>
  <si>
    <t>EVOLUT</t>
  </si>
  <si>
    <t>TJ0124</t>
  </si>
  <si>
    <t>Autoclave 100 Litros (2 STU)</t>
  </si>
  <si>
    <t>MATACHANA</t>
  </si>
  <si>
    <t>SC500E-1</t>
  </si>
  <si>
    <t>E-35162</t>
  </si>
  <si>
    <t>Autoclave 21 Litros</t>
  </si>
  <si>
    <t>M20-B</t>
  </si>
  <si>
    <t>Autoclave 50Lt vertical</t>
  </si>
  <si>
    <t>RAYPA</t>
  </si>
  <si>
    <t>AE-50-DRY</t>
  </si>
  <si>
    <t xml:space="preserve">Autorefractómetro </t>
  </si>
  <si>
    <t>NIDEK</t>
  </si>
  <si>
    <t>Ark-1</t>
  </si>
  <si>
    <t>Balanza de presición</t>
  </si>
  <si>
    <t>BIOLOGIX</t>
  </si>
  <si>
    <t>01-BD304N4</t>
  </si>
  <si>
    <t>YS05202410006</t>
  </si>
  <si>
    <t>Baño Termoregulado</t>
  </si>
  <si>
    <t>LAUDA</t>
  </si>
  <si>
    <t>HYDRO H8</t>
  </si>
  <si>
    <t>S230014557</t>
  </si>
  <si>
    <t>Bicicleta Ergonométrica</t>
  </si>
  <si>
    <t>DYACO</t>
  </si>
  <si>
    <t>7.0</t>
  </si>
  <si>
    <t>20-24080029</t>
  </si>
  <si>
    <t>30-24080019</t>
  </si>
  <si>
    <t xml:space="preserve">Bomba Alimentación Enteral </t>
  </si>
  <si>
    <t>FEEGIND PUMP</t>
  </si>
  <si>
    <t>FP300</t>
  </si>
  <si>
    <t>Bomba Aspiración Quirúrgica</t>
  </si>
  <si>
    <t>CAMI</t>
  </si>
  <si>
    <t>NEW HOSPIVAC 350</t>
  </si>
  <si>
    <t xml:space="preserve">Bomba de Aspiración </t>
  </si>
  <si>
    <t>ASPIRA PLUS</t>
  </si>
  <si>
    <t>23AK260037</t>
  </si>
  <si>
    <t>23AK260048</t>
  </si>
  <si>
    <t>23AK260047</t>
  </si>
  <si>
    <t>23AK260031</t>
  </si>
  <si>
    <t>23AK260032</t>
  </si>
  <si>
    <t>23AK260038</t>
  </si>
  <si>
    <t>Bomba Infusión Jeringa</t>
  </si>
  <si>
    <t>BRAUN</t>
  </si>
  <si>
    <t>B/BRAUN</t>
  </si>
  <si>
    <t>Bomba Infusión Volumétrica</t>
  </si>
  <si>
    <t>INFUSOMAT</t>
  </si>
  <si>
    <t>RELIEF</t>
  </si>
  <si>
    <t>RP8M0389</t>
  </si>
  <si>
    <t>Calentador de Cera</t>
  </si>
  <si>
    <t>GENERICO</t>
  </si>
  <si>
    <t>JT-15</t>
  </si>
  <si>
    <t xml:space="preserve">Calentador de fluidos </t>
  </si>
  <si>
    <t>QUALMEDI</t>
  </si>
  <si>
    <t>120B</t>
  </si>
  <si>
    <t>Calentador de Pacientes</t>
  </si>
  <si>
    <t>CALIMA</t>
  </si>
  <si>
    <t>CCALIMA22</t>
  </si>
  <si>
    <t xml:space="preserve">Calentador de Pacientes </t>
  </si>
  <si>
    <t>Calentador de Sueros</t>
  </si>
  <si>
    <t>Cama de parto integral</t>
  </si>
  <si>
    <t>PARDO</t>
  </si>
  <si>
    <t>NEW BABYCHAIR</t>
  </si>
  <si>
    <t>Cámara Mortuoria (capacidad 2 cadaveres)</t>
  </si>
  <si>
    <t>dos cuerpos lateral</t>
  </si>
  <si>
    <t>CLF24173</t>
  </si>
  <si>
    <t>Camilla cadáver</t>
  </si>
  <si>
    <t>Camilla de exámen</t>
  </si>
  <si>
    <t>SAIKANG</t>
  </si>
  <si>
    <t>X09-A</t>
  </si>
  <si>
    <t>X09240441021</t>
  </si>
  <si>
    <t>X09240441043</t>
  </si>
  <si>
    <t>X09240441044</t>
  </si>
  <si>
    <t>Camilla de Examen con barandas</t>
  </si>
  <si>
    <t>X09-02</t>
  </si>
  <si>
    <t>X0924041013</t>
  </si>
  <si>
    <t>X0924041014</t>
  </si>
  <si>
    <t>X0924041012</t>
  </si>
  <si>
    <t>X0924041003</t>
  </si>
  <si>
    <t>X0924041004</t>
  </si>
  <si>
    <t>X0924041005</t>
  </si>
  <si>
    <t>X0924041006</t>
  </si>
  <si>
    <t>X0924041007</t>
  </si>
  <si>
    <t>X0924041008</t>
  </si>
  <si>
    <t>X0924041009</t>
  </si>
  <si>
    <t>X0924041010</t>
  </si>
  <si>
    <t>X0924041011</t>
  </si>
  <si>
    <t>Camilla Exámen Ginecologica</t>
  </si>
  <si>
    <t>1048-1</t>
  </si>
  <si>
    <t>A048124061001</t>
  </si>
  <si>
    <t>A048124061003</t>
  </si>
  <si>
    <t>Camilla Exámen Ginecologica Transformable</t>
  </si>
  <si>
    <t>NACIONAL</t>
  </si>
  <si>
    <t>Nac-Ginep</t>
  </si>
  <si>
    <t>Camilla Transporte Paciente</t>
  </si>
  <si>
    <t>Skb041</t>
  </si>
  <si>
    <t>SKB041-324093025</t>
  </si>
  <si>
    <t>SKB041-324061004</t>
  </si>
  <si>
    <t>SKB041-324061003</t>
  </si>
  <si>
    <t>SKB041-324061007</t>
  </si>
  <si>
    <t>SKB041-324061008</t>
  </si>
  <si>
    <t>SKB041-324061009</t>
  </si>
  <si>
    <t>SKB041-324061010</t>
  </si>
  <si>
    <t>SKB041-324061005</t>
  </si>
  <si>
    <t>SKB041-324061001</t>
  </si>
  <si>
    <t>SKB041-324093020</t>
  </si>
  <si>
    <t>SKB041-324093001</t>
  </si>
  <si>
    <t>SKB041-324061002</t>
  </si>
  <si>
    <t>SKB041-324061011</t>
  </si>
  <si>
    <t>SKB041-324093003</t>
  </si>
  <si>
    <t>SKB041-324061006</t>
  </si>
  <si>
    <t>SKB041-324061014</t>
  </si>
  <si>
    <t>SKB041-324093016</t>
  </si>
  <si>
    <t>Caminadora</t>
  </si>
  <si>
    <t>7.0T</t>
  </si>
  <si>
    <t xml:space="preserve">Carro de Transporte Cadáveres </t>
  </si>
  <si>
    <t>REINAX</t>
  </si>
  <si>
    <t>MAGNÉTICA SHOP</t>
  </si>
  <si>
    <t>50 CM x 100 CM x 90 CM acero inoxidable AISI304</t>
  </si>
  <si>
    <t>Carro elevador cadaver</t>
  </si>
  <si>
    <t>para camas laterales</t>
  </si>
  <si>
    <t>ELE0224131</t>
  </si>
  <si>
    <t>Catre Clínico Eléctrico</t>
  </si>
  <si>
    <t>Advantcare</t>
  </si>
  <si>
    <t>Centrifuga de tarjeta de gel</t>
  </si>
  <si>
    <t>ALLSHENG</t>
  </si>
  <si>
    <t>TD2-12</t>
  </si>
  <si>
    <t>AS-10030-00</t>
  </si>
  <si>
    <t>Centrifuga hematológica</t>
  </si>
  <si>
    <t>EPPENDORF</t>
  </si>
  <si>
    <t>5702MQ461214</t>
  </si>
  <si>
    <t>Centrífuga Universal (4000-5000 RPM, 6 tubos, 15ml)</t>
  </si>
  <si>
    <t>5702MQ461230</t>
  </si>
  <si>
    <t>5702MQ461229</t>
  </si>
  <si>
    <t>Cortador de yeso</t>
  </si>
  <si>
    <t>RG2617</t>
  </si>
  <si>
    <t>Cuna Lactante</t>
  </si>
  <si>
    <t>X01-5</t>
  </si>
  <si>
    <t>X01-523097001</t>
  </si>
  <si>
    <t>X01-523076028</t>
  </si>
  <si>
    <t xml:space="preserve">Cuna procedimientos </t>
  </si>
  <si>
    <t>GENERAL ELECTRIC</t>
  </si>
  <si>
    <t>LULLABY WARMER</t>
  </si>
  <si>
    <t>SF824241015PA</t>
  </si>
  <si>
    <t>Cuna Radiante Lactante</t>
  </si>
  <si>
    <t>NATALLY</t>
  </si>
  <si>
    <t>RW-610</t>
  </si>
  <si>
    <t>PHILIPS</t>
  </si>
  <si>
    <t>HEARTSTART FRX</t>
  </si>
  <si>
    <t>B23L-01968</t>
  </si>
  <si>
    <t>B24L-02747</t>
  </si>
  <si>
    <t>Detector de latidos cardiofetal</t>
  </si>
  <si>
    <t>SDE PLUS</t>
  </si>
  <si>
    <t>M24318720008</t>
  </si>
  <si>
    <t>M24318720010</t>
  </si>
  <si>
    <t>481103WH141090013</t>
  </si>
  <si>
    <t>Ecografo</t>
  </si>
  <si>
    <t>LX9</t>
  </si>
  <si>
    <t>M24B00830001</t>
  </si>
  <si>
    <t>Ecotomógrafo</t>
  </si>
  <si>
    <t>AX8</t>
  </si>
  <si>
    <t>560660-WH165750020</t>
  </si>
  <si>
    <t>Electrobisturí Alta Potencia</t>
  </si>
  <si>
    <t>ZERONE</t>
  </si>
  <si>
    <t>ZEUS 400</t>
  </si>
  <si>
    <t>A03COAU2247</t>
  </si>
  <si>
    <t xml:space="preserve">Electrocardiógrafo </t>
  </si>
  <si>
    <t>COMEN</t>
  </si>
  <si>
    <t>H12</t>
  </si>
  <si>
    <t>H2080124002</t>
  </si>
  <si>
    <t>H2080124009</t>
  </si>
  <si>
    <t>H2080124004</t>
  </si>
  <si>
    <t>Electroestimulador</t>
  </si>
  <si>
    <t>PREMIUN</t>
  </si>
  <si>
    <t>BTL 4000</t>
  </si>
  <si>
    <t>058P0B036219</t>
  </si>
  <si>
    <t>PREMIUM</t>
  </si>
  <si>
    <t>058P0B036223</t>
  </si>
  <si>
    <t>Equipo Análisis rápido</t>
  </si>
  <si>
    <t>ISTAT</t>
  </si>
  <si>
    <t xml:space="preserve">Equipo de Terapia por Ultrasonido </t>
  </si>
  <si>
    <t>EME</t>
  </si>
  <si>
    <t>US-1300</t>
  </si>
  <si>
    <t>EM02850324</t>
  </si>
  <si>
    <t>Equipo Oxigenoterapia portatil</t>
  </si>
  <si>
    <t>OLIVE</t>
  </si>
  <si>
    <t>10S</t>
  </si>
  <si>
    <t>10S2502121</t>
  </si>
  <si>
    <t>10S2502117</t>
  </si>
  <si>
    <t>10S2502118</t>
  </si>
  <si>
    <t>10S2502119</t>
  </si>
  <si>
    <t>10S2502120</t>
  </si>
  <si>
    <t>10S2502125</t>
  </si>
  <si>
    <t>Equipo Rx Dental DIGITAL</t>
  </si>
  <si>
    <t>CASTELINNI</t>
  </si>
  <si>
    <t>RXDC</t>
  </si>
  <si>
    <t>706S2249</t>
  </si>
  <si>
    <t>Espirómetro</t>
  </si>
  <si>
    <t>0J21348</t>
  </si>
  <si>
    <t xml:space="preserve">Estampadora Neumatica </t>
  </si>
  <si>
    <t>PV3446</t>
  </si>
  <si>
    <t>BINDER</t>
  </si>
  <si>
    <t>ED56-9070-0333</t>
  </si>
  <si>
    <t>BD56-9010-0323</t>
  </si>
  <si>
    <t>Extractor de polvo</t>
  </si>
  <si>
    <t>AX-SUPER</t>
  </si>
  <si>
    <t>Gabinete de Bioseguridad Tipo II</t>
  </si>
  <si>
    <t>BIOBASE</t>
  </si>
  <si>
    <t>FH1000X</t>
  </si>
  <si>
    <t>FH10X2302000019A</t>
  </si>
  <si>
    <t>Gabinete de Bioseguridad Tipo II (Campana de Extracción de gases)</t>
  </si>
  <si>
    <t>BIOAIR</t>
  </si>
  <si>
    <t>SAFEMATE ECO+0.9 LED ULPA</t>
  </si>
  <si>
    <t>Z2087</t>
  </si>
  <si>
    <t>Gabinete de Bioseguridad Tipo II (Clase II Tipo A2)</t>
  </si>
  <si>
    <t>ESCO</t>
  </si>
  <si>
    <t>LA2-4A1-E</t>
  </si>
  <si>
    <t>2022-183848</t>
  </si>
  <si>
    <t>Horno de Fotocurado</t>
  </si>
  <si>
    <t>PHOTON FLASH</t>
  </si>
  <si>
    <t>VH</t>
  </si>
  <si>
    <t>PH1959</t>
  </si>
  <si>
    <t>Horno de Sintetizado</t>
  </si>
  <si>
    <t>COMFORT VITA</t>
  </si>
  <si>
    <t>ZYRCOMAT</t>
  </si>
  <si>
    <t>Incubadora de tarjeta de gel</t>
  </si>
  <si>
    <t>BJPX-SK24</t>
  </si>
  <si>
    <t>AS-10020-00</t>
  </si>
  <si>
    <t>Incubadora de Transporte</t>
  </si>
  <si>
    <t>Lampara de examen LED</t>
  </si>
  <si>
    <t>RIMSA</t>
  </si>
  <si>
    <t>Primaled Flex L88</t>
  </si>
  <si>
    <t>L88-LED-M 1670</t>
  </si>
  <si>
    <t>L88-LED-M 1666</t>
  </si>
  <si>
    <t>L88-LED-M 1665</t>
  </si>
  <si>
    <t>L88-LED-M 1673</t>
  </si>
  <si>
    <t>L88-LED-M 1668</t>
  </si>
  <si>
    <t>L88-LED-M 1671</t>
  </si>
  <si>
    <t>L88-LED-M 1672</t>
  </si>
  <si>
    <t>L88-LED-M 1667</t>
  </si>
  <si>
    <t>L88-LED-M 1664</t>
  </si>
  <si>
    <t>L88-LED-M 1143</t>
  </si>
  <si>
    <t>L88-LED-M 1144</t>
  </si>
  <si>
    <t>L88-LED-M 1669</t>
  </si>
  <si>
    <t xml:space="preserve">Lámpara de fototerapia </t>
  </si>
  <si>
    <t>LULLABY</t>
  </si>
  <si>
    <t>LULLABY LED</t>
  </si>
  <si>
    <t>SGT24210015PA</t>
  </si>
  <si>
    <t>SGT24210026PA</t>
  </si>
  <si>
    <t>Lampara de hendidura</t>
  </si>
  <si>
    <t>ATM</t>
  </si>
  <si>
    <t>SLM-2er</t>
  </si>
  <si>
    <t>Lámpara Fotocurado</t>
  </si>
  <si>
    <t>Slimax -c Plus</t>
  </si>
  <si>
    <t>led curing</t>
  </si>
  <si>
    <t>H231188</t>
  </si>
  <si>
    <t>H231284</t>
  </si>
  <si>
    <t>H231288</t>
  </si>
  <si>
    <t xml:space="preserve">Lámpara Infrarrojo </t>
  </si>
  <si>
    <t>DOBLE REGULABLE</t>
  </si>
  <si>
    <t>MAINZ MEDICAL</t>
  </si>
  <si>
    <t>KS-700</t>
  </si>
  <si>
    <t>23042601-005</t>
  </si>
  <si>
    <t>Lámpara Procedimiento Rodable</t>
  </si>
  <si>
    <t>LED MOVIL</t>
  </si>
  <si>
    <t>OASYS</t>
  </si>
  <si>
    <t>SL077268N</t>
  </si>
  <si>
    <t>SLBRE190040</t>
  </si>
  <si>
    <t xml:space="preserve">Lámpara Quirúrgica </t>
  </si>
  <si>
    <t>NEXOR</t>
  </si>
  <si>
    <t>NOVALIGHT</t>
  </si>
  <si>
    <t>Lavadora Descontaminadora (10 DIN) una puerta</t>
  </si>
  <si>
    <t>LD90</t>
  </si>
  <si>
    <t>Lavadora ultrasónica (45 lt)</t>
  </si>
  <si>
    <t>CLEAN SONIC GRANBO</t>
  </si>
  <si>
    <t>GS0610</t>
  </si>
  <si>
    <t>Lupa con luz</t>
  </si>
  <si>
    <t>L88-LED-M</t>
  </si>
  <si>
    <t>Máquina Anestesia</t>
  </si>
  <si>
    <t>GENERAL ELECTRIC DATEX-OHMEDA</t>
  </si>
  <si>
    <t>CS650 V2</t>
  </si>
  <si>
    <t>SM724200003MD</t>
  </si>
  <si>
    <t>Mesa Quirúrgica</t>
  </si>
  <si>
    <t>MAQUET</t>
  </si>
  <si>
    <t>MEERA 7200</t>
  </si>
  <si>
    <t>JT-16</t>
  </si>
  <si>
    <t>EL5193</t>
  </si>
  <si>
    <t>Microscopio Universal</t>
  </si>
  <si>
    <t>SUNNY OPTICAL</t>
  </si>
  <si>
    <t>EX30 SERIES</t>
  </si>
  <si>
    <t>1938816-2</t>
  </si>
  <si>
    <t>1410250-1</t>
  </si>
  <si>
    <t>1938810-3</t>
  </si>
  <si>
    <t>Monitor Cardiofetal Anteparto</t>
  </si>
  <si>
    <t>F3</t>
  </si>
  <si>
    <t>560034-M24A02640009</t>
  </si>
  <si>
    <t>Monitor Cardiofetal Anteparto (gemelar)</t>
  </si>
  <si>
    <t>560034-M24A02640002</t>
  </si>
  <si>
    <t>Monitor Desfibrilador</t>
  </si>
  <si>
    <t>BENEHEART D3</t>
  </si>
  <si>
    <t>EZ-3B119897</t>
  </si>
  <si>
    <t>EZ-3B119888</t>
  </si>
  <si>
    <t>EZ-3B119898</t>
  </si>
  <si>
    <t>EZ-3B119892</t>
  </si>
  <si>
    <t>EZ-3B119895</t>
  </si>
  <si>
    <t>Monitor ECG Signos Vitales Baja Complejidad</t>
  </si>
  <si>
    <t>BIOLIGHT</t>
  </si>
  <si>
    <t>B6</t>
  </si>
  <si>
    <t>V13B0004575</t>
  </si>
  <si>
    <t>V13B0004580</t>
  </si>
  <si>
    <t>Monitor ECG Signos Vitales mediana Complejidad</t>
  </si>
  <si>
    <t>SV424270039SA</t>
  </si>
  <si>
    <t>SV424270050SA</t>
  </si>
  <si>
    <t>SV424270043SA</t>
  </si>
  <si>
    <t>Monitor ECG Signos Vitales mediana Complejidad c/capnografía</t>
  </si>
  <si>
    <t>SV424270044SA</t>
  </si>
  <si>
    <t>Monitor Presión Arterial Con Oxímetria</t>
  </si>
  <si>
    <t>V13B0004582</t>
  </si>
  <si>
    <t>V13B0004579</t>
  </si>
  <si>
    <t>V13B0004583</t>
  </si>
  <si>
    <t>V13B0004572</t>
  </si>
  <si>
    <t>V13B0004573</t>
  </si>
  <si>
    <t>V13B0004569</t>
  </si>
  <si>
    <t>V13B0004578</t>
  </si>
  <si>
    <t>V13B0004570</t>
  </si>
  <si>
    <t>V13B0004581</t>
  </si>
  <si>
    <t>V13B0004576</t>
  </si>
  <si>
    <t>Monitor Transporte ECG baja Complejidad</t>
  </si>
  <si>
    <t>V13B0004574</t>
  </si>
  <si>
    <t>V13B0004577</t>
  </si>
  <si>
    <t>V13B0004571</t>
  </si>
  <si>
    <t>Motor de Pulido</t>
  </si>
  <si>
    <t>MARATHON</t>
  </si>
  <si>
    <t>SDE-H37L1</t>
  </si>
  <si>
    <t>Oto-Oftalmoscopio</t>
  </si>
  <si>
    <t>ADC</t>
  </si>
  <si>
    <t>Diagnostix 3.5V 5610L-3</t>
  </si>
  <si>
    <t>Paraleligrafo Manual</t>
  </si>
  <si>
    <t>BIOART</t>
  </si>
  <si>
    <t>B2</t>
  </si>
  <si>
    <t>Pimómetro</t>
  </si>
  <si>
    <t>NIF</t>
  </si>
  <si>
    <t>Prensa Hidraúlica</t>
  </si>
  <si>
    <t>GENÉRICO</t>
  </si>
  <si>
    <t>Proyector optotipo</t>
  </si>
  <si>
    <t>YEOSN</t>
  </si>
  <si>
    <t>YPB-2100</t>
  </si>
  <si>
    <t>Rayos X Osteopulmonar</t>
  </si>
  <si>
    <t>FUJIFILM</t>
  </si>
  <si>
    <t>FDR SMART</t>
  </si>
  <si>
    <t>282ER-DXN22A0033A</t>
  </si>
  <si>
    <t>Reanimador Neonatal</t>
  </si>
  <si>
    <t>Lullaby Resus Plus</t>
  </si>
  <si>
    <t>SKE24471005PA</t>
  </si>
  <si>
    <t>Recortadora para Arcada</t>
  </si>
  <si>
    <t>RG2624</t>
  </si>
  <si>
    <t>Refrigerador Clínico</t>
  </si>
  <si>
    <t>BE06M8EAQ0QEQ5L0004</t>
  </si>
  <si>
    <t xml:space="preserve">Refrigerador Clínico </t>
  </si>
  <si>
    <t>BE06M8EAQ0QEQ5L0023</t>
  </si>
  <si>
    <t>BE06M8EAQ0QEQ750004</t>
  </si>
  <si>
    <t>YC-395L</t>
  </si>
  <si>
    <t>BE06M8EAQ0QEQ750002</t>
  </si>
  <si>
    <t>BE06M8EAQ0QEQ5L0003</t>
  </si>
  <si>
    <t>Refrigerador Clínico 130lts</t>
  </si>
  <si>
    <t>YC-130L</t>
  </si>
  <si>
    <t>HYC-118A</t>
  </si>
  <si>
    <t>BE069AE1TO0QEQ5A0005</t>
  </si>
  <si>
    <t>Refrigerador Clínico C/ Termografo</t>
  </si>
  <si>
    <t>HYC-410</t>
  </si>
  <si>
    <t>BE0UK0E000QEQBF0012</t>
  </si>
  <si>
    <t>BE0UK0E000QEQ7H0046</t>
  </si>
  <si>
    <t>Refrigerador Compresas</t>
  </si>
  <si>
    <t>Refrigerador compresas</t>
  </si>
  <si>
    <t xml:space="preserve">Refrigerador Medicamentos </t>
  </si>
  <si>
    <t>Rotador hematológico</t>
  </si>
  <si>
    <t>MX-RD-E</t>
  </si>
  <si>
    <t>VI24AAN0000865</t>
  </si>
  <si>
    <t>Selladora papel bilaminado</t>
  </si>
  <si>
    <t>EASYSEAL</t>
  </si>
  <si>
    <t>EF101-CR</t>
  </si>
  <si>
    <t>DI244003</t>
  </si>
  <si>
    <t>DI244004</t>
  </si>
  <si>
    <t>Sierra Eléctrica</t>
  </si>
  <si>
    <t>ELECTRO POWER</t>
  </si>
  <si>
    <t>200518-31973</t>
  </si>
  <si>
    <t>Torno Pulidor</t>
  </si>
  <si>
    <t>DENTAL LAVAL</t>
  </si>
  <si>
    <t>JT-60</t>
  </si>
  <si>
    <t>WHITEHALL</t>
  </si>
  <si>
    <t>E-22-M</t>
  </si>
  <si>
    <t>Ultrasonido</t>
  </si>
  <si>
    <t>P6 PLUS</t>
  </si>
  <si>
    <t>Comfort Sonic LED</t>
  </si>
  <si>
    <t>S2310509AL</t>
  </si>
  <si>
    <t>S2310539AL</t>
  </si>
  <si>
    <t>S2310551AL</t>
  </si>
  <si>
    <t>Unidad Dental con sillon y 2 sillines</t>
  </si>
  <si>
    <t>FLIGHT DENTAL</t>
  </si>
  <si>
    <t>A6</t>
  </si>
  <si>
    <t>Ventilador Mecánico Transporte</t>
  </si>
  <si>
    <t>HAMILTON MEDICAL</t>
  </si>
  <si>
    <t>T1</t>
  </si>
  <si>
    <t>Vibradora para yeso</t>
  </si>
  <si>
    <t>VM34116</t>
  </si>
  <si>
    <t>Vitrina Refrigerada</t>
  </si>
  <si>
    <t>Chivensu</t>
  </si>
  <si>
    <t>1 puerta esmaltada</t>
  </si>
  <si>
    <t>s/s</t>
  </si>
  <si>
    <t>Arquimed</t>
  </si>
  <si>
    <t>Farmalatina</t>
  </si>
  <si>
    <t>Dental Laval</t>
  </si>
  <si>
    <t>IClinics</t>
  </si>
  <si>
    <t>Alta Tecnologia Medica</t>
  </si>
  <si>
    <t>Microx Chile</t>
  </si>
  <si>
    <t>Quimicolor</t>
  </si>
  <si>
    <t>Skill Training</t>
  </si>
  <si>
    <t>Bioscom</t>
  </si>
  <si>
    <t>Mediplex</t>
  </si>
  <si>
    <t>Bbraun</t>
  </si>
  <si>
    <t>Doctor Choice</t>
  </si>
  <si>
    <t>Ortopedia 3D</t>
  </si>
  <si>
    <t>Medtronic</t>
  </si>
  <si>
    <t>Plusmedical</t>
  </si>
  <si>
    <t>Consorcio</t>
  </si>
  <si>
    <t>Sportmaster</t>
  </si>
  <si>
    <t>Magnetica Shop</t>
  </si>
  <si>
    <t>Winkler</t>
  </si>
  <si>
    <t>PV Equip</t>
  </si>
  <si>
    <t>Hemisferio Sur</t>
  </si>
  <si>
    <t>BTL</t>
  </si>
  <si>
    <t>Alatheia Medical</t>
  </si>
  <si>
    <t>Comercial VR</t>
  </si>
  <si>
    <t>Innovamed</t>
  </si>
  <si>
    <t>Biomedicina</t>
  </si>
  <si>
    <t>Drager Chile</t>
  </si>
  <si>
    <t>Gemco</t>
  </si>
  <si>
    <t>Sociedad Alca</t>
  </si>
  <si>
    <t>Mainz Medical</t>
  </si>
  <si>
    <t>Ecoclinic</t>
  </si>
  <si>
    <t>Pronomed</t>
  </si>
  <si>
    <t>Balder</t>
  </si>
  <si>
    <t>Pv Equip</t>
  </si>
  <si>
    <t>Fisiomed</t>
  </si>
  <si>
    <t>Blasdent</t>
  </si>
  <si>
    <t>Datamedica</t>
  </si>
  <si>
    <t>TCL Group</t>
  </si>
  <si>
    <t>Medical Partner</t>
  </si>
  <si>
    <t>Germania</t>
  </si>
  <si>
    <t>Cila Limitada</t>
  </si>
  <si>
    <t>Imédica del pacifico</t>
  </si>
  <si>
    <t>Calentador Compresas con compresas</t>
  </si>
  <si>
    <t>Carro de Yeso</t>
  </si>
  <si>
    <t>DEA</t>
  </si>
  <si>
    <t>Estufa de Cultivo (Horno Universal) 56 Lt</t>
  </si>
  <si>
    <t>Estufa de Secado 56 Lt</t>
  </si>
  <si>
    <t>Lámpara Procedimiento</t>
  </si>
  <si>
    <t>FLAEM</t>
  </si>
  <si>
    <t>DRÄGER</t>
  </si>
  <si>
    <t>Unidad Urgencias</t>
  </si>
  <si>
    <t>Sala Parto Integral</t>
  </si>
  <si>
    <t>Closet EQM</t>
  </si>
  <si>
    <t>Laboratorio/Farmacia</t>
  </si>
  <si>
    <t>Bajo Costo</t>
  </si>
  <si>
    <t>Apoyo Diagnóstico</t>
  </si>
  <si>
    <t>Med. Física y Rehabilitación</t>
  </si>
  <si>
    <t>Imagenología</t>
  </si>
  <si>
    <t>Mantenimiento Externo</t>
  </si>
  <si>
    <t>Mantenimiento Interno</t>
  </si>
  <si>
    <t>AÑO INGRESO A PLAN DE 
MANTENIMIENTO
 (2025 / 2026 / 2027 / 2028)</t>
  </si>
  <si>
    <t>Olla Polimerizadora</t>
  </si>
  <si>
    <t>Mantenimiento interno</t>
  </si>
  <si>
    <t>AUTOCLAVE</t>
  </si>
  <si>
    <t>MINGTAI</t>
  </si>
  <si>
    <t>SUN45-III</t>
  </si>
  <si>
    <t>SA2211296</t>
  </si>
  <si>
    <t>ITALO BRAVO</t>
  </si>
  <si>
    <t>BAÑO TURBIÓN EXTREMIDAD INFERIOR</t>
  </si>
  <si>
    <t>CA-MI</t>
  </si>
  <si>
    <t>230-12BR</t>
  </si>
  <si>
    <t>MEDICAL SYSTEM</t>
  </si>
  <si>
    <t>DEVILBISS</t>
  </si>
  <si>
    <t>7314P-D</t>
  </si>
  <si>
    <t>4PD061810</t>
  </si>
  <si>
    <t>EACHMAN</t>
  </si>
  <si>
    <t>VP35</t>
  </si>
  <si>
    <t>V3AB-90-1141</t>
  </si>
  <si>
    <t>MEDI AIR</t>
  </si>
  <si>
    <t>SUBOI SERIES</t>
  </si>
  <si>
    <t>SU12K00846</t>
  </si>
  <si>
    <t xml:space="preserve">NEW ASKIR </t>
  </si>
  <si>
    <t xml:space="preserve">230-12BR </t>
  </si>
  <si>
    <t>THOMAS</t>
  </si>
  <si>
    <t>YWELL</t>
  </si>
  <si>
    <t>APEX MEDICAL</t>
  </si>
  <si>
    <t>VAC PLUS</t>
  </si>
  <si>
    <t>077B-04591</t>
  </si>
  <si>
    <t>BBRAUN</t>
  </si>
  <si>
    <t>INFUSOMAT COMPACT</t>
  </si>
  <si>
    <t>FRESENIUS KABI</t>
  </si>
  <si>
    <t>VOLUMAT MAC AGILIA</t>
  </si>
  <si>
    <t>019181/22324963</t>
  </si>
  <si>
    <t>SPACE PLUS INFUSOMAT</t>
  </si>
  <si>
    <t>HYDROCOLLATOR</t>
  </si>
  <si>
    <t>E2</t>
  </si>
  <si>
    <t>T2043</t>
  </si>
  <si>
    <t>FISHER &amp; PAYKEL</t>
  </si>
  <si>
    <t>AIRVO 2</t>
  </si>
  <si>
    <t>RESPICARE</t>
  </si>
  <si>
    <t>AO5W</t>
  </si>
  <si>
    <t>3010500022001020(76)</t>
  </si>
  <si>
    <t>SINO-HERO</t>
  </si>
  <si>
    <t>SE508</t>
  </si>
  <si>
    <t>SHSE50801635</t>
  </si>
  <si>
    <t>SHSE50801866</t>
  </si>
  <si>
    <t>SHSE50801606</t>
  </si>
  <si>
    <t>S:301050002200102094</t>
  </si>
  <si>
    <t>7F-5MINI</t>
  </si>
  <si>
    <t>1605000T</t>
  </si>
  <si>
    <t>AIRSEP</t>
  </si>
  <si>
    <t>NEW LIFE INTENSITY 10</t>
  </si>
  <si>
    <t>CBB0119250408</t>
  </si>
  <si>
    <t>INOGEN</t>
  </si>
  <si>
    <t>ONE G5</t>
  </si>
  <si>
    <t>AIR SHIELD</t>
  </si>
  <si>
    <t>PM78-1E</t>
  </si>
  <si>
    <t>QG16607</t>
  </si>
  <si>
    <t>ZOLL</t>
  </si>
  <si>
    <t xml:space="preserve">AED + PLUS </t>
  </si>
  <si>
    <t>X12J571461</t>
  </si>
  <si>
    <t>(21)191202948</t>
  </si>
  <si>
    <t>AED PLUS</t>
  </si>
  <si>
    <t>(21)X15D754532</t>
  </si>
  <si>
    <t>SONOTRAX</t>
  </si>
  <si>
    <t xml:space="preserve">ULTRASONIC POCKET </t>
  </si>
  <si>
    <t>STAB07717736A</t>
  </si>
  <si>
    <t>JUMPER</t>
  </si>
  <si>
    <t>JPD-100E</t>
  </si>
  <si>
    <t>GE</t>
  </si>
  <si>
    <t>CONMED</t>
  </si>
  <si>
    <t>SABRE 2400</t>
  </si>
  <si>
    <t>98LG5090</t>
  </si>
  <si>
    <t>A23-05314208</t>
  </si>
  <si>
    <t>A23-0J09894</t>
  </si>
  <si>
    <t>SPACELABS HEALTHCARE</t>
  </si>
  <si>
    <t>700 SERIES</t>
  </si>
  <si>
    <t>FOCU-101245</t>
  </si>
  <si>
    <t>Ultraview SL 91518</t>
  </si>
  <si>
    <t>AEON</t>
  </si>
  <si>
    <t>A100D</t>
  </si>
  <si>
    <t>BISTOS</t>
  </si>
  <si>
    <t>BT200</t>
  </si>
  <si>
    <t>BBE10076</t>
  </si>
  <si>
    <t>JPD-10056</t>
  </si>
  <si>
    <t>(10)202108042</t>
  </si>
  <si>
    <t>JPD-100B</t>
  </si>
  <si>
    <t>BIDOP</t>
  </si>
  <si>
    <t>ES-100V3</t>
  </si>
  <si>
    <t>21500B2200131000</t>
  </si>
  <si>
    <t>COROMETIC</t>
  </si>
  <si>
    <t>170 SERIES</t>
  </si>
  <si>
    <t>SAS15294593POS</t>
  </si>
  <si>
    <t>JPD - 100E</t>
  </si>
  <si>
    <t>8934100S6057988</t>
  </si>
  <si>
    <t>BENEHART D6</t>
  </si>
  <si>
    <t>D6-29006895</t>
  </si>
  <si>
    <t>M2</t>
  </si>
  <si>
    <t>(21)BA20F000020</t>
  </si>
  <si>
    <t>M SERIES</t>
  </si>
  <si>
    <t>T05E71207</t>
  </si>
  <si>
    <t>(21)BA20H000233</t>
  </si>
  <si>
    <t>SGF15131167WA</t>
  </si>
  <si>
    <t>MATYMED</t>
  </si>
  <si>
    <t>MN-2000</t>
  </si>
  <si>
    <t>H8</t>
  </si>
  <si>
    <t>PSHH802016</t>
  </si>
  <si>
    <t>PSHH802038</t>
  </si>
  <si>
    <t>1369-018661</t>
  </si>
  <si>
    <t>X12</t>
  </si>
  <si>
    <t>261594-M20507420019</t>
  </si>
  <si>
    <t>261594-M21412370001</t>
  </si>
  <si>
    <t>261594-M20507420009</t>
  </si>
  <si>
    <t>SHG160047712sA</t>
  </si>
  <si>
    <t>SR622360054SA</t>
  </si>
  <si>
    <t>MADEMSA</t>
  </si>
  <si>
    <t>ALTUS 1350</t>
  </si>
  <si>
    <t>240078517-84509463</t>
  </si>
  <si>
    <t>ELECTROLUX</t>
  </si>
  <si>
    <t>EFC14A5MNW</t>
  </si>
  <si>
    <t>YC-315L</t>
  </si>
  <si>
    <t>MIDEA</t>
  </si>
  <si>
    <t>MRFY-1700S2342N</t>
  </si>
  <si>
    <t>MABE</t>
  </si>
  <si>
    <t>RML2304HU5</t>
  </si>
  <si>
    <t>MAIGAS</t>
  </si>
  <si>
    <t>HOME HS-147R</t>
  </si>
  <si>
    <t>BE06MAEAQ00QEN170011</t>
  </si>
  <si>
    <t>CONSUL</t>
  </si>
  <si>
    <t>FREEZER 40</t>
  </si>
  <si>
    <t>HXC-IS8B</t>
  </si>
  <si>
    <t>BE06LGE1T00QE F240005</t>
  </si>
  <si>
    <t>MRFS-2100R273FN</t>
  </si>
  <si>
    <t>220215-00156</t>
  </si>
  <si>
    <t>MFB-1600B208FN</t>
  </si>
  <si>
    <t>241015-00190</t>
  </si>
  <si>
    <t>HXC-158B</t>
  </si>
  <si>
    <t>BE06LGE1T00QEF240005</t>
  </si>
  <si>
    <t>RX BÁSICO OST-ARCO C</t>
  </si>
  <si>
    <t>COMED MEDICAL SYSTEM</t>
  </si>
  <si>
    <t>TITAN 2000</t>
  </si>
  <si>
    <t>INTERNTIONAL CLINICS</t>
  </si>
  <si>
    <t>RX DENTAL</t>
  </si>
  <si>
    <t>SATELEC</t>
  </si>
  <si>
    <t>X MIND BLD31</t>
  </si>
  <si>
    <t>ENRAF NONIUS</t>
  </si>
  <si>
    <t>SONOPLUS 492</t>
  </si>
  <si>
    <t>KAVO DO BRASIL</t>
  </si>
  <si>
    <t>CADEIRA UNIK CONFORT</t>
  </si>
  <si>
    <t>UNIK</t>
  </si>
  <si>
    <t>CADEIRA KAVO UNIK</t>
  </si>
  <si>
    <t>BIOMED</t>
  </si>
  <si>
    <t>TV100</t>
  </si>
  <si>
    <t>TX2001475</t>
  </si>
  <si>
    <t>HEMISUR</t>
  </si>
  <si>
    <t>VYARE</t>
  </si>
  <si>
    <t>BELLAVISTA 1000</t>
  </si>
  <si>
    <t>MB00246</t>
  </si>
  <si>
    <t>MEK</t>
  </si>
  <si>
    <t>MTV1000</t>
  </si>
  <si>
    <t>(01)08809268913501</t>
  </si>
  <si>
    <t>Hospital Antiguo</t>
  </si>
  <si>
    <t>Bodega EQM</t>
  </si>
  <si>
    <t>Calentador Compresas</t>
  </si>
  <si>
    <t>Cánula Nasal de Alto Flujo (CNAF)</t>
  </si>
  <si>
    <t>Cuna Cuidados Intensivos</t>
  </si>
  <si>
    <t>Monitor Multiparámetros</t>
  </si>
  <si>
    <t>Unidad Dental</t>
  </si>
  <si>
    <t>Equipo Ultrasonidoterápia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</si>
</sst>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_-;\-* #,##0_-;_-* &quot;-&quot;??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 "/>
    </font>
    <font>
      <sz val="10"/>
      <color theme="1"/>
      <name val="Calibri "/>
    </font>
    <font>
      <u/>
      <sz val="10"/>
      <color theme="10"/>
      <name val="Calibri "/>
    </font>
    <font>
      <sz val="10"/>
      <color rgb="FF000000"/>
      <name val="Calibri "/>
    </font>
    <font>
      <sz val="12"/>
      <color rgb="FF000000"/>
      <name val="Calibri"/>
      <family val="2"/>
      <scheme val="minor"/>
    </font>
    <font>
      <sz val="12"/>
      <color rgb="FF000000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Helvetica"/>
      <family val="2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rgb="FF000000"/>
      </bottom>
      <diagonal/>
    </border>
    <border>
      <left style="thin">
        <color theme="4"/>
      </left>
      <right style="thin">
        <color rgb="FF000000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/>
      <right style="thin">
        <color theme="4"/>
      </right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2" fontId="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6" borderId="12" applyNumberFormat="0" applyAlignment="0" applyProtection="0"/>
    <xf numFmtId="0" fontId="15" fillId="0" borderId="0"/>
    <xf numFmtId="0" fontId="16" fillId="0" borderId="0"/>
    <xf numFmtId="0" fontId="16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9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20" borderId="0" applyNumberFormat="0" applyBorder="0" applyAlignment="0" applyProtection="0"/>
  </cellStyleXfs>
  <cellXfs count="267">
    <xf numFmtId="0" fontId="0" fillId="0" borderId="0" xfId="0"/>
    <xf numFmtId="0" fontId="0" fillId="4" borderId="0" xfId="0" applyFill="1"/>
    <xf numFmtId="0" fontId="3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4" fillId="2" borderId="5" xfId="3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5" xfId="3" applyFont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9" fontId="3" fillId="4" borderId="0" xfId="2" applyFont="1" applyFill="1" applyAlignment="1">
      <alignment horizontal="center" vertical="center"/>
    </xf>
    <xf numFmtId="42" fontId="3" fillId="4" borderId="1" xfId="1" applyNumberFormat="1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9" fontId="3" fillId="4" borderId="6" xfId="2" applyFont="1" applyFill="1" applyBorder="1" applyAlignment="1">
      <alignment horizontal="center" vertical="center" wrapText="1"/>
    </xf>
    <xf numFmtId="0" fontId="4" fillId="2" borderId="7" xfId="3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41" fontId="0" fillId="0" borderId="0" xfId="0" applyNumberFormat="1"/>
    <xf numFmtId="0" fontId="3" fillId="4" borderId="0" xfId="0" applyFont="1" applyFill="1" applyAlignment="1">
      <alignment horizontal="left"/>
    </xf>
    <xf numFmtId="42" fontId="3" fillId="4" borderId="1" xfId="5" applyFont="1" applyFill="1" applyBorder="1" applyAlignment="1">
      <alignment horizontal="center" vertical="center" wrapText="1"/>
    </xf>
    <xf numFmtId="0" fontId="11" fillId="4" borderId="0" xfId="6" applyFill="1"/>
    <xf numFmtId="0" fontId="12" fillId="4" borderId="0" xfId="6" applyFont="1" applyFill="1" applyAlignment="1">
      <alignment horizontal="center" vertical="center" wrapText="1"/>
    </xf>
    <xf numFmtId="0" fontId="11" fillId="4" borderId="0" xfId="6" applyFill="1" applyAlignment="1">
      <alignment horizontal="left" vertical="center" wrapText="1"/>
    </xf>
    <xf numFmtId="0" fontId="11" fillId="4" borderId="0" xfId="6" applyFill="1" applyAlignment="1">
      <alignment horizontal="center" vertical="center" wrapText="1"/>
    </xf>
    <xf numFmtId="42" fontId="4" fillId="2" borderId="5" xfId="5" applyFont="1" applyFill="1" applyBorder="1" applyAlignment="1">
      <alignment horizontal="center" vertical="center" wrapText="1"/>
    </xf>
    <xf numFmtId="0" fontId="11" fillId="4" borderId="0" xfId="6" applyFill="1" applyAlignment="1">
      <alignment horizontal="center" vertical="center"/>
    </xf>
    <xf numFmtId="164" fontId="0" fillId="4" borderId="0" xfId="7" applyFont="1" applyFill="1" applyBorder="1" applyAlignment="1">
      <alignment horizontal="center" vertical="center" wrapText="1"/>
    </xf>
    <xf numFmtId="42" fontId="0" fillId="4" borderId="0" xfId="5" applyFont="1" applyFill="1" applyBorder="1" applyAlignment="1">
      <alignment horizontal="center" vertical="center" wrapText="1"/>
    </xf>
    <xf numFmtId="42" fontId="11" fillId="4" borderId="0" xfId="5" applyFont="1" applyFill="1" applyAlignment="1">
      <alignment horizontal="center" vertical="center" wrapText="1"/>
    </xf>
    <xf numFmtId="42" fontId="3" fillId="4" borderId="6" xfId="5" applyFont="1" applyFill="1" applyBorder="1" applyAlignment="1">
      <alignment horizontal="center" vertical="center" wrapText="1"/>
    </xf>
    <xf numFmtId="0" fontId="12" fillId="4" borderId="0" xfId="6" applyFont="1" applyFill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pivotButton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1" fontId="3" fillId="0" borderId="1" xfId="1" applyFont="1" applyFill="1" applyBorder="1"/>
    <xf numFmtId="14" fontId="0" fillId="0" borderId="0" xfId="0" applyNumberFormat="1"/>
    <xf numFmtId="0" fontId="24" fillId="0" borderId="0" xfId="0" applyFont="1"/>
    <xf numFmtId="42" fontId="3" fillId="0" borderId="6" xfId="5" applyFont="1" applyFill="1" applyBorder="1" applyAlignment="1">
      <alignment horizontal="center" vertical="center" wrapText="1"/>
    </xf>
    <xf numFmtId="0" fontId="11" fillId="0" borderId="0" xfId="6"/>
    <xf numFmtId="42" fontId="19" fillId="0" borderId="6" xfId="5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0" fontId="25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4" borderId="0" xfId="0" applyNumberFormat="1" applyFont="1" applyFill="1" applyAlignment="1">
      <alignment horizontal="center" vertical="center"/>
    </xf>
    <xf numFmtId="0" fontId="4" fillId="2" borderId="13" xfId="3" applyFont="1" applyBorder="1" applyAlignment="1">
      <alignment horizontal="center" vertical="center" wrapText="1"/>
    </xf>
    <xf numFmtId="0" fontId="4" fillId="2" borderId="13" xfId="3" applyFont="1" applyBorder="1" applyAlignment="1">
      <alignment horizontal="center" vertical="center" textRotation="90" wrapText="1"/>
    </xf>
    <xf numFmtId="0" fontId="20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2" fontId="24" fillId="4" borderId="0" xfId="5" applyFont="1" applyFill="1" applyBorder="1" applyAlignment="1">
      <alignment horizontal="center" vertical="center" wrapText="1"/>
    </xf>
    <xf numFmtId="41" fontId="29" fillId="0" borderId="0" xfId="0" applyNumberFormat="1" applyFont="1"/>
    <xf numFmtId="0" fontId="3" fillId="4" borderId="1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/>
    </xf>
    <xf numFmtId="0" fontId="3" fillId="4" borderId="14" xfId="0" applyFont="1" applyFill="1" applyBorder="1"/>
    <xf numFmtId="9" fontId="3" fillId="4" borderId="14" xfId="2" applyFont="1" applyFill="1" applyBorder="1" applyAlignment="1">
      <alignment horizontal="center" vertical="center"/>
    </xf>
    <xf numFmtId="9" fontId="3" fillId="4" borderId="14" xfId="2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left" vertical="center"/>
    </xf>
    <xf numFmtId="0" fontId="3" fillId="10" borderId="14" xfId="0" applyFont="1" applyFill="1" applyBorder="1"/>
    <xf numFmtId="0" fontId="3" fillId="10" borderId="14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14" borderId="17" xfId="0" applyFont="1" applyFill="1" applyBorder="1" applyAlignment="1">
      <alignment horizontal="left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9" fontId="2" fillId="14" borderId="19" xfId="4" applyNumberFormat="1" applyFill="1" applyBorder="1" applyAlignment="1">
      <alignment horizontal="center" vertical="center" wrapText="1"/>
    </xf>
    <xf numFmtId="9" fontId="2" fillId="14" borderId="20" xfId="4" applyNumberForma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42" fontId="5" fillId="4" borderId="1" xfId="1" applyNumberFormat="1" applyFont="1" applyFill="1" applyBorder="1" applyAlignment="1">
      <alignment horizontal="center" vertical="center"/>
    </xf>
    <xf numFmtId="42" fontId="5" fillId="4" borderId="0" xfId="1" applyNumberFormat="1" applyFont="1" applyFill="1" applyBorder="1" applyAlignment="1">
      <alignment horizontal="center" vertical="center"/>
    </xf>
    <xf numFmtId="0" fontId="31" fillId="4" borderId="22" xfId="0" applyFont="1" applyFill="1" applyBorder="1"/>
    <xf numFmtId="0" fontId="31" fillId="4" borderId="23" xfId="0" applyFont="1" applyFill="1" applyBorder="1"/>
    <xf numFmtId="165" fontId="31" fillId="4" borderId="24" xfId="8" applyNumberFormat="1" applyFont="1" applyFill="1" applyBorder="1"/>
    <xf numFmtId="0" fontId="31" fillId="4" borderId="6" xfId="0" applyFont="1" applyFill="1" applyBorder="1" applyAlignment="1">
      <alignment horizontal="center" vertical="center"/>
    </xf>
    <xf numFmtId="0" fontId="31" fillId="4" borderId="6" xfId="0" applyFont="1" applyFill="1" applyBorder="1"/>
    <xf numFmtId="0" fontId="31" fillId="4" borderId="21" xfId="0" applyFont="1" applyFill="1" applyBorder="1"/>
    <xf numFmtId="0" fontId="31" fillId="4" borderId="6" xfId="0" applyFont="1" applyFill="1" applyBorder="1" applyAlignment="1">
      <alignment horizontal="center" vertical="center" wrapText="1"/>
    </xf>
    <xf numFmtId="0" fontId="31" fillId="4" borderId="25" xfId="0" applyFont="1" applyFill="1" applyBorder="1" applyAlignment="1">
      <alignment horizontal="left" vertical="center"/>
    </xf>
    <xf numFmtId="0" fontId="31" fillId="0" borderId="21" xfId="0" applyFont="1" applyBorder="1" applyAlignment="1">
      <alignment horizontal="center"/>
    </xf>
    <xf numFmtId="1" fontId="31" fillId="0" borderId="21" xfId="8" applyNumberFormat="1" applyFont="1" applyFill="1" applyBorder="1" applyAlignment="1">
      <alignment horizontal="center" vertical="center"/>
    </xf>
    <xf numFmtId="0" fontId="30" fillId="4" borderId="21" xfId="0" applyFont="1" applyFill="1" applyBorder="1"/>
    <xf numFmtId="0" fontId="31" fillId="4" borderId="1" xfId="0" applyFont="1" applyFill="1" applyBorder="1"/>
    <xf numFmtId="41" fontId="31" fillId="4" borderId="1" xfId="1" applyFont="1" applyFill="1" applyBorder="1"/>
    <xf numFmtId="1" fontId="30" fillId="4" borderId="21" xfId="0" applyNumberFormat="1" applyFont="1" applyFill="1" applyBorder="1" applyAlignment="1">
      <alignment vertical="center"/>
    </xf>
    <xf numFmtId="0" fontId="30" fillId="4" borderId="21" xfId="0" applyFont="1" applyFill="1" applyBorder="1" applyAlignment="1">
      <alignment horizontal="left" vertical="center"/>
    </xf>
    <xf numFmtId="1" fontId="30" fillId="4" borderId="21" xfId="10" applyNumberFormat="1" applyFont="1" applyFill="1" applyBorder="1" applyAlignment="1">
      <alignment horizontal="left" vertical="center"/>
    </xf>
    <xf numFmtId="0" fontId="31" fillId="0" borderId="21" xfId="0" applyFont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12" borderId="6" xfId="0" applyFont="1" applyFill="1" applyBorder="1"/>
    <xf numFmtId="1" fontId="30" fillId="8" borderId="21" xfId="0" applyNumberFormat="1" applyFont="1" applyFill="1" applyBorder="1" applyAlignment="1">
      <alignment horizontal="left" vertical="center"/>
    </xf>
    <xf numFmtId="1" fontId="30" fillId="8" borderId="21" xfId="0" applyNumberFormat="1" applyFont="1" applyFill="1" applyBorder="1" applyAlignment="1">
      <alignment vertical="center"/>
    </xf>
    <xf numFmtId="1" fontId="30" fillId="4" borderId="21" xfId="0" applyNumberFormat="1" applyFont="1" applyFill="1" applyBorder="1" applyAlignment="1">
      <alignment horizontal="left" vertical="center"/>
    </xf>
    <xf numFmtId="0" fontId="33" fillId="4" borderId="21" xfId="0" applyFont="1" applyFill="1" applyBorder="1" applyAlignment="1">
      <alignment horizontal="center"/>
    </xf>
    <xf numFmtId="0" fontId="31" fillId="4" borderId="21" xfId="0" applyFont="1" applyFill="1" applyBorder="1" applyAlignment="1">
      <alignment horizontal="center" vertical="center"/>
    </xf>
    <xf numFmtId="0" fontId="31" fillId="0" borderId="21" xfId="0" applyFont="1" applyBorder="1"/>
    <xf numFmtId="0" fontId="31" fillId="8" borderId="26" xfId="0" applyFont="1" applyFill="1" applyBorder="1"/>
    <xf numFmtId="41" fontId="31" fillId="4" borderId="27" xfId="1" applyFont="1" applyFill="1" applyBorder="1"/>
    <xf numFmtId="0" fontId="30" fillId="4" borderId="21" xfId="9" applyFont="1" applyFill="1" applyBorder="1" applyAlignment="1">
      <alignment horizontal="left" vertical="center"/>
    </xf>
    <xf numFmtId="41" fontId="31" fillId="4" borderId="26" xfId="1" applyFont="1" applyFill="1" applyBorder="1"/>
    <xf numFmtId="0" fontId="31" fillId="4" borderId="28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left" vertical="center"/>
    </xf>
    <xf numFmtId="0" fontId="30" fillId="4" borderId="21" xfId="0" applyFont="1" applyFill="1" applyBorder="1" applyAlignment="1">
      <alignment vertical="center"/>
    </xf>
    <xf numFmtId="41" fontId="31" fillId="0" borderId="1" xfId="1" applyFont="1" applyFill="1" applyBorder="1"/>
    <xf numFmtId="0" fontId="31" fillId="0" borderId="6" xfId="0" applyFont="1" applyBorder="1" applyAlignment="1">
      <alignment horizontal="center" vertical="center"/>
    </xf>
    <xf numFmtId="0" fontId="31" fillId="0" borderId="22" xfId="0" applyFont="1" applyBorder="1"/>
    <xf numFmtId="1" fontId="31" fillId="4" borderId="21" xfId="0" applyNumberFormat="1" applyFont="1" applyFill="1" applyBorder="1" applyAlignment="1">
      <alignment horizontal="left" vertical="center"/>
    </xf>
    <xf numFmtId="1" fontId="31" fillId="4" borderId="21" xfId="10" applyNumberFormat="1" applyFont="1" applyFill="1" applyBorder="1" applyAlignment="1">
      <alignment horizontal="left" vertical="center"/>
    </xf>
    <xf numFmtId="0" fontId="31" fillId="8" borderId="21" xfId="0" applyFont="1" applyFill="1" applyBorder="1"/>
    <xf numFmtId="0" fontId="33" fillId="4" borderId="21" xfId="0" applyFont="1" applyFill="1" applyBorder="1" applyAlignment="1">
      <alignment horizontal="left" vertical="center"/>
    </xf>
    <xf numFmtId="0" fontId="31" fillId="0" borderId="23" xfId="0" applyFont="1" applyBorder="1"/>
    <xf numFmtId="165" fontId="31" fillId="0" borderId="24" xfId="8" applyNumberFormat="1" applyFont="1" applyFill="1" applyBorder="1"/>
    <xf numFmtId="0" fontId="30" fillId="0" borderId="21" xfId="0" applyFont="1" applyBorder="1"/>
    <xf numFmtId="0" fontId="31" fillId="0" borderId="6" xfId="0" applyFont="1" applyBorder="1"/>
    <xf numFmtId="0" fontId="31" fillId="0" borderId="21" xfId="0" applyFont="1" applyBorder="1" applyAlignment="1">
      <alignment horizontal="left" vertical="center"/>
    </xf>
    <xf numFmtId="165" fontId="31" fillId="4" borderId="0" xfId="8" applyNumberFormat="1" applyFont="1" applyFill="1" applyBorder="1"/>
    <xf numFmtId="0" fontId="30" fillId="8" borderId="21" xfId="0" applyFont="1" applyFill="1" applyBorder="1" applyAlignment="1">
      <alignment horizontal="left" vertical="center"/>
    </xf>
    <xf numFmtId="0" fontId="31" fillId="0" borderId="21" xfId="0" applyFont="1" applyBorder="1" applyAlignment="1">
      <alignment vertical="center"/>
    </xf>
    <xf numFmtId="1" fontId="31" fillId="0" borderId="21" xfId="0" applyNumberFormat="1" applyFont="1" applyBorder="1" applyAlignment="1">
      <alignment horizontal="left" vertical="center"/>
    </xf>
    <xf numFmtId="0" fontId="32" fillId="0" borderId="1" xfId="15" applyFont="1" applyFill="1" applyBorder="1"/>
    <xf numFmtId="0" fontId="31" fillId="4" borderId="26" xfId="0" applyFont="1" applyFill="1" applyBorder="1"/>
    <xf numFmtId="0" fontId="31" fillId="4" borderId="29" xfId="0" applyFont="1" applyFill="1" applyBorder="1"/>
    <xf numFmtId="0" fontId="30" fillId="4" borderId="29" xfId="0" applyFont="1" applyFill="1" applyBorder="1"/>
    <xf numFmtId="0" fontId="31" fillId="4" borderId="26" xfId="0" applyFont="1" applyFill="1" applyBorder="1" applyAlignment="1">
      <alignment horizontal="left" vertical="center"/>
    </xf>
    <xf numFmtId="0" fontId="30" fillId="4" borderId="21" xfId="10" applyFont="1" applyFill="1" applyBorder="1" applyAlignment="1">
      <alignment horizontal="left" vertical="center"/>
    </xf>
    <xf numFmtId="0" fontId="31" fillId="0" borderId="29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4" borderId="25" xfId="0" applyFont="1" applyFill="1" applyBorder="1"/>
    <xf numFmtId="0" fontId="31" fillId="0" borderId="30" xfId="0" applyFont="1" applyBorder="1"/>
    <xf numFmtId="0" fontId="31" fillId="4" borderId="26" xfId="0" applyFont="1" applyFill="1" applyBorder="1" applyAlignment="1">
      <alignment horizontal="left" vertical="top"/>
    </xf>
    <xf numFmtId="42" fontId="3" fillId="0" borderId="32" xfId="5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42" fontId="3" fillId="0" borderId="33" xfId="5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42" fontId="3" fillId="0" borderId="35" xfId="5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42" fontId="3" fillId="0" borderId="27" xfId="5" applyFont="1" applyFill="1" applyBorder="1" applyAlignment="1">
      <alignment horizontal="center" vertical="center" wrapText="1"/>
    </xf>
    <xf numFmtId="42" fontId="3" fillId="0" borderId="2" xfId="5" applyFont="1" applyFill="1" applyBorder="1" applyAlignment="1">
      <alignment horizontal="center" vertical="center" wrapText="1"/>
    </xf>
    <xf numFmtId="42" fontId="3" fillId="0" borderId="36" xfId="5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0" fillId="4" borderId="26" xfId="9" applyFont="1" applyFill="1" applyBorder="1" applyAlignment="1">
      <alignment horizontal="left" vertical="center"/>
    </xf>
    <xf numFmtId="0" fontId="30" fillId="4" borderId="38" xfId="9" applyFont="1" applyFill="1" applyBorder="1" applyAlignment="1">
      <alignment horizontal="left" vertical="center"/>
    </xf>
    <xf numFmtId="0" fontId="31" fillId="4" borderId="39" xfId="0" applyFont="1" applyFill="1" applyBorder="1" applyAlignment="1">
      <alignment horizontal="left" vertical="center"/>
    </xf>
    <xf numFmtId="0" fontId="31" fillId="17" borderId="6" xfId="0" applyFont="1" applyFill="1" applyBorder="1" applyAlignment="1">
      <alignment horizontal="center" vertical="center"/>
    </xf>
    <xf numFmtId="42" fontId="3" fillId="0" borderId="41" xfId="5" applyFont="1" applyFill="1" applyBorder="1" applyAlignment="1">
      <alignment horizontal="center" vertical="center" wrapText="1"/>
    </xf>
    <xf numFmtId="6" fontId="0" fillId="0" borderId="0" xfId="0" applyNumberFormat="1"/>
    <xf numFmtId="42" fontId="3" fillId="0" borderId="0" xfId="5" applyFont="1" applyFill="1" applyBorder="1" applyAlignment="1">
      <alignment horizontal="center" vertical="center" wrapText="1"/>
    </xf>
    <xf numFmtId="42" fontId="0" fillId="0" borderId="0" xfId="5" applyFont="1"/>
    <xf numFmtId="6" fontId="20" fillId="16" borderId="42" xfId="0" applyNumberFormat="1" applyFont="1" applyFill="1" applyBorder="1" applyAlignment="1">
      <alignment horizontal="center" vertical="center" wrapText="1"/>
    </xf>
    <xf numFmtId="0" fontId="34" fillId="16" borderId="0" xfId="0" applyFont="1" applyFill="1" applyAlignment="1">
      <alignment horizontal="center" vertical="center" wrapText="1"/>
    </xf>
    <xf numFmtId="42" fontId="1" fillId="0" borderId="21" xfId="5" applyFont="1" applyBorder="1"/>
    <xf numFmtId="42" fontId="1" fillId="4" borderId="21" xfId="5" applyFont="1" applyFill="1" applyBorder="1" applyAlignment="1">
      <alignment horizontal="center" vertical="center" wrapText="1"/>
    </xf>
    <xf numFmtId="0" fontId="23" fillId="16" borderId="21" xfId="0" applyFont="1" applyFill="1" applyBorder="1" applyAlignment="1">
      <alignment horizontal="center" vertical="center" wrapText="1"/>
    </xf>
    <xf numFmtId="6" fontId="23" fillId="16" borderId="21" xfId="0" applyNumberFormat="1" applyFont="1" applyFill="1" applyBorder="1" applyAlignment="1">
      <alignment horizontal="center" vertical="center" wrapText="1"/>
    </xf>
    <xf numFmtId="42" fontId="11" fillId="0" borderId="0" xfId="5" applyFont="1" applyFill="1" applyAlignment="1">
      <alignment horizontal="center" vertical="center" wrapText="1"/>
    </xf>
    <xf numFmtId="42" fontId="11" fillId="0" borderId="0" xfId="6" applyNumberFormat="1" applyAlignment="1">
      <alignment horizontal="center" vertical="center" wrapText="1"/>
    </xf>
    <xf numFmtId="0" fontId="11" fillId="0" borderId="0" xfId="6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2" fontId="3" fillId="0" borderId="21" xfId="5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2" fontId="3" fillId="13" borderId="6" xfId="5" applyFont="1" applyFill="1" applyBorder="1" applyAlignment="1">
      <alignment horizontal="center" vertical="center" wrapText="1"/>
    </xf>
    <xf numFmtId="0" fontId="35" fillId="12" borderId="34" xfId="0" applyFont="1" applyFill="1" applyBorder="1" applyAlignment="1">
      <alignment vertical="center" wrapText="1" readingOrder="1"/>
    </xf>
    <xf numFmtId="0" fontId="35" fillId="12" borderId="43" xfId="0" applyFont="1" applyFill="1" applyBorder="1" applyAlignment="1">
      <alignment horizontal="center" vertical="center" readingOrder="1"/>
    </xf>
    <xf numFmtId="0" fontId="35" fillId="12" borderId="0" xfId="0" applyFont="1" applyFill="1" applyAlignment="1">
      <alignment vertical="center" wrapText="1" readingOrder="1"/>
    </xf>
    <xf numFmtId="0" fontId="35" fillId="12" borderId="34" xfId="0" applyFont="1" applyFill="1" applyBorder="1" applyAlignment="1">
      <alignment horizontal="center" vertical="center" readingOrder="1"/>
    </xf>
    <xf numFmtId="42" fontId="3" fillId="0" borderId="29" xfId="5" applyFont="1" applyFill="1" applyBorder="1" applyAlignment="1">
      <alignment horizontal="center" vertical="center" wrapText="1"/>
    </xf>
    <xf numFmtId="42" fontId="36" fillId="4" borderId="14" xfId="5" applyFont="1" applyFill="1" applyBorder="1" applyAlignment="1">
      <alignment horizontal="center" vertical="center" wrapText="1"/>
    </xf>
    <xf numFmtId="42" fontId="36" fillId="0" borderId="14" xfId="6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0" fontId="12" fillId="4" borderId="18" xfId="6" applyFont="1" applyFill="1" applyBorder="1" applyAlignment="1">
      <alignment horizontal="left" vertical="center" wrapText="1"/>
    </xf>
    <xf numFmtId="0" fontId="11" fillId="4" borderId="18" xfId="6" applyFill="1" applyBorder="1" applyAlignment="1">
      <alignment horizontal="left" vertical="center" wrapText="1"/>
    </xf>
    <xf numFmtId="0" fontId="11" fillId="4" borderId="18" xfId="6" applyFill="1" applyBorder="1" applyAlignment="1">
      <alignment horizontal="center" vertical="center" wrapText="1"/>
    </xf>
    <xf numFmtId="0" fontId="11" fillId="4" borderId="45" xfId="6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left" vertical="center" wrapText="1"/>
    </xf>
    <xf numFmtId="0" fontId="3" fillId="4" borderId="33" xfId="0" applyFont="1" applyFill="1" applyBorder="1" applyAlignment="1">
      <alignment horizontal="center" vertical="center"/>
    </xf>
    <xf numFmtId="0" fontId="11" fillId="4" borderId="45" xfId="6" applyFill="1" applyBorder="1" applyAlignment="1">
      <alignment horizontal="center" vertical="center"/>
    </xf>
    <xf numFmtId="0" fontId="37" fillId="4" borderId="18" xfId="6" applyFont="1" applyFill="1" applyBorder="1" applyAlignment="1">
      <alignment horizontal="left" vertical="center" wrapText="1"/>
    </xf>
    <xf numFmtId="0" fontId="36" fillId="4" borderId="44" xfId="6" applyFont="1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14" fontId="3" fillId="0" borderId="33" xfId="0" applyNumberFormat="1" applyFont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0" fontId="31" fillId="0" borderId="31" xfId="0" applyFont="1" applyBorder="1"/>
    <xf numFmtId="0" fontId="31" fillId="7" borderId="21" xfId="0" applyFont="1" applyFill="1" applyBorder="1" applyAlignment="1">
      <alignment horizontal="left" vertical="center"/>
    </xf>
    <xf numFmtId="6" fontId="20" fillId="0" borderId="40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3" fillId="4" borderId="0" xfId="0" applyNumberFormat="1" applyFont="1" applyFill="1" applyAlignment="1">
      <alignment horizontal="left"/>
    </xf>
    <xf numFmtId="1" fontId="4" fillId="2" borderId="13" xfId="3" applyNumberFormat="1" applyFont="1" applyBorder="1" applyAlignment="1">
      <alignment horizontal="center" vertical="center" wrapText="1"/>
    </xf>
    <xf numFmtId="0" fontId="19" fillId="4" borderId="21" xfId="0" applyFont="1" applyFill="1" applyBorder="1"/>
    <xf numFmtId="0" fontId="19" fillId="4" borderId="21" xfId="0" applyFont="1" applyFill="1" applyBorder="1" applyAlignment="1">
      <alignment horizontal="left"/>
    </xf>
    <xf numFmtId="1" fontId="19" fillId="4" borderId="21" xfId="0" applyNumberFormat="1" applyFont="1" applyFill="1" applyBorder="1" applyAlignment="1">
      <alignment horizontal="left"/>
    </xf>
    <xf numFmtId="0" fontId="19" fillId="4" borderId="21" xfId="0" applyFont="1" applyFill="1" applyBorder="1" applyAlignment="1">
      <alignment horizontal="center"/>
    </xf>
    <xf numFmtId="0" fontId="19" fillId="4" borderId="21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 wrapText="1"/>
    </xf>
    <xf numFmtId="0" fontId="19" fillId="4" borderId="0" xfId="0" applyFont="1" applyFill="1"/>
    <xf numFmtId="0" fontId="19" fillId="4" borderId="0" xfId="0" applyFont="1" applyFill="1" applyAlignment="1">
      <alignment horizontal="left"/>
    </xf>
    <xf numFmtId="1" fontId="19" fillId="4" borderId="0" xfId="0" applyNumberFormat="1" applyFont="1" applyFill="1" applyAlignment="1">
      <alignment horizontal="left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4" borderId="21" xfId="9" applyFont="1" applyFill="1" applyBorder="1" applyAlignment="1">
      <alignment horizontal="left" vertical="center"/>
    </xf>
    <xf numFmtId="0" fontId="42" fillId="4" borderId="0" xfId="18" applyFont="1" applyFill="1"/>
    <xf numFmtId="0" fontId="42" fillId="4" borderId="0" xfId="17" applyFont="1" applyFill="1"/>
    <xf numFmtId="0" fontId="43" fillId="4" borderId="0" xfId="17" applyFont="1" applyFill="1"/>
    <xf numFmtId="0" fontId="38" fillId="4" borderId="0" xfId="0" applyFont="1" applyFill="1"/>
    <xf numFmtId="0" fontId="42" fillId="4" borderId="0" xfId="19" applyFont="1" applyFill="1"/>
    <xf numFmtId="0" fontId="44" fillId="0" borderId="0" xfId="0" applyFont="1"/>
    <xf numFmtId="42" fontId="3" fillId="4" borderId="0" xfId="5" applyFont="1" applyFill="1"/>
    <xf numFmtId="42" fontId="4" fillId="2" borderId="13" xfId="5" applyFont="1" applyFill="1" applyBorder="1" applyAlignment="1">
      <alignment horizontal="center" vertical="center" wrapText="1"/>
    </xf>
    <xf numFmtId="42" fontId="19" fillId="4" borderId="21" xfId="5" applyFont="1" applyFill="1" applyBorder="1"/>
    <xf numFmtId="42" fontId="19" fillId="4" borderId="0" xfId="5" applyFont="1" applyFill="1"/>
    <xf numFmtId="0" fontId="19" fillId="4" borderId="21" xfId="19" applyFont="1" applyFill="1" applyBorder="1"/>
    <xf numFmtId="0" fontId="19" fillId="4" borderId="21" xfId="17" applyFont="1" applyFill="1" applyBorder="1"/>
    <xf numFmtId="0" fontId="19" fillId="4" borderId="21" xfId="17" applyFont="1" applyFill="1" applyBorder="1" applyAlignment="1">
      <alignment horizontal="center" vertical="center"/>
    </xf>
    <xf numFmtId="0" fontId="19" fillId="4" borderId="21" xfId="17" applyFont="1" applyFill="1" applyBorder="1" applyAlignment="1">
      <alignment horizontal="left"/>
    </xf>
    <xf numFmtId="1" fontId="19" fillId="4" borderId="21" xfId="17" applyNumberFormat="1" applyFont="1" applyFill="1" applyBorder="1" applyAlignment="1">
      <alignment horizontal="left"/>
    </xf>
    <xf numFmtId="0" fontId="19" fillId="4" borderId="21" xfId="17" applyFont="1" applyFill="1" applyBorder="1" applyAlignment="1">
      <alignment horizontal="center" vertical="center" wrapText="1"/>
    </xf>
    <xf numFmtId="0" fontId="19" fillId="4" borderId="21" xfId="18" applyFont="1" applyFill="1" applyBorder="1" applyAlignment="1">
      <alignment horizontal="left"/>
    </xf>
    <xf numFmtId="0" fontId="19" fillId="4" borderId="21" xfId="18" applyFont="1" applyFill="1" applyBorder="1"/>
    <xf numFmtId="0" fontId="19" fillId="4" borderId="21" xfId="18" applyFont="1" applyFill="1" applyBorder="1" applyAlignment="1">
      <alignment horizontal="center" vertical="center"/>
    </xf>
    <xf numFmtId="0" fontId="19" fillId="4" borderId="21" xfId="18" applyFont="1" applyFill="1" applyBorder="1" applyAlignment="1">
      <alignment horizontal="center" vertical="center" wrapText="1"/>
    </xf>
    <xf numFmtId="0" fontId="19" fillId="4" borderId="21" xfId="17" applyFont="1" applyFill="1" applyBorder="1" applyAlignment="1">
      <alignment horizontal="left" vertical="center"/>
    </xf>
    <xf numFmtId="0" fontId="19" fillId="4" borderId="21" xfId="18" applyFont="1" applyFill="1" applyBorder="1" applyAlignment="1">
      <alignment horizontal="left" vertical="center"/>
    </xf>
    <xf numFmtId="1" fontId="19" fillId="4" borderId="21" xfId="18" applyNumberFormat="1" applyFont="1" applyFill="1" applyBorder="1" applyAlignment="1">
      <alignment horizontal="left"/>
    </xf>
    <xf numFmtId="0" fontId="19" fillId="4" borderId="21" xfId="19" applyFont="1" applyFill="1" applyBorder="1" applyAlignment="1">
      <alignment horizontal="left"/>
    </xf>
    <xf numFmtId="0" fontId="19" fillId="4" borderId="21" xfId="19" applyFont="1" applyFill="1" applyBorder="1" applyAlignment="1">
      <alignment horizontal="center" vertical="center"/>
    </xf>
    <xf numFmtId="0" fontId="19" fillId="4" borderId="21" xfId="19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2" borderId="7" xfId="3" applyFont="1" applyBorder="1" applyAlignment="1">
      <alignment horizontal="center" vertical="center" wrapText="1"/>
    </xf>
    <xf numFmtId="0" fontId="4" fillId="2" borderId="9" xfId="3" applyFont="1" applyBorder="1" applyAlignment="1">
      <alignment horizontal="center" vertical="center" wrapText="1"/>
    </xf>
    <xf numFmtId="0" fontId="4" fillId="2" borderId="10" xfId="3" applyFont="1" applyBorder="1" applyAlignment="1">
      <alignment horizontal="center" vertical="center" wrapText="1"/>
    </xf>
    <xf numFmtId="0" fontId="4" fillId="2" borderId="8" xfId="3" applyFont="1" applyBorder="1" applyAlignment="1">
      <alignment horizontal="center" vertical="center" wrapText="1"/>
    </xf>
    <xf numFmtId="0" fontId="13" fillId="2" borderId="11" xfId="3" applyFont="1" applyBorder="1" applyAlignment="1">
      <alignment horizontal="left" vertical="center" wrapText="1"/>
    </xf>
    <xf numFmtId="0" fontId="13" fillId="2" borderId="0" xfId="3" applyFont="1" applyBorder="1" applyAlignment="1">
      <alignment horizontal="left" vertical="center" wrapText="1"/>
    </xf>
  </cellXfs>
  <cellStyles count="20">
    <cellStyle name="Bueno" xfId="17" builtinId="26"/>
    <cellStyle name="Énfasis1" xfId="3" builtinId="29"/>
    <cellStyle name="Énfasis2" xfId="4" builtinId="33"/>
    <cellStyle name="Hipervínculo" xfId="15" builtinId="8"/>
    <cellStyle name="Hyperlink" xfId="16" xr:uid="{00000000-000B-0000-0000-000008000000}"/>
    <cellStyle name="Incorrecto" xfId="18" builtinId="27"/>
    <cellStyle name="Millares" xfId="8" builtinId="3"/>
    <cellStyle name="Millares [0]" xfId="1" builtinId="6"/>
    <cellStyle name="Millares [0] 2" xfId="13" xr:uid="{00000000-0005-0000-0000-000004000000}"/>
    <cellStyle name="Millares [0] 2 2" xfId="7" xr:uid="{00000000-0005-0000-0000-000005000000}"/>
    <cellStyle name="Moneda [0]" xfId="5" builtinId="7"/>
    <cellStyle name="Moneda [0] 2" xfId="14" xr:uid="{00000000-0005-0000-0000-000007000000}"/>
    <cellStyle name="Neutral" xfId="19" builtinId="28"/>
    <cellStyle name="Normal" xfId="0" builtinId="0"/>
    <cellStyle name="Normal 16" xfId="11" xr:uid="{00000000-0005-0000-0000-000009000000}"/>
    <cellStyle name="Normal 2 2 2" xfId="12" xr:uid="{00000000-0005-0000-0000-00000A000000}"/>
    <cellStyle name="Normal 5" xfId="6" xr:uid="{00000000-0005-0000-0000-00000B000000}"/>
    <cellStyle name="Normal_Hoja1" xfId="10" xr:uid="{00000000-0005-0000-0000-00000C000000}"/>
    <cellStyle name="Porcentaje" xfId="2" builtinId="5"/>
    <cellStyle name="Salida" xfId="9" builtinId="21"/>
  </cellStyles>
  <dxfs count="33"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</dxfs>
  <tableStyles count="0" defaultTableStyle="TableStyleMedium2" defaultPivotStyle="PivotStyleLight16"/>
  <colors>
    <mruColors>
      <color rgb="FFFF3300"/>
      <color rgb="FFFFFFFF"/>
      <color rgb="FFD918C5"/>
      <color rgb="FFFF99FF"/>
      <color rgb="FFA13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090136595158381E-2"/>
          <c:y val="3.669724770642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CÁLCULO'!$O$23</c:f>
              <c:strCache>
                <c:ptCount val="1"/>
                <c:pt idx="0">
                  <c:v>% EJECUCION ANUAL 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E6-4741-8348-51F4EDE409FE}"/>
              </c:ext>
            </c:extLst>
          </c:dPt>
          <c:dLbls>
            <c:dLbl>
              <c:idx val="0"/>
              <c:layout>
                <c:manualLayout>
                  <c:x val="-4.7736901789656172E-2"/>
                  <c:y val="-0.2649046683888526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E6-4741-8348-51F4EDE409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CÁLCULO'!$P$23</c:f>
              <c:numCache>
                <c:formatCode>0%</c:formatCode>
                <c:ptCount val="1"/>
                <c:pt idx="0">
                  <c:v>9.8452883263009851E-3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E6-4741-8348-51F4EDE4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49984"/>
        <c:axId val="49957120"/>
      </c:scatterChart>
      <c:valAx>
        <c:axId val="23849984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957120"/>
        <c:crosses val="autoZero"/>
        <c:crossBetween val="midCat"/>
        <c:majorUnit val="0.1"/>
      </c:valAx>
      <c:valAx>
        <c:axId val="49957120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none"/>
        <c:minorTickMark val="none"/>
        <c:tickLblPos val="nextTo"/>
        <c:crossAx val="23849984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800" b="1">
                <a:solidFill>
                  <a:schemeClr val="bg1"/>
                </a:solidFill>
              </a:rPr>
              <a:t>% EJECUCIÓN ANUAL EQC</a:t>
            </a:r>
          </a:p>
        </c:rich>
      </c:tx>
      <c:layout>
        <c:manualLayout>
          <c:xMode val="edge"/>
          <c:yMode val="edge"/>
          <c:x val="1.0583113830091105E-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CÁLCULO'!$O$24:$P$24</c:f>
              <c:strCache>
                <c:ptCount val="2"/>
                <c:pt idx="0">
                  <c:v>% EJECUCIÓN ANUAL EQC</c:v>
                </c:pt>
                <c:pt idx="1">
                  <c:v>#¡REF!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2066429573387018E-2"/>
                  <c:y val="-0.26099836577031643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26-44FC-B6A2-B4A50F824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CÁLCULO'!$P$24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E26-44FC-B6A2-B4A50F82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65568"/>
        <c:axId val="50367488"/>
      </c:scatterChart>
      <c:valAx>
        <c:axId val="5036556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367488"/>
        <c:crosses val="autoZero"/>
        <c:crossBetween val="midCat"/>
        <c:majorUnit val="0.1"/>
      </c:valAx>
      <c:valAx>
        <c:axId val="50367488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365568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645669291338585E-2"/>
          <c:y val="5.243445692883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CÁLCULO'!$O$25</c:f>
              <c:strCache>
                <c:ptCount val="1"/>
                <c:pt idx="0">
                  <c:v>% EJECUCIÓN ANUAL EQR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441884907956103E-2"/>
                  <c:y val="-0.25606102975445827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1-4034-BC00-CBFA4F1E9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CÁLCULO'!$P$25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F1-4034-BC00-CBFA4F1E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4560"/>
        <c:axId val="50520832"/>
      </c:scatterChart>
      <c:valAx>
        <c:axId val="5051456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520832"/>
        <c:crosses val="autoZero"/>
        <c:crossBetween val="midCat"/>
        <c:majorUnit val="0.1"/>
      </c:valAx>
      <c:valAx>
        <c:axId val="5052083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514560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298556430446189E-2"/>
          <c:y val="2.0618556701030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CÁLCULO'!$O$26</c:f>
              <c:strCache>
                <c:ptCount val="1"/>
                <c:pt idx="0">
                  <c:v>% EJECUCIÓN ANUAL IM≥12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923138733159941E-2"/>
                  <c:y val="-0.29072679551419711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B-420A-B6E5-5FAFEAA77D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CÁLCULO'!$P$26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4DB-420A-B6E5-5FAFEAA7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9456"/>
        <c:axId val="168321024"/>
      </c:scatterChart>
      <c:valAx>
        <c:axId val="5185945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8321024"/>
        <c:crosses val="autoZero"/>
        <c:crossBetween val="midCat"/>
        <c:majorUnit val="0.1"/>
      </c:valAx>
      <c:valAx>
        <c:axId val="168321024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859456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CÁLCULO'!$A$37</c:f>
              <c:strCache>
                <c:ptCount val="1"/>
                <c:pt idx="0">
                  <c:v>% EJECUCIÓN DEL GASTO MP</c:v>
                </c:pt>
              </c:strCache>
            </c:strRef>
          </c:tx>
          <c:spPr>
            <a:solidFill>
              <a:srgbClr val="00B0F0"/>
            </a:solidFill>
          </c:spPr>
          <c:explosion val="1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5-4F33-9E7D-1EED561B536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5-4F33-9E7D-1EED561B536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15-4F33-9E7D-1EED561B5363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15-4F33-9E7D-1EED561B536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15-4F33-9E7D-1EED561B5363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15-4F33-9E7D-1EED561B536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15-4F33-9E7D-1EED561B5363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15-4F33-9E7D-1EED561B5363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15-4F33-9E7D-1EED561B5363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15-4F33-9E7D-1EED561B5363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15-4F33-9E7D-1EED561B5363}"/>
              </c:ext>
            </c:extLst>
          </c:dPt>
          <c:dPt>
            <c:idx val="1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15-4F33-9E7D-1EED561B5363}"/>
              </c:ext>
            </c:extLst>
          </c:dPt>
          <c:dPt>
            <c:idx val="1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15-4F33-9E7D-1EED561B5363}"/>
              </c:ext>
            </c:extLst>
          </c:dPt>
          <c:dPt>
            <c:idx val="1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15-4F33-9E7D-1EED561B5363}"/>
              </c:ext>
            </c:extLst>
          </c:dPt>
          <c:dPt>
            <c:idx val="1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15-4F33-9E7D-1EED561B5363}"/>
              </c:ext>
            </c:extLst>
          </c:dPt>
          <c:dPt>
            <c:idx val="1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15-4F33-9E7D-1EED561B5363}"/>
              </c:ext>
            </c:extLst>
          </c:dPt>
          <c:dPt>
            <c:idx val="1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15-4F33-9E7D-1EED561B5363}"/>
              </c:ext>
            </c:extLst>
          </c:dPt>
          <c:dPt>
            <c:idx val="1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15-4F33-9E7D-1EED561B5363}"/>
              </c:ext>
            </c:extLst>
          </c:dPt>
          <c:dPt>
            <c:idx val="1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15-4F33-9E7D-1EED561B5363}"/>
              </c:ext>
            </c:extLst>
          </c:dPt>
          <c:dPt>
            <c:idx val="1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15-4F33-9E7D-1EED561B5363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CÁLCULO'!$B$37:$D$37</c:f>
              <c:strCache>
                <c:ptCount val="3"/>
                <c:pt idx="2">
                  <c:v>#¡VALOR!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015-4F33-9E7D-1EED561B53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015-4F33-9E7D-1EED561B5363}"/>
              </c:ext>
            </c:extLst>
          </c:dPt>
          <c:dPt>
            <c:idx val="2"/>
            <c:bubble3D val="0"/>
            <c:spPr>
              <a:solidFill>
                <a:schemeClr val="bg1">
                  <a:alpha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E015-4F33-9E7D-1EED561B5363}"/>
              </c:ext>
            </c:extLst>
          </c:dPt>
          <c:val>
            <c:numRef>
              <c:f>'TABLA CÁLCULO'!$B$37:$D$37</c:f>
              <c:numCache>
                <c:formatCode>General</c:formatCode>
                <c:ptCount val="3"/>
                <c:pt idx="0" formatCode="0%">
                  <c:v>0</c:v>
                </c:pt>
                <c:pt idx="2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spPr>
            <a:solidFill>
              <a:schemeClr val="accent4"/>
            </a:solidFill>
          </c:spPr>
          <c:explosion val="1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D-4503-A85C-561EF19C6C3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D-4503-A85C-561EF19C6C3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4D-4503-A85C-561EF19C6C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4D-4503-A85C-561EF19C6C35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4D-4503-A85C-561EF19C6C35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4D-4503-A85C-561EF19C6C35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4D-4503-A85C-561EF19C6C35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4D-4503-A85C-561EF19C6C35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4D-4503-A85C-561EF19C6C35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4D-4503-A85C-561EF19C6C35}"/>
              </c:ext>
            </c:extLst>
          </c:dPt>
          <c:dPt>
            <c:idx val="1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4D-4503-A85C-561EF19C6C35}"/>
              </c:ext>
            </c:extLst>
          </c:dPt>
          <c:dPt>
            <c:idx val="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4D-4503-A85C-561EF19C6C35}"/>
              </c:ext>
            </c:extLst>
          </c:dPt>
          <c:dPt>
            <c:idx val="1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34D-4503-A85C-561EF19C6C35}"/>
              </c:ext>
            </c:extLst>
          </c:dPt>
          <c:dPt>
            <c:idx val="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34D-4503-A85C-561EF19C6C35}"/>
              </c:ext>
            </c:extLst>
          </c:dPt>
          <c:dPt>
            <c:idx val="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34D-4503-A85C-561EF19C6C35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34D-4503-A85C-561EF19C6C35}"/>
              </c:ext>
            </c:extLst>
          </c:dPt>
          <c:dPt>
            <c:idx val="1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34D-4503-A85C-561EF19C6C35}"/>
              </c:ext>
            </c:extLst>
          </c:dPt>
          <c:dPt>
            <c:idx val="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34D-4503-A85C-561EF19C6C35}"/>
              </c:ext>
            </c:extLst>
          </c:dPt>
          <c:dPt>
            <c:idx val="1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34D-4503-A85C-561EF19C6C35}"/>
              </c:ext>
            </c:extLst>
          </c:dPt>
          <c:dPt>
            <c:idx val="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34D-4503-A85C-561EF19C6C35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334D-4503-A85C-561EF19C6C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334D-4503-A85C-561EF19C6C35}"/>
              </c:ext>
            </c:extLst>
          </c:dPt>
          <c:dPt>
            <c:idx val="2"/>
            <c:bubble3D val="0"/>
            <c:spPr>
              <a:solidFill>
                <a:schemeClr val="bg1">
                  <a:alpha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34D-4503-A85C-561EF19C6C35}"/>
              </c:ext>
            </c:extLst>
          </c:dPt>
          <c:val>
            <c:numRef>
              <c:f>'TABLA CÁLCULO'!$B$39:$D$39</c:f>
              <c:numCache>
                <c:formatCode>General</c:formatCode>
                <c:ptCount val="3"/>
                <c:pt idx="0" formatCode="0%">
                  <c:v>0</c:v>
                </c:pt>
                <c:pt idx="2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485776</xdr:colOff>
      <xdr:row>1</xdr:row>
      <xdr:rowOff>142875</xdr:rowOff>
    </xdr:from>
    <xdr:to>
      <xdr:col>9</xdr:col>
      <xdr:colOff>447676</xdr:colOff>
      <xdr:row>7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9CBA30D-8D1F-4D2B-82D3-9D1D160B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485774</xdr:colOff>
      <xdr:row>7</xdr:row>
      <xdr:rowOff>142876</xdr:rowOff>
    </xdr:from>
    <xdr:to>
      <xdr:col>9</xdr:col>
      <xdr:colOff>466725</xdr:colOff>
      <xdr:row>13</xdr:row>
      <xdr:rowOff>9526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2D96A6-4D37-4CD0-91F9-4219D6FDCFDC}"/>
            </a:ext>
            <a:ext uri="{147F2762-F138-4A5C-976F-8EAC2B608ADB}">
              <a16:predDERef xmlns:a16="http://schemas.microsoft.com/office/drawing/2014/main" pred="{B9CBA30D-8D1F-4D2B-82D3-9D1D160B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19051</xdr:colOff>
      <xdr:row>1</xdr:row>
      <xdr:rowOff>123825</xdr:rowOff>
    </xdr:from>
    <xdr:to>
      <xdr:col>14</xdr:col>
      <xdr:colOff>790575</xdr:colOff>
      <xdr:row>7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32E5585-FBF1-4537-BC1D-F99AC88399D4}"/>
            </a:ext>
            <a:ext uri="{147F2762-F138-4A5C-976F-8EAC2B608ADB}">
              <a16:predDERef xmlns:a16="http://schemas.microsoft.com/office/drawing/2014/main" pred="{492D96A6-4D37-4CD0-91F9-4219D6FDC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7</xdr:row>
      <xdr:rowOff>142875</xdr:rowOff>
    </xdr:from>
    <xdr:to>
      <xdr:col>14</xdr:col>
      <xdr:colOff>790574</xdr:colOff>
      <xdr:row>13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88E7A3F-459A-4191-9CF3-F9ABD0F1AB64}"/>
            </a:ext>
            <a:ext uri="{147F2762-F138-4A5C-976F-8EAC2B608ADB}">
              <a16:predDERef xmlns:a16="http://schemas.microsoft.com/office/drawing/2014/main" pred="{B32E5585-FBF1-4537-BC1D-F99AC8839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793936</xdr:colOff>
      <xdr:row>0</xdr:row>
      <xdr:rowOff>103093</xdr:rowOff>
    </xdr:from>
    <xdr:to>
      <xdr:col>18</xdr:col>
      <xdr:colOff>769844</xdr:colOff>
      <xdr:row>13</xdr:row>
      <xdr:rowOff>36418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8584F20-CF03-48E9-81A0-6E6DDE42B408}"/>
            </a:ext>
            <a:ext uri="{147F2762-F138-4A5C-976F-8EAC2B608ADB}">
              <a16:predDERef xmlns:a16="http://schemas.microsoft.com/office/drawing/2014/main" pred="{C88E7A3F-459A-4191-9CF3-F9ABD0F1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670672</xdr:colOff>
      <xdr:row>5</xdr:row>
      <xdr:rowOff>60512</xdr:rowOff>
    </xdr:from>
    <xdr:to>
      <xdr:col>17</xdr:col>
      <xdr:colOff>268941</xdr:colOff>
      <xdr:row>9</xdr:row>
      <xdr:rowOff>60512</xdr:rowOff>
    </xdr:to>
    <xdr:sp macro="" textlink="'TABLA CÁLCULO'!B37">
      <xdr:nvSpPr>
        <xdr:cNvPr id="13" name="Rectángulo 12">
          <a:extLst>
            <a:ext uri="{FF2B5EF4-FFF2-40B4-BE49-F238E27FC236}">
              <a16:creationId xmlns:a16="http://schemas.microsoft.com/office/drawing/2014/main" id="{02E5BB59-1E6F-0451-4CC9-5687A23BCF33}"/>
            </a:ext>
          </a:extLst>
        </xdr:cNvPr>
        <xdr:cNvSpPr/>
      </xdr:nvSpPr>
      <xdr:spPr>
        <a:xfrm>
          <a:off x="16695084" y="945777"/>
          <a:ext cx="1234328" cy="762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AA6426-A0CD-4ADA-AB5B-CB7F1A3274DB}" type="TxLink">
            <a:rPr lang="en-US" sz="36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 </a:t>
          </a:fld>
          <a:endParaRPr lang="es-CL" sz="4400">
            <a:solidFill>
              <a:srgbClr val="00B0F0"/>
            </a:solidFill>
          </a:endParaRPr>
        </a:p>
      </xdr:txBody>
    </xdr:sp>
    <xdr:clientData/>
  </xdr:twoCellAnchor>
  <xdr:twoCellAnchor>
    <xdr:from>
      <xdr:col>19</xdr:col>
      <xdr:colOff>210111</xdr:colOff>
      <xdr:row>4</xdr:row>
      <xdr:rowOff>187137</xdr:rowOff>
    </xdr:from>
    <xdr:to>
      <xdr:col>20</xdr:col>
      <xdr:colOff>372036</xdr:colOff>
      <xdr:row>9</xdr:row>
      <xdr:rowOff>120463</xdr:rowOff>
    </xdr:to>
    <xdr:sp macro="" textlink="'TABLA CÁLCULO'!B39">
      <xdr:nvSpPr>
        <xdr:cNvPr id="14" name="Rectángulo 13">
          <a:extLst>
            <a:ext uri="{FF2B5EF4-FFF2-40B4-BE49-F238E27FC236}">
              <a16:creationId xmlns:a16="http://schemas.microsoft.com/office/drawing/2014/main" id="{7807AB02-EB49-43A2-9EBF-A9628B40A47B}"/>
            </a:ext>
          </a:extLst>
        </xdr:cNvPr>
        <xdr:cNvSpPr/>
      </xdr:nvSpPr>
      <xdr:spPr>
        <a:xfrm>
          <a:off x="19618699" y="881902"/>
          <a:ext cx="1148043" cy="885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4CE6C6-DD9F-4EDB-8338-D92E2D0484C2}" type="TxLink">
            <a:rPr lang="en-US" sz="3600" b="1" i="0" u="none" strike="noStrike">
              <a:solidFill>
                <a:srgbClr val="FFC000"/>
              </a:solidFill>
              <a:latin typeface="Calibri"/>
              <a:cs typeface="Calibri"/>
            </a:rPr>
            <a:pPr algn="l"/>
            <a:t> </a:t>
          </a:fld>
          <a:endParaRPr lang="es-CL" sz="4400" b="1">
            <a:solidFill>
              <a:srgbClr val="FFC000"/>
            </a:solidFill>
          </a:endParaRPr>
        </a:p>
      </xdr:txBody>
    </xdr:sp>
    <xdr:clientData/>
  </xdr:twoCellAnchor>
  <xdr:twoCellAnchor>
    <xdr:from>
      <xdr:col>17</xdr:col>
      <xdr:colOff>537883</xdr:colOff>
      <xdr:row>0</xdr:row>
      <xdr:rowOff>89648</xdr:rowOff>
    </xdr:from>
    <xdr:to>
      <xdr:col>21</xdr:col>
      <xdr:colOff>818029</xdr:colOff>
      <xdr:row>12</xdr:row>
      <xdr:rowOff>179295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11EEED-232F-471A-BC89-789F538ADC1E}"/>
            </a:ext>
            <a:ext uri="{147F2762-F138-4A5C-976F-8EAC2B608ADB}">
              <a16:predDERef xmlns:a16="http://schemas.microsoft.com/office/drawing/2014/main" pred="{7807AB02-EB49-43A2-9EBF-A9628B40A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006\E_Hospitalarios\Users\andres\Desktop\Mio\Users\freedom\Downloads\1.-%20%20Control%20Inventario%20Hospital%20Loncoche%20-%20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S"/>
      <sheetName val="DEPENDENCIA"/>
      <sheetName val="NPRODUCTOS"/>
      <sheetName val="PROVEEDORES"/>
      <sheetName val="VEHICULOS"/>
      <sheetName val="ENCARGADOS"/>
      <sheetName val="CHOFERES"/>
      <sheetName val="TURNOS"/>
      <sheetName val="MATRIZ COD"/>
      <sheetName val="CANF"/>
      <sheetName val="CONTROL STOCK"/>
      <sheetName val="A L T A"/>
      <sheetName val="B A J A"/>
      <sheetName val="TRASPASOS"/>
      <sheetName val="MURAL"/>
      <sheetName val="ALTA"/>
      <sheetName val="BAJA"/>
      <sheetName val="CS - 190312 (ZEROS)"/>
      <sheetName val="NEW COD PROD"/>
      <sheetName val="Hoja1"/>
      <sheetName val="MATRIZ NCOD"/>
      <sheetName val="TRASPASO"/>
      <sheetName val="MOBILIARIOS Y OTROS"/>
      <sheetName val="MAQUINAS EQUIPOS"/>
      <sheetName val="VEHICULOSS"/>
      <sheetName val="EQUIPOS INFORMATICOS"/>
      <sheetName val="Prog. Inv. Fisico"/>
      <sheetName val="SUBS"/>
      <sheetName val="AscII"/>
      <sheetName val="LOMO ARCHIVADOR"/>
      <sheetName val="ALTA Nº03 SILLA ALTA APOYABRAZO"/>
      <sheetName val="Hoja3"/>
      <sheetName val="MY HORARIO"/>
      <sheetName val="Hoja2"/>
      <sheetName val="Hoja4"/>
      <sheetName val="Hoja5"/>
      <sheetName val="Hoja6"/>
      <sheetName val="Clase - Subclase"/>
      <sheetName val="TABLA CÁLCULO"/>
    </sheetNames>
    <sheetDataSet>
      <sheetData sheetId="0"/>
      <sheetData sheetId="1"/>
      <sheetData sheetId="2">
        <row r="9">
          <cell r="J9" t="str">
            <v>42-06-01-00-0001</v>
          </cell>
          <cell r="K9" t="str">
            <v>42-3248</v>
          </cell>
          <cell r="L9" t="str">
            <v>42-06-01-00-0001</v>
          </cell>
          <cell r="M9" t="str">
            <v>Disco Duro portatil marca Apollo 500 Gb. Externo USB Mod. Apollo 25 PHDD-500 Gb. S/Nº 1500121-20090624</v>
          </cell>
          <cell r="O9" t="str">
            <v>EQUIPOS COMPUTACIONALES Y PERIFÉRICOS</v>
          </cell>
          <cell r="P9">
            <v>90000</v>
          </cell>
          <cell r="T9" t="str">
            <v>Bueno</v>
          </cell>
          <cell r="U9" t="str">
            <v>Apollo</v>
          </cell>
        </row>
        <row r="10">
          <cell r="J10" t="str">
            <v>42-04-03-00-0002</v>
          </cell>
          <cell r="K10" t="str">
            <v>42-2921</v>
          </cell>
          <cell r="L10" t="str">
            <v>42-04-03-00-0002</v>
          </cell>
          <cell r="M10" t="str">
            <v>Estación de trabajo lateral para computador, 1 bandeja, 1 cajón con llave  1 compartimento, melamina color cerezo</v>
          </cell>
          <cell r="O10" t="str">
            <v>ESCRITORIOS</v>
          </cell>
          <cell r="P10">
            <v>295715</v>
          </cell>
          <cell r="T10" t="str">
            <v>Bueno</v>
          </cell>
          <cell r="U10" t="str">
            <v>N/T</v>
          </cell>
        </row>
        <row r="11">
          <cell r="J11" t="str">
            <v>42-04-03-00-0003</v>
          </cell>
          <cell r="K11" t="str">
            <v>42-2922</v>
          </cell>
          <cell r="L11" t="str">
            <v>42-04-03-00-0003</v>
          </cell>
          <cell r="M11" t="str">
            <v>Estación de trabajo lateral para computador, 1 bandeja, 1 cajón con llave 1 compartimento, melamina color cerezo</v>
          </cell>
          <cell r="O11" t="str">
            <v>ESCRITORIOS</v>
          </cell>
          <cell r="P11">
            <v>295715</v>
          </cell>
          <cell r="T11" t="str">
            <v>Bueno</v>
          </cell>
          <cell r="U11" t="str">
            <v>N/T</v>
          </cell>
        </row>
        <row r="12">
          <cell r="J12" t="str">
            <v>42-04-06-00-0004</v>
          </cell>
          <cell r="K12" t="str">
            <v>42-2924</v>
          </cell>
          <cell r="L12" t="str">
            <v>42-04-06-00-0004</v>
          </cell>
          <cell r="M12" t="str">
            <v>Cajonera con ruedas 3 cajones 1 con llave color cerezo</v>
          </cell>
          <cell r="O12" t="str">
            <v>REPISA</v>
          </cell>
          <cell r="P12">
            <v>151000</v>
          </cell>
          <cell r="T12" t="str">
            <v>Bueno</v>
          </cell>
          <cell r="U12" t="str">
            <v>N/T</v>
          </cell>
        </row>
        <row r="13">
          <cell r="J13" t="str">
            <v>42-04-05-00-0005</v>
          </cell>
          <cell r="K13" t="str">
            <v>42-2923</v>
          </cell>
          <cell r="L13" t="str">
            <v>42-04-05-00-0005</v>
          </cell>
          <cell r="M13" t="str">
            <v>Mueble biblioteca 5 compartimentos, 2 puertas con llave 80x46x180 cms. color cerezo</v>
          </cell>
          <cell r="O13" t="str">
            <v>KARDEX</v>
          </cell>
          <cell r="P13">
            <v>114834</v>
          </cell>
          <cell r="T13" t="str">
            <v>Bueno</v>
          </cell>
          <cell r="U13" t="str">
            <v>N/T</v>
          </cell>
        </row>
        <row r="14">
          <cell r="J14" t="str">
            <v>42-04-07-00-0006</v>
          </cell>
          <cell r="K14" t="str">
            <v>42-03</v>
          </cell>
          <cell r="L14" t="str">
            <v>42-04-07-00-0006</v>
          </cell>
          <cell r="M14" t="str">
            <v>Marco de madera con vidrio de 47x72 cms.</v>
          </cell>
          <cell r="O14" t="str">
            <v>OTROS</v>
          </cell>
          <cell r="P14">
            <v>35000</v>
          </cell>
          <cell r="T14" t="str">
            <v>Bueno</v>
          </cell>
          <cell r="U14" t="str">
            <v>N/T</v>
          </cell>
        </row>
        <row r="15">
          <cell r="J15" t="str">
            <v>42-04-07-00-0007</v>
          </cell>
          <cell r="K15" t="str">
            <v>42-2929</v>
          </cell>
          <cell r="L15" t="str">
            <v>42-04-07-00-0007</v>
          </cell>
          <cell r="M15" t="str">
            <v>Panel separador ambientes, marco aluminio color negro, melamina color cerezo 225x159 cms.</v>
          </cell>
          <cell r="O15" t="str">
            <v>OTROS</v>
          </cell>
          <cell r="P15">
            <v>30000</v>
          </cell>
          <cell r="T15" t="str">
            <v>Bueno</v>
          </cell>
          <cell r="U15" t="str">
            <v>N/T</v>
          </cell>
        </row>
        <row r="16">
          <cell r="J16" t="str">
            <v>42-04-02-00-0008</v>
          </cell>
          <cell r="K16" t="str">
            <v>42-2925</v>
          </cell>
          <cell r="L16" t="str">
            <v>42-04-02-00-0008</v>
          </cell>
          <cell r="M16" t="str">
            <v>Silla computación ergonometrica con apoya brazos 5 ruedas color azul</v>
          </cell>
          <cell r="O16" t="str">
            <v>SILLAS</v>
          </cell>
          <cell r="P16">
            <v>46674</v>
          </cell>
          <cell r="T16" t="str">
            <v>Bueno</v>
          </cell>
          <cell r="U16" t="str">
            <v>N/T</v>
          </cell>
        </row>
        <row r="17">
          <cell r="J17" t="str">
            <v>42-04-02-00-0009</v>
          </cell>
          <cell r="K17" t="str">
            <v>42-2926</v>
          </cell>
          <cell r="L17" t="str">
            <v>42-04-02-00-0009</v>
          </cell>
          <cell r="M17" t="str">
            <v>Silla computación ergonometrica con apoya brazos 5 ruedas color azul</v>
          </cell>
          <cell r="O17" t="str">
            <v>SILLAS</v>
          </cell>
          <cell r="P17">
            <v>46674</v>
          </cell>
          <cell r="T17" t="str">
            <v>Bueno</v>
          </cell>
          <cell r="U17" t="str">
            <v>N/T</v>
          </cell>
        </row>
        <row r="18">
          <cell r="J18" t="str">
            <v>42-04-02-00-0010</v>
          </cell>
          <cell r="K18" t="str">
            <v>42-2927</v>
          </cell>
          <cell r="L18" t="str">
            <v>42-04-02-00-0010</v>
          </cell>
          <cell r="M18" t="str">
            <v>Silla computación ergonometrica con apoya brazos 5 ruedas color azul</v>
          </cell>
          <cell r="O18" t="str">
            <v>SILLAS</v>
          </cell>
          <cell r="P18">
            <v>46674</v>
          </cell>
          <cell r="T18" t="str">
            <v>Bueno</v>
          </cell>
          <cell r="U18" t="str">
            <v>N/T</v>
          </cell>
        </row>
        <row r="19">
          <cell r="J19" t="str">
            <v>42-04-02-00-0011</v>
          </cell>
          <cell r="K19" t="str">
            <v>42-2928</v>
          </cell>
          <cell r="L19" t="str">
            <v>42-04-02-00-0011</v>
          </cell>
          <cell r="M19" t="str">
            <v>Silla computación ergonometrica con apoya brazos 5 ruedas color azul</v>
          </cell>
          <cell r="O19" t="str">
            <v>SILLAS</v>
          </cell>
          <cell r="P19">
            <v>46674</v>
          </cell>
          <cell r="T19" t="str">
            <v>Bueno</v>
          </cell>
          <cell r="U19" t="str">
            <v>N/T</v>
          </cell>
        </row>
        <row r="20">
          <cell r="J20" t="str">
            <v>42-04-07-00-0012</v>
          </cell>
          <cell r="K20" t="str">
            <v>42-05</v>
          </cell>
          <cell r="L20" t="str">
            <v>42-04-07-00-0012</v>
          </cell>
          <cell r="M20" t="str">
            <v>Sofá confortable de madera tapizado con pergamoide color café</v>
          </cell>
          <cell r="O20" t="str">
            <v>OTROS</v>
          </cell>
          <cell r="P20">
            <v>95675</v>
          </cell>
          <cell r="T20" t="str">
            <v>Bueno</v>
          </cell>
          <cell r="U20" t="str">
            <v>N/T</v>
          </cell>
        </row>
        <row r="21">
          <cell r="J21" t="str">
            <v>42-04-07-00-0013</v>
          </cell>
          <cell r="K21" t="str">
            <v>42-10</v>
          </cell>
          <cell r="L21" t="str">
            <v>42-04-07-00-0013</v>
          </cell>
          <cell r="M21" t="str">
            <v>Papelero metálico color café</v>
          </cell>
          <cell r="O21" t="str">
            <v>OTROS</v>
          </cell>
          <cell r="P21">
            <v>5950</v>
          </cell>
          <cell r="T21" t="str">
            <v>Bueno</v>
          </cell>
          <cell r="U21" t="str">
            <v>N/T</v>
          </cell>
        </row>
        <row r="22">
          <cell r="J22" t="str">
            <v>42-04-07-00-0014</v>
          </cell>
          <cell r="K22" t="str">
            <v>42-3211</v>
          </cell>
          <cell r="L22" t="str">
            <v>42-04-07-00-0014</v>
          </cell>
          <cell r="M22" t="str">
            <v>Papelero metálico color café</v>
          </cell>
          <cell r="O22" t="str">
            <v>OTROS</v>
          </cell>
          <cell r="P22">
            <v>5950</v>
          </cell>
          <cell r="T22" t="str">
            <v>Bueno</v>
          </cell>
          <cell r="U22" t="str">
            <v>N/T</v>
          </cell>
        </row>
        <row r="23">
          <cell r="J23" t="str">
            <v>42-05-01-01-0015</v>
          </cell>
          <cell r="K23" t="str">
            <v>42-13B</v>
          </cell>
          <cell r="L23" t="str">
            <v>42-05-01-01-0015</v>
          </cell>
          <cell r="M23" t="str">
            <v>Pizarra blanca con borde aluminio 120x90 cms</v>
          </cell>
          <cell r="O23" t="str">
            <v>EQUIPO DE OFICINA</v>
          </cell>
          <cell r="P23">
            <v>29750</v>
          </cell>
          <cell r="T23" t="str">
            <v>Bueno</v>
          </cell>
          <cell r="U23" t="str">
            <v>N/T</v>
          </cell>
        </row>
        <row r="24">
          <cell r="J24" t="str">
            <v>42-05-01-01-0016</v>
          </cell>
          <cell r="K24" t="str">
            <v>42-2125</v>
          </cell>
          <cell r="L24" t="str">
            <v>42-05-01-01-0016</v>
          </cell>
          <cell r="M24" t="str">
            <v>Perforador marca Leitz 5008 color gris</v>
          </cell>
          <cell r="O24" t="str">
            <v>EQUIPO DE OFICINA</v>
          </cell>
          <cell r="P24">
            <v>5000</v>
          </cell>
          <cell r="T24" t="str">
            <v>Bueno</v>
          </cell>
          <cell r="U24" t="str">
            <v>Leitz</v>
          </cell>
        </row>
        <row r="25">
          <cell r="J25" t="str">
            <v>42-05-01-01-0017</v>
          </cell>
          <cell r="K25" t="str">
            <v>42-1955</v>
          </cell>
          <cell r="L25" t="str">
            <v>42-05-01-01-0017</v>
          </cell>
          <cell r="M25" t="str">
            <v>Citófono/ teléfono marca Nortel Network, Modelo 7000</v>
          </cell>
          <cell r="O25" t="str">
            <v>EQUIPO DE OFICINA</v>
          </cell>
          <cell r="P25">
            <v>36800</v>
          </cell>
          <cell r="T25" t="str">
            <v>Bueno</v>
          </cell>
          <cell r="U25" t="str">
            <v>Nortel</v>
          </cell>
        </row>
        <row r="26">
          <cell r="J26" t="str">
            <v>42-05-01-01-0018</v>
          </cell>
          <cell r="K26" t="str">
            <v>42-2022</v>
          </cell>
          <cell r="L26" t="str">
            <v>42-05-01-01-0018</v>
          </cell>
          <cell r="M26" t="str">
            <v>Citófono/ teléfono marca Nortel Network, Modelo 7000</v>
          </cell>
          <cell r="O26" t="str">
            <v>EQUIPO DE OFICINA</v>
          </cell>
          <cell r="P26">
            <v>36800</v>
          </cell>
          <cell r="T26" t="str">
            <v>Bueno</v>
          </cell>
          <cell r="U26" t="str">
            <v>Nortel</v>
          </cell>
        </row>
        <row r="27">
          <cell r="J27" t="str">
            <v>42-05-01-01-0019</v>
          </cell>
          <cell r="K27" t="str">
            <v>42-2908</v>
          </cell>
          <cell r="L27" t="str">
            <v>42-05-01-01-0019</v>
          </cell>
          <cell r="M27" t="str">
            <v>Radio CD marca RCA Mod. RCD 002 Cod. 0631</v>
          </cell>
          <cell r="O27" t="str">
            <v>EQUIPO DE OFICINA</v>
          </cell>
          <cell r="P27">
            <v>53710</v>
          </cell>
          <cell r="T27" t="str">
            <v>Regular</v>
          </cell>
          <cell r="U27" t="str">
            <v>RCA</v>
          </cell>
        </row>
        <row r="28">
          <cell r="J28" t="str">
            <v>42-05-01-01-0020</v>
          </cell>
          <cell r="K28" t="str">
            <v>42-16</v>
          </cell>
          <cell r="L28" t="str">
            <v>42-05-01-01-0020</v>
          </cell>
          <cell r="M28" t="str">
            <v>Reloj mural marca Sgvash</v>
          </cell>
          <cell r="O28" t="str">
            <v>EQUIPO DE OFICINA</v>
          </cell>
          <cell r="P28">
            <v>1500</v>
          </cell>
          <cell r="T28" t="str">
            <v>Bueno</v>
          </cell>
          <cell r="U28" t="str">
            <v>Sgvash</v>
          </cell>
        </row>
        <row r="29">
          <cell r="J29" t="str">
            <v>42-06-01-00-0021</v>
          </cell>
          <cell r="K29" t="str">
            <v>42-2918</v>
          </cell>
          <cell r="L29" t="str">
            <v>42-06-01-00-0021</v>
          </cell>
          <cell r="M29" t="str">
            <v>Impresora Hewlett Packard Laser Jet P1006 Mod. Nº BOISB-0605  S/Nº VNC4R14446</v>
          </cell>
          <cell r="O29" t="str">
            <v>EQUIPOS COMPUTACIONALES Y PERIFÉRICOS</v>
          </cell>
          <cell r="P29">
            <v>50000</v>
          </cell>
          <cell r="T29" t="str">
            <v>Bueno</v>
          </cell>
          <cell r="U29" t="str">
            <v xml:space="preserve">Packard </v>
          </cell>
        </row>
        <row r="30">
          <cell r="J30" t="str">
            <v>42-06-01-00-0022</v>
          </cell>
          <cell r="K30" t="str">
            <v>42-1660</v>
          </cell>
          <cell r="L30" t="str">
            <v>42-06-01-00-0022</v>
          </cell>
          <cell r="M30" t="str">
            <v>Scaner Agfa Mod. Snapscan e10 S/Nº 69BXA415S</v>
          </cell>
          <cell r="O30" t="str">
            <v>EQUIPOS COMPUTACIONALES Y PERIFÉRICOS</v>
          </cell>
          <cell r="P30">
            <v>32000</v>
          </cell>
          <cell r="T30" t="str">
            <v>Bueno</v>
          </cell>
          <cell r="U30" t="str">
            <v>Agfa</v>
          </cell>
        </row>
        <row r="31">
          <cell r="J31" t="str">
            <v>42-04-03-00-0023</v>
          </cell>
          <cell r="K31" t="str">
            <v>42-2916</v>
          </cell>
          <cell r="L31" t="str">
            <v>42-04-03-00-0023</v>
          </cell>
          <cell r="M31" t="str">
            <v>Estación de trabajo lateral para computador 1 bandeja, 1 cajón con llave 1 compartimento melamina color cerezo</v>
          </cell>
          <cell r="O31" t="str">
            <v>ESCRITORIOS</v>
          </cell>
          <cell r="P31">
            <v>295715</v>
          </cell>
          <cell r="T31" t="str">
            <v>Bueno</v>
          </cell>
          <cell r="U31" t="str">
            <v>N/T</v>
          </cell>
        </row>
        <row r="32">
          <cell r="J32" t="str">
            <v>42-04-01-00-0024</v>
          </cell>
          <cell r="K32" t="str">
            <v>42-1286</v>
          </cell>
          <cell r="L32" t="str">
            <v>42-04-01-00-0024</v>
          </cell>
          <cell r="M32" t="str">
            <v>Mesa 2 cajones barniz natural nogal 70x40x68 cms.</v>
          </cell>
          <cell r="O32" t="str">
            <v>MESAS</v>
          </cell>
          <cell r="P32">
            <v>89012</v>
          </cell>
          <cell r="T32" t="str">
            <v>Bueno</v>
          </cell>
          <cell r="U32" t="str">
            <v>N/T</v>
          </cell>
        </row>
        <row r="33">
          <cell r="J33" t="str">
            <v>42-04-06-00-0025</v>
          </cell>
          <cell r="K33" t="str">
            <v>42-2914</v>
          </cell>
          <cell r="L33" t="str">
            <v>42-04-06-00-0025</v>
          </cell>
          <cell r="M33" t="str">
            <v>Mueble biblioteca 5 compartimentos, 2 puertas con llave 80x46x180 cms. melamina color cerezo</v>
          </cell>
          <cell r="O33" t="str">
            <v>REPISA</v>
          </cell>
          <cell r="P33">
            <v>196405</v>
          </cell>
          <cell r="T33" t="str">
            <v>Bueno</v>
          </cell>
          <cell r="U33" t="str">
            <v>N/T</v>
          </cell>
        </row>
        <row r="34">
          <cell r="J34" t="str">
            <v>42-04-06-00-0026</v>
          </cell>
          <cell r="K34" t="str">
            <v>42-2917</v>
          </cell>
          <cell r="L34" t="str">
            <v>42-04-06-00-0026</v>
          </cell>
          <cell r="M34" t="str">
            <v>Mueble mural 8 compartimentos, 4 puertas con llave 160x39x80 cms. melamina color cerezo</v>
          </cell>
          <cell r="O34" t="str">
            <v>REPISA</v>
          </cell>
          <cell r="P34">
            <v>298080</v>
          </cell>
          <cell r="T34" t="str">
            <v>Bueno</v>
          </cell>
          <cell r="U34" t="str">
            <v>N/T</v>
          </cell>
        </row>
        <row r="35">
          <cell r="J35" t="str">
            <v>42-05-01-01-0027</v>
          </cell>
          <cell r="K35" t="str">
            <v>42-24</v>
          </cell>
          <cell r="L35" t="str">
            <v>42-05-01-01-0027</v>
          </cell>
          <cell r="M35" t="str">
            <v>Perforador extra fuerte metálico</v>
          </cell>
          <cell r="O35" t="str">
            <v>EQUIPO DE OFICINA</v>
          </cell>
          <cell r="P35">
            <v>4110</v>
          </cell>
          <cell r="T35" t="str">
            <v>Bueno</v>
          </cell>
          <cell r="U35" t="str">
            <v>N/T</v>
          </cell>
        </row>
        <row r="36">
          <cell r="J36" t="str">
            <v>42-04-06-00-0028</v>
          </cell>
          <cell r="K36" t="str">
            <v>42-2699</v>
          </cell>
          <cell r="L36" t="str">
            <v>42-04-06-00-0028</v>
          </cell>
          <cell r="M36" t="str">
            <v>Repisa melamina blanca con soportes metalicos 37x32 cms.</v>
          </cell>
          <cell r="O36" t="str">
            <v>REPISA</v>
          </cell>
          <cell r="P36">
            <v>35503</v>
          </cell>
          <cell r="T36" t="str">
            <v>Bueno</v>
          </cell>
          <cell r="U36" t="str">
            <v>N/T</v>
          </cell>
        </row>
        <row r="37">
          <cell r="J37" t="str">
            <v>42-04-02-00-0029</v>
          </cell>
          <cell r="K37" t="str">
            <v>42-2915</v>
          </cell>
          <cell r="L37" t="str">
            <v>42-04-02-00-0029</v>
          </cell>
          <cell r="M37" t="str">
            <v>Silla ergonometrica computación con apoya brazos 5 ruedas color azul</v>
          </cell>
          <cell r="O37" t="str">
            <v>SILLAS</v>
          </cell>
          <cell r="P37">
            <v>42500</v>
          </cell>
          <cell r="T37" t="str">
            <v>Bueno</v>
          </cell>
          <cell r="U37" t="str">
            <v>N/T</v>
          </cell>
        </row>
        <row r="38">
          <cell r="J38" t="str">
            <v>42-04-02-00-0030</v>
          </cell>
          <cell r="K38" t="str">
            <v>42-06</v>
          </cell>
          <cell r="L38" t="str">
            <v>42-04-02-00-0030</v>
          </cell>
          <cell r="M38" t="str">
            <v>Silla de madera con asiento y respaldo tapizado en tevinil color café</v>
          </cell>
          <cell r="O38" t="str">
            <v>SILLAS</v>
          </cell>
          <cell r="P38">
            <v>42500</v>
          </cell>
          <cell r="T38" t="str">
            <v>Bueno</v>
          </cell>
          <cell r="U38" t="str">
            <v>N/T</v>
          </cell>
        </row>
        <row r="39">
          <cell r="J39" t="str">
            <v>42-04-02-00-0031</v>
          </cell>
          <cell r="K39" t="str">
            <v>42-62</v>
          </cell>
          <cell r="L39" t="str">
            <v>42-04-02-00-0031</v>
          </cell>
          <cell r="M39" t="str">
            <v>Silla mixta tapizada en tevinil crema</v>
          </cell>
          <cell r="O39" t="str">
            <v>SILLAS</v>
          </cell>
          <cell r="P39">
            <v>42500</v>
          </cell>
          <cell r="T39" t="str">
            <v>Bueno</v>
          </cell>
          <cell r="U39" t="str">
            <v>N/T</v>
          </cell>
        </row>
        <row r="40">
          <cell r="J40" t="str">
            <v>42-05-01-01-0032</v>
          </cell>
          <cell r="K40" t="str">
            <v>42-2130</v>
          </cell>
          <cell r="L40" t="str">
            <v>42-05-01-01-0032</v>
          </cell>
          <cell r="M40" t="str">
            <v>Corchetera remachadora Semi profesional marca KW-Trio Mod. Nº 50SA</v>
          </cell>
          <cell r="O40" t="str">
            <v>EQUIPO DE OFICINA</v>
          </cell>
          <cell r="P40">
            <v>3500</v>
          </cell>
          <cell r="T40" t="str">
            <v>Bueno</v>
          </cell>
          <cell r="U40" t="str">
            <v>Kw- Trio</v>
          </cell>
        </row>
        <row r="41">
          <cell r="J41" t="str">
            <v>42-05-01-01-0033</v>
          </cell>
          <cell r="K41" t="str">
            <v>42-2131</v>
          </cell>
          <cell r="L41" t="str">
            <v>42-05-01-01-0033</v>
          </cell>
          <cell r="M41" t="str">
            <v>Pizarra blanca 50x70 cms.</v>
          </cell>
          <cell r="O41" t="str">
            <v>EQUIPO DE OFICINA</v>
          </cell>
          <cell r="P41">
            <v>29750</v>
          </cell>
          <cell r="T41" t="str">
            <v>Bueno</v>
          </cell>
          <cell r="U41" t="str">
            <v>N/T</v>
          </cell>
        </row>
        <row r="42">
          <cell r="J42" t="str">
            <v>42-05-01-01-0034</v>
          </cell>
          <cell r="K42" t="str">
            <v>42-1593</v>
          </cell>
          <cell r="L42" t="str">
            <v>42-05-01-01-0034</v>
          </cell>
          <cell r="M42" t="str">
            <v>Equipo transmisor y receptor de Fax marca Brother Modelo Fax255 S/Nº U56471DOK603620</v>
          </cell>
          <cell r="O42" t="str">
            <v>EQUIPO DE OFICINA</v>
          </cell>
          <cell r="P42">
            <v>36000</v>
          </cell>
          <cell r="T42" t="str">
            <v>Regular</v>
          </cell>
          <cell r="U42" t="str">
            <v>Brother</v>
          </cell>
        </row>
        <row r="43">
          <cell r="J43" t="str">
            <v>42-05-01-01-0035</v>
          </cell>
          <cell r="K43" t="str">
            <v>42-2026</v>
          </cell>
          <cell r="L43" t="str">
            <v>42-05-01-01-0035</v>
          </cell>
          <cell r="M43" t="str">
            <v>Central telefónica marca Nortel Network Mod. NT 8B27JAAA</v>
          </cell>
          <cell r="O43" t="str">
            <v>EQUIPO DE OFICINA</v>
          </cell>
          <cell r="P43">
            <v>47000</v>
          </cell>
          <cell r="T43" t="str">
            <v>Bueno</v>
          </cell>
          <cell r="U43" t="str">
            <v>Nortel</v>
          </cell>
        </row>
        <row r="44">
          <cell r="J44" t="str">
            <v>42-05-01-01-0036</v>
          </cell>
          <cell r="K44" t="str">
            <v>42-2028</v>
          </cell>
          <cell r="L44" t="str">
            <v>42-05-01-01-0036</v>
          </cell>
          <cell r="M44" t="str">
            <v>Reloj crono termostato HP 510</v>
          </cell>
          <cell r="O44" t="str">
            <v>EQUIPO DE OFICINA</v>
          </cell>
          <cell r="P44">
            <v>28500</v>
          </cell>
          <cell r="T44" t="str">
            <v>Bueno</v>
          </cell>
          <cell r="U44" t="str">
            <v>N/T</v>
          </cell>
        </row>
        <row r="45">
          <cell r="J45" t="str">
            <v>42-04-07-00-0037</v>
          </cell>
          <cell r="K45" t="str">
            <v>42-39</v>
          </cell>
          <cell r="L45" t="str">
            <v>42-04-07-00-0037</v>
          </cell>
          <cell r="M45" t="str">
            <v>Banca de madera color gris con respaldo</v>
          </cell>
          <cell r="O45" t="str">
            <v>OTROS</v>
          </cell>
          <cell r="P45">
            <v>79011</v>
          </cell>
          <cell r="T45" t="str">
            <v>Bueno</v>
          </cell>
          <cell r="U45" t="str">
            <v>N/T</v>
          </cell>
        </row>
        <row r="46">
          <cell r="J46" t="str">
            <v>42-04-07-00-0038</v>
          </cell>
          <cell r="K46" t="str">
            <v>42-175</v>
          </cell>
          <cell r="L46" t="str">
            <v>42-04-07-00-0038</v>
          </cell>
          <cell r="M46" t="str">
            <v>Banca mixta color plomo</v>
          </cell>
          <cell r="O46" t="str">
            <v>OTROS</v>
          </cell>
          <cell r="P46">
            <v>79011</v>
          </cell>
          <cell r="T46" t="str">
            <v>Bueno</v>
          </cell>
          <cell r="U46" t="str">
            <v>N/T</v>
          </cell>
        </row>
        <row r="47">
          <cell r="J47" t="str">
            <v>42-04-07-00-0039</v>
          </cell>
          <cell r="K47" t="str">
            <v>42-281</v>
          </cell>
          <cell r="L47" t="str">
            <v>42-04-07-00-0039</v>
          </cell>
          <cell r="M47" t="str">
            <v>Banca madera con estructura metálica color plomo</v>
          </cell>
          <cell r="O47" t="str">
            <v>OTROS</v>
          </cell>
          <cell r="P47">
            <v>79011</v>
          </cell>
          <cell r="T47" t="str">
            <v>Bueno</v>
          </cell>
          <cell r="U47" t="str">
            <v>N/T</v>
          </cell>
        </row>
        <row r="48">
          <cell r="J48" t="str">
            <v>42-04-07-00-0040</v>
          </cell>
          <cell r="K48" t="str">
            <v>42-280</v>
          </cell>
          <cell r="L48" t="str">
            <v>42-04-07-00-0040</v>
          </cell>
          <cell r="M48" t="str">
            <v>Banca madera con estructura metálica color rojo</v>
          </cell>
          <cell r="O48" t="str">
            <v>OTROS</v>
          </cell>
          <cell r="P48">
            <v>79011</v>
          </cell>
          <cell r="T48" t="str">
            <v>Bueno</v>
          </cell>
          <cell r="U48" t="str">
            <v>N/T</v>
          </cell>
        </row>
        <row r="49">
          <cell r="J49" t="str">
            <v>42-04-07-00-0041</v>
          </cell>
          <cell r="K49" t="str">
            <v>42-271</v>
          </cell>
          <cell r="L49" t="str">
            <v>42-04-07-00-0041</v>
          </cell>
          <cell r="M49" t="str">
            <v>Banca mixta con respaldo color plomo</v>
          </cell>
          <cell r="O49" t="str">
            <v>OTROS</v>
          </cell>
          <cell r="P49">
            <v>79011</v>
          </cell>
          <cell r="T49" t="str">
            <v>Bueno</v>
          </cell>
          <cell r="U49" t="str">
            <v>N/T</v>
          </cell>
        </row>
        <row r="50">
          <cell r="J50" t="str">
            <v>42-04-07-00-0042</v>
          </cell>
          <cell r="K50" t="str">
            <v>42-2469</v>
          </cell>
          <cell r="L50" t="str">
            <v>42-04-07-00-0042</v>
          </cell>
          <cell r="M50" t="str">
            <v>Banca mixta con respaldo color plomo</v>
          </cell>
          <cell r="O50" t="str">
            <v>OTROS</v>
          </cell>
          <cell r="P50">
            <v>79011</v>
          </cell>
          <cell r="T50" t="str">
            <v>Bueno</v>
          </cell>
          <cell r="U50" t="str">
            <v>N/T</v>
          </cell>
        </row>
        <row r="51">
          <cell r="J51" t="str">
            <v>42-04-07-00-0043</v>
          </cell>
          <cell r="K51" t="str">
            <v>42-2139</v>
          </cell>
          <cell r="L51" t="str">
            <v>42-04-07-00-0043</v>
          </cell>
          <cell r="M51" t="str">
            <v>Banquetas de polipropileno con 3 asientos color azul</v>
          </cell>
          <cell r="O51" t="str">
            <v>OTROS</v>
          </cell>
          <cell r="P51">
            <v>45823</v>
          </cell>
          <cell r="T51" t="str">
            <v>Bueno</v>
          </cell>
          <cell r="U51" t="str">
            <v>N/T</v>
          </cell>
        </row>
        <row r="52">
          <cell r="J52" t="str">
            <v>42-04-07-00-0044</v>
          </cell>
          <cell r="K52" t="str">
            <v>42-2143</v>
          </cell>
          <cell r="L52" t="str">
            <v>42-04-07-00-0044</v>
          </cell>
          <cell r="M52" t="str">
            <v>Banquetas de polipropileno con 3 asientos color azul</v>
          </cell>
          <cell r="O52" t="str">
            <v>OTROS</v>
          </cell>
          <cell r="P52">
            <v>45823</v>
          </cell>
          <cell r="T52" t="str">
            <v>Bueno</v>
          </cell>
          <cell r="U52" t="str">
            <v>N/T</v>
          </cell>
        </row>
        <row r="53">
          <cell r="J53" t="str">
            <v>42-04-07-00-0045</v>
          </cell>
          <cell r="K53" t="str">
            <v>42-2144</v>
          </cell>
          <cell r="L53" t="str">
            <v>42-04-07-00-0045</v>
          </cell>
          <cell r="M53" t="str">
            <v>Banquetas de polipropileno con 3 asientos color azul</v>
          </cell>
          <cell r="O53" t="str">
            <v>OTROS</v>
          </cell>
          <cell r="P53">
            <v>45823</v>
          </cell>
          <cell r="T53" t="str">
            <v>Bueno</v>
          </cell>
          <cell r="U53" t="str">
            <v>N/T</v>
          </cell>
        </row>
        <row r="54">
          <cell r="J54" t="str">
            <v>42-04-07-00-0046</v>
          </cell>
          <cell r="K54" t="str">
            <v>42-2142</v>
          </cell>
          <cell r="L54" t="str">
            <v>42-04-07-00-0046</v>
          </cell>
          <cell r="M54" t="str">
            <v>Banquetas de polipropileno con 3 asientos color azul</v>
          </cell>
          <cell r="O54" t="str">
            <v>OTROS</v>
          </cell>
          <cell r="P54">
            <v>45823</v>
          </cell>
          <cell r="T54" t="str">
            <v>Bueno</v>
          </cell>
          <cell r="U54" t="str">
            <v>N/T</v>
          </cell>
        </row>
        <row r="55">
          <cell r="J55" t="str">
            <v>42-04-07-00-0047</v>
          </cell>
          <cell r="K55" t="str">
            <v>42-2140</v>
          </cell>
          <cell r="L55" t="str">
            <v>42-04-07-00-0047</v>
          </cell>
          <cell r="M55" t="str">
            <v>Banquetas de polipropileno con 3 asientos color azul</v>
          </cell>
          <cell r="O55" t="str">
            <v>OTROS</v>
          </cell>
          <cell r="P55">
            <v>45823</v>
          </cell>
          <cell r="T55" t="str">
            <v>Bueno</v>
          </cell>
          <cell r="U55" t="str">
            <v>N/T</v>
          </cell>
        </row>
        <row r="56">
          <cell r="J56" t="str">
            <v>42-04-07-00-0048</v>
          </cell>
          <cell r="K56" t="str">
            <v>42-2145</v>
          </cell>
          <cell r="L56" t="str">
            <v>42-04-07-00-0048</v>
          </cell>
          <cell r="M56" t="str">
            <v>Banquetas de polipropileno con 3 asientos color azul</v>
          </cell>
          <cell r="O56" t="str">
            <v>OTROS</v>
          </cell>
          <cell r="P56">
            <v>45823</v>
          </cell>
          <cell r="T56" t="str">
            <v>Bueno</v>
          </cell>
          <cell r="U56" t="str">
            <v>N/T</v>
          </cell>
        </row>
        <row r="57">
          <cell r="J57" t="str">
            <v>42-04-07-00-0049</v>
          </cell>
          <cell r="K57" t="str">
            <v>42-2141</v>
          </cell>
          <cell r="L57" t="str">
            <v>42-04-07-00-0049</v>
          </cell>
          <cell r="M57" t="str">
            <v>Banquetas de polipropileno con 3 asientos color azul</v>
          </cell>
          <cell r="O57" t="str">
            <v>OTROS</v>
          </cell>
          <cell r="P57">
            <v>45823</v>
          </cell>
          <cell r="T57" t="str">
            <v>Bueno</v>
          </cell>
          <cell r="U57" t="str">
            <v>N/T</v>
          </cell>
        </row>
        <row r="58">
          <cell r="J58" t="str">
            <v>42-04-07-00-0050</v>
          </cell>
          <cell r="K58" t="str">
            <v>42-2029</v>
          </cell>
          <cell r="L58" t="str">
            <v>42-04-07-00-0050</v>
          </cell>
          <cell r="M58" t="str">
            <v>Dispensador papel higiénico marca Pisa</v>
          </cell>
          <cell r="O58" t="str">
            <v>OTROS</v>
          </cell>
          <cell r="P58">
            <v>10000</v>
          </cell>
          <cell r="T58" t="str">
            <v>Bueno</v>
          </cell>
          <cell r="U58" t="str">
            <v>N/T</v>
          </cell>
        </row>
        <row r="59">
          <cell r="J59" t="str">
            <v>42-04-07-00-0051</v>
          </cell>
          <cell r="K59" t="str">
            <v>42-2030</v>
          </cell>
          <cell r="L59" t="str">
            <v>42-04-07-00-0051</v>
          </cell>
          <cell r="M59" t="str">
            <v>Dispensador jabón marca Pisa</v>
          </cell>
          <cell r="O59" t="str">
            <v>OTROS</v>
          </cell>
          <cell r="P59">
            <v>17000</v>
          </cell>
          <cell r="T59" t="str">
            <v>Bueno</v>
          </cell>
          <cell r="U59" t="str">
            <v>N/T</v>
          </cell>
        </row>
        <row r="60">
          <cell r="J60" t="str">
            <v>42-04-07-00-0052</v>
          </cell>
          <cell r="K60" t="str">
            <v>42-2032</v>
          </cell>
          <cell r="L60" t="str">
            <v>42-04-07-00-0052</v>
          </cell>
          <cell r="M60" t="str">
            <v>Espejo marco madera 50x40 cms.</v>
          </cell>
          <cell r="O60" t="str">
            <v>OTROS</v>
          </cell>
          <cell r="P60">
            <v>5000</v>
          </cell>
          <cell r="T60" t="str">
            <v>Bueno</v>
          </cell>
          <cell r="U60" t="str">
            <v>N/T</v>
          </cell>
        </row>
        <row r="61">
          <cell r="J61" t="str">
            <v>42-04-06-00-0053</v>
          </cell>
          <cell r="K61" t="str">
            <v>42-244</v>
          </cell>
          <cell r="L61" t="str">
            <v>42-04-06-00-0053</v>
          </cell>
          <cell r="M61" t="str">
            <v>Mueble trupan natural con 1 puerta</v>
          </cell>
          <cell r="O61" t="str">
            <v>REPISA</v>
          </cell>
          <cell r="P61">
            <v>257000</v>
          </cell>
          <cell r="T61" t="str">
            <v>Bueno</v>
          </cell>
          <cell r="U61" t="str">
            <v>N/T</v>
          </cell>
        </row>
        <row r="62">
          <cell r="J62" t="str">
            <v>42-05-01-01-0054</v>
          </cell>
          <cell r="K62" t="str">
            <v>42-2034</v>
          </cell>
          <cell r="L62" t="str">
            <v>42-05-01-01-0054</v>
          </cell>
          <cell r="M62" t="str">
            <v>Calculadora chica marca Casine color beige</v>
          </cell>
          <cell r="O62" t="str">
            <v>EQUIPO DE OFICINA</v>
          </cell>
          <cell r="P62">
            <v>7000</v>
          </cell>
          <cell r="T62" t="str">
            <v>Bueno</v>
          </cell>
          <cell r="U62" t="str">
            <v>Casine</v>
          </cell>
        </row>
        <row r="63">
          <cell r="J63" t="str">
            <v>42-05-01-01-0055</v>
          </cell>
          <cell r="K63" t="str">
            <v>42-2969</v>
          </cell>
          <cell r="L63" t="str">
            <v>42-05-01-01-0055</v>
          </cell>
          <cell r="M63" t="str">
            <v>Extractor de aire marca Teka</v>
          </cell>
          <cell r="O63" t="str">
            <v>EQUIPO DE OFICINA</v>
          </cell>
          <cell r="P63">
            <v>25000</v>
          </cell>
          <cell r="T63" t="str">
            <v>Bueno</v>
          </cell>
          <cell r="U63" t="str">
            <v>Teka</v>
          </cell>
        </row>
        <row r="64">
          <cell r="J64" t="str">
            <v>42-05-01-01-0056</v>
          </cell>
          <cell r="K64" t="str">
            <v>42-2035</v>
          </cell>
          <cell r="L64" t="str">
            <v>42-05-01-01-0056</v>
          </cell>
          <cell r="M64" t="str">
            <v>Radio CD marca RCA Mod. RCD 002</v>
          </cell>
          <cell r="O64" t="str">
            <v>EQUIPO DE OFICINA</v>
          </cell>
          <cell r="P64">
            <v>53718</v>
          </cell>
          <cell r="T64" t="str">
            <v>Bueno</v>
          </cell>
          <cell r="U64" t="str">
            <v>RCA</v>
          </cell>
        </row>
        <row r="65">
          <cell r="J65" t="str">
            <v>42-05-01-01-0057</v>
          </cell>
          <cell r="K65" t="str">
            <v>42-2045</v>
          </cell>
          <cell r="L65" t="str">
            <v>42-05-01-01-0057</v>
          </cell>
          <cell r="M65" t="str">
            <v>Caja de seguirdad SR 8811 Cash Box 21X14X7.5 cm</v>
          </cell>
          <cell r="O65" t="str">
            <v>EQUIPO DE OFICINA</v>
          </cell>
          <cell r="P65">
            <v>45212</v>
          </cell>
          <cell r="T65" t="str">
            <v>Bueno</v>
          </cell>
          <cell r="U65" t="str">
            <v>N/T</v>
          </cell>
        </row>
        <row r="66">
          <cell r="J66" t="str">
            <v>42-04-03-00-0058</v>
          </cell>
          <cell r="K66" t="str">
            <v>42-43</v>
          </cell>
          <cell r="L66" t="str">
            <v>42-04-03-00-0058</v>
          </cell>
          <cell r="M66" t="str">
            <v>Escritorio madera barniz natural 120x75x75 cms. 2 cajones</v>
          </cell>
          <cell r="O66" t="str">
            <v>ESCRITORIOS</v>
          </cell>
          <cell r="P66">
            <v>77350</v>
          </cell>
          <cell r="T66" t="str">
            <v>Bueno</v>
          </cell>
          <cell r="U66" t="str">
            <v>N/T</v>
          </cell>
        </row>
        <row r="67">
          <cell r="J67" t="str">
            <v>42-04-02-00-0059</v>
          </cell>
          <cell r="K67" t="str">
            <v>42-1228</v>
          </cell>
          <cell r="L67" t="str">
            <v>42-04-02-00-0059</v>
          </cell>
          <cell r="M67" t="str">
            <v>Silla Comput G lift, 5 ruedas color azul</v>
          </cell>
          <cell r="O67" t="str">
            <v>SILLAS</v>
          </cell>
          <cell r="P67">
            <v>42500</v>
          </cell>
          <cell r="T67" t="str">
            <v>Bueno</v>
          </cell>
          <cell r="U67" t="str">
            <v>N/T</v>
          </cell>
        </row>
        <row r="68">
          <cell r="J68" t="str">
            <v>42-05-01-01-0060</v>
          </cell>
          <cell r="K68" t="str">
            <v>42-1582</v>
          </cell>
          <cell r="L68" t="str">
            <v>42-05-01-01-0060</v>
          </cell>
          <cell r="M68" t="str">
            <v>Perforador metálico color plomo</v>
          </cell>
          <cell r="O68" t="str">
            <v>EQUIPO DE OFICINA</v>
          </cell>
          <cell r="P68">
            <v>3500</v>
          </cell>
          <cell r="T68" t="str">
            <v>Bueno</v>
          </cell>
          <cell r="U68" t="str">
            <v>N/T</v>
          </cell>
        </row>
        <row r="69">
          <cell r="J69" t="str">
            <v>42-04-05-00-0061</v>
          </cell>
          <cell r="K69" t="str">
            <v>42-1550</v>
          </cell>
          <cell r="L69" t="str">
            <v>42-04-05-00-0061</v>
          </cell>
          <cell r="M69" t="str">
            <v>Kardex de madera de Eucaliptus con 3 compartimentos y correderas metálicas.</v>
          </cell>
          <cell r="O69" t="str">
            <v>KARDEX</v>
          </cell>
          <cell r="P69">
            <v>149671</v>
          </cell>
          <cell r="T69" t="str">
            <v>Bueno</v>
          </cell>
          <cell r="U69" t="str">
            <v>N/T</v>
          </cell>
        </row>
        <row r="70">
          <cell r="J70" t="str">
            <v>42-04-03-00-0062</v>
          </cell>
          <cell r="K70" t="str">
            <v>42-3268</v>
          </cell>
          <cell r="L70" t="str">
            <v>42-04-03-00-0062</v>
          </cell>
          <cell r="M70" t="str">
            <v>Escritorio computación 1 cajón c/llave, 1 bandeja melamina color cerezo con plomo</v>
          </cell>
          <cell r="O70" t="str">
            <v>ESCRITORIOS</v>
          </cell>
          <cell r="P70">
            <v>83300</v>
          </cell>
          <cell r="T70" t="str">
            <v>Bueno</v>
          </cell>
          <cell r="U70" t="str">
            <v>N/T</v>
          </cell>
        </row>
        <row r="71">
          <cell r="J71" t="str">
            <v>42-04-06-00-0063</v>
          </cell>
          <cell r="K71" t="str">
            <v>42-2968</v>
          </cell>
          <cell r="L71" t="str">
            <v>42-04-06-00-0063</v>
          </cell>
          <cell r="M71" t="str">
            <v>Mueble masisa enchapada 3 compartimentos 2 puertas correderas  149x50x219 cms.</v>
          </cell>
          <cell r="O71" t="str">
            <v>REPISA</v>
          </cell>
          <cell r="P71">
            <v>96511</v>
          </cell>
          <cell r="T71" t="str">
            <v>Bueno</v>
          </cell>
          <cell r="U71" t="str">
            <v>N/T</v>
          </cell>
        </row>
        <row r="72">
          <cell r="J72" t="str">
            <v>42-04-07-00-0064</v>
          </cell>
          <cell r="K72" t="str">
            <v>42-10 B</v>
          </cell>
          <cell r="L72" t="str">
            <v>42-04-07-00-0064</v>
          </cell>
          <cell r="M72" t="str">
            <v>Papelero metalico color café</v>
          </cell>
          <cell r="O72" t="str">
            <v>OTROS</v>
          </cell>
          <cell r="P72">
            <v>3000</v>
          </cell>
          <cell r="T72" t="str">
            <v>Bueno</v>
          </cell>
          <cell r="U72" t="str">
            <v>N/T</v>
          </cell>
        </row>
        <row r="73">
          <cell r="J73" t="str">
            <v>42-05-01-01-0065</v>
          </cell>
          <cell r="K73" t="str">
            <v>42-2789</v>
          </cell>
          <cell r="L73" t="str">
            <v>42-05-01-01-0065</v>
          </cell>
          <cell r="M73" t="str">
            <v>Pizarra magnética marco aluminio de 150x100 cms.</v>
          </cell>
          <cell r="O73" t="str">
            <v>EQUIPO DE OFICINA</v>
          </cell>
          <cell r="P73">
            <v>29750</v>
          </cell>
          <cell r="T73" t="str">
            <v>Bueno</v>
          </cell>
          <cell r="U73" t="str">
            <v>N/T</v>
          </cell>
        </row>
        <row r="74">
          <cell r="J74" t="str">
            <v>42-04-02-00-0066</v>
          </cell>
          <cell r="K74" t="str">
            <v>42-903</v>
          </cell>
          <cell r="L74" t="str">
            <v>42-04-02-00-0066</v>
          </cell>
          <cell r="M74" t="str">
            <v>Silla de madera con asiento y respaldo tapizado en tevinil color café</v>
          </cell>
          <cell r="O74" t="str">
            <v>SILLAS</v>
          </cell>
          <cell r="P74">
            <v>17850</v>
          </cell>
          <cell r="T74" t="str">
            <v>Bueno</v>
          </cell>
          <cell r="U74" t="str">
            <v>N/T</v>
          </cell>
        </row>
        <row r="75">
          <cell r="J75" t="str">
            <v>42-04-02-00-0067</v>
          </cell>
          <cell r="K75" t="str">
            <v>42-07</v>
          </cell>
          <cell r="L75" t="str">
            <v>42-04-02-00-0067</v>
          </cell>
          <cell r="M75" t="str">
            <v>Silla de madera con asiento y respaldo tapizado en tevinil color café</v>
          </cell>
          <cell r="O75" t="str">
            <v>SILLAS</v>
          </cell>
          <cell r="P75">
            <v>17850</v>
          </cell>
          <cell r="T75" t="str">
            <v>Bueno</v>
          </cell>
          <cell r="U75" t="str">
            <v>N/T</v>
          </cell>
        </row>
        <row r="76">
          <cell r="J76" t="str">
            <v>42-05-01-01-0068</v>
          </cell>
          <cell r="K76" t="str">
            <v>42-1968</v>
          </cell>
          <cell r="L76" t="str">
            <v>42-05-01-01-0068</v>
          </cell>
          <cell r="M76" t="str">
            <v>Citófono/ teléfono marca Nortel Network, Modelo 7000</v>
          </cell>
          <cell r="O76" t="str">
            <v>EQUIPO DE OFICINA</v>
          </cell>
          <cell r="P76">
            <v>36800</v>
          </cell>
          <cell r="T76" t="str">
            <v>Bueno</v>
          </cell>
          <cell r="U76" t="str">
            <v>Nortel Network</v>
          </cell>
        </row>
        <row r="77">
          <cell r="J77" t="str">
            <v>42-05-01-01-0069</v>
          </cell>
          <cell r="K77" t="str">
            <v>42-55</v>
          </cell>
          <cell r="L77" t="str">
            <v>42-05-01-01-0069</v>
          </cell>
          <cell r="M77" t="str">
            <v>Calculadora eléctrica marca Ta-Triumph-Adler 1121 PD Carat</v>
          </cell>
          <cell r="O77" t="str">
            <v>EQUIPO DE OFICINA</v>
          </cell>
          <cell r="P77">
            <v>55000</v>
          </cell>
          <cell r="T77" t="str">
            <v>Bueno</v>
          </cell>
          <cell r="U77" t="str">
            <v>Ta- triumph- adler</v>
          </cell>
        </row>
        <row r="78">
          <cell r="J78" t="str">
            <v>42-05-01-01-0070</v>
          </cell>
          <cell r="K78" t="str">
            <v>42-2455</v>
          </cell>
          <cell r="L78" t="str">
            <v>42-05-01-01-0070</v>
          </cell>
          <cell r="M78" t="str">
            <v>Calculadora marca Aurora Mod. DT 393</v>
          </cell>
          <cell r="O78" t="str">
            <v>EQUIPO DE OFICINA</v>
          </cell>
          <cell r="P78">
            <v>5000</v>
          </cell>
          <cell r="T78" t="str">
            <v>Bueno</v>
          </cell>
          <cell r="U78" t="str">
            <v>Aurora</v>
          </cell>
        </row>
        <row r="79">
          <cell r="J79" t="str">
            <v>42-05-01-01-0071</v>
          </cell>
          <cell r="K79" t="str">
            <v>42-3190</v>
          </cell>
          <cell r="L79" t="str">
            <v>42-05-01-01-0071</v>
          </cell>
          <cell r="M79" t="str">
            <v>Calculadora marca Casio Mod. MS 20TV-W Nº 20-3817-2880-8722-7306</v>
          </cell>
          <cell r="O79" t="str">
            <v>EQUIPO DE OFICINA</v>
          </cell>
          <cell r="P79">
            <v>5000</v>
          </cell>
          <cell r="T79" t="str">
            <v>Bueno</v>
          </cell>
          <cell r="U79" t="str">
            <v>Casio</v>
          </cell>
        </row>
        <row r="80">
          <cell r="J80" t="str">
            <v>42-05-01-01-0072</v>
          </cell>
          <cell r="K80" t="str">
            <v>42-2033</v>
          </cell>
          <cell r="L80" t="str">
            <v>42-05-01-01-0072</v>
          </cell>
          <cell r="M80" t="str">
            <v>Calculadora marca Casine color beige</v>
          </cell>
          <cell r="O80" t="str">
            <v>EQUIPO DE OFICINA</v>
          </cell>
          <cell r="P80">
            <v>5000</v>
          </cell>
          <cell r="T80" t="str">
            <v>Bueno</v>
          </cell>
          <cell r="U80" t="str">
            <v>Casine</v>
          </cell>
        </row>
        <row r="81">
          <cell r="J81" t="str">
            <v>42-05-01-01-0073</v>
          </cell>
          <cell r="K81" t="str">
            <v>42-1583</v>
          </cell>
          <cell r="L81" t="str">
            <v>42-05-01-01-0073</v>
          </cell>
          <cell r="M81" t="str">
            <v>Calculadora marca Casio mod. MS - 7</v>
          </cell>
          <cell r="O81" t="str">
            <v>EQUIPO DE OFICINA</v>
          </cell>
          <cell r="P81">
            <v>7000</v>
          </cell>
          <cell r="T81" t="str">
            <v>Bueno</v>
          </cell>
          <cell r="U81" t="str">
            <v>Casio</v>
          </cell>
        </row>
        <row r="82">
          <cell r="J82" t="str">
            <v>42-05-01-01-0074</v>
          </cell>
          <cell r="K82" t="str">
            <v>42-57</v>
          </cell>
          <cell r="L82" t="str">
            <v>42-05-01-01-0074</v>
          </cell>
          <cell r="M82" t="str">
            <v>Máquina de escribir marca Olympia, color gris</v>
          </cell>
          <cell r="O82" t="str">
            <v>EQUIPO DE OFICINA</v>
          </cell>
          <cell r="P82">
            <v>70000</v>
          </cell>
          <cell r="T82" t="str">
            <v>Bueno</v>
          </cell>
          <cell r="U82" t="str">
            <v>Olympia</v>
          </cell>
        </row>
        <row r="83">
          <cell r="J83" t="str">
            <v>42-05-01-01-0075</v>
          </cell>
          <cell r="K83" t="str">
            <v>42-1800</v>
          </cell>
          <cell r="L83" t="str">
            <v>42-05-01-01-0075</v>
          </cell>
          <cell r="M83" t="str">
            <v>Máquina detectora de billetes falsos eléctrica mod. MD 128</v>
          </cell>
          <cell r="O83" t="str">
            <v>EQUIPO DE OFICINA</v>
          </cell>
          <cell r="P83">
            <v>35250</v>
          </cell>
          <cell r="T83" t="str">
            <v>Bueno</v>
          </cell>
          <cell r="U83" t="str">
            <v>N/T</v>
          </cell>
        </row>
        <row r="84">
          <cell r="J84" t="str">
            <v>42-06-01-00-0076</v>
          </cell>
          <cell r="K84" t="str">
            <v>42-3378</v>
          </cell>
          <cell r="L84" t="str">
            <v>42-06-01-00-0076</v>
          </cell>
          <cell r="M84" t="str">
            <v>Mouse Genius Mod. Netscroll 120 S/Nº147802809085</v>
          </cell>
          <cell r="O84" t="str">
            <v>EQUIPOS COMPUTACIONALES Y PERIFÉRICOS</v>
          </cell>
          <cell r="P84">
            <v>3000</v>
          </cell>
          <cell r="T84" t="str">
            <v>Bueno</v>
          </cell>
          <cell r="U84" t="str">
            <v>Olidata</v>
          </cell>
        </row>
        <row r="85">
          <cell r="J85" t="str">
            <v>42-06-01-00-0077</v>
          </cell>
          <cell r="K85" t="str">
            <v>42-3455</v>
          </cell>
          <cell r="L85" t="str">
            <v>42-06-01-00-0077</v>
          </cell>
          <cell r="M85" t="str">
            <v>Impresora y fotocopiadora Hp laser Jet M2727</v>
          </cell>
          <cell r="O85" t="str">
            <v>EQUIPOS COMPUTACIONALES Y PERIFÉRICOS</v>
          </cell>
          <cell r="P85">
            <v>224140</v>
          </cell>
          <cell r="T85" t="str">
            <v>Bueno</v>
          </cell>
          <cell r="U85" t="str">
            <v>Hp laser Jet</v>
          </cell>
        </row>
        <row r="86">
          <cell r="J86" t="str">
            <v>42-05-01-01-0078</v>
          </cell>
          <cell r="K86" t="str">
            <v>42-2037</v>
          </cell>
          <cell r="L86" t="str">
            <v>42-05-01-01-0078</v>
          </cell>
          <cell r="M86" t="str">
            <v>Radio CD marca IRT Mod. RCD 1110 S/Nº 4249811</v>
          </cell>
          <cell r="O86" t="str">
            <v>EQUIPO DE OFICINA</v>
          </cell>
          <cell r="P86">
            <v>53710</v>
          </cell>
          <cell r="T86" t="str">
            <v>Bueno</v>
          </cell>
          <cell r="U86" t="str">
            <v>RCD</v>
          </cell>
        </row>
        <row r="87">
          <cell r="J87" t="str">
            <v>42-05-01-01-0079</v>
          </cell>
          <cell r="K87" t="str">
            <v>42-2175</v>
          </cell>
          <cell r="L87" t="str">
            <v>42-05-01-01-0079</v>
          </cell>
          <cell r="M87" t="str">
            <v>Proyector Data marca Sony Mod. VPL - ES2 Serie Nº 28624</v>
          </cell>
          <cell r="O87" t="str">
            <v>EQUIPO DE OFICINA</v>
          </cell>
          <cell r="P87">
            <v>300000</v>
          </cell>
          <cell r="T87" t="str">
            <v>Malo</v>
          </cell>
          <cell r="U87" t="str">
            <v>Sony</v>
          </cell>
        </row>
        <row r="88">
          <cell r="J88" t="str">
            <v>42-05-01-01-0080</v>
          </cell>
          <cell r="K88" t="str">
            <v>42-2446</v>
          </cell>
          <cell r="L88" t="str">
            <v>42-05-01-01-0080</v>
          </cell>
          <cell r="M88" t="str">
            <v>Control remoto proyector Data Sony Mod. RM - PJ2 marca Sony</v>
          </cell>
          <cell r="O88" t="str">
            <v>EQUIPO DE OFICINA</v>
          </cell>
          <cell r="P88">
            <v>20000</v>
          </cell>
          <cell r="T88" t="str">
            <v>Bueno</v>
          </cell>
          <cell r="U88" t="str">
            <v>Sony</v>
          </cell>
        </row>
        <row r="89">
          <cell r="J89" t="str">
            <v>42-05-01-01-0081</v>
          </cell>
          <cell r="K89" t="str">
            <v>42-3373</v>
          </cell>
          <cell r="L89" t="str">
            <v>42-05-01-01-0081</v>
          </cell>
          <cell r="M89" t="str">
            <v>Proyector Data Sony Mod. Nº VLP-EX7 S/Nº 7006487 920S, control remoto Sony Mod. RM-PJ6</v>
          </cell>
          <cell r="O89" t="str">
            <v>EQUIPO DE OFICINA</v>
          </cell>
          <cell r="P89">
            <v>300000</v>
          </cell>
          <cell r="T89" t="str">
            <v>Bueno</v>
          </cell>
          <cell r="U89" t="str">
            <v>N/T</v>
          </cell>
        </row>
        <row r="90">
          <cell r="J90" t="str">
            <v>42-06-01-00-0082</v>
          </cell>
          <cell r="K90" t="str">
            <v>42-3247</v>
          </cell>
          <cell r="L90" t="str">
            <v>42-06-01-00-0082</v>
          </cell>
          <cell r="M90" t="str">
            <v>Disco Duro portatil marca Apollo 500 Gb. Externo USB Mod. Apollo 25 PHDD-500 Gb. S/Nº 1500111-20090624</v>
          </cell>
          <cell r="O90" t="str">
            <v>EQUIPOS COMPUTACIONALES Y PERIFÉRICOS</v>
          </cell>
          <cell r="P90">
            <v>90000</v>
          </cell>
          <cell r="T90" t="str">
            <v>Bueno</v>
          </cell>
          <cell r="U90" t="str">
            <v>Apollo</v>
          </cell>
        </row>
        <row r="91">
          <cell r="J91" t="str">
            <v>42-05-01-01-0083</v>
          </cell>
          <cell r="K91" t="str">
            <v>42-60</v>
          </cell>
          <cell r="L91" t="str">
            <v>42-05-01-01-0083</v>
          </cell>
          <cell r="M91" t="str">
            <v>Caja fuerte marca Hinze de 45x50x60 cms.</v>
          </cell>
          <cell r="O91" t="str">
            <v>EQUIPO DE OFICINA</v>
          </cell>
          <cell r="P91">
            <v>230000</v>
          </cell>
          <cell r="T91" t="str">
            <v>Bueno</v>
          </cell>
          <cell r="U91" t="str">
            <v>Hinze</v>
          </cell>
        </row>
        <row r="92">
          <cell r="J92" t="str">
            <v>42-04-03-00-0084</v>
          </cell>
          <cell r="K92" t="str">
            <v>42-2450</v>
          </cell>
          <cell r="L92" t="str">
            <v>42-04-03-00-0084</v>
          </cell>
          <cell r="M92" t="str">
            <v>Escritorio computación 1 bandeja, 1 cajón con llave en melamina color  cerezo 111x56x75 cms.</v>
          </cell>
          <cell r="O92" t="str">
            <v>ESCRITORIOS</v>
          </cell>
          <cell r="P92">
            <v>80300</v>
          </cell>
          <cell r="T92" t="str">
            <v>Bueno</v>
          </cell>
          <cell r="U92" t="str">
            <v>N/T</v>
          </cell>
        </row>
        <row r="93">
          <cell r="J93" t="str">
            <v>42-04-03-00-0085</v>
          </cell>
          <cell r="K93" t="str">
            <v>42-3187</v>
          </cell>
          <cell r="L93" t="str">
            <v>42-04-03-00-0085</v>
          </cell>
          <cell r="M93" t="str">
            <v>Escritorio computación 1 bandeja, 2 cajones en melamina color cerezo 121x76x76 cms.</v>
          </cell>
          <cell r="O93" t="str">
            <v>ESCRITORIOS</v>
          </cell>
          <cell r="P93">
            <v>83300</v>
          </cell>
          <cell r="T93" t="str">
            <v>Bueno</v>
          </cell>
          <cell r="U93" t="str">
            <v>N/T</v>
          </cell>
        </row>
        <row r="94">
          <cell r="J94" t="str">
            <v>42-04-07-00-0086</v>
          </cell>
          <cell r="K94" t="str">
            <v>42-3376</v>
          </cell>
          <cell r="L94" t="str">
            <v>42-04-07-00-0086</v>
          </cell>
          <cell r="M94" t="str">
            <v>Cajonera c/ruedas, 3 cajones color cerezo 42x50x55 cms.</v>
          </cell>
          <cell r="O94" t="str">
            <v>OTROS</v>
          </cell>
          <cell r="P94">
            <v>53000</v>
          </cell>
          <cell r="T94" t="str">
            <v>Bueno</v>
          </cell>
          <cell r="U94" t="str">
            <v>N/T</v>
          </cell>
        </row>
        <row r="95">
          <cell r="J95" t="str">
            <v>42-04-07-00-0087</v>
          </cell>
          <cell r="K95" t="str">
            <v>42-3377</v>
          </cell>
          <cell r="L95" t="str">
            <v>42-04-07-00-0087</v>
          </cell>
          <cell r="M95" t="str">
            <v>Cajonera c/ruedas, 3 cajones color cerezo 42x50x55 cms.</v>
          </cell>
          <cell r="O95" t="str">
            <v>OTROS</v>
          </cell>
          <cell r="P95">
            <v>53000</v>
          </cell>
          <cell r="T95" t="str">
            <v>Bueno</v>
          </cell>
          <cell r="U95" t="str">
            <v>N/T</v>
          </cell>
        </row>
        <row r="96">
          <cell r="J96" t="str">
            <v>42-04-03-00-0088</v>
          </cell>
          <cell r="K96" t="str">
            <v>42-3188</v>
          </cell>
          <cell r="L96" t="str">
            <v>42-04-03-00-0088</v>
          </cell>
          <cell r="M96" t="str">
            <v>Escritorio computación 1 bandeja, 2 cajones en melamina color cerezo 121x76x76 cms.</v>
          </cell>
          <cell r="O96" t="str">
            <v>ESCRITORIOS</v>
          </cell>
          <cell r="P96">
            <v>83300</v>
          </cell>
          <cell r="T96" t="str">
            <v>Bueno</v>
          </cell>
          <cell r="U96" t="str">
            <v>N/T</v>
          </cell>
        </row>
        <row r="97">
          <cell r="J97" t="str">
            <v>42-04-03-00-0089</v>
          </cell>
          <cell r="K97" t="str">
            <v>42-3189</v>
          </cell>
          <cell r="L97" t="str">
            <v>42-04-03-00-0089</v>
          </cell>
          <cell r="M97" t="str">
            <v>Escritorio computación 1 bandeja, 2 cajones en melamina color cerezo 121x76x76 cms.</v>
          </cell>
          <cell r="O97" t="str">
            <v>ESCRITORIOS</v>
          </cell>
          <cell r="P97">
            <v>83300</v>
          </cell>
          <cell r="T97" t="str">
            <v>Bueno</v>
          </cell>
          <cell r="U97" t="str">
            <v>N/T</v>
          </cell>
        </row>
        <row r="98">
          <cell r="J98" t="str">
            <v>42-04-03-00-0090</v>
          </cell>
          <cell r="K98" t="str">
            <v>42-58</v>
          </cell>
          <cell r="L98" t="str">
            <v>42-04-03-00-0090</v>
          </cell>
          <cell r="M98" t="str">
            <v xml:space="preserve">Escritorio de madera 2 divisiones y 3 cajones de 120x57x82 cms. </v>
          </cell>
          <cell r="O98" t="str">
            <v>ESCRITORIOS</v>
          </cell>
          <cell r="P98">
            <v>77350</v>
          </cell>
          <cell r="T98" t="str">
            <v>Bueno</v>
          </cell>
          <cell r="U98" t="str">
            <v>N/T</v>
          </cell>
        </row>
        <row r="99">
          <cell r="J99" t="str">
            <v>42-04-03-00-0091</v>
          </cell>
          <cell r="K99" t="str">
            <v>42-1487</v>
          </cell>
          <cell r="L99" t="str">
            <v>42-04-03-00-0091</v>
          </cell>
          <cell r="M99" t="str">
            <v>Escritorio para computador 1 cajón barniz oscuro 100x63x73 cms.</v>
          </cell>
          <cell r="O99" t="str">
            <v>ESCRITORIOS</v>
          </cell>
          <cell r="P99">
            <v>79500</v>
          </cell>
          <cell r="T99" t="str">
            <v>Bueno</v>
          </cell>
          <cell r="U99" t="str">
            <v>N/T</v>
          </cell>
        </row>
        <row r="100">
          <cell r="J100" t="str">
            <v>42-04-03-00-0092</v>
          </cell>
          <cell r="K100" t="str">
            <v>42-1799</v>
          </cell>
          <cell r="L100" t="str">
            <v>42-04-03-00-0092</v>
          </cell>
          <cell r="M100" t="str">
            <v>Escritorio para computador 2 cajones melamina color mañio 122x56x76 cm.</v>
          </cell>
          <cell r="O100" t="str">
            <v>ESCRITORIOS</v>
          </cell>
          <cell r="P100">
            <v>83300</v>
          </cell>
          <cell r="T100" t="str">
            <v>Bueno</v>
          </cell>
          <cell r="U100" t="str">
            <v>N/T</v>
          </cell>
        </row>
        <row r="101">
          <cell r="J101" t="str">
            <v>42-04-03-00-0093</v>
          </cell>
          <cell r="K101" t="str">
            <v>42-2334</v>
          </cell>
          <cell r="L101" t="str">
            <v>42-04-03-00-0093</v>
          </cell>
          <cell r="M101" t="str">
            <v>Mueble computación, 1 cajón con llave, 1 compartimento 120x65x75 cms.</v>
          </cell>
          <cell r="O101" t="str">
            <v>ESCRITORIOS</v>
          </cell>
          <cell r="P101">
            <v>77350</v>
          </cell>
          <cell r="T101" t="str">
            <v>Bueno</v>
          </cell>
          <cell r="U101" t="str">
            <v>N/T</v>
          </cell>
        </row>
        <row r="102">
          <cell r="J102" t="str">
            <v>42-06-01-00-0094</v>
          </cell>
          <cell r="K102" t="str">
            <v>42-1672</v>
          </cell>
          <cell r="L102" t="str">
            <v>42-06-01-00-0094</v>
          </cell>
          <cell r="M102" t="str">
            <v>Estación de trabajo lateral para computador melamina, 1 cajón</v>
          </cell>
          <cell r="O102" t="str">
            <v>EQUIPOS COMPUTACIONALES Y PERIFÉRICOS</v>
          </cell>
          <cell r="P102">
            <v>295715</v>
          </cell>
          <cell r="T102" t="str">
            <v>Bueno</v>
          </cell>
          <cell r="U102" t="str">
            <v>N/T</v>
          </cell>
        </row>
        <row r="103">
          <cell r="J103" t="str">
            <v>42-04-03-00-0095</v>
          </cell>
          <cell r="K103" t="str">
            <v>42-2098</v>
          </cell>
          <cell r="L103" t="str">
            <v>42-04-03-00-0095</v>
          </cell>
          <cell r="M103" t="str">
            <v>Escritorio barniz natural 2 cajones 120x60x77</v>
          </cell>
          <cell r="O103" t="str">
            <v>ESCRITORIOS</v>
          </cell>
          <cell r="P103">
            <v>85451</v>
          </cell>
          <cell r="T103" t="str">
            <v>Bueno</v>
          </cell>
          <cell r="U103" t="str">
            <v>N/T</v>
          </cell>
        </row>
        <row r="104">
          <cell r="J104" t="str">
            <v>42-04-05-00-0096</v>
          </cell>
          <cell r="K104" t="str">
            <v>42-69</v>
          </cell>
          <cell r="L104" t="str">
            <v>42-04-05-00-0096</v>
          </cell>
          <cell r="M104" t="str">
            <v>Kardex metálico marca Incemat 4 gavetas color verde</v>
          </cell>
          <cell r="O104" t="str">
            <v>KARDEX</v>
          </cell>
          <cell r="P104">
            <v>71500</v>
          </cell>
          <cell r="T104" t="str">
            <v>Bueno</v>
          </cell>
          <cell r="U104" t="str">
            <v>Incemat</v>
          </cell>
        </row>
        <row r="105">
          <cell r="J105" t="str">
            <v>42-04-07-00-0097</v>
          </cell>
          <cell r="K105" t="str">
            <v>42-1050</v>
          </cell>
          <cell r="L105" t="str">
            <v>42-04-07-00-0097</v>
          </cell>
          <cell r="M105" t="str">
            <v>Loker metálico verde-plomo marca Mindugar</v>
          </cell>
          <cell r="O105" t="str">
            <v>OTROS</v>
          </cell>
          <cell r="P105">
            <v>37500</v>
          </cell>
          <cell r="T105" t="str">
            <v>Bueno</v>
          </cell>
          <cell r="U105" t="str">
            <v>Mindugar</v>
          </cell>
        </row>
        <row r="106">
          <cell r="J106" t="str">
            <v>42-04-06-00-0098</v>
          </cell>
          <cell r="K106" t="str">
            <v>42-3191</v>
          </cell>
          <cell r="L106" t="str">
            <v>42-04-06-00-0098</v>
          </cell>
          <cell r="M106" t="str">
            <v>Mueble de madera con 4 puertas correderas 280x45x89 cms.</v>
          </cell>
          <cell r="O106" t="str">
            <v>REPISA</v>
          </cell>
          <cell r="P106">
            <v>102245</v>
          </cell>
          <cell r="T106" t="str">
            <v>Bueno</v>
          </cell>
          <cell r="U106" t="str">
            <v>N/T</v>
          </cell>
        </row>
        <row r="107">
          <cell r="J107" t="str">
            <v>42-04-06-00-0099</v>
          </cell>
          <cell r="K107" t="str">
            <v>42-2287</v>
          </cell>
          <cell r="L107" t="str">
            <v>42-04-06-00-0099</v>
          </cell>
          <cell r="M107" t="str">
            <v>Mueble melamina blanco 1 compartimento 30X51X59 cms.</v>
          </cell>
          <cell r="O107" t="str">
            <v>REPISA</v>
          </cell>
          <cell r="P107">
            <v>85574</v>
          </cell>
          <cell r="T107" t="str">
            <v>Bueno</v>
          </cell>
          <cell r="U107" t="str">
            <v>N/T</v>
          </cell>
        </row>
        <row r="108">
          <cell r="J108" t="str">
            <v>42-04-06-00-0100</v>
          </cell>
          <cell r="K108" t="str">
            <v>42-3192</v>
          </cell>
          <cell r="L108" t="str">
            <v>42-04-06-00-0100</v>
          </cell>
          <cell r="M108" t="str">
            <v xml:space="preserve">Mueble modular madera barniz natural 3 divisiones 4 puertas correderas </v>
          </cell>
          <cell r="O108" t="str">
            <v>REPISA</v>
          </cell>
          <cell r="P108">
            <v>148290</v>
          </cell>
          <cell r="T108" t="str">
            <v>Bueno</v>
          </cell>
          <cell r="U108" t="str">
            <v>N/T</v>
          </cell>
        </row>
        <row r="109">
          <cell r="J109" t="str">
            <v>42-04-07-00-0101</v>
          </cell>
          <cell r="K109" t="str">
            <v>42-3195</v>
          </cell>
          <cell r="L109" t="str">
            <v>42-04-07-00-0101</v>
          </cell>
          <cell r="M109" t="str">
            <v>Panel separador ambientes, marco aluminio color negro, melamina color cerezo 225x158 cms.</v>
          </cell>
          <cell r="O109" t="str">
            <v>OTROS</v>
          </cell>
          <cell r="P109">
            <v>30000</v>
          </cell>
          <cell r="T109" t="str">
            <v>Bueno</v>
          </cell>
          <cell r="U109" t="str">
            <v>N/T</v>
          </cell>
        </row>
        <row r="110">
          <cell r="J110" t="str">
            <v>42-05-01-01-0102</v>
          </cell>
          <cell r="K110" t="str">
            <v>42-61</v>
          </cell>
          <cell r="L110" t="str">
            <v>42-05-01-01-0102</v>
          </cell>
          <cell r="M110" t="str">
            <v>Pedestal caja fuerte de madera 1 puerta color café de 80x50x46 cms.</v>
          </cell>
          <cell r="O110" t="str">
            <v>EQUIPO DE OFICINA</v>
          </cell>
          <cell r="P110">
            <v>30000</v>
          </cell>
          <cell r="T110" t="str">
            <v>Bueno</v>
          </cell>
          <cell r="U110" t="str">
            <v>N/T</v>
          </cell>
        </row>
        <row r="111">
          <cell r="J111" t="str">
            <v>42-04-07-00-0103</v>
          </cell>
          <cell r="K111" t="str">
            <v>42-74</v>
          </cell>
          <cell r="L111" t="str">
            <v>42-04-07-00-0103</v>
          </cell>
          <cell r="M111" t="str">
            <v>Percha paragüero metálico color blanco con 4 ganchos</v>
          </cell>
          <cell r="O111" t="str">
            <v>OTROS</v>
          </cell>
          <cell r="P111">
            <v>17350</v>
          </cell>
          <cell r="T111" t="str">
            <v>Bueno</v>
          </cell>
          <cell r="U111" t="str">
            <v>N/T</v>
          </cell>
        </row>
        <row r="112">
          <cell r="J112" t="str">
            <v>42-05-01-01-0104</v>
          </cell>
          <cell r="K112" t="str">
            <v>42-70</v>
          </cell>
          <cell r="L112" t="str">
            <v>42-05-01-01-0104</v>
          </cell>
          <cell r="M112" t="str">
            <v>Perforador extrafuerte con base de madera</v>
          </cell>
          <cell r="O112" t="str">
            <v>EQUIPO DE OFICINA</v>
          </cell>
          <cell r="P112">
            <v>11545</v>
          </cell>
          <cell r="T112" t="str">
            <v>Bueno</v>
          </cell>
          <cell r="U112" t="str">
            <v>N/T</v>
          </cell>
        </row>
        <row r="113">
          <cell r="J113" t="str">
            <v>42-04-07-00-0105</v>
          </cell>
          <cell r="K113" t="str">
            <v>42-59</v>
          </cell>
          <cell r="L113" t="str">
            <v>42-04-07-00-0105</v>
          </cell>
          <cell r="M113" t="str">
            <v>Piso mixto redondo tapiz de tevinil café claro</v>
          </cell>
          <cell r="O113" t="str">
            <v>OTROS</v>
          </cell>
          <cell r="P113">
            <v>25490</v>
          </cell>
          <cell r="T113" t="str">
            <v>Bueno</v>
          </cell>
          <cell r="U113" t="str">
            <v>N/T</v>
          </cell>
        </row>
        <row r="114">
          <cell r="J114" t="str">
            <v>42-05-01-01-0106</v>
          </cell>
          <cell r="K114" t="str">
            <v>42-2042</v>
          </cell>
          <cell r="L114" t="str">
            <v>42-05-01-01-0106</v>
          </cell>
          <cell r="M114" t="str">
            <v>Pizarra blanca marco aluminio 60x40 cms.</v>
          </cell>
          <cell r="O114" t="str">
            <v>EQUIPO DE OFICINA</v>
          </cell>
          <cell r="P114">
            <v>29750</v>
          </cell>
          <cell r="T114" t="str">
            <v>Bueno</v>
          </cell>
          <cell r="U114" t="str">
            <v>N/T</v>
          </cell>
        </row>
        <row r="115">
          <cell r="J115" t="str">
            <v>42-04-06-00-0107</v>
          </cell>
          <cell r="K115" t="str">
            <v>42-3193</v>
          </cell>
          <cell r="L115" t="str">
            <v>42-04-06-00-0107</v>
          </cell>
          <cell r="M115" t="str">
            <v>Repisa 3 divisiones madera barniz natural 146x36x131 cms.</v>
          </cell>
          <cell r="O115" t="str">
            <v>REPISA</v>
          </cell>
          <cell r="P115">
            <v>36141</v>
          </cell>
          <cell r="T115" t="str">
            <v>Bueno</v>
          </cell>
          <cell r="U115" t="str">
            <v>N/T</v>
          </cell>
        </row>
        <row r="116">
          <cell r="J116" t="str">
            <v>42-04-06-00-0108</v>
          </cell>
          <cell r="K116" t="str">
            <v>42-3194</v>
          </cell>
          <cell r="L116" t="str">
            <v>42-04-06-00-0108</v>
          </cell>
          <cell r="M116" t="str">
            <v>Repisa 3 divisiones madera barniz natural 228x36x130 cms.</v>
          </cell>
          <cell r="O116" t="str">
            <v>REPISA</v>
          </cell>
          <cell r="P116">
            <v>45752</v>
          </cell>
          <cell r="T116" t="str">
            <v>Bueno</v>
          </cell>
          <cell r="U116" t="str">
            <v>N/T</v>
          </cell>
        </row>
        <row r="117">
          <cell r="J117" t="str">
            <v>42-04-02-00-0109</v>
          </cell>
          <cell r="K117" t="str">
            <v>42-1668</v>
          </cell>
          <cell r="L117" t="str">
            <v>42-04-02-00-0109</v>
          </cell>
          <cell r="M117" t="str">
            <v>Silla computación 5 ruedas color gris oscuro</v>
          </cell>
          <cell r="O117" t="str">
            <v>SILLAS</v>
          </cell>
          <cell r="P117">
            <v>42500</v>
          </cell>
          <cell r="T117" t="str">
            <v>Bueno</v>
          </cell>
          <cell r="U117" t="str">
            <v>N/T</v>
          </cell>
        </row>
        <row r="118">
          <cell r="J118" t="str">
            <v>42-04-02-00-0110</v>
          </cell>
          <cell r="K118" t="str">
            <v>42-1229</v>
          </cell>
          <cell r="L118" t="str">
            <v>42-04-02-00-0110</v>
          </cell>
          <cell r="M118" t="str">
            <v>Silla Comput G lift, 5 ruedas color azul</v>
          </cell>
          <cell r="O118" t="str">
            <v>SILLAS</v>
          </cell>
          <cell r="P118">
            <v>42500</v>
          </cell>
          <cell r="T118" t="str">
            <v>Bueno</v>
          </cell>
          <cell r="U118" t="str">
            <v>N/T</v>
          </cell>
        </row>
        <row r="119">
          <cell r="J119" t="str">
            <v>42-04-02-00-0111</v>
          </cell>
          <cell r="K119" t="str">
            <v>42-2004</v>
          </cell>
          <cell r="L119" t="str">
            <v>42-04-02-00-0111</v>
          </cell>
          <cell r="M119" t="str">
            <v>Silla ergonométrica color azul, 5 ruedas (MEL )</v>
          </cell>
          <cell r="O119" t="str">
            <v>SILLAS</v>
          </cell>
          <cell r="P119">
            <v>42500</v>
          </cell>
          <cell r="T119" t="str">
            <v>Bueno</v>
          </cell>
          <cell r="U119" t="str">
            <v>N/T</v>
          </cell>
        </row>
        <row r="120">
          <cell r="J120" t="str">
            <v>42-04-02-00-0112</v>
          </cell>
          <cell r="K120" t="str">
            <v>42-2036</v>
          </cell>
          <cell r="L120" t="str">
            <v>42-04-02-00-0112</v>
          </cell>
          <cell r="M120" t="str">
            <v>Silla ergonométrica color azul, 5 ruedas  (MEL )</v>
          </cell>
          <cell r="O120" t="str">
            <v>SILLAS</v>
          </cell>
          <cell r="P120">
            <v>42500</v>
          </cell>
          <cell r="T120" t="str">
            <v>Bueno</v>
          </cell>
          <cell r="U120" t="str">
            <v>N/T</v>
          </cell>
        </row>
        <row r="121">
          <cell r="J121" t="str">
            <v>42-04-02-00-0113</v>
          </cell>
          <cell r="K121" t="str">
            <v>42-1616</v>
          </cell>
          <cell r="L121" t="str">
            <v>42-04-02-00-0113</v>
          </cell>
          <cell r="M121" t="str">
            <v>Silla giratoria regulación de altura con pistón de aire color negro</v>
          </cell>
          <cell r="O121" t="str">
            <v>SILLAS</v>
          </cell>
          <cell r="P121">
            <v>42500</v>
          </cell>
          <cell r="T121" t="str">
            <v>Bueno</v>
          </cell>
          <cell r="U121" t="str">
            <v>N/T</v>
          </cell>
        </row>
        <row r="122">
          <cell r="J122" t="str">
            <v>42-04-02-00-0114</v>
          </cell>
          <cell r="K122" t="str">
            <v>42-2558</v>
          </cell>
          <cell r="L122" t="str">
            <v>42-04-02-00-0114</v>
          </cell>
          <cell r="M122" t="str">
            <v>Silla mixta asiento y respaldo formalita</v>
          </cell>
          <cell r="O122" t="str">
            <v>SILLAS</v>
          </cell>
          <cell r="P122">
            <v>6600</v>
          </cell>
          <cell r="T122" t="str">
            <v>Bueno</v>
          </cell>
          <cell r="U122" t="str">
            <v>N/T</v>
          </cell>
        </row>
        <row r="123">
          <cell r="J123" t="str">
            <v>42-04-02-00-0115</v>
          </cell>
          <cell r="K123" t="str">
            <v>42-1815</v>
          </cell>
          <cell r="L123" t="str">
            <v>42-04-02-00-0115</v>
          </cell>
          <cell r="M123" t="str">
            <v>Silla profesional alta para cajero color burdeo</v>
          </cell>
          <cell r="O123" t="str">
            <v>SILLAS</v>
          </cell>
          <cell r="P123">
            <v>42500</v>
          </cell>
          <cell r="T123" t="str">
            <v>Bueno</v>
          </cell>
          <cell r="U123" t="str">
            <v>N/T</v>
          </cell>
        </row>
        <row r="124">
          <cell r="J124" t="str">
            <v>42-04-02-00-0116</v>
          </cell>
          <cell r="K124" t="str">
            <v>42-2331</v>
          </cell>
          <cell r="L124" t="str">
            <v>42-04-02-00-0116</v>
          </cell>
          <cell r="M124" t="str">
            <v>Silla computación, 5 ruedas color burdeo</v>
          </cell>
          <cell r="O124" t="str">
            <v>SILLAS</v>
          </cell>
          <cell r="P124">
            <v>42500</v>
          </cell>
          <cell r="T124" t="str">
            <v>Bueno</v>
          </cell>
          <cell r="U124" t="str">
            <v>N/T</v>
          </cell>
        </row>
        <row r="125">
          <cell r="J125" t="str">
            <v>42-04-02-00-0117</v>
          </cell>
          <cell r="K125" t="str">
            <v>42-3374</v>
          </cell>
          <cell r="L125" t="str">
            <v>42-04-02-00-0117</v>
          </cell>
          <cell r="M125" t="str">
            <v>Silla computación, 5 ruedas color azul</v>
          </cell>
          <cell r="O125" t="str">
            <v>SILLAS</v>
          </cell>
          <cell r="P125">
            <v>42500</v>
          </cell>
          <cell r="T125" t="str">
            <v>Bueno</v>
          </cell>
          <cell r="U125" t="str">
            <v>N/T</v>
          </cell>
        </row>
        <row r="126">
          <cell r="J126" t="str">
            <v>42-04-02-00-0118</v>
          </cell>
          <cell r="K126" t="str">
            <v>42-3375</v>
          </cell>
          <cell r="L126" t="str">
            <v>42-04-02-00-0118</v>
          </cell>
          <cell r="M126" t="str">
            <v>Silla computación c/apoya brazos, 5 ruedas color azul</v>
          </cell>
          <cell r="O126" t="str">
            <v>SILLAS</v>
          </cell>
          <cell r="P126">
            <v>42500</v>
          </cell>
          <cell r="T126" t="str">
            <v>Bueno</v>
          </cell>
          <cell r="U126" t="str">
            <v>N/T</v>
          </cell>
        </row>
        <row r="127">
          <cell r="J127" t="str">
            <v>42-04-02-00-0119</v>
          </cell>
          <cell r="K127" t="str">
            <v>42-3423</v>
          </cell>
          <cell r="L127" t="str">
            <v>42-04-02-00-0119</v>
          </cell>
          <cell r="M127" t="str">
            <v>Silla computacion c/apoya brazos, 5 ruedas de color negra</v>
          </cell>
          <cell r="O127" t="str">
            <v>SILLAS</v>
          </cell>
          <cell r="P127">
            <v>42500</v>
          </cell>
          <cell r="T127" t="str">
            <v>Bueno</v>
          </cell>
          <cell r="U127" t="str">
            <v>N/T</v>
          </cell>
        </row>
        <row r="128">
          <cell r="J128" t="str">
            <v>42-04-07-00-0120</v>
          </cell>
          <cell r="K128" t="str">
            <v>42-1459</v>
          </cell>
          <cell r="L128" t="str">
            <v>42-04-07-00-0120</v>
          </cell>
          <cell r="M128" t="str">
            <v>Sillón de living chico de cañamazo con soporte de fierro negro a la vista</v>
          </cell>
          <cell r="O128" t="str">
            <v>OTROS</v>
          </cell>
          <cell r="P128">
            <v>89000</v>
          </cell>
          <cell r="T128" t="str">
            <v>Bueno</v>
          </cell>
          <cell r="U128" t="str">
            <v>N/T</v>
          </cell>
        </row>
        <row r="129">
          <cell r="J129" t="str">
            <v>42-04-07-00-0121</v>
          </cell>
          <cell r="K129" t="str">
            <v>42-1457</v>
          </cell>
          <cell r="L129" t="str">
            <v>42-04-07-00-0121</v>
          </cell>
          <cell r="M129" t="str">
            <v>Sillón de living grande de cañamazo con soporte de fierro negro a la vista</v>
          </cell>
          <cell r="O129" t="str">
            <v>OTROS</v>
          </cell>
          <cell r="P129">
            <v>124950</v>
          </cell>
          <cell r="T129" t="str">
            <v>Bueno</v>
          </cell>
          <cell r="U129" t="str">
            <v>N/T</v>
          </cell>
        </row>
        <row r="130">
          <cell r="J130" t="str">
            <v>42-05-01-01-0122</v>
          </cell>
          <cell r="K130" t="str">
            <v>42-2449</v>
          </cell>
          <cell r="L130" t="str">
            <v>42-05-01-01-0122</v>
          </cell>
          <cell r="M130" t="str">
            <v>Caja de seguridad 20x15x8 color negro</v>
          </cell>
          <cell r="O130" t="str">
            <v>EQUIPO DE OFICINA</v>
          </cell>
          <cell r="P130">
            <v>45212</v>
          </cell>
          <cell r="T130" t="str">
            <v>Bueno</v>
          </cell>
          <cell r="U130" t="str">
            <v>N/T</v>
          </cell>
        </row>
        <row r="131">
          <cell r="J131" t="str">
            <v>42-05-01-01-0123</v>
          </cell>
          <cell r="K131" t="str">
            <v>42-2448</v>
          </cell>
          <cell r="L131" t="str">
            <v>42-05-01-01-0123</v>
          </cell>
          <cell r="M131" t="str">
            <v>Cuadro marco madera 113x87 cms.</v>
          </cell>
          <cell r="O131" t="str">
            <v>EQUIPO DE OFICINA</v>
          </cell>
          <cell r="P131">
            <v>15000</v>
          </cell>
          <cell r="T131" t="str">
            <v>Bueno</v>
          </cell>
          <cell r="U131" t="str">
            <v>N/T</v>
          </cell>
        </row>
        <row r="132">
          <cell r="J132" t="str">
            <v>42-05-01-01-0124</v>
          </cell>
          <cell r="K132" t="str">
            <v>42-2447</v>
          </cell>
          <cell r="L132" t="str">
            <v>42-05-01-01-0124</v>
          </cell>
          <cell r="M132" t="str">
            <v>Porta Scotch grande color rojo</v>
          </cell>
          <cell r="O132" t="str">
            <v>EQUIPO DE OFICINA</v>
          </cell>
          <cell r="P132">
            <v>4000</v>
          </cell>
          <cell r="T132" t="str">
            <v>Bueno</v>
          </cell>
          <cell r="U132" t="str">
            <v>N/T</v>
          </cell>
        </row>
        <row r="133">
          <cell r="J133" t="str">
            <v>42-05-01-01-0125</v>
          </cell>
          <cell r="K133" t="str">
            <v>42-2339</v>
          </cell>
          <cell r="L133" t="str">
            <v>42-05-01-01-0125</v>
          </cell>
          <cell r="M133" t="str">
            <v>Perforador marca Selloffice color negro</v>
          </cell>
          <cell r="O133" t="str">
            <v>EQUIPO DE OFICINA</v>
          </cell>
          <cell r="P133">
            <v>10000</v>
          </cell>
          <cell r="T133" t="str">
            <v>Bueno</v>
          </cell>
          <cell r="U133" t="str">
            <v>Selloffice</v>
          </cell>
        </row>
        <row r="134">
          <cell r="J134" t="str">
            <v>42-05-01-01-0126</v>
          </cell>
          <cell r="K134" t="str">
            <v>42-2125</v>
          </cell>
          <cell r="L134" t="str">
            <v>42-05-01-01-0126</v>
          </cell>
          <cell r="M134" t="str">
            <v>Perforador marca leitz 5008 color gris</v>
          </cell>
          <cell r="O134" t="str">
            <v>EQUIPO DE OFICINA</v>
          </cell>
          <cell r="P134">
            <v>11545</v>
          </cell>
          <cell r="T134" t="str">
            <v>Bueno</v>
          </cell>
          <cell r="U134" t="str">
            <v>Leitz</v>
          </cell>
        </row>
        <row r="135">
          <cell r="J135" t="str">
            <v>42-05-01-01-0127</v>
          </cell>
          <cell r="K135" t="str">
            <v>42-1953</v>
          </cell>
          <cell r="L135" t="str">
            <v>42-05-01-01-0127</v>
          </cell>
          <cell r="M135" t="str">
            <v>Citófono/ teléfono marca Nortel Network, Modelo 7000</v>
          </cell>
          <cell r="O135" t="str">
            <v>EQUIPO DE OFICINA</v>
          </cell>
          <cell r="P135">
            <v>36000</v>
          </cell>
          <cell r="T135" t="str">
            <v>Bueno</v>
          </cell>
          <cell r="U135" t="str">
            <v>Nortel Network</v>
          </cell>
        </row>
        <row r="136">
          <cell r="J136" t="str">
            <v>42-05-01-01-0128</v>
          </cell>
          <cell r="K136" t="str">
            <v>42-1952</v>
          </cell>
          <cell r="L136" t="str">
            <v>42-05-01-01-0128</v>
          </cell>
          <cell r="M136" t="str">
            <v>Citófono/ teléfono marca Nortel Network, Modelo 7000</v>
          </cell>
          <cell r="O136" t="str">
            <v>EQUIPO DE OFICINA</v>
          </cell>
          <cell r="P136">
            <v>36000</v>
          </cell>
          <cell r="T136" t="str">
            <v>Bueno</v>
          </cell>
          <cell r="U136" t="str">
            <v>Nortel Network</v>
          </cell>
        </row>
        <row r="137">
          <cell r="J137" t="str">
            <v>42-05-01-01-0129</v>
          </cell>
          <cell r="K137" t="str">
            <v>42-1957</v>
          </cell>
          <cell r="L137" t="str">
            <v>42-05-01-01-0129</v>
          </cell>
          <cell r="M137" t="str">
            <v>Citófono/ teléfono marca Nortel Network, Modelo 7000</v>
          </cell>
          <cell r="O137" t="str">
            <v>EQUIPO DE OFICINA</v>
          </cell>
          <cell r="P137">
            <v>36000</v>
          </cell>
          <cell r="T137" t="str">
            <v>Bueno</v>
          </cell>
          <cell r="U137" t="str">
            <v>Nortel Network</v>
          </cell>
        </row>
        <row r="138">
          <cell r="J138" t="str">
            <v>42-05-01-01-0130</v>
          </cell>
          <cell r="K138" t="str">
            <v>42-2778</v>
          </cell>
          <cell r="L138" t="str">
            <v>42-05-01-01-0130</v>
          </cell>
          <cell r="M138" t="str">
            <v>Extractor de aire marca DRL</v>
          </cell>
          <cell r="O138" t="str">
            <v>EQUIPO DE OFICINA</v>
          </cell>
          <cell r="P138">
            <v>25000</v>
          </cell>
          <cell r="T138" t="str">
            <v>Bueno</v>
          </cell>
          <cell r="U138" t="str">
            <v>DRL</v>
          </cell>
        </row>
        <row r="139">
          <cell r="J139" t="str">
            <v>42-05-01-01-0131</v>
          </cell>
          <cell r="K139" t="str">
            <v>42-2779</v>
          </cell>
          <cell r="L139" t="str">
            <v>42-05-01-01-0131</v>
          </cell>
          <cell r="M139" t="str">
            <v>Extractor de aire marca DRL</v>
          </cell>
          <cell r="O139" t="str">
            <v>EQUIPO DE OFICINA</v>
          </cell>
          <cell r="P139">
            <v>25000</v>
          </cell>
          <cell r="T139" t="str">
            <v>Bueno</v>
          </cell>
          <cell r="U139" t="str">
            <v>DRL</v>
          </cell>
        </row>
        <row r="140">
          <cell r="J140" t="str">
            <v>42-05-01-01-0132</v>
          </cell>
          <cell r="K140" t="str">
            <v>42-2548</v>
          </cell>
          <cell r="L140" t="str">
            <v>42-05-01-01-0132</v>
          </cell>
          <cell r="M140" t="str">
            <v>Reloj crono termostato HP 510</v>
          </cell>
          <cell r="O140" t="str">
            <v>EQUIPO DE OFICINA</v>
          </cell>
          <cell r="P140">
            <v>355810</v>
          </cell>
          <cell r="T140" t="str">
            <v>Bueno</v>
          </cell>
          <cell r="U140" t="str">
            <v>HP</v>
          </cell>
        </row>
        <row r="141">
          <cell r="J141" t="str">
            <v>42-05-01-01-0133</v>
          </cell>
          <cell r="K141" t="str">
            <v>42-1926</v>
          </cell>
          <cell r="L141" t="str">
            <v>42-05-01-01-0133</v>
          </cell>
          <cell r="M141" t="str">
            <v>Radio cassette con CD Marca Recco Mod. RRC158CB</v>
          </cell>
          <cell r="O141" t="str">
            <v>EQUIPO DE OFICINA</v>
          </cell>
          <cell r="P141">
            <v>53710</v>
          </cell>
          <cell r="T141" t="str">
            <v>Bueno</v>
          </cell>
          <cell r="U141" t="str">
            <v>Recco</v>
          </cell>
        </row>
        <row r="142">
          <cell r="J142" t="str">
            <v>42-05-01-01-0134</v>
          </cell>
          <cell r="K142" t="str">
            <v>42-3315</v>
          </cell>
          <cell r="L142" t="str">
            <v>42-05-01-01-0134</v>
          </cell>
          <cell r="M142" t="str">
            <v>Mini componente Alta Fidelidad Sony Mod. HCD-GT22 S/Nº 9199423</v>
          </cell>
          <cell r="O142" t="str">
            <v>EQUIPO DE OFICINA</v>
          </cell>
          <cell r="P142">
            <v>120000</v>
          </cell>
          <cell r="T142" t="str">
            <v>Bueno</v>
          </cell>
          <cell r="U142" t="str">
            <v>Recco</v>
          </cell>
        </row>
        <row r="143">
          <cell r="J143" t="str">
            <v>42-05-02-01-0135</v>
          </cell>
          <cell r="K143" t="str">
            <v>42-1620</v>
          </cell>
          <cell r="L143" t="str">
            <v>42-05-02-01-0135</v>
          </cell>
          <cell r="M143" t="str">
            <v>Equipo Ultrasonido  portátil con cabezal opcional cod. 00476 marca ITO Japonés.</v>
          </cell>
          <cell r="O143" t="str">
            <v>EQUIPOS CLINICOS</v>
          </cell>
          <cell r="P143">
            <v>150000</v>
          </cell>
          <cell r="T143" t="str">
            <v>Bueno</v>
          </cell>
          <cell r="U143" t="str">
            <v>ITO</v>
          </cell>
        </row>
        <row r="144">
          <cell r="J144" t="str">
            <v>42-05-02-01-0136</v>
          </cell>
          <cell r="K144" t="str">
            <v>42-1621</v>
          </cell>
          <cell r="L144" t="str">
            <v>42-05-02-01-0136</v>
          </cell>
          <cell r="M144" t="str">
            <v>Estimuladora para combinar con ultrasonido US-7P marca ITO mod. AU- 7B, Japonés, cod. 00478</v>
          </cell>
          <cell r="O144" t="str">
            <v>EQUIPOS CLINICOS</v>
          </cell>
          <cell r="P144">
            <v>90000</v>
          </cell>
          <cell r="T144" t="str">
            <v>Bueno</v>
          </cell>
          <cell r="U144" t="str">
            <v>ITO</v>
          </cell>
        </row>
        <row r="145">
          <cell r="J145" t="str">
            <v>42-05-02-01-0137</v>
          </cell>
          <cell r="K145" t="str">
            <v>42-2550</v>
          </cell>
          <cell r="L145" t="str">
            <v>42-05-02-01-0137</v>
          </cell>
          <cell r="M145" t="str">
            <v>Electro estimulador marca Enraf Nonius Mod. Endomed 482u S/Nº 52-442</v>
          </cell>
          <cell r="O145" t="str">
            <v>EQUIPOS CLINICOS</v>
          </cell>
          <cell r="P145">
            <v>98542</v>
          </cell>
          <cell r="T145" t="str">
            <v>Bueno</v>
          </cell>
          <cell r="U145" t="str">
            <v>Enraf</v>
          </cell>
        </row>
        <row r="146">
          <cell r="J146" t="str">
            <v>42-04-07-00-0138</v>
          </cell>
          <cell r="K146" t="str">
            <v>42-77</v>
          </cell>
          <cell r="L146" t="str">
            <v>42-04-07-00-0138</v>
          </cell>
          <cell r="M146" t="str">
            <v>Lámpara pedestal marca Mach-Praxila tipo 121, serie Nº 81005801 220 V O 28 A 50-60 Hz</v>
          </cell>
          <cell r="O146" t="str">
            <v>OTROS</v>
          </cell>
          <cell r="P146">
            <v>40000</v>
          </cell>
          <cell r="T146" t="str">
            <v>Bueno</v>
          </cell>
          <cell r="U146" t="str">
            <v>Mach Praxila</v>
          </cell>
        </row>
        <row r="147">
          <cell r="J147" t="str">
            <v>42-05-02-01-0139</v>
          </cell>
          <cell r="K147" t="str">
            <v>42-78</v>
          </cell>
          <cell r="L147" t="str">
            <v>42-05-02-01-0139</v>
          </cell>
          <cell r="M147" t="str">
            <v xml:space="preserve">Aparato tracción cervical </v>
          </cell>
          <cell r="O147" t="str">
            <v>EQUIPOS CLINICOS</v>
          </cell>
          <cell r="P147">
            <v>70890</v>
          </cell>
          <cell r="T147" t="str">
            <v>Regular</v>
          </cell>
          <cell r="U147" t="str">
            <v>N/T</v>
          </cell>
        </row>
        <row r="148">
          <cell r="J148" t="str">
            <v>42-05-02-01-0140</v>
          </cell>
          <cell r="K148" t="str">
            <v>42-2930</v>
          </cell>
          <cell r="L148" t="str">
            <v>42-05-02-01-0140</v>
          </cell>
          <cell r="M148" t="str">
            <v>Estimulador pie marca Carci</v>
          </cell>
          <cell r="O148" t="str">
            <v>EQUIPOS CLINICOS</v>
          </cell>
          <cell r="P148">
            <v>87567</v>
          </cell>
          <cell r="T148" t="str">
            <v>Bueno</v>
          </cell>
          <cell r="U148" t="str">
            <v>Carci</v>
          </cell>
        </row>
        <row r="149">
          <cell r="J149" t="str">
            <v>42-05-02-01-0141</v>
          </cell>
          <cell r="K149" t="str">
            <v>42-1549</v>
          </cell>
          <cell r="L149" t="str">
            <v>42-05-02-01-0141</v>
          </cell>
          <cell r="M149" t="str">
            <v>Podoscopio, cubierta de cristal de 40x50x25, cajón de melamina</v>
          </cell>
          <cell r="O149" t="str">
            <v>EQUIPOS CLINICOS</v>
          </cell>
          <cell r="P149">
            <v>86380</v>
          </cell>
          <cell r="T149" t="str">
            <v>Bueno</v>
          </cell>
          <cell r="U149" t="str">
            <v>N/T</v>
          </cell>
        </row>
        <row r="150">
          <cell r="J150" t="str">
            <v>42-05-02-01-0142</v>
          </cell>
          <cell r="K150" t="str">
            <v>42-1927</v>
          </cell>
          <cell r="L150" t="str">
            <v>42-05-02-01-0142</v>
          </cell>
          <cell r="M150" t="str">
            <v>Esfingomanómetro de Mercurio KT 501</v>
          </cell>
          <cell r="O150" t="str">
            <v>EQUIPOS CLINICOS</v>
          </cell>
          <cell r="P150">
            <v>50990</v>
          </cell>
          <cell r="T150" t="str">
            <v>Bueno</v>
          </cell>
          <cell r="U150" t="str">
            <v>N/T</v>
          </cell>
        </row>
        <row r="151">
          <cell r="J151" t="str">
            <v>42-04-07-00-0143</v>
          </cell>
          <cell r="K151" t="str">
            <v>42-2528</v>
          </cell>
          <cell r="L151" t="str">
            <v>42-04-07-00-0143</v>
          </cell>
          <cell r="M151" t="str">
            <v>Set bandas elásticas Thera Band 5 colores procedencia USA</v>
          </cell>
          <cell r="N151" t="str">
            <v>GIMNASIO</v>
          </cell>
          <cell r="O151" t="str">
            <v>OTROS</v>
          </cell>
          <cell r="P151">
            <v>110003</v>
          </cell>
          <cell r="T151" t="str">
            <v>Bueno</v>
          </cell>
          <cell r="U151" t="str">
            <v>N/T</v>
          </cell>
        </row>
        <row r="152">
          <cell r="J152" t="str">
            <v>42-05-02-01-0144</v>
          </cell>
          <cell r="K152" t="str">
            <v>42-2529</v>
          </cell>
          <cell r="L152" t="str">
            <v>42-05-02-01-0144</v>
          </cell>
          <cell r="M152" t="str">
            <v>Balón terapeutico Thera Band color gris 85 cms.</v>
          </cell>
          <cell r="O152" t="str">
            <v>EQUIPOS CLINICOS</v>
          </cell>
          <cell r="P152">
            <v>49000</v>
          </cell>
          <cell r="T152" t="str">
            <v>Bueno</v>
          </cell>
          <cell r="U152" t="str">
            <v>N/T</v>
          </cell>
        </row>
        <row r="153">
          <cell r="J153" t="str">
            <v>42-04-07-00-0145</v>
          </cell>
          <cell r="K153" t="str">
            <v>42-2530</v>
          </cell>
          <cell r="L153" t="str">
            <v>42-04-07-00-0145</v>
          </cell>
          <cell r="M153" t="str">
            <v>Mancuerna, set 6 pares de ½ a 5 Kg. con rack</v>
          </cell>
          <cell r="N153" t="str">
            <v>GIMNASIO</v>
          </cell>
          <cell r="O153" t="str">
            <v>OTROS</v>
          </cell>
          <cell r="P153">
            <v>99000</v>
          </cell>
          <cell r="T153" t="str">
            <v>Bueno</v>
          </cell>
          <cell r="U153" t="str">
            <v>N/T</v>
          </cell>
        </row>
        <row r="154">
          <cell r="J154" t="str">
            <v>42-04-07-00-0146</v>
          </cell>
          <cell r="K154" t="str">
            <v>42-2531</v>
          </cell>
          <cell r="L154" t="str">
            <v>42-04-07-00-0146</v>
          </cell>
          <cell r="M154" t="str">
            <v>Turbión marca Medline modelo TB 745</v>
          </cell>
          <cell r="N154" t="str">
            <v>GIMNASIO</v>
          </cell>
          <cell r="O154" t="str">
            <v>OTROS</v>
          </cell>
          <cell r="P154">
            <v>100000</v>
          </cell>
          <cell r="T154" t="str">
            <v>Bueno</v>
          </cell>
          <cell r="U154" t="str">
            <v>Medline</v>
          </cell>
        </row>
        <row r="155">
          <cell r="J155" t="str">
            <v>42-04-07-00-0147</v>
          </cell>
          <cell r="K155" t="str">
            <v>42-2532</v>
          </cell>
          <cell r="L155" t="str">
            <v>42-04-07-00-0147</v>
          </cell>
          <cell r="M155" t="str">
            <v>Rueda hombro marca IOR Nacional</v>
          </cell>
          <cell r="N155" t="str">
            <v>GIMNASIO</v>
          </cell>
          <cell r="O155" t="str">
            <v>OTROS</v>
          </cell>
          <cell r="P155">
            <v>60900</v>
          </cell>
          <cell r="T155" t="str">
            <v>Bueno</v>
          </cell>
          <cell r="U155" t="str">
            <v>IOR</v>
          </cell>
        </row>
        <row r="156">
          <cell r="J156" t="str">
            <v>42-04-07-00-0148</v>
          </cell>
          <cell r="K156" t="str">
            <v>42-2533</v>
          </cell>
          <cell r="L156" t="str">
            <v>42-04-07-00-0148</v>
          </cell>
          <cell r="M156" t="str">
            <v>Maquina onda corta marca Enraf Nonious Mod. Curapuls 670 S/Nº 14142</v>
          </cell>
          <cell r="N156" t="str">
            <v>GIMNASIO</v>
          </cell>
          <cell r="O156" t="str">
            <v>OTROS</v>
          </cell>
          <cell r="P156">
            <v>300780</v>
          </cell>
          <cell r="T156" t="str">
            <v>Bueno</v>
          </cell>
          <cell r="U156" t="str">
            <v>Enraf</v>
          </cell>
        </row>
        <row r="157">
          <cell r="J157" t="str">
            <v>42-04-07-00-0149</v>
          </cell>
          <cell r="K157" t="str">
            <v>42-2534</v>
          </cell>
          <cell r="L157" t="str">
            <v>42-04-07-00-0149</v>
          </cell>
          <cell r="M157" t="str">
            <v>Set pesas lastradas ( 5 pares ) marca Enraf</v>
          </cell>
          <cell r="N157" t="str">
            <v>GIMNASIO</v>
          </cell>
          <cell r="O157" t="str">
            <v>OTROS</v>
          </cell>
          <cell r="P157">
            <v>200080</v>
          </cell>
          <cell r="T157" t="str">
            <v>Bueno</v>
          </cell>
          <cell r="U157" t="str">
            <v>Enraf</v>
          </cell>
        </row>
        <row r="158">
          <cell r="J158" t="str">
            <v>42-04-07-00-0150</v>
          </cell>
          <cell r="K158" t="str">
            <v>42-2535</v>
          </cell>
          <cell r="L158" t="str">
            <v>42-04-07-00-0150</v>
          </cell>
          <cell r="M158" t="str">
            <v>Set c/ 2 balones medicinales de cuero marca Enraf</v>
          </cell>
          <cell r="N158" t="str">
            <v>GIMNASIO</v>
          </cell>
          <cell r="O158" t="str">
            <v>OTROS</v>
          </cell>
          <cell r="P158">
            <v>70000</v>
          </cell>
          <cell r="T158" t="str">
            <v>Bueno</v>
          </cell>
          <cell r="U158" t="str">
            <v>Enraf</v>
          </cell>
        </row>
        <row r="159">
          <cell r="J159" t="str">
            <v>42-05-02-01-0151</v>
          </cell>
          <cell r="K159" t="str">
            <v>42-2536</v>
          </cell>
          <cell r="L159" t="str">
            <v>42-05-02-01-0151</v>
          </cell>
          <cell r="M159" t="str">
            <v>Bicicleta ergonométrica marca Gymna Uniphy modelo Monark 915 E</v>
          </cell>
          <cell r="O159" t="str">
            <v>EQUIPOS CLINICOS</v>
          </cell>
          <cell r="P159">
            <v>1179278</v>
          </cell>
          <cell r="T159" t="str">
            <v>Bueno</v>
          </cell>
          <cell r="U159" t="str">
            <v>Gymna Uniphy</v>
          </cell>
        </row>
        <row r="160">
          <cell r="J160" t="str">
            <v>42-05-02-01-0152</v>
          </cell>
          <cell r="K160" t="str">
            <v>42-2537</v>
          </cell>
          <cell r="L160" t="str">
            <v>42-05-02-01-0152</v>
          </cell>
          <cell r="M160" t="str">
            <v>Tens portatil marca ( G.U. ) modelo Elpha 3000 S/Nº 2005082301</v>
          </cell>
          <cell r="O160" t="str">
            <v>EQUIPOS CLINICOS</v>
          </cell>
          <cell r="P160">
            <v>109800</v>
          </cell>
          <cell r="T160" t="str">
            <v>Bueno</v>
          </cell>
          <cell r="U160" t="str">
            <v>G.U.</v>
          </cell>
        </row>
        <row r="161">
          <cell r="J161" t="str">
            <v>42-04-07-00-0153</v>
          </cell>
          <cell r="K161" t="str">
            <v>42-2538</v>
          </cell>
          <cell r="L161" t="str">
            <v>42-04-07-00-0153</v>
          </cell>
          <cell r="M161" t="str">
            <v>Juego polea contraresistencia ( G.U ) simple modelo Pulley 20 Kg.</v>
          </cell>
          <cell r="N161" t="str">
            <v>GIMNASIO</v>
          </cell>
          <cell r="O161" t="str">
            <v>OTROS</v>
          </cell>
          <cell r="P161">
            <v>370000</v>
          </cell>
          <cell r="T161" t="str">
            <v>Bueno</v>
          </cell>
          <cell r="U161" t="str">
            <v>G.U.</v>
          </cell>
        </row>
        <row r="162">
          <cell r="J162" t="str">
            <v>42-05-02-01-0154</v>
          </cell>
          <cell r="K162" t="str">
            <v>42-2540</v>
          </cell>
          <cell r="L162" t="str">
            <v>42-05-02-01-0154</v>
          </cell>
          <cell r="M162" t="str">
            <v>Tens marca Enraf Nonius Mod. Tensmed 911 S/Nº T44640</v>
          </cell>
          <cell r="O162" t="str">
            <v>EQUIPOS CLINICOS</v>
          </cell>
          <cell r="P162">
            <v>117810</v>
          </cell>
          <cell r="T162" t="str">
            <v>Bueno</v>
          </cell>
          <cell r="U162" t="str">
            <v>Enraf</v>
          </cell>
        </row>
        <row r="163">
          <cell r="J163" t="str">
            <v>42-04-07-00-0155</v>
          </cell>
          <cell r="K163" t="str">
            <v>42-2539</v>
          </cell>
          <cell r="L163" t="str">
            <v>42-04-07-00-0155</v>
          </cell>
          <cell r="M163" t="str">
            <v>Barra paralela aluminio base madera con goma</v>
          </cell>
          <cell r="N163" t="str">
            <v>GIMNASIO</v>
          </cell>
          <cell r="O163" t="str">
            <v>OTROS</v>
          </cell>
          <cell r="P163">
            <v>430398</v>
          </cell>
          <cell r="T163" t="str">
            <v>Bueno</v>
          </cell>
          <cell r="U163" t="str">
            <v>N/T</v>
          </cell>
        </row>
        <row r="164">
          <cell r="J164" t="str">
            <v>42-04-07-00-0156</v>
          </cell>
          <cell r="K164" t="str">
            <v>42-2541</v>
          </cell>
          <cell r="L164" t="str">
            <v>42-04-07-00-0156</v>
          </cell>
          <cell r="M164" t="str">
            <v>Banca de cuadriceps con pesas ( 4 ) 0,5 Kgs, ( 9 ) 1 Kg, ( 4 ) 2 Kgs, ( 4 ) 3 Kgs</v>
          </cell>
          <cell r="O164" t="str">
            <v>OTROS</v>
          </cell>
          <cell r="P164">
            <v>110000</v>
          </cell>
          <cell r="T164" t="str">
            <v>Bueno</v>
          </cell>
          <cell r="U164" t="str">
            <v>N/T</v>
          </cell>
        </row>
        <row r="165">
          <cell r="J165" t="str">
            <v>42-04-07-00-0157</v>
          </cell>
          <cell r="K165" t="str">
            <v>42-2542</v>
          </cell>
          <cell r="L165" t="str">
            <v>42-04-07-00-0157</v>
          </cell>
          <cell r="M165" t="str">
            <v>Trotadora marca Sport Art Fitness 3110 Trealmill</v>
          </cell>
          <cell r="N165" t="str">
            <v>GIMNASIO</v>
          </cell>
          <cell r="O165" t="str">
            <v>OTROS</v>
          </cell>
          <cell r="P165">
            <v>458755</v>
          </cell>
          <cell r="T165" t="str">
            <v>Bueno</v>
          </cell>
          <cell r="U165" t="str">
            <v>Sport</v>
          </cell>
        </row>
        <row r="166">
          <cell r="J166" t="str">
            <v>42-05-02-01-0158</v>
          </cell>
          <cell r="K166" t="str">
            <v>42-3252</v>
          </cell>
          <cell r="L166" t="str">
            <v>42-05-02-01-0158</v>
          </cell>
          <cell r="M166" t="str">
            <v>Bicicleta estática marca Life Fitness Part. BAS-000X-0203  S/Nº BAS110806022475</v>
          </cell>
          <cell r="O166" t="str">
            <v>EQUIPOS CLINICOS</v>
          </cell>
          <cell r="P166">
            <v>1178100</v>
          </cell>
          <cell r="T166" t="str">
            <v>Bueno</v>
          </cell>
          <cell r="U166" t="str">
            <v>N/T</v>
          </cell>
        </row>
        <row r="167">
          <cell r="J167" t="str">
            <v>42-05-02-01-0159</v>
          </cell>
          <cell r="K167" t="str">
            <v>42-3254</v>
          </cell>
          <cell r="L167" t="str">
            <v>42-05-02-01-0159</v>
          </cell>
          <cell r="M167" t="str">
            <v>Escalera de dedos</v>
          </cell>
          <cell r="O167" t="str">
            <v>EQUIPOS CLINICOS</v>
          </cell>
          <cell r="P167">
            <v>35694</v>
          </cell>
          <cell r="T167" t="str">
            <v>Bueno</v>
          </cell>
          <cell r="U167" t="str">
            <v>N/T</v>
          </cell>
        </row>
        <row r="168">
          <cell r="J168" t="str">
            <v>42-04-03-00-0160</v>
          </cell>
          <cell r="K168" t="str">
            <v>42-83</v>
          </cell>
          <cell r="L168" t="str">
            <v>42-04-03-00-0160</v>
          </cell>
          <cell r="M168" t="str">
            <v>Escritorio de madera 2 cajones barniz natural de 123x57x81 cms.</v>
          </cell>
          <cell r="O168" t="str">
            <v>ESCRITORIOS</v>
          </cell>
          <cell r="P168">
            <v>89000</v>
          </cell>
          <cell r="T168" t="str">
            <v>Bueno</v>
          </cell>
          <cell r="U168" t="str">
            <v>N/T</v>
          </cell>
        </row>
        <row r="169">
          <cell r="J169" t="str">
            <v>42-04-02-00-0161</v>
          </cell>
          <cell r="K169" t="str">
            <v>42-1315</v>
          </cell>
          <cell r="L169" t="str">
            <v>42-04-02-00-0161</v>
          </cell>
          <cell r="M169" t="str">
            <v>Silla computacional color gris G Lif</v>
          </cell>
          <cell r="O169" t="str">
            <v>SILLAS</v>
          </cell>
          <cell r="P169">
            <v>42000</v>
          </cell>
          <cell r="T169" t="str">
            <v>Bueno</v>
          </cell>
          <cell r="U169" t="str">
            <v>N/T</v>
          </cell>
        </row>
        <row r="170">
          <cell r="J170" t="str">
            <v>42-04-02-00-0162</v>
          </cell>
          <cell r="K170" t="str">
            <v>42-2544</v>
          </cell>
          <cell r="L170" t="str">
            <v>42-04-02-00-0162</v>
          </cell>
          <cell r="M170" t="str">
            <v>Silla mixta</v>
          </cell>
          <cell r="O170" t="str">
            <v>SILLAS</v>
          </cell>
          <cell r="P170">
            <v>6902</v>
          </cell>
          <cell r="T170" t="str">
            <v>Bueno</v>
          </cell>
          <cell r="U170" t="str">
            <v>N/T</v>
          </cell>
        </row>
        <row r="171">
          <cell r="J171" t="str">
            <v>42-04-02-00-0163</v>
          </cell>
          <cell r="K171" t="str">
            <v>42-2545</v>
          </cell>
          <cell r="L171" t="str">
            <v>42-04-02-00-0163</v>
          </cell>
          <cell r="M171" t="str">
            <v>Silla mixta</v>
          </cell>
          <cell r="O171" t="str">
            <v>SILLAS</v>
          </cell>
          <cell r="P171">
            <v>6902</v>
          </cell>
          <cell r="T171" t="str">
            <v>Bueno</v>
          </cell>
          <cell r="U171" t="str">
            <v>N/T</v>
          </cell>
        </row>
        <row r="172">
          <cell r="J172" t="str">
            <v>42-04-02-00-0164</v>
          </cell>
          <cell r="K172" t="str">
            <v>42-901</v>
          </cell>
          <cell r="L172" t="str">
            <v>42-04-02-00-0164</v>
          </cell>
          <cell r="M172" t="str">
            <v>Silla mixta con pergamoide color crema</v>
          </cell>
          <cell r="O172" t="str">
            <v>SILLAS</v>
          </cell>
          <cell r="P172">
            <v>6902</v>
          </cell>
          <cell r="T172" t="str">
            <v>Bueno</v>
          </cell>
          <cell r="U172" t="str">
            <v>N/T</v>
          </cell>
        </row>
        <row r="173">
          <cell r="J173" t="str">
            <v>42-04-02-00-0165</v>
          </cell>
          <cell r="K173" t="str">
            <v>42-2547</v>
          </cell>
          <cell r="L173" t="str">
            <v>42-04-02-00-0165</v>
          </cell>
          <cell r="M173" t="str">
            <v>Silla redonda con respaldo 5 ruedas color crema</v>
          </cell>
          <cell r="O173" t="str">
            <v>SILLAS</v>
          </cell>
          <cell r="P173">
            <v>42500</v>
          </cell>
          <cell r="T173" t="str">
            <v>Bueno</v>
          </cell>
          <cell r="U173" t="str">
            <v>N/T</v>
          </cell>
        </row>
        <row r="174">
          <cell r="J174" t="str">
            <v>42-04-02-00-0166</v>
          </cell>
          <cell r="K174" t="str">
            <v>42-2467</v>
          </cell>
          <cell r="L174" t="str">
            <v>42-04-02-00-0166</v>
          </cell>
          <cell r="M174" t="str">
            <v>Silla mixta asiento y respaldo en formalita café claro</v>
          </cell>
          <cell r="O174" t="str">
            <v>SILLAS</v>
          </cell>
          <cell r="P174">
            <v>42500</v>
          </cell>
          <cell r="T174" t="str">
            <v>Bueno</v>
          </cell>
          <cell r="U174" t="str">
            <v>N/T</v>
          </cell>
        </row>
        <row r="175">
          <cell r="J175" t="str">
            <v>42-04-02-00-0167</v>
          </cell>
          <cell r="K175" t="str">
            <v>42-908</v>
          </cell>
          <cell r="L175" t="str">
            <v>42-04-02-00-0167</v>
          </cell>
          <cell r="M175" t="str">
            <v>Silla mixta asiento y respaldo en formalita café claro</v>
          </cell>
          <cell r="O175" t="str">
            <v>SILLAS</v>
          </cell>
          <cell r="P175">
            <v>42500</v>
          </cell>
          <cell r="T175" t="str">
            <v>Bueno</v>
          </cell>
          <cell r="U175" t="str">
            <v>N/T</v>
          </cell>
        </row>
        <row r="176">
          <cell r="J176" t="str">
            <v>42-04-06-00-0168</v>
          </cell>
          <cell r="K176" t="str">
            <v>42-88</v>
          </cell>
          <cell r="L176" t="str">
            <v>42-04-06-00-0168</v>
          </cell>
          <cell r="M176" t="str">
            <v>Mueble de madera barniz natural con 2 divisiones de 102x220x50 cms.  con 2 puertas correderas</v>
          </cell>
          <cell r="O176" t="str">
            <v>REPISA</v>
          </cell>
          <cell r="P176">
            <v>69432</v>
          </cell>
          <cell r="T176" t="str">
            <v>Bueno</v>
          </cell>
          <cell r="U176" t="str">
            <v>N/T</v>
          </cell>
        </row>
        <row r="177">
          <cell r="J177" t="str">
            <v>42-04-06-00-0169</v>
          </cell>
          <cell r="K177" t="str">
            <v>42-2543</v>
          </cell>
          <cell r="L177" t="str">
            <v>42-04-06-00-0169</v>
          </cell>
          <cell r="M177" t="str">
            <v>Mueble pared 2 divisiones 95x88x35 cms.</v>
          </cell>
          <cell r="O177" t="str">
            <v>REPISA</v>
          </cell>
          <cell r="P177">
            <v>39780</v>
          </cell>
          <cell r="T177" t="str">
            <v>Bueno</v>
          </cell>
          <cell r="U177" t="str">
            <v>N/T</v>
          </cell>
        </row>
        <row r="178">
          <cell r="J178" t="str">
            <v>42-04-01-00-0170</v>
          </cell>
          <cell r="K178" t="str">
            <v>42-95</v>
          </cell>
          <cell r="L178" t="str">
            <v>42-04-01-00-0170</v>
          </cell>
          <cell r="M178" t="str">
            <v>Mesa metálica con cubierta de formalita color verde de 55x45x80 cms.</v>
          </cell>
          <cell r="O178" t="str">
            <v>MESAS</v>
          </cell>
          <cell r="P178">
            <v>20000</v>
          </cell>
          <cell r="T178" t="str">
            <v>Bueno</v>
          </cell>
          <cell r="U178" t="str">
            <v>N/T</v>
          </cell>
        </row>
        <row r="179">
          <cell r="J179" t="str">
            <v>42-04-01-00-0171</v>
          </cell>
          <cell r="K179" t="str">
            <v>42-96</v>
          </cell>
          <cell r="L179" t="str">
            <v>42-04-01-00-0171</v>
          </cell>
          <cell r="M179" t="str">
            <v>Mesa metálica con cubierta de formalita color verde de 55x45x80 cms.</v>
          </cell>
          <cell r="O179" t="str">
            <v>MESAS</v>
          </cell>
          <cell r="P179">
            <v>20000</v>
          </cell>
          <cell r="T179" t="str">
            <v>Bueno</v>
          </cell>
          <cell r="U179" t="str">
            <v>N/T</v>
          </cell>
        </row>
        <row r="180">
          <cell r="J180" t="str">
            <v>42-04-01-00-0172</v>
          </cell>
          <cell r="K180" t="str">
            <v>42-97</v>
          </cell>
          <cell r="L180" t="str">
            <v>42-04-01-00-0172</v>
          </cell>
          <cell r="M180" t="str">
            <v>Mesa de madera 2 repisas color blanco de 86x46x40 cms.</v>
          </cell>
          <cell r="O180" t="str">
            <v>MESAS</v>
          </cell>
          <cell r="P180">
            <v>26955</v>
          </cell>
          <cell r="T180" t="str">
            <v>Bueno</v>
          </cell>
          <cell r="U180" t="str">
            <v>N/T</v>
          </cell>
        </row>
        <row r="181">
          <cell r="J181" t="str">
            <v>42-05-02-01-0173</v>
          </cell>
          <cell r="K181" t="str">
            <v>42-98</v>
          </cell>
          <cell r="L181" t="str">
            <v>42-05-02-01-0173</v>
          </cell>
          <cell r="M181" t="str">
            <v>Escabel mixto de 2 peldaños</v>
          </cell>
          <cell r="O181" t="str">
            <v>EQUIPOS CLINICOS</v>
          </cell>
          <cell r="P181">
            <v>17850</v>
          </cell>
          <cell r="T181" t="str">
            <v>Bueno</v>
          </cell>
          <cell r="U181" t="str">
            <v>N/T</v>
          </cell>
        </row>
        <row r="182">
          <cell r="J182" t="str">
            <v>42-04-07-00-0174</v>
          </cell>
          <cell r="K182" t="str">
            <v>42-98B</v>
          </cell>
          <cell r="L182" t="str">
            <v>42-04-07-00-0174</v>
          </cell>
          <cell r="M182" t="str">
            <v>Percha de madera con 4 ganchos metálicos</v>
          </cell>
          <cell r="O182" t="str">
            <v>OTROS</v>
          </cell>
          <cell r="P182">
            <v>20000</v>
          </cell>
          <cell r="T182" t="str">
            <v>Bueno</v>
          </cell>
          <cell r="U182" t="str">
            <v>N/T</v>
          </cell>
        </row>
        <row r="183">
          <cell r="J183" t="str">
            <v>42-04-07-00-0175</v>
          </cell>
          <cell r="K183" t="str">
            <v>42-2549</v>
          </cell>
          <cell r="L183" t="str">
            <v>42-04-07-00-0175</v>
          </cell>
          <cell r="M183" t="str">
            <v>Dispensador jabón marca Johnson</v>
          </cell>
          <cell r="O183" t="str">
            <v>OTROS</v>
          </cell>
          <cell r="P183">
            <v>17000</v>
          </cell>
          <cell r="T183" t="str">
            <v>Bueno</v>
          </cell>
          <cell r="U183" t="str">
            <v>Johnson</v>
          </cell>
        </row>
        <row r="184">
          <cell r="J184" t="str">
            <v>42-05-02-05-0176</v>
          </cell>
          <cell r="K184" t="str">
            <v>42-3253</v>
          </cell>
          <cell r="L184" t="str">
            <v>42-05-02-05-0176</v>
          </cell>
          <cell r="M184" t="str">
            <v>Extintor Anhidrido Carbonico 2 Kgs.</v>
          </cell>
          <cell r="O184" t="str">
            <v>EQUIPOS DE SEGURIDAD</v>
          </cell>
          <cell r="P184">
            <v>25000</v>
          </cell>
          <cell r="T184" t="str">
            <v>Bueno</v>
          </cell>
          <cell r="U184" t="str">
            <v>N/T</v>
          </cell>
        </row>
        <row r="185">
          <cell r="J185" t="str">
            <v>42-04-07-00-0177</v>
          </cell>
          <cell r="K185" t="str">
            <v>42-2573</v>
          </cell>
          <cell r="L185" t="str">
            <v>42-04-07-00-0177</v>
          </cell>
          <cell r="M185" t="str">
            <v>Diván metálico de uso médico con pergamoide, café claro</v>
          </cell>
          <cell r="O185" t="str">
            <v>OTROS</v>
          </cell>
          <cell r="P185">
            <v>202300</v>
          </cell>
          <cell r="T185" t="str">
            <v>Bueno</v>
          </cell>
          <cell r="U185" t="str">
            <v>N/T</v>
          </cell>
        </row>
        <row r="186">
          <cell r="J186" t="str">
            <v>42-04-01-00-0178</v>
          </cell>
          <cell r="K186" t="str">
            <v>42-90</v>
          </cell>
          <cell r="L186" t="str">
            <v>42-04-01-00-0178</v>
          </cell>
          <cell r="M186" t="str">
            <v>Mesón metálico color blanco</v>
          </cell>
          <cell r="O186" t="str">
            <v>MESAS</v>
          </cell>
          <cell r="P186">
            <v>89000</v>
          </cell>
          <cell r="T186" t="str">
            <v>Bueno</v>
          </cell>
          <cell r="U186" t="str">
            <v>N/T</v>
          </cell>
        </row>
        <row r="187">
          <cell r="J187" t="str">
            <v>42-04-07-00-0179</v>
          </cell>
          <cell r="K187" t="str">
            <v>42-92</v>
          </cell>
          <cell r="L187" t="str">
            <v>42-04-07-00-0179</v>
          </cell>
          <cell r="M187" t="str">
            <v>Espaldero color barniz natural 200x139x12 cms.</v>
          </cell>
          <cell r="N187" t="str">
            <v>GIMNASIO</v>
          </cell>
          <cell r="O187" t="str">
            <v>OTROS</v>
          </cell>
          <cell r="P187">
            <v>35000</v>
          </cell>
          <cell r="T187" t="str">
            <v>Bueno</v>
          </cell>
          <cell r="U187" t="str">
            <v>N/T</v>
          </cell>
        </row>
        <row r="188">
          <cell r="J188" t="str">
            <v>42-05-01-01-0180</v>
          </cell>
          <cell r="K188" t="str">
            <v>42-2527</v>
          </cell>
          <cell r="L188" t="str">
            <v>42-05-01-01-0180</v>
          </cell>
          <cell r="M188" t="str">
            <v>Citófono/ teléfono marca Nortel Network, Modelo 7000</v>
          </cell>
          <cell r="O188" t="str">
            <v>EQUIPO DE OFICINA</v>
          </cell>
          <cell r="P188">
            <v>36000</v>
          </cell>
          <cell r="T188" t="str">
            <v>Malo</v>
          </cell>
          <cell r="U188" t="str">
            <v>Nortel Network</v>
          </cell>
        </row>
        <row r="189">
          <cell r="J189" t="str">
            <v>42-05-01-01-0181</v>
          </cell>
          <cell r="K189" t="str">
            <v>42-3458</v>
          </cell>
          <cell r="L189" t="str">
            <v>42-05-01-01-0181</v>
          </cell>
          <cell r="M189" t="str">
            <v>Citófono/ teléfono marca Nortel Network, Modelo 7000</v>
          </cell>
          <cell r="O189" t="str">
            <v>EQUIPO DE OFICINA</v>
          </cell>
          <cell r="P189">
            <v>36000</v>
          </cell>
          <cell r="T189" t="str">
            <v>Bueno</v>
          </cell>
          <cell r="U189" t="str">
            <v>Nortel Network</v>
          </cell>
        </row>
        <row r="190">
          <cell r="J190" t="str">
            <v>42-05-02-01-0182</v>
          </cell>
          <cell r="K190" t="str">
            <v>42-99</v>
          </cell>
          <cell r="L190" t="str">
            <v>42-05-02-01-0182</v>
          </cell>
          <cell r="M190" t="str">
            <v>Equipo analizador de agua marca HACH</v>
          </cell>
          <cell r="O190" t="str">
            <v>EQUIPOS CLINICOS</v>
          </cell>
          <cell r="P190">
            <v>50000</v>
          </cell>
          <cell r="T190" t="str">
            <v>Bueno</v>
          </cell>
          <cell r="U190" t="str">
            <v>N/T</v>
          </cell>
        </row>
        <row r="191">
          <cell r="J191" t="str">
            <v>42-06-01-00-0183</v>
          </cell>
          <cell r="K191" t="str">
            <v>42-1480</v>
          </cell>
          <cell r="L191" t="str">
            <v>42-06-01-00-0183</v>
          </cell>
          <cell r="M191" t="str">
            <v>Impresora marca Canon  BJC-250 S/Nº ENB88660</v>
          </cell>
          <cell r="O191" t="str">
            <v>EQUIPOS COMPUTACIONALES Y PERIFÉRICOS</v>
          </cell>
          <cell r="P191">
            <v>22000</v>
          </cell>
          <cell r="T191" t="str">
            <v>Bueno</v>
          </cell>
          <cell r="U191" t="str">
            <v>Canon</v>
          </cell>
        </row>
        <row r="192">
          <cell r="J192" t="str">
            <v>42-05-01-01-0184</v>
          </cell>
          <cell r="K192" t="str">
            <v>42-2295</v>
          </cell>
          <cell r="L192" t="str">
            <v>42-05-01-01-0184</v>
          </cell>
          <cell r="M192" t="str">
            <v>Calculadora marca Aurora Mod. DT 393</v>
          </cell>
          <cell r="O192" t="str">
            <v>EQUIPO DE OFICINA</v>
          </cell>
          <cell r="P192">
            <v>7000</v>
          </cell>
          <cell r="T192" t="str">
            <v>Bueno</v>
          </cell>
          <cell r="U192" t="str">
            <v>Aurora</v>
          </cell>
        </row>
        <row r="193">
          <cell r="J193" t="str">
            <v>42-04-03-00-0185</v>
          </cell>
          <cell r="K193" t="str">
            <v>42-100</v>
          </cell>
          <cell r="L193" t="str">
            <v>42-04-03-00-0185</v>
          </cell>
          <cell r="M193" t="str">
            <v>Escritorio metálico color verde 5 cajones de 150x75 cms.</v>
          </cell>
          <cell r="O193" t="str">
            <v>ESCRITORIOS</v>
          </cell>
          <cell r="P193">
            <v>45000</v>
          </cell>
          <cell r="T193" t="str">
            <v>Bueno</v>
          </cell>
          <cell r="U193" t="str">
            <v>N/T</v>
          </cell>
        </row>
        <row r="194">
          <cell r="J194" t="str">
            <v>42-04-02-00-0186</v>
          </cell>
          <cell r="K194" t="str">
            <v>42-103</v>
          </cell>
          <cell r="L194" t="str">
            <v>42-04-02-00-0186</v>
          </cell>
          <cell r="M194" t="str">
            <v>Silla de madera tapizada en tevinil blanco</v>
          </cell>
          <cell r="O194" t="str">
            <v>SILLAS</v>
          </cell>
          <cell r="P194">
            <v>17850</v>
          </cell>
          <cell r="T194" t="str">
            <v>Bueno</v>
          </cell>
          <cell r="U194" t="str">
            <v>N/T</v>
          </cell>
        </row>
        <row r="195">
          <cell r="J195" t="str">
            <v>42-04-05-00-0187</v>
          </cell>
          <cell r="K195" t="str">
            <v>42-104</v>
          </cell>
          <cell r="L195" t="str">
            <v>42-04-05-00-0187</v>
          </cell>
          <cell r="M195" t="str">
            <v>Kardex metálico 4 gavetas color verde, marca Madensa de 45x71x130 cms</v>
          </cell>
          <cell r="O195" t="str">
            <v>KARDEX</v>
          </cell>
          <cell r="P195">
            <v>45000</v>
          </cell>
          <cell r="T195" t="str">
            <v>Bueno</v>
          </cell>
          <cell r="U195" t="str">
            <v>Madensa</v>
          </cell>
        </row>
        <row r="196">
          <cell r="J196" t="str">
            <v>42-04-05-00-0188</v>
          </cell>
          <cell r="K196" t="str">
            <v>42-1114</v>
          </cell>
          <cell r="L196" t="str">
            <v>42-04-05-00-0188</v>
          </cell>
          <cell r="M196" t="str">
            <v>Kardex Metálico 4 gavetas color verde, marca Madensa 45x71x130 cms.</v>
          </cell>
          <cell r="O196" t="str">
            <v>KARDEX</v>
          </cell>
          <cell r="P196">
            <v>45000</v>
          </cell>
          <cell r="T196" t="str">
            <v>Bueno</v>
          </cell>
          <cell r="U196" t="str">
            <v>Madensa</v>
          </cell>
        </row>
        <row r="197">
          <cell r="J197" t="str">
            <v>42-04-07-00-0189</v>
          </cell>
          <cell r="K197" t="str">
            <v>42-106</v>
          </cell>
          <cell r="L197" t="str">
            <v>42-04-07-00-0189</v>
          </cell>
          <cell r="M197" t="str">
            <v>Percha paragüero barniz natural, 4 ganchos de bronce.</v>
          </cell>
          <cell r="O197" t="str">
            <v>OTROS</v>
          </cell>
          <cell r="P197">
            <v>17350</v>
          </cell>
          <cell r="T197" t="str">
            <v>Bueno</v>
          </cell>
          <cell r="U197" t="str">
            <v>N/T</v>
          </cell>
        </row>
        <row r="198">
          <cell r="J198" t="str">
            <v>42-04-06-00-0190</v>
          </cell>
          <cell r="K198" t="str">
            <v>42-09</v>
          </cell>
          <cell r="L198" t="str">
            <v>42-04-06-00-0190</v>
          </cell>
          <cell r="M198" t="str">
            <v>Repisa masisa enchapada 2 compartimentos color barniz natural 228x35x88 cms.</v>
          </cell>
          <cell r="O198" t="str">
            <v>REPISA</v>
          </cell>
          <cell r="P198">
            <v>78000</v>
          </cell>
          <cell r="U198" t="str">
            <v>N/T</v>
          </cell>
        </row>
        <row r="199">
          <cell r="J199" t="str">
            <v>42-04-02-00-0191</v>
          </cell>
          <cell r="K199" t="str">
            <v>42-1191 B</v>
          </cell>
          <cell r="L199" t="str">
            <v>42-04-02-00-0191</v>
          </cell>
          <cell r="M199" t="str">
            <v>Silla de Madera barniz natural, asiento y respaldo tapizado en lanilla color café</v>
          </cell>
          <cell r="O199" t="str">
            <v>SILLAS</v>
          </cell>
          <cell r="P199">
            <v>17850</v>
          </cell>
          <cell r="U199" t="str">
            <v>N/T</v>
          </cell>
        </row>
        <row r="200">
          <cell r="J200" t="str">
            <v>42-04-02-00-0192</v>
          </cell>
          <cell r="K200" t="str">
            <v>42-1399</v>
          </cell>
          <cell r="L200" t="str">
            <v>42-04-02-00-0192</v>
          </cell>
          <cell r="M200" t="str">
            <v>Silla giratoria con pistón de aire tapizada en lanilla color azul</v>
          </cell>
          <cell r="O200" t="str">
            <v>SILLAS</v>
          </cell>
          <cell r="P200">
            <v>17850</v>
          </cell>
          <cell r="T200" t="str">
            <v>Bueno</v>
          </cell>
          <cell r="U200" t="str">
            <v>N/T</v>
          </cell>
        </row>
        <row r="201">
          <cell r="J201" t="str">
            <v>42-04-02-00-0193</v>
          </cell>
          <cell r="K201" t="str">
            <v>42-1605</v>
          </cell>
          <cell r="L201" t="str">
            <v>42-04-02-00-0193</v>
          </cell>
          <cell r="M201" t="str">
            <v>Silla giratoria con apoya brazos, color azul</v>
          </cell>
          <cell r="O201" t="str">
            <v>SILLAS</v>
          </cell>
          <cell r="P201">
            <v>42500</v>
          </cell>
          <cell r="T201" t="str">
            <v>Bueno</v>
          </cell>
          <cell r="U201" t="str">
            <v>N/T</v>
          </cell>
        </row>
        <row r="202">
          <cell r="J202" t="str">
            <v>42-05-01-01-0194</v>
          </cell>
          <cell r="K202" t="str">
            <v>42-108</v>
          </cell>
          <cell r="L202" t="str">
            <v>42-05-01-01-0194</v>
          </cell>
          <cell r="M202" t="str">
            <v>Perforador extrafuerte color gris</v>
          </cell>
          <cell r="O202" t="str">
            <v>EQUIPO DE OFICINA</v>
          </cell>
          <cell r="P202">
            <v>6700</v>
          </cell>
          <cell r="T202" t="str">
            <v>Bueno</v>
          </cell>
          <cell r="U202" t="str">
            <v>N/T</v>
          </cell>
        </row>
        <row r="203">
          <cell r="J203" t="str">
            <v>42-05-01-01-0195</v>
          </cell>
          <cell r="K203" t="str">
            <v>42-109</v>
          </cell>
          <cell r="L203" t="str">
            <v>42-05-01-01-0195</v>
          </cell>
          <cell r="M203" t="str">
            <v>Corchetera marca Torre color beige naranjo</v>
          </cell>
          <cell r="O203" t="str">
            <v>EQUIPO DE OFICINA</v>
          </cell>
          <cell r="P203">
            <v>3500</v>
          </cell>
          <cell r="T203" t="str">
            <v>Bueno</v>
          </cell>
          <cell r="U203" t="str">
            <v>Torre</v>
          </cell>
        </row>
        <row r="204">
          <cell r="J204" t="str">
            <v>42-04-07-00-0196</v>
          </cell>
          <cell r="K204" t="str">
            <v>42-1399B</v>
          </cell>
          <cell r="L204" t="str">
            <v>42-04-07-00-0196</v>
          </cell>
          <cell r="M204" t="str">
            <v>Canastillos de alambre para documentos</v>
          </cell>
          <cell r="O204" t="str">
            <v>OTROS</v>
          </cell>
          <cell r="P204">
            <v>20000</v>
          </cell>
          <cell r="T204" t="str">
            <v>Bueno</v>
          </cell>
          <cell r="U204" t="str">
            <v>N/T</v>
          </cell>
        </row>
        <row r="205">
          <cell r="J205" t="str">
            <v>42-04-07-00-0197</v>
          </cell>
          <cell r="K205" t="str">
            <v>42-3213</v>
          </cell>
          <cell r="L205" t="str">
            <v>42-04-07-00-0197</v>
          </cell>
          <cell r="M205" t="str">
            <v>Basurero metálico con tapa y pedal</v>
          </cell>
          <cell r="O205" t="str">
            <v>OTROS</v>
          </cell>
          <cell r="P205">
            <v>3000</v>
          </cell>
          <cell r="T205" t="str">
            <v>Bueno</v>
          </cell>
          <cell r="U205" t="str">
            <v>N/T</v>
          </cell>
        </row>
        <row r="206">
          <cell r="J206" t="str">
            <v>42-05-01-01-0198</v>
          </cell>
          <cell r="K206" t="str">
            <v>42-1979</v>
          </cell>
          <cell r="L206" t="str">
            <v>42-05-01-01-0198</v>
          </cell>
          <cell r="M206" t="str">
            <v>Citófono/ teléfono marca Nortel Network, Modelo 7000</v>
          </cell>
          <cell r="O206" t="str">
            <v>EQUIPO DE OFICINA</v>
          </cell>
          <cell r="P206">
            <v>36000</v>
          </cell>
          <cell r="T206" t="str">
            <v>Bueno</v>
          </cell>
          <cell r="U206" t="str">
            <v>Nortel Network</v>
          </cell>
        </row>
        <row r="207">
          <cell r="J207" t="str">
            <v>42-05-01-01-0199</v>
          </cell>
          <cell r="K207" t="str">
            <v>42-3277</v>
          </cell>
          <cell r="L207" t="str">
            <v>42-05-01-01-0199</v>
          </cell>
          <cell r="M207" t="str">
            <v>Calculadora Casine 12 digitos Mod. CS 809</v>
          </cell>
          <cell r="O207" t="str">
            <v>EQUIPO DE OFICINA</v>
          </cell>
          <cell r="P207">
            <v>7000</v>
          </cell>
          <cell r="T207" t="str">
            <v>Bueno</v>
          </cell>
          <cell r="U207" t="str">
            <v>Casine</v>
          </cell>
        </row>
        <row r="208">
          <cell r="J208" t="str">
            <v>42-06-01-00-0200</v>
          </cell>
          <cell r="K208" t="str">
            <v>42-3272</v>
          </cell>
          <cell r="L208" t="str">
            <v>42-06-01-00-0200</v>
          </cell>
          <cell r="M208" t="str">
            <v>Impresora HP Laser Jet P1005 Mod. CB410A S/Nº BRBs93LGBC</v>
          </cell>
          <cell r="O208" t="str">
            <v>EQUIPOS COMPUTACIONALES Y PERIFÉRICOS</v>
          </cell>
          <cell r="P208">
            <v>45000</v>
          </cell>
          <cell r="T208" t="str">
            <v>Bueno</v>
          </cell>
          <cell r="U208" t="str">
            <v>HP Laser Jet</v>
          </cell>
        </row>
        <row r="209">
          <cell r="J209" t="str">
            <v>42-06-01-00-0201</v>
          </cell>
          <cell r="K209" t="str">
            <v>42-2564</v>
          </cell>
          <cell r="L209" t="str">
            <v>42-06-01-00-0201</v>
          </cell>
          <cell r="M209" t="str">
            <v>Impresora marca Epson Mod. TM - U295 S/Nº A8DO112060</v>
          </cell>
          <cell r="O209" t="str">
            <v>EQUIPOS COMPUTACIONALES Y PERIFÉRICOS</v>
          </cell>
          <cell r="P209">
            <v>37000</v>
          </cell>
          <cell r="T209" t="str">
            <v>Bueno</v>
          </cell>
          <cell r="U209" t="str">
            <v>Epson</v>
          </cell>
        </row>
        <row r="210">
          <cell r="J210" t="str">
            <v>42-06-01-00-0202</v>
          </cell>
          <cell r="K210" t="str">
            <v>42-2136</v>
          </cell>
          <cell r="L210" t="str">
            <v>42-06-01-00-0202</v>
          </cell>
          <cell r="M210" t="str">
            <v>Impresora Oki 320 Turbo 9 PIN S/Nº 311E5005043</v>
          </cell>
          <cell r="O210" t="str">
            <v>EQUIPOS COMPUTACIONALES Y PERIFÉRICOS</v>
          </cell>
          <cell r="P210">
            <v>120000</v>
          </cell>
          <cell r="T210" t="str">
            <v>Bueno</v>
          </cell>
          <cell r="U210" t="str">
            <v>Oki</v>
          </cell>
        </row>
        <row r="211">
          <cell r="J211" t="str">
            <v>42-05-01-01-0203</v>
          </cell>
          <cell r="K211" t="str">
            <v>42-2565</v>
          </cell>
          <cell r="L211" t="str">
            <v>42-05-01-01-0203</v>
          </cell>
          <cell r="M211" t="str">
            <v>Radio CD marca RCA Mod. RCD 002 S/Nº 0631</v>
          </cell>
          <cell r="O211" t="str">
            <v>EQUIPO DE OFICINA</v>
          </cell>
          <cell r="P211">
            <v>53710</v>
          </cell>
          <cell r="T211" t="str">
            <v>Bueno</v>
          </cell>
          <cell r="U211" t="str">
            <v>RCA</v>
          </cell>
        </row>
        <row r="212">
          <cell r="J212" t="str">
            <v>42-05-01-01-0204</v>
          </cell>
          <cell r="K212" t="str">
            <v>42-1807</v>
          </cell>
          <cell r="L212" t="str">
            <v>42-05-01-01-0204</v>
          </cell>
          <cell r="M212" t="str">
            <v>Radiador Óleo eléctrico marca Somela con ruedas</v>
          </cell>
          <cell r="N212">
            <v>1</v>
          </cell>
          <cell r="O212" t="str">
            <v>EQUIPO DE OFICINA</v>
          </cell>
          <cell r="P212">
            <v>36000</v>
          </cell>
          <cell r="T212" t="str">
            <v>Bueno</v>
          </cell>
          <cell r="U212" t="str">
            <v>Somela</v>
          </cell>
        </row>
        <row r="213">
          <cell r="J213" t="str">
            <v>42-04-07-00-0205</v>
          </cell>
          <cell r="K213" t="str">
            <v>42-3273</v>
          </cell>
          <cell r="L213" t="str">
            <v>42-04-07-00-0205</v>
          </cell>
          <cell r="M213" t="str">
            <v>Indicador de turno marca Turnotronics CSL</v>
          </cell>
          <cell r="N213">
            <v>1</v>
          </cell>
          <cell r="O213" t="str">
            <v>OTROS</v>
          </cell>
          <cell r="P213">
            <v>30000</v>
          </cell>
          <cell r="T213" t="str">
            <v>Bueno</v>
          </cell>
          <cell r="U213" t="str">
            <v>Turnotronics</v>
          </cell>
        </row>
        <row r="214">
          <cell r="J214" t="str">
            <v>42-04-07-00-0206</v>
          </cell>
          <cell r="K214" t="str">
            <v>42-3274</v>
          </cell>
          <cell r="L214" t="str">
            <v>42-04-07-00-0206</v>
          </cell>
          <cell r="M214" t="str">
            <v>Indicador de turno marca Turnotronics CSL</v>
          </cell>
          <cell r="N214">
            <v>1</v>
          </cell>
          <cell r="O214" t="str">
            <v>OTROS</v>
          </cell>
          <cell r="P214">
            <v>30000</v>
          </cell>
          <cell r="T214" t="str">
            <v>Bueno</v>
          </cell>
          <cell r="U214" t="str">
            <v>Turnotronics</v>
          </cell>
        </row>
        <row r="215">
          <cell r="J215" t="str">
            <v>42-04-07-00-0207</v>
          </cell>
          <cell r="K215" t="str">
            <v>42-3275</v>
          </cell>
          <cell r="L215" t="str">
            <v>42-04-07-00-0207</v>
          </cell>
          <cell r="M215" t="str">
            <v>Indicador de turno marca Turnotronics CSL</v>
          </cell>
          <cell r="N215">
            <v>1</v>
          </cell>
          <cell r="O215" t="str">
            <v>OTROS</v>
          </cell>
          <cell r="P215">
            <v>30000</v>
          </cell>
          <cell r="T215" t="str">
            <v>Bueno</v>
          </cell>
          <cell r="U215" t="str">
            <v>Turnotronics</v>
          </cell>
        </row>
        <row r="216">
          <cell r="J216" t="str">
            <v>42-05-02-01-0208</v>
          </cell>
          <cell r="K216" t="str">
            <v>42-114</v>
          </cell>
          <cell r="L216" t="str">
            <v>42-05-02-01-0208</v>
          </cell>
          <cell r="M216" t="str">
            <v>Escabel mixto de 2 peldaños color blanco</v>
          </cell>
          <cell r="O216" t="str">
            <v>EQUIPOS CLINICOS</v>
          </cell>
          <cell r="P216">
            <v>17850</v>
          </cell>
          <cell r="T216" t="str">
            <v>Bueno</v>
          </cell>
          <cell r="U216" t="str">
            <v>N/T</v>
          </cell>
        </row>
        <row r="217">
          <cell r="J217" t="str">
            <v>42-05-02-06-0209</v>
          </cell>
          <cell r="K217" t="str">
            <v>42-121</v>
          </cell>
          <cell r="L217" t="str">
            <v>42-05-02-06-0209</v>
          </cell>
          <cell r="M217" t="str">
            <v>Escala tijera de madera 96x43 cms.</v>
          </cell>
          <cell r="O217" t="str">
            <v>HERRAMIENTAS</v>
          </cell>
          <cell r="P217">
            <v>35641</v>
          </cell>
          <cell r="T217" t="str">
            <v>Bueno</v>
          </cell>
          <cell r="U217" t="str">
            <v>N/T</v>
          </cell>
        </row>
        <row r="218">
          <cell r="J218" t="str">
            <v>42-04-03-00-0210</v>
          </cell>
          <cell r="K218" t="str">
            <v>42-2953</v>
          </cell>
          <cell r="L218" t="str">
            <v>42-04-03-00-0210</v>
          </cell>
          <cell r="M218" t="str">
            <v>Escritorio melamina blanco c/ 6 cajones, 1 compartimento 187x59x78 cms.</v>
          </cell>
          <cell r="O218" t="str">
            <v>ESCRITORIOS</v>
          </cell>
          <cell r="P218">
            <v>65555</v>
          </cell>
          <cell r="T218" t="str">
            <v>Bueno</v>
          </cell>
          <cell r="U218" t="str">
            <v>N/T</v>
          </cell>
        </row>
        <row r="219">
          <cell r="J219" t="str">
            <v>42-04-03-00-0211</v>
          </cell>
          <cell r="K219" t="str">
            <v>42-3484</v>
          </cell>
          <cell r="L219" t="str">
            <v>42-04-03-00-0211</v>
          </cell>
          <cell r="M219" t="str">
            <v>Escritorio computación con 1 cajon , 1 bandeja color nogal con plomo de 121x75x61</v>
          </cell>
          <cell r="O219" t="str">
            <v>ESCRITORIOS</v>
          </cell>
          <cell r="P219">
            <v>77350</v>
          </cell>
          <cell r="T219" t="str">
            <v>Bueno</v>
          </cell>
          <cell r="U219" t="str">
            <v>N/T</v>
          </cell>
        </row>
        <row r="220">
          <cell r="J220" t="str">
            <v>42-04-03-00-0212</v>
          </cell>
          <cell r="K220" t="str">
            <v>42-2947</v>
          </cell>
          <cell r="L220" t="str">
            <v>42-04-03-00-0212</v>
          </cell>
          <cell r="M220" t="str">
            <v>Escritorio melamina blanca 6 cajones 187x59x78 cms.</v>
          </cell>
          <cell r="O220" t="str">
            <v>ESCRITORIOS</v>
          </cell>
          <cell r="P220">
            <v>65555</v>
          </cell>
          <cell r="T220" t="str">
            <v>Bueno</v>
          </cell>
          <cell r="U220" t="str">
            <v>N/T</v>
          </cell>
        </row>
        <row r="221">
          <cell r="J221" t="str">
            <v>42-04-06-00-0213</v>
          </cell>
          <cell r="K221" t="str">
            <v>42-2954</v>
          </cell>
          <cell r="L221" t="str">
            <v>42-04-06-00-0213</v>
          </cell>
          <cell r="M221" t="str">
            <v>Repisa para fichas, base metálica con melamina blanca 390x32x210 cms.</v>
          </cell>
          <cell r="O221" t="str">
            <v>REPISA</v>
          </cell>
          <cell r="P221">
            <v>60000</v>
          </cell>
          <cell r="T221" t="str">
            <v>Bueno</v>
          </cell>
          <cell r="U221" t="str">
            <v>N/T</v>
          </cell>
        </row>
        <row r="222">
          <cell r="J222" t="str">
            <v>42-04-06-00-0214</v>
          </cell>
          <cell r="K222" t="str">
            <v>42-2955</v>
          </cell>
          <cell r="L222" t="str">
            <v>42-04-06-00-0214</v>
          </cell>
          <cell r="M222" t="str">
            <v>Repisa para fichas, base metálica con melamina blanca 204x32x210 cms.</v>
          </cell>
          <cell r="O222" t="str">
            <v>REPISA</v>
          </cell>
          <cell r="P222">
            <v>54000</v>
          </cell>
          <cell r="T222" t="str">
            <v>Bueno</v>
          </cell>
          <cell r="U222" t="str">
            <v>N/T</v>
          </cell>
        </row>
        <row r="223">
          <cell r="J223" t="str">
            <v>42-04-06-00-0215</v>
          </cell>
          <cell r="K223" t="str">
            <v>42-2956</v>
          </cell>
          <cell r="L223" t="str">
            <v>42-04-06-00-0215</v>
          </cell>
          <cell r="M223" t="str">
            <v>Repisa para fichas, base metálica con melamina blanca 204x60x200 cms.</v>
          </cell>
          <cell r="O223" t="str">
            <v>REPISA</v>
          </cell>
          <cell r="P223">
            <v>54000</v>
          </cell>
          <cell r="T223" t="str">
            <v>Bueno</v>
          </cell>
          <cell r="U223" t="str">
            <v>N/T</v>
          </cell>
        </row>
        <row r="224">
          <cell r="J224" t="str">
            <v>42-04-06-00-0216</v>
          </cell>
          <cell r="K224" t="str">
            <v>42-2957</v>
          </cell>
          <cell r="L224" t="str">
            <v>42-04-06-00-0216</v>
          </cell>
          <cell r="M224" t="str">
            <v>Repisa para fichas, base metálica con melamina blanca 330x32x121 cms.</v>
          </cell>
          <cell r="O224" t="str">
            <v>REPISA</v>
          </cell>
          <cell r="P224">
            <v>59000</v>
          </cell>
          <cell r="T224" t="str">
            <v>Bueno</v>
          </cell>
          <cell r="U224" t="str">
            <v>N/T</v>
          </cell>
        </row>
        <row r="225">
          <cell r="J225" t="str">
            <v>42-04-06-00-0217</v>
          </cell>
          <cell r="K225" t="str">
            <v>42-2958</v>
          </cell>
          <cell r="L225" t="str">
            <v>42-04-06-00-0217</v>
          </cell>
          <cell r="M225" t="str">
            <v>Repisa para fichas, base metálica con melamina blanca 204x32x200 cms.</v>
          </cell>
          <cell r="O225" t="str">
            <v>REPISA</v>
          </cell>
          <cell r="P225">
            <v>35000</v>
          </cell>
          <cell r="T225" t="str">
            <v>Bueno</v>
          </cell>
          <cell r="U225" t="str">
            <v>N/T</v>
          </cell>
        </row>
        <row r="226">
          <cell r="J226" t="str">
            <v>42-04-06-00-0218</v>
          </cell>
          <cell r="K226" t="str">
            <v>42-2959</v>
          </cell>
          <cell r="L226" t="str">
            <v>42-04-06-00-0218</v>
          </cell>
          <cell r="M226" t="str">
            <v>Repisa para fichas, base metálica con melamina blanca 270x60x200 cms.</v>
          </cell>
          <cell r="O226" t="str">
            <v>REPISA</v>
          </cell>
          <cell r="P226">
            <v>35000</v>
          </cell>
          <cell r="T226" t="str">
            <v>Bueno</v>
          </cell>
          <cell r="U226" t="str">
            <v>N/T</v>
          </cell>
        </row>
        <row r="227">
          <cell r="J227" t="str">
            <v>42-04-06-00-0219</v>
          </cell>
          <cell r="K227" t="str">
            <v>42-2960</v>
          </cell>
          <cell r="L227" t="str">
            <v>42-04-06-00-0219</v>
          </cell>
          <cell r="M227" t="str">
            <v>Repisa para fichas, base metálica con melamina blanca 204x32x200 cms.</v>
          </cell>
          <cell r="O227" t="str">
            <v>REPISA</v>
          </cell>
          <cell r="P227">
            <v>35000</v>
          </cell>
          <cell r="T227" t="str">
            <v>Bueno</v>
          </cell>
          <cell r="U227" t="str">
            <v>N/T</v>
          </cell>
        </row>
        <row r="228">
          <cell r="J228" t="str">
            <v>42-04-02-00-0220</v>
          </cell>
          <cell r="K228" t="str">
            <v>42-1816</v>
          </cell>
          <cell r="L228" t="str">
            <v>42-04-02-00-0220</v>
          </cell>
          <cell r="M228" t="str">
            <v>Silla giratoria Tyson fija color azul</v>
          </cell>
          <cell r="O228" t="str">
            <v>SILLAS</v>
          </cell>
          <cell r="P228">
            <v>13584</v>
          </cell>
          <cell r="T228" t="str">
            <v>Bueno</v>
          </cell>
          <cell r="U228" t="str">
            <v>N/T</v>
          </cell>
        </row>
        <row r="229">
          <cell r="J229" t="str">
            <v>42-04-02-00-0221</v>
          </cell>
          <cell r="K229" t="str">
            <v>42-3469</v>
          </cell>
          <cell r="L229" t="str">
            <v>42-04-02-00-0221</v>
          </cell>
          <cell r="M229" t="str">
            <v>Silla giratoria c/apoyo de brazos  5 ruedas color azul</v>
          </cell>
          <cell r="O229" t="str">
            <v>SILLAS</v>
          </cell>
          <cell r="P229">
            <v>42500</v>
          </cell>
          <cell r="T229" t="str">
            <v>Bueno</v>
          </cell>
          <cell r="U229" t="str">
            <v>N/T</v>
          </cell>
        </row>
        <row r="230">
          <cell r="J230" t="str">
            <v>42-04-02-00-0222</v>
          </cell>
          <cell r="K230" t="str">
            <v>42-3473</v>
          </cell>
          <cell r="L230" t="str">
            <v>42-04-02-00-0222</v>
          </cell>
          <cell r="M230" t="str">
            <v>Silla ergonométrica c/apoya brazos y pies 5 ruedas color azul</v>
          </cell>
          <cell r="O230" t="str">
            <v>SILLAS</v>
          </cell>
          <cell r="P230">
            <v>42500</v>
          </cell>
          <cell r="T230" t="str">
            <v>Bueno</v>
          </cell>
          <cell r="U230" t="str">
            <v>N/T</v>
          </cell>
        </row>
        <row r="231">
          <cell r="J231" t="str">
            <v>42-04-02-00-0223</v>
          </cell>
          <cell r="K231" t="str">
            <v>42-3474</v>
          </cell>
          <cell r="L231" t="str">
            <v>42-04-02-00-0223</v>
          </cell>
          <cell r="M231" t="str">
            <v>Silla ergonométrica c/apoya brazos y pies 5 ruedas color azul</v>
          </cell>
          <cell r="O231" t="str">
            <v>SILLAS</v>
          </cell>
          <cell r="P231">
            <v>42500</v>
          </cell>
          <cell r="T231" t="str">
            <v>Bueno</v>
          </cell>
          <cell r="U231" t="str">
            <v>N/T</v>
          </cell>
        </row>
        <row r="232">
          <cell r="J232" t="str">
            <v>42-04-02-00-0224</v>
          </cell>
          <cell r="K232" t="str">
            <v>42-1307</v>
          </cell>
          <cell r="L232" t="str">
            <v>42-04-02-00-0224</v>
          </cell>
          <cell r="M232" t="str">
            <v>Silla giratoria color gris G Lift, 5 ruedas</v>
          </cell>
          <cell r="O232" t="str">
            <v>SILLAS</v>
          </cell>
          <cell r="P232">
            <v>42500</v>
          </cell>
          <cell r="T232" t="str">
            <v>Bueno</v>
          </cell>
          <cell r="U232" t="str">
            <v>N/T</v>
          </cell>
        </row>
        <row r="233">
          <cell r="J233" t="str">
            <v>42-04-02-00-0225</v>
          </cell>
          <cell r="K233" t="str">
            <v>42-1335</v>
          </cell>
          <cell r="L233" t="str">
            <v>42-04-02-00-0225</v>
          </cell>
          <cell r="M233" t="str">
            <v>Silla mixta asiento y respaldo en  formalita café claro</v>
          </cell>
          <cell r="O233" t="str">
            <v>SILLAS</v>
          </cell>
          <cell r="P233">
            <v>42500</v>
          </cell>
          <cell r="T233" t="str">
            <v>Bueno</v>
          </cell>
          <cell r="U233" t="str">
            <v>N/T</v>
          </cell>
        </row>
        <row r="234">
          <cell r="J234" t="str">
            <v>42-04-07-00-0226</v>
          </cell>
          <cell r="K234" t="str">
            <v>42-2961</v>
          </cell>
          <cell r="L234" t="str">
            <v>42-04-07-00-0226</v>
          </cell>
          <cell r="M234" t="str">
            <v>Percha madera con 5 ganchos</v>
          </cell>
          <cell r="O234" t="str">
            <v>OTROS</v>
          </cell>
          <cell r="P234">
            <v>10000</v>
          </cell>
          <cell r="T234" t="str">
            <v>Bueno</v>
          </cell>
          <cell r="U234" t="str">
            <v>N/T</v>
          </cell>
        </row>
        <row r="235">
          <cell r="J235" t="str">
            <v>42-05-01-01-0227</v>
          </cell>
          <cell r="K235" t="str">
            <v>42-120</v>
          </cell>
          <cell r="L235" t="str">
            <v>42-05-01-01-0227</v>
          </cell>
          <cell r="M235" t="str">
            <v>Perforador extra fuerte metálico verde</v>
          </cell>
          <cell r="O235" t="str">
            <v>EQUIPO DE OFICINA</v>
          </cell>
          <cell r="P235">
            <v>11545</v>
          </cell>
          <cell r="T235" t="str">
            <v>Bueno</v>
          </cell>
          <cell r="U235" t="str">
            <v>N/T</v>
          </cell>
        </row>
        <row r="236">
          <cell r="J236" t="str">
            <v>42-05-01-01-0228</v>
          </cell>
          <cell r="K236" t="str">
            <v>42-3276</v>
          </cell>
          <cell r="L236" t="str">
            <v>42-05-01-01-0228</v>
          </cell>
          <cell r="M236" t="str">
            <v>Perforadora Colon Office color plomo</v>
          </cell>
          <cell r="O236" t="str">
            <v>EQUIPO DE OFICINA</v>
          </cell>
          <cell r="P236">
            <v>25000</v>
          </cell>
          <cell r="T236" t="str">
            <v>Bueno</v>
          </cell>
          <cell r="U236" t="str">
            <v>Colon</v>
          </cell>
        </row>
        <row r="237">
          <cell r="J237" t="str">
            <v>42-05-01-01-0229</v>
          </cell>
          <cell r="K237" t="str">
            <v>42-2041</v>
          </cell>
          <cell r="L237" t="str">
            <v>42-05-01-01-0229</v>
          </cell>
          <cell r="M237" t="str">
            <v>Pizarra blanca marco madera 72x52 cms.</v>
          </cell>
          <cell r="O237" t="str">
            <v>EQUIPO DE OFICINA</v>
          </cell>
          <cell r="P237">
            <v>25000</v>
          </cell>
          <cell r="T237" t="str">
            <v>Bueno</v>
          </cell>
          <cell r="U237" t="str">
            <v>N/T</v>
          </cell>
        </row>
        <row r="238">
          <cell r="J238" t="str">
            <v>42-05-01-01-0230</v>
          </cell>
          <cell r="K238" t="str">
            <v>42-160</v>
          </cell>
          <cell r="L238" t="str">
            <v>42-05-01-01-0230</v>
          </cell>
          <cell r="M238" t="str">
            <v>Corchetera marca Torre color plomo</v>
          </cell>
          <cell r="O238" t="str">
            <v>EQUIPO DE OFICINA</v>
          </cell>
          <cell r="P238">
            <v>3500</v>
          </cell>
          <cell r="T238" t="str">
            <v>Bueno</v>
          </cell>
          <cell r="U238" t="str">
            <v>Torre</v>
          </cell>
        </row>
        <row r="239">
          <cell r="J239" t="str">
            <v>42-05-01-01-0231</v>
          </cell>
          <cell r="K239" t="str">
            <v>42-1951</v>
          </cell>
          <cell r="L239" t="str">
            <v>42-05-01-01-0231</v>
          </cell>
          <cell r="M239" t="str">
            <v>Citófono/ teléfono marca Nortel Network, Modelo 7000</v>
          </cell>
          <cell r="O239" t="str">
            <v>EQUIPO DE OFICINA</v>
          </cell>
          <cell r="P239">
            <v>36000</v>
          </cell>
          <cell r="T239" t="str">
            <v>Bueno</v>
          </cell>
          <cell r="U239" t="str">
            <v>Nortel Network</v>
          </cell>
        </row>
        <row r="240">
          <cell r="J240" t="str">
            <v>42-05-01-01-0232</v>
          </cell>
          <cell r="K240" t="str">
            <v>42-1956</v>
          </cell>
          <cell r="L240" t="str">
            <v>42-05-01-01-0232</v>
          </cell>
          <cell r="M240" t="str">
            <v>Citófono/ teléfono marca Nortel Network, Modelo 7000</v>
          </cell>
          <cell r="O240" t="str">
            <v>EQUIPO DE OFICINA</v>
          </cell>
          <cell r="P240">
            <v>36000</v>
          </cell>
          <cell r="T240" t="str">
            <v>Bueno</v>
          </cell>
          <cell r="U240" t="str">
            <v>Nortel Network</v>
          </cell>
        </row>
        <row r="241">
          <cell r="J241" t="str">
            <v>42-04-03-00-0233</v>
          </cell>
          <cell r="K241" t="str">
            <v>42-2587</v>
          </cell>
          <cell r="L241" t="str">
            <v>42-04-03-00-0233</v>
          </cell>
          <cell r="M241" t="str">
            <v>Escritorio mixto madera barniz natural, 1 cajón 90x60x79 cms</v>
          </cell>
          <cell r="O241" t="str">
            <v>ESCRITORIOS</v>
          </cell>
          <cell r="P241">
            <v>85000</v>
          </cell>
          <cell r="T241" t="str">
            <v>Bueno</v>
          </cell>
          <cell r="U241" t="str">
            <v>N/T</v>
          </cell>
        </row>
        <row r="242">
          <cell r="J242" t="str">
            <v>42-04-03-00-0234</v>
          </cell>
          <cell r="K242" t="str">
            <v>42-2913</v>
          </cell>
          <cell r="L242" t="str">
            <v>42-04-03-00-0234</v>
          </cell>
          <cell r="M242" t="str">
            <v>Escritorio computación 1 bandeja, 1 cajón con llave, 1 compartimento  101x51x76 cms. melamina color cerezo</v>
          </cell>
          <cell r="O242" t="str">
            <v>ESCRITORIOS</v>
          </cell>
          <cell r="P242">
            <v>77350</v>
          </cell>
          <cell r="T242" t="str">
            <v>Bueno</v>
          </cell>
          <cell r="U242" t="str">
            <v>N/T</v>
          </cell>
        </row>
        <row r="243">
          <cell r="J243" t="str">
            <v>42-05-02-01-0235</v>
          </cell>
          <cell r="K243" t="str">
            <v>42-3408</v>
          </cell>
          <cell r="L243" t="str">
            <v>42-05-02-01-0235</v>
          </cell>
          <cell r="M243" t="str">
            <v>Bolso c/test wais adulto (incompleto rompecabeza)</v>
          </cell>
          <cell r="N243">
            <v>1</v>
          </cell>
          <cell r="O243" t="str">
            <v>EQUIPOS CLINICOS</v>
          </cell>
          <cell r="P243">
            <v>20000</v>
          </cell>
          <cell r="T243" t="str">
            <v>Bueno</v>
          </cell>
          <cell r="U243" t="str">
            <v>N/T</v>
          </cell>
        </row>
        <row r="244">
          <cell r="J244" t="str">
            <v>42-05-02-01-0236</v>
          </cell>
          <cell r="K244" t="str">
            <v>42-3409</v>
          </cell>
          <cell r="L244" t="str">
            <v>42-05-02-01-0236</v>
          </cell>
          <cell r="M244" t="str">
            <v>Test tepsi bateria y manual</v>
          </cell>
          <cell r="O244" t="str">
            <v>EQUIPOS CLINICOS</v>
          </cell>
          <cell r="P244">
            <v>21000</v>
          </cell>
          <cell r="T244" t="str">
            <v>Bueno</v>
          </cell>
          <cell r="U244" t="str">
            <v>N/T</v>
          </cell>
        </row>
        <row r="245">
          <cell r="J245" t="str">
            <v>42-04-02-00-0237</v>
          </cell>
          <cell r="K245" t="str">
            <v>42-3405</v>
          </cell>
          <cell r="L245" t="str">
            <v>42-04-02-00-0237</v>
          </cell>
          <cell r="M245" t="str">
            <v>Silla giratoria color negro con 5 ruedas c/apoto</v>
          </cell>
          <cell r="O245" t="str">
            <v>SILLAS</v>
          </cell>
          <cell r="P245">
            <v>42500</v>
          </cell>
          <cell r="T245" t="str">
            <v>Bueno</v>
          </cell>
          <cell r="U245" t="str">
            <v>N/T</v>
          </cell>
        </row>
        <row r="246">
          <cell r="J246" t="str">
            <v>42-04-02-00-0238</v>
          </cell>
          <cell r="K246" t="str">
            <v>42-3115</v>
          </cell>
          <cell r="L246" t="str">
            <v>42-04-02-00-0238</v>
          </cell>
          <cell r="M246" t="str">
            <v>Silla mixta asiento y respaldo en formalita café claro</v>
          </cell>
          <cell r="O246" t="str">
            <v>SILLAS</v>
          </cell>
          <cell r="P246">
            <v>6902</v>
          </cell>
          <cell r="T246" t="str">
            <v>Bueno</v>
          </cell>
          <cell r="U246" t="str">
            <v>N/T</v>
          </cell>
        </row>
        <row r="247">
          <cell r="J247" t="str">
            <v>42-04-02-00-0239</v>
          </cell>
          <cell r="K247" t="str">
            <v>42-3257</v>
          </cell>
          <cell r="L247" t="str">
            <v>42-04-02-00-0239</v>
          </cell>
          <cell r="M247" t="str">
            <v>Silla mixta con asiento y respaldo color café</v>
          </cell>
          <cell r="O247" t="str">
            <v>SILLAS</v>
          </cell>
          <cell r="P247">
            <v>6902</v>
          </cell>
          <cell r="T247" t="str">
            <v>Bueno</v>
          </cell>
          <cell r="U247" t="str">
            <v>N/T</v>
          </cell>
        </row>
        <row r="248">
          <cell r="J248" t="str">
            <v>42-04-02-00-0240</v>
          </cell>
          <cell r="K248" t="str">
            <v>42-2327</v>
          </cell>
          <cell r="L248" t="str">
            <v>42-04-02-00-0240</v>
          </cell>
          <cell r="M248" t="str">
            <v>Silla mixta asiento y respaldo en formalita café claro</v>
          </cell>
          <cell r="O248" t="str">
            <v>SILLAS</v>
          </cell>
          <cell r="P248">
            <v>6902</v>
          </cell>
          <cell r="T248" t="str">
            <v>Bueno</v>
          </cell>
          <cell r="U248" t="str">
            <v>N/T</v>
          </cell>
        </row>
        <row r="249">
          <cell r="J249" t="str">
            <v>42-04-07-00-0241</v>
          </cell>
          <cell r="K249" t="str">
            <v>42-2898</v>
          </cell>
          <cell r="L249" t="str">
            <v>42-04-07-00-0241</v>
          </cell>
          <cell r="M249" t="str">
            <v>Loker marca Mindugar</v>
          </cell>
          <cell r="O249" t="str">
            <v>OTROS</v>
          </cell>
          <cell r="P249">
            <v>37500</v>
          </cell>
          <cell r="T249" t="str">
            <v>Bueno</v>
          </cell>
          <cell r="U249" t="str">
            <v>Mindugar</v>
          </cell>
        </row>
        <row r="250">
          <cell r="J250" t="str">
            <v>42-05-01-01-0242</v>
          </cell>
          <cell r="K250" t="str">
            <v>42-3351</v>
          </cell>
          <cell r="L250" t="str">
            <v>42-05-01-01-0242</v>
          </cell>
          <cell r="M250" t="str">
            <v>Citófono/ teléfono marca Nortel Network, Modelo 7000</v>
          </cell>
          <cell r="O250" t="str">
            <v>EQUIPO DE OFICINA</v>
          </cell>
          <cell r="P250">
            <v>63000</v>
          </cell>
          <cell r="T250" t="str">
            <v>Bueno</v>
          </cell>
          <cell r="U250" t="str">
            <v>Nortel Network.</v>
          </cell>
        </row>
        <row r="251">
          <cell r="J251" t="str">
            <v>42-05-01-01-0243</v>
          </cell>
          <cell r="K251" t="str">
            <v>42-2387</v>
          </cell>
          <cell r="L251" t="str">
            <v>42-05-01-01-0243</v>
          </cell>
          <cell r="M251" t="str">
            <v>Radio CD marca RCA modelo RCD 002 S/Nº 0532</v>
          </cell>
          <cell r="O251" t="str">
            <v>EQUIPO DE OFICINA</v>
          </cell>
          <cell r="P251">
            <v>53710</v>
          </cell>
          <cell r="T251" t="str">
            <v>Bueno</v>
          </cell>
          <cell r="U251" t="str">
            <v>RCA</v>
          </cell>
        </row>
        <row r="252">
          <cell r="J252" t="str">
            <v>42-05-01-01-0244</v>
          </cell>
          <cell r="K252" t="str">
            <v>42-2388</v>
          </cell>
          <cell r="L252" t="str">
            <v>42-05-01-01-0244</v>
          </cell>
          <cell r="M252" t="str">
            <v>Extractor AIROLITE KDK</v>
          </cell>
          <cell r="O252" t="str">
            <v>EQUIPO DE OFICINA</v>
          </cell>
          <cell r="P252">
            <v>25000</v>
          </cell>
          <cell r="T252" t="str">
            <v>Bueno</v>
          </cell>
          <cell r="U252" t="str">
            <v>Airolite</v>
          </cell>
        </row>
        <row r="253">
          <cell r="J253" t="str">
            <v>42-06-01-00-0245</v>
          </cell>
          <cell r="K253" t="str">
            <v>42-1478</v>
          </cell>
          <cell r="L253" t="str">
            <v>42-06-01-00-0245</v>
          </cell>
          <cell r="M253" t="str">
            <v>Impresora marca Canon modelo BJC - 250 Nº ELS35238</v>
          </cell>
          <cell r="O253" t="str">
            <v>EQUIPOS COMPUTACIONALES Y PERIFÉRICOS</v>
          </cell>
          <cell r="P253">
            <v>40000</v>
          </cell>
          <cell r="T253" t="str">
            <v>Bueno</v>
          </cell>
          <cell r="U253" t="str">
            <v>Canon</v>
          </cell>
        </row>
        <row r="254">
          <cell r="J254" t="str">
            <v>42-06-01-00-0246</v>
          </cell>
          <cell r="K254" t="str">
            <v>42-2389</v>
          </cell>
          <cell r="L254" t="str">
            <v>42-06-01-00-0246</v>
          </cell>
          <cell r="M254" t="str">
            <v>UPS enhanced SERIE 1000c S/Nº 672342250270</v>
          </cell>
          <cell r="O254" t="str">
            <v>EQUIPOS COMPUTACIONALES Y PERIFÉRICOS</v>
          </cell>
          <cell r="P254">
            <v>100000</v>
          </cell>
          <cell r="T254" t="str">
            <v>Bueno</v>
          </cell>
          <cell r="U254" t="str">
            <v>N/T</v>
          </cell>
        </row>
        <row r="255">
          <cell r="J255" t="str">
            <v>42-05-02-01-0247</v>
          </cell>
          <cell r="K255" t="str">
            <v>42-1596</v>
          </cell>
          <cell r="L255" t="str">
            <v>42-05-02-01-0247</v>
          </cell>
          <cell r="M255" t="str">
            <v>Pianito cuenta glóbulos eléctrico marca Amilab color crema</v>
          </cell>
          <cell r="O255" t="str">
            <v>EQUIPOS CLINICOS</v>
          </cell>
          <cell r="P255">
            <v>500000</v>
          </cell>
          <cell r="T255" t="str">
            <v>Bueno</v>
          </cell>
          <cell r="U255" t="str">
            <v>N/T</v>
          </cell>
        </row>
        <row r="256">
          <cell r="J256" t="str">
            <v>42-05-02-01-0248</v>
          </cell>
          <cell r="K256" t="str">
            <v>42-149</v>
          </cell>
          <cell r="L256" t="str">
            <v>42-05-02-01-0248</v>
          </cell>
          <cell r="M256" t="str">
            <v>Agitador de plaquetas FISCHER SCIENTIFIC</v>
          </cell>
          <cell r="O256" t="str">
            <v>EQUIPOS CLINICOS</v>
          </cell>
          <cell r="P256">
            <v>800000</v>
          </cell>
          <cell r="T256" t="str">
            <v>Bueno</v>
          </cell>
          <cell r="U256" t="str">
            <v>Fischer Scientific.</v>
          </cell>
        </row>
        <row r="257">
          <cell r="J257" t="str">
            <v>42-05-02-01-0249</v>
          </cell>
          <cell r="K257" t="str">
            <v>42-150</v>
          </cell>
          <cell r="L257" t="str">
            <v>42-05-02-01-0249</v>
          </cell>
          <cell r="M257" t="str">
            <v>Agitador recuentos blancos superior 41412 v220</v>
          </cell>
          <cell r="O257" t="str">
            <v>EQUIPOS CLINICOS</v>
          </cell>
          <cell r="P257">
            <v>400000</v>
          </cell>
          <cell r="T257" t="str">
            <v>Malo</v>
          </cell>
          <cell r="U257" t="str">
            <v>N/T</v>
          </cell>
        </row>
        <row r="258">
          <cell r="J258" t="str">
            <v>42-05-02-01-0250</v>
          </cell>
          <cell r="K258" t="str">
            <v>42-151</v>
          </cell>
          <cell r="L258" t="str">
            <v>42-05-02-01-0250</v>
          </cell>
          <cell r="M258" t="str">
            <v>Agitador RPR modelo 54</v>
          </cell>
          <cell r="O258" t="str">
            <v>EQUIPOS CLINICOS</v>
          </cell>
          <cell r="P258">
            <v>500000</v>
          </cell>
          <cell r="T258" t="str">
            <v>Bueno</v>
          </cell>
          <cell r="U258" t="str">
            <v>N/T</v>
          </cell>
        </row>
        <row r="259">
          <cell r="J259" t="str">
            <v>42-05-02-06-0251</v>
          </cell>
          <cell r="K259" t="str">
            <v>42-1793</v>
          </cell>
          <cell r="L259" t="str">
            <v>42-05-02-06-0251</v>
          </cell>
          <cell r="M259" t="str">
            <v>Centrifuga HETTICH ROTAFIX 32 serie 0004342-01-00</v>
          </cell>
          <cell r="O259" t="str">
            <v>HERRAMIENTAS</v>
          </cell>
          <cell r="P259">
            <v>1200000</v>
          </cell>
          <cell r="T259" t="str">
            <v>Bueno</v>
          </cell>
          <cell r="U259" t="str">
            <v>Hettick</v>
          </cell>
        </row>
        <row r="260">
          <cell r="J260" t="str">
            <v>42-05-02-06-0252</v>
          </cell>
          <cell r="K260" t="str">
            <v>42-2992</v>
          </cell>
          <cell r="L260" t="str">
            <v>42-05-02-06-0252</v>
          </cell>
          <cell r="M260" t="str">
            <v>Centrifuga Beijing Jingli Mod. LD4-1.8 S/Nº LD4-1808007</v>
          </cell>
          <cell r="O260" t="str">
            <v>HERRAMIENTAS</v>
          </cell>
          <cell r="P260">
            <v>400000</v>
          </cell>
          <cell r="T260" t="str">
            <v>Bueno</v>
          </cell>
          <cell r="U260" t="str">
            <v>Beijing Jingli Mod.</v>
          </cell>
        </row>
        <row r="261">
          <cell r="J261" t="str">
            <v>42-05-02-01-0253</v>
          </cell>
          <cell r="K261" t="str">
            <v>42-147</v>
          </cell>
          <cell r="L261" t="str">
            <v>42-05-02-01-0253</v>
          </cell>
          <cell r="M261" t="str">
            <v>Microscopio binocular marca Olympus CH2 Nº 710001 S/Nº 7L0001</v>
          </cell>
          <cell r="O261" t="str">
            <v>EQUIPOS CLINICOS</v>
          </cell>
          <cell r="P261">
            <v>1000000</v>
          </cell>
          <cell r="T261" t="str">
            <v>Bueno</v>
          </cell>
          <cell r="U261" t="str">
            <v>Olympus.</v>
          </cell>
        </row>
        <row r="262">
          <cell r="J262" t="str">
            <v>42-05-02-01-0254</v>
          </cell>
          <cell r="K262" t="str">
            <v>42-2392</v>
          </cell>
          <cell r="L262" t="str">
            <v>42-05-02-01-0254</v>
          </cell>
          <cell r="M262" t="str">
            <v>Micro pipeta marca RAININ 100 ul B-03958</v>
          </cell>
          <cell r="O262" t="str">
            <v>EQUIPOS CLINICOS</v>
          </cell>
          <cell r="P262">
            <v>80000</v>
          </cell>
          <cell r="T262" t="str">
            <v>Bueno</v>
          </cell>
          <cell r="U262" t="str">
            <v>Rainnn</v>
          </cell>
        </row>
        <row r="263">
          <cell r="J263" t="str">
            <v>42-05-02-01-0255</v>
          </cell>
          <cell r="K263" t="str">
            <v>42-2393</v>
          </cell>
          <cell r="L263" t="str">
            <v>42-05-02-01-0255</v>
          </cell>
          <cell r="M263" t="str">
            <v>Micro pipeta marca RAININ 50 ul  E0402098A</v>
          </cell>
          <cell r="O263" t="str">
            <v>EQUIPOS CLINICOS</v>
          </cell>
          <cell r="P263">
            <v>80000</v>
          </cell>
          <cell r="T263" t="str">
            <v>Bueno</v>
          </cell>
          <cell r="U263" t="str">
            <v>Rainnn</v>
          </cell>
        </row>
        <row r="264">
          <cell r="J264" t="str">
            <v>42-05-02-01-0256</v>
          </cell>
          <cell r="K264" t="str">
            <v>42-2394</v>
          </cell>
          <cell r="L264" t="str">
            <v>42-05-02-01-0256</v>
          </cell>
          <cell r="M264" t="str">
            <v>Micro pipeta marca  HUMAN 10 ul CT 64644</v>
          </cell>
          <cell r="O264" t="str">
            <v>EQUIPOS CLINICOS</v>
          </cell>
          <cell r="P264">
            <v>50000</v>
          </cell>
          <cell r="T264" t="str">
            <v>Bueno</v>
          </cell>
          <cell r="U264" t="str">
            <v>Human</v>
          </cell>
        </row>
        <row r="265">
          <cell r="J265" t="str">
            <v>42-05-02-01-0257</v>
          </cell>
          <cell r="K265" t="str">
            <v>42-2395</v>
          </cell>
          <cell r="L265" t="str">
            <v>42-05-02-01-0257</v>
          </cell>
          <cell r="M265" t="str">
            <v>Micro pipeta marca LABSYSTEMS 20 ul J50866</v>
          </cell>
          <cell r="O265" t="str">
            <v>EQUIPOS CLINICOS</v>
          </cell>
          <cell r="P265">
            <v>50000</v>
          </cell>
          <cell r="T265" t="str">
            <v>Bueno</v>
          </cell>
          <cell r="U265" t="str">
            <v>Labsystems</v>
          </cell>
        </row>
        <row r="266">
          <cell r="J266" t="str">
            <v>42-05-02-01-0258</v>
          </cell>
          <cell r="K266" t="str">
            <v>42-2396</v>
          </cell>
          <cell r="L266" t="str">
            <v>42-05-02-01-0258</v>
          </cell>
          <cell r="M266" t="str">
            <v>Micro pipeta  marca LABOPETTE 20-200 ul serie-cu60825</v>
          </cell>
          <cell r="O266" t="str">
            <v>EQUIPOS CLINICOS</v>
          </cell>
          <cell r="P266">
            <v>90000</v>
          </cell>
          <cell r="T266" t="str">
            <v>Bueno</v>
          </cell>
          <cell r="U266" t="str">
            <v>Lobopette</v>
          </cell>
        </row>
        <row r="267">
          <cell r="J267" t="str">
            <v>42-05-02-01-0259</v>
          </cell>
          <cell r="K267" t="str">
            <v>42-3427</v>
          </cell>
          <cell r="L267" t="str">
            <v>42-05-02-01-0259</v>
          </cell>
          <cell r="M267" t="str">
            <v>Micro pipeta marca DragonMed 100ul DS 17289</v>
          </cell>
          <cell r="O267" t="str">
            <v>EQUIPOS CLINICOS</v>
          </cell>
          <cell r="P267">
            <v>50000</v>
          </cell>
          <cell r="T267" t="str">
            <v>Bueno</v>
          </cell>
          <cell r="U267" t="str">
            <v>Drogon Med</v>
          </cell>
        </row>
        <row r="268">
          <cell r="J268" t="str">
            <v>42-05-02-01-0260</v>
          </cell>
          <cell r="K268" t="str">
            <v>42-3428</v>
          </cell>
          <cell r="L268" t="str">
            <v>42-05-02-01-0260</v>
          </cell>
          <cell r="M268" t="str">
            <v>Micro pipeta marca Precision 20-200 ul DS 21401</v>
          </cell>
          <cell r="O268" t="str">
            <v>EQUIPOS CLINICOS</v>
          </cell>
          <cell r="P268">
            <v>90000</v>
          </cell>
          <cell r="T268" t="str">
            <v>Bueno</v>
          </cell>
          <cell r="U268" t="str">
            <v>Precision</v>
          </cell>
        </row>
        <row r="269">
          <cell r="J269" t="str">
            <v>42-05-02-01-0261</v>
          </cell>
          <cell r="K269" t="str">
            <v>42-170</v>
          </cell>
          <cell r="L269" t="str">
            <v>42-05-02-01-0261</v>
          </cell>
          <cell r="M269" t="str">
            <v>Baño termo regulador Mannheim Boehringer precitherm PFV Nº 285370</v>
          </cell>
          <cell r="O269" t="str">
            <v>EQUIPOS CLINICOS</v>
          </cell>
          <cell r="P269">
            <v>500000</v>
          </cell>
          <cell r="T269" t="str">
            <v>Bueno</v>
          </cell>
          <cell r="U269" t="str">
            <v>Mannheim</v>
          </cell>
        </row>
        <row r="270">
          <cell r="J270" t="str">
            <v>42-05-02-01-0262</v>
          </cell>
          <cell r="K270" t="str">
            <v>42-3426</v>
          </cell>
          <cell r="L270" t="str">
            <v>42-05-02-01-0262</v>
          </cell>
          <cell r="M270" t="str">
            <v>Pesa digital marca Jadever Mod. JKD-500x0,1g S/Nº 10011102Z1734</v>
          </cell>
          <cell r="O270" t="str">
            <v>EQUIPOS CLINICOS</v>
          </cell>
          <cell r="P270">
            <v>80000</v>
          </cell>
          <cell r="T270" t="str">
            <v>Bueno</v>
          </cell>
          <cell r="U270" t="str">
            <v>N/T</v>
          </cell>
        </row>
        <row r="271">
          <cell r="J271" t="str">
            <v>42-04-02-00-0263</v>
          </cell>
          <cell r="K271" t="str">
            <v>42-1396</v>
          </cell>
          <cell r="L271" t="str">
            <v>42-04-02-00-0263</v>
          </cell>
          <cell r="M271" t="str">
            <v>Silla alta mixta con respaldo y asiento tapizado en pergamoide color café</v>
          </cell>
          <cell r="O271" t="str">
            <v>SILLAS</v>
          </cell>
          <cell r="P271">
            <v>42500</v>
          </cell>
          <cell r="T271" t="str">
            <v>Bueno</v>
          </cell>
          <cell r="U271" t="str">
            <v>N/T</v>
          </cell>
        </row>
        <row r="272">
          <cell r="J272" t="str">
            <v>42-04-07-00-0264</v>
          </cell>
          <cell r="K272" t="str">
            <v>42-2397</v>
          </cell>
          <cell r="L272" t="str">
            <v>42-04-07-00-0264</v>
          </cell>
          <cell r="M272" t="str">
            <v>Piso metálico tapizado en pergamoide café</v>
          </cell>
          <cell r="O272" t="str">
            <v>OTROS</v>
          </cell>
          <cell r="P272">
            <v>15000</v>
          </cell>
          <cell r="T272" t="str">
            <v>Bueno</v>
          </cell>
          <cell r="U272" t="str">
            <v>N/T</v>
          </cell>
        </row>
        <row r="273">
          <cell r="J273" t="str">
            <v>42-05-01-01-0265</v>
          </cell>
          <cell r="K273" t="str">
            <v>42-2638</v>
          </cell>
          <cell r="L273" t="str">
            <v>42-05-01-01-0265</v>
          </cell>
          <cell r="M273" t="str">
            <v>Pizarra acrílica marco aluminio color blanca 79 X 46 cms. ( Donación TM. )</v>
          </cell>
          <cell r="O273" t="str">
            <v>EQUIPO DE OFICINA</v>
          </cell>
          <cell r="P273">
            <v>25000</v>
          </cell>
          <cell r="T273" t="str">
            <v>Bueno</v>
          </cell>
          <cell r="U273" t="str">
            <v>N/T</v>
          </cell>
        </row>
        <row r="274">
          <cell r="J274" t="str">
            <v>42-04-07-00-0266</v>
          </cell>
          <cell r="K274" t="str">
            <v>42-159</v>
          </cell>
          <cell r="L274" t="str">
            <v>42-04-07-00-0266</v>
          </cell>
          <cell r="M274" t="str">
            <v>Porta toalla nova madera</v>
          </cell>
          <cell r="O274" t="str">
            <v>OTROS</v>
          </cell>
          <cell r="P274">
            <v>10000</v>
          </cell>
          <cell r="T274" t="str">
            <v>Bueno</v>
          </cell>
          <cell r="U274" t="str">
            <v>N/T</v>
          </cell>
        </row>
        <row r="275">
          <cell r="J275" t="str">
            <v>42-04-01-00-0267</v>
          </cell>
          <cell r="K275" t="str">
            <v>42-165</v>
          </cell>
          <cell r="L275" t="str">
            <v>42-04-01-00-0267</v>
          </cell>
          <cell r="M275" t="str">
            <v>Mesón de trabajo cubierta de formalita, 2 ptas.  correderas 193x68x54cm.</v>
          </cell>
          <cell r="O275" t="str">
            <v>MESAS</v>
          </cell>
          <cell r="P275">
            <v>45000</v>
          </cell>
          <cell r="T275" t="str">
            <v>Bueno</v>
          </cell>
          <cell r="U275" t="str">
            <v>N/T</v>
          </cell>
        </row>
        <row r="276">
          <cell r="J276" t="str">
            <v>42-04-01-00-0268</v>
          </cell>
          <cell r="K276" t="str">
            <v>42-166</v>
          </cell>
          <cell r="L276" t="str">
            <v>42-04-01-00-0268</v>
          </cell>
          <cell r="M276" t="str">
            <v>Mesón de trabajo cubierta de formalita, 2 ptas.  correderas 179x54x68 cm.</v>
          </cell>
          <cell r="O276" t="str">
            <v>MESAS</v>
          </cell>
          <cell r="P276">
            <v>35000</v>
          </cell>
          <cell r="T276" t="str">
            <v>Bueno</v>
          </cell>
          <cell r="U276" t="str">
            <v>N/T</v>
          </cell>
        </row>
        <row r="277">
          <cell r="J277" t="str">
            <v>42-04-02-00-0269</v>
          </cell>
          <cell r="K277" t="str">
            <v>42-2011</v>
          </cell>
          <cell r="L277" t="str">
            <v>42-04-02-00-0269</v>
          </cell>
          <cell r="M277" t="str">
            <v>Silla Ergonometrica color azul, 5 ruedas ( MEL )</v>
          </cell>
          <cell r="O277" t="str">
            <v>SILLAS</v>
          </cell>
          <cell r="P277">
            <v>42500</v>
          </cell>
          <cell r="T277" t="str">
            <v>Bueno</v>
          </cell>
          <cell r="U277" t="str">
            <v>N/T</v>
          </cell>
        </row>
        <row r="278">
          <cell r="J278" t="str">
            <v>42-05-02-06-0270</v>
          </cell>
          <cell r="K278" t="str">
            <v>42-2852</v>
          </cell>
          <cell r="L278" t="str">
            <v>42-05-02-06-0270</v>
          </cell>
          <cell r="M278" t="str">
            <v>Mechero con regulador y balón a gas</v>
          </cell>
          <cell r="O278" t="str">
            <v>HERRAMIENTAS</v>
          </cell>
          <cell r="P278">
            <v>60000</v>
          </cell>
          <cell r="T278" t="str">
            <v>Bueno</v>
          </cell>
          <cell r="U278" t="str">
            <v>N/T</v>
          </cell>
        </row>
        <row r="279">
          <cell r="J279" t="str">
            <v>42-05-01-01-0271</v>
          </cell>
          <cell r="K279" t="str">
            <v>42-2399</v>
          </cell>
          <cell r="L279" t="str">
            <v>42-05-01-01-0271</v>
          </cell>
          <cell r="M279" t="str">
            <v>Extractor de aire marca Airolite</v>
          </cell>
          <cell r="O279" t="str">
            <v>EQUIPO DE OFICINA</v>
          </cell>
          <cell r="P279">
            <v>25000</v>
          </cell>
          <cell r="T279" t="str">
            <v>Bueno</v>
          </cell>
          <cell r="U279" t="str">
            <v>Airolite</v>
          </cell>
        </row>
        <row r="280">
          <cell r="J280" t="str">
            <v>42-04-03-00-0272</v>
          </cell>
          <cell r="K280" t="str">
            <v>42-2666</v>
          </cell>
          <cell r="L280" t="str">
            <v>42-04-03-00-0272</v>
          </cell>
          <cell r="M280" t="str">
            <v>Lámpara escritorio marca Euro Iluminación color marfíl</v>
          </cell>
          <cell r="O280" t="str">
            <v>ESCRITORIOS</v>
          </cell>
          <cell r="P280">
            <v>20000</v>
          </cell>
          <cell r="T280" t="str">
            <v>Bueno</v>
          </cell>
          <cell r="U280" t="str">
            <v>Euro</v>
          </cell>
        </row>
        <row r="281">
          <cell r="J281" t="str">
            <v>42-05-02-01-0273</v>
          </cell>
          <cell r="K281" t="str">
            <v>42-136</v>
          </cell>
          <cell r="L281" t="str">
            <v>42-05-02-01-0273</v>
          </cell>
          <cell r="M281" t="str">
            <v>Estufa de cultivo marca Orsa</v>
          </cell>
          <cell r="O281" t="str">
            <v>EQUIPOS CLINICOS</v>
          </cell>
          <cell r="P281">
            <v>500000</v>
          </cell>
          <cell r="T281" t="str">
            <v>Bueno</v>
          </cell>
          <cell r="U281" t="str">
            <v>Orsa</v>
          </cell>
        </row>
        <row r="282">
          <cell r="J282" t="str">
            <v>42-05-02-01-0274</v>
          </cell>
          <cell r="K282" t="str">
            <v>42-152</v>
          </cell>
          <cell r="L282" t="str">
            <v>42-05-02-01-0274</v>
          </cell>
          <cell r="M282" t="str">
            <v>Esterilización TYD UM 500 22 OV900427 marca Memmert</v>
          </cell>
          <cell r="O282" t="str">
            <v>EQUIPOS CLINICOS</v>
          </cell>
          <cell r="P282">
            <v>1500000</v>
          </cell>
          <cell r="T282" t="str">
            <v>Bueno</v>
          </cell>
          <cell r="U282" t="str">
            <v>Memmert</v>
          </cell>
        </row>
        <row r="283">
          <cell r="J283" t="str">
            <v>42-05-02-01-0275</v>
          </cell>
          <cell r="K283" t="str">
            <v>42-145</v>
          </cell>
          <cell r="L283" t="str">
            <v>42-05-02-01-0275</v>
          </cell>
          <cell r="M283" t="str">
            <v>Pesa manual marca OHAUS de 2.610 grs.</v>
          </cell>
          <cell r="O283" t="str">
            <v>EQUIPOS CLINICOS</v>
          </cell>
          <cell r="P283">
            <v>70000</v>
          </cell>
          <cell r="T283" t="str">
            <v>Bueno</v>
          </cell>
          <cell r="U283" t="str">
            <v>Ohaus</v>
          </cell>
        </row>
        <row r="284">
          <cell r="J284" t="str">
            <v>42-05-01-01-0276</v>
          </cell>
          <cell r="K284" t="str">
            <v>42-153</v>
          </cell>
          <cell r="L284" t="str">
            <v>42-05-01-01-0276</v>
          </cell>
          <cell r="M284" t="str">
            <v>Autoclave marca OPPICCI Nº 7998</v>
          </cell>
          <cell r="O284" t="str">
            <v>EQUIPO DE OFICINA</v>
          </cell>
          <cell r="P284">
            <v>1500000</v>
          </cell>
          <cell r="T284" t="str">
            <v>Bueno</v>
          </cell>
          <cell r="U284" t="str">
            <v>Oppicci</v>
          </cell>
        </row>
        <row r="285">
          <cell r="J285" t="str">
            <v>42-05-02-01-0277</v>
          </cell>
          <cell r="K285" t="str">
            <v>42-2400</v>
          </cell>
          <cell r="L285" t="str">
            <v>42-05-02-01-0277</v>
          </cell>
          <cell r="M285" t="str">
            <v>Balanza digital OHAUS CS200 200 grs.</v>
          </cell>
          <cell r="O285" t="str">
            <v>EQUIPOS CLINICOS</v>
          </cell>
          <cell r="P285">
            <v>70000</v>
          </cell>
          <cell r="T285" t="str">
            <v>Bueno</v>
          </cell>
          <cell r="U285" t="str">
            <v>Ohaus</v>
          </cell>
        </row>
        <row r="286">
          <cell r="J286" t="str">
            <v>42-05-02-01-0278</v>
          </cell>
          <cell r="K286" t="str">
            <v>42-2631</v>
          </cell>
          <cell r="L286" t="str">
            <v>42-05-02-01-0278</v>
          </cell>
          <cell r="M286" t="str">
            <v>Termo refrigerador redondo plástico marca Simonaggio</v>
          </cell>
          <cell r="O286" t="str">
            <v>EQUIPOS CLINICOS</v>
          </cell>
          <cell r="P286">
            <v>20000</v>
          </cell>
          <cell r="T286" t="str">
            <v>Bueno</v>
          </cell>
          <cell r="U286" t="str">
            <v>Simonaggio</v>
          </cell>
        </row>
        <row r="287">
          <cell r="J287" t="str">
            <v>42-05-02-01-0279</v>
          </cell>
          <cell r="K287" t="str">
            <v>42-2632</v>
          </cell>
          <cell r="L287" t="str">
            <v>42-05-02-01-0279</v>
          </cell>
          <cell r="M287" t="str">
            <v>Termo refrigerador cuadrado marca colleman 9 QT modelo 6209 color rojo</v>
          </cell>
          <cell r="O287" t="str">
            <v>EQUIPOS CLINICOS</v>
          </cell>
          <cell r="P287">
            <v>20000</v>
          </cell>
          <cell r="T287" t="str">
            <v>Bueno</v>
          </cell>
          <cell r="U287" t="str">
            <v>Calleman</v>
          </cell>
        </row>
        <row r="288">
          <cell r="J288" t="str">
            <v>42-05-02-01-0280</v>
          </cell>
          <cell r="K288" t="str">
            <v>42-2633</v>
          </cell>
          <cell r="L288" t="str">
            <v>42-05-02-01-0280</v>
          </cell>
          <cell r="M288" t="str">
            <v>Termo refrigerador cuadrado marca colleman 9 QT modelo 6210 color azul</v>
          </cell>
          <cell r="O288" t="str">
            <v>EQUIPOS CLINICOS</v>
          </cell>
          <cell r="P288">
            <v>20000</v>
          </cell>
          <cell r="T288" t="str">
            <v>Bueno</v>
          </cell>
          <cell r="U288" t="str">
            <v>Calleman</v>
          </cell>
        </row>
        <row r="289">
          <cell r="J289" t="str">
            <v>42-05-02-01-0281</v>
          </cell>
          <cell r="K289" t="str">
            <v>42-3312</v>
          </cell>
          <cell r="L289" t="str">
            <v>42-05-02-01-0281</v>
          </cell>
          <cell r="M289" t="str">
            <v>Termo refrigerador cuadrado marca colleman 9 QT modelo 6210 color azul</v>
          </cell>
          <cell r="O289" t="str">
            <v>EQUIPOS CLINICOS</v>
          </cell>
          <cell r="P289">
            <v>20000</v>
          </cell>
          <cell r="T289" t="str">
            <v>Bueno</v>
          </cell>
          <cell r="U289" t="str">
            <v>Calleman</v>
          </cell>
        </row>
        <row r="290">
          <cell r="J290" t="str">
            <v>42-05-02-01-0282</v>
          </cell>
          <cell r="K290" t="str">
            <v>42-3112</v>
          </cell>
          <cell r="L290" t="str">
            <v>42-05-02-01-0282</v>
          </cell>
          <cell r="M290" t="str">
            <v>Termo refrigerador marca Rubbermaid chico color azul</v>
          </cell>
          <cell r="O290" t="str">
            <v>EQUIPOS CLINICOS</v>
          </cell>
          <cell r="P290">
            <v>20000</v>
          </cell>
          <cell r="T290" t="str">
            <v>Bueno</v>
          </cell>
          <cell r="U290" t="str">
            <v>Rubbermaid</v>
          </cell>
        </row>
        <row r="291">
          <cell r="J291" t="str">
            <v>42-05-02-01-0283</v>
          </cell>
          <cell r="K291" t="str">
            <v>42-3113</v>
          </cell>
          <cell r="L291" t="str">
            <v>42-05-02-01-0283</v>
          </cell>
          <cell r="M291" t="str">
            <v>Termo refrigerador marca Coleman chico color rojo</v>
          </cell>
          <cell r="O291" t="str">
            <v>EQUIPOS CLINICOS</v>
          </cell>
          <cell r="P291">
            <v>20000</v>
          </cell>
          <cell r="T291" t="str">
            <v>Bueno</v>
          </cell>
          <cell r="U291" t="str">
            <v>Calleman</v>
          </cell>
        </row>
        <row r="292">
          <cell r="J292" t="str">
            <v>42-05-02-01-0284</v>
          </cell>
          <cell r="K292" t="str">
            <v>42-2401</v>
          </cell>
          <cell r="L292" t="str">
            <v>42-05-02-01-0284</v>
          </cell>
          <cell r="M292" t="str">
            <v>Destilador de agua GFL 2004 serie 11154605-J</v>
          </cell>
          <cell r="O292" t="str">
            <v>EQUIPOS CLINICOS</v>
          </cell>
          <cell r="P292">
            <v>500000</v>
          </cell>
          <cell r="T292" t="str">
            <v>Bueno</v>
          </cell>
          <cell r="U292" t="str">
            <v>N/T</v>
          </cell>
        </row>
        <row r="293">
          <cell r="J293" t="str">
            <v>42-04-06-00-0285</v>
          </cell>
          <cell r="K293" t="str">
            <v>42-167</v>
          </cell>
          <cell r="L293" t="str">
            <v>42-04-06-00-0285</v>
          </cell>
          <cell r="M293" t="str">
            <v>Mueble de madera barniz natural de 2 ptas.  correderas de 86x50x63 cms.</v>
          </cell>
          <cell r="O293" t="str">
            <v>REPISA</v>
          </cell>
          <cell r="P293">
            <v>75000</v>
          </cell>
          <cell r="T293" t="str">
            <v>Bueno</v>
          </cell>
          <cell r="U293" t="str">
            <v>N/T</v>
          </cell>
        </row>
        <row r="294">
          <cell r="J294" t="str">
            <v>42-04-06-00-0286</v>
          </cell>
          <cell r="K294" t="str">
            <v>42-168</v>
          </cell>
          <cell r="L294" t="str">
            <v>42-04-06-00-0286</v>
          </cell>
          <cell r="M294" t="str">
            <v>Mueble de madera barniz natural de 2 ptas.  correderas de 86x50x63 cms.</v>
          </cell>
          <cell r="O294" t="str">
            <v>REPISA</v>
          </cell>
          <cell r="P294">
            <v>80000</v>
          </cell>
          <cell r="T294" t="str">
            <v>Bueno</v>
          </cell>
          <cell r="U294" t="str">
            <v>N/T</v>
          </cell>
        </row>
        <row r="295">
          <cell r="J295" t="str">
            <v>42-05-01-01-0287</v>
          </cell>
          <cell r="K295" t="str">
            <v>42-2402</v>
          </cell>
          <cell r="L295" t="str">
            <v>42-05-01-01-0287</v>
          </cell>
          <cell r="M295" t="str">
            <v>Lavador de pipetas plástico azul y blanco con entrada de agua destilada 25 Lts. con llave 25 Lts. con llave</v>
          </cell>
          <cell r="O295" t="str">
            <v>EQUIPO DE OFICINA</v>
          </cell>
          <cell r="P295">
            <v>470000</v>
          </cell>
          <cell r="T295" t="str">
            <v>Bueno</v>
          </cell>
          <cell r="U295" t="str">
            <v>N/T</v>
          </cell>
        </row>
        <row r="296">
          <cell r="J296" t="str">
            <v>42-04-07-00-0288</v>
          </cell>
          <cell r="K296" t="str">
            <v>42-2634</v>
          </cell>
          <cell r="L296" t="str">
            <v>42-04-07-00-0288</v>
          </cell>
          <cell r="M296" t="str">
            <v>Bidón plástico blanco 25 lts. con dispensador</v>
          </cell>
          <cell r="N296">
            <v>1</v>
          </cell>
          <cell r="O296" t="str">
            <v>OTROS</v>
          </cell>
          <cell r="P296">
            <v>20000</v>
          </cell>
          <cell r="T296" t="str">
            <v>Bueno</v>
          </cell>
          <cell r="U296" t="str">
            <v>N/T</v>
          </cell>
        </row>
        <row r="297">
          <cell r="J297" t="str">
            <v>42-04-03-00-0289</v>
          </cell>
          <cell r="K297" t="str">
            <v>42-229 B</v>
          </cell>
          <cell r="L297" t="str">
            <v>42-04-03-00-0289</v>
          </cell>
          <cell r="M297" t="str">
            <v>Escritorio mixto 2 cajones barniz oscuro de 102xx62x78 cms.</v>
          </cell>
          <cell r="O297" t="str">
            <v>ESCRITORIOS</v>
          </cell>
          <cell r="P297">
            <v>89000</v>
          </cell>
          <cell r="T297" t="str">
            <v>Bueno</v>
          </cell>
          <cell r="U297" t="str">
            <v>N/T</v>
          </cell>
        </row>
        <row r="298">
          <cell r="J298" t="str">
            <v>42-04-02-00-0290</v>
          </cell>
          <cell r="K298" t="str">
            <v>42-1891</v>
          </cell>
          <cell r="L298" t="str">
            <v>42-04-02-00-0290</v>
          </cell>
          <cell r="M298" t="str">
            <v>Silla giratoria tyson color burdeo</v>
          </cell>
          <cell r="O298" t="str">
            <v>SILLAS</v>
          </cell>
          <cell r="P298">
            <v>42500</v>
          </cell>
          <cell r="T298" t="str">
            <v>Bueno</v>
          </cell>
          <cell r="U298" t="str">
            <v>tyson</v>
          </cell>
        </row>
        <row r="299">
          <cell r="J299" t="str">
            <v>42-04-06-00-0291</v>
          </cell>
          <cell r="K299" t="str">
            <v>42-162</v>
          </cell>
          <cell r="L299" t="str">
            <v>42-04-06-00-0291</v>
          </cell>
          <cell r="M299" t="str">
            <v>Vitrina metálica blanca 2 puertas de vidrio 3 compartimientos</v>
          </cell>
          <cell r="O299" t="str">
            <v>REPISA</v>
          </cell>
          <cell r="P299">
            <v>42500</v>
          </cell>
          <cell r="T299" t="str">
            <v>Bueno</v>
          </cell>
          <cell r="U299" t="str">
            <v>N/T</v>
          </cell>
        </row>
        <row r="300">
          <cell r="J300" t="str">
            <v>42-04-02-00-0292</v>
          </cell>
          <cell r="K300" t="str">
            <v>42-158</v>
          </cell>
          <cell r="L300" t="str">
            <v>42-04-02-00-0292</v>
          </cell>
          <cell r="M300" t="str">
            <v>Silla mixta tapizada color crema</v>
          </cell>
          <cell r="O300" t="str">
            <v>SILLAS</v>
          </cell>
          <cell r="P300">
            <v>42500</v>
          </cell>
          <cell r="T300" t="str">
            <v>Bueno</v>
          </cell>
          <cell r="U300" t="str">
            <v>N/T</v>
          </cell>
        </row>
        <row r="301">
          <cell r="J301" t="str">
            <v>42-04-07-00-0293</v>
          </cell>
          <cell r="K301" t="str">
            <v>42-2635</v>
          </cell>
          <cell r="L301" t="str">
            <v>42-04-07-00-0293</v>
          </cell>
          <cell r="M301" t="str">
            <v>Perchero barniz natural 4 ganchos dobles (  t. m.)</v>
          </cell>
          <cell r="O301" t="str">
            <v>OTROS</v>
          </cell>
          <cell r="P301">
            <v>18000</v>
          </cell>
          <cell r="T301" t="str">
            <v>Bueno</v>
          </cell>
          <cell r="U301" t="str">
            <v>N/T</v>
          </cell>
        </row>
        <row r="302">
          <cell r="J302" t="str">
            <v>42-04-06-00-0294</v>
          </cell>
          <cell r="K302" t="str">
            <v>42-2403</v>
          </cell>
          <cell r="L302" t="str">
            <v>42-04-06-00-0294</v>
          </cell>
          <cell r="M302" t="str">
            <v>Repisa de trupan color natural 4 divisiones</v>
          </cell>
          <cell r="O302" t="str">
            <v>REPISA</v>
          </cell>
          <cell r="P302">
            <v>25000</v>
          </cell>
          <cell r="T302" t="str">
            <v>Bueno</v>
          </cell>
          <cell r="U302" t="str">
            <v>N/T</v>
          </cell>
        </row>
        <row r="303">
          <cell r="J303" t="str">
            <v>42-04-07-00-0295</v>
          </cell>
          <cell r="K303" t="str">
            <v>42-157</v>
          </cell>
          <cell r="L303" t="str">
            <v>42-04-07-00-0295</v>
          </cell>
          <cell r="M303" t="str">
            <v>Piso Metálico redondo color blanco</v>
          </cell>
          <cell r="O303" t="str">
            <v>OTROS</v>
          </cell>
          <cell r="P303">
            <v>15000</v>
          </cell>
          <cell r="T303" t="str">
            <v>Bueno</v>
          </cell>
          <cell r="U303" t="str">
            <v>N/T</v>
          </cell>
        </row>
        <row r="304">
          <cell r="J304" t="str">
            <v>42-04-01-00-0296</v>
          </cell>
          <cell r="K304" t="str">
            <v>42-129</v>
          </cell>
          <cell r="L304" t="str">
            <v>42-04-01-00-0296</v>
          </cell>
          <cell r="M304" t="str">
            <v>Mesa metálica color blanco para toma de muestras</v>
          </cell>
          <cell r="O304" t="str">
            <v>MESAS</v>
          </cell>
          <cell r="P304">
            <v>35000</v>
          </cell>
          <cell r="T304" t="str">
            <v>Bueno</v>
          </cell>
          <cell r="U304" t="str">
            <v>N/T</v>
          </cell>
        </row>
        <row r="305">
          <cell r="J305" t="str">
            <v>42-04-01-00-0297</v>
          </cell>
          <cell r="K305" t="str">
            <v>42-2404</v>
          </cell>
          <cell r="L305" t="str">
            <v>42-04-01-00-0297</v>
          </cell>
          <cell r="M305" t="str">
            <v>Mesa metálica con cubierta formalita blanca 75x45x75 cms.</v>
          </cell>
          <cell r="O305" t="str">
            <v>MESAS</v>
          </cell>
          <cell r="P305">
            <v>75600</v>
          </cell>
          <cell r="T305" t="str">
            <v>Bueno</v>
          </cell>
          <cell r="U305" t="str">
            <v>N/T</v>
          </cell>
        </row>
        <row r="306">
          <cell r="J306" t="str">
            <v>42-05-02-05-0298</v>
          </cell>
          <cell r="K306" t="str">
            <v>42-3306</v>
          </cell>
          <cell r="L306" t="str">
            <v>42-05-02-05-0298</v>
          </cell>
          <cell r="M306" t="str">
            <v>Extintor incendio tipo ABC 6 kgs.</v>
          </cell>
          <cell r="O306" t="str">
            <v>EQUIPOS DE SEGURIDAD</v>
          </cell>
          <cell r="P306">
            <v>25000</v>
          </cell>
          <cell r="T306" t="str">
            <v>Bueno</v>
          </cell>
          <cell r="U306" t="str">
            <v>N/T</v>
          </cell>
        </row>
        <row r="307">
          <cell r="J307" t="str">
            <v>42-05-02-01-0299</v>
          </cell>
          <cell r="K307" t="str">
            <v>42-144</v>
          </cell>
          <cell r="L307" t="str">
            <v>42-05-02-01-0299</v>
          </cell>
          <cell r="M307" t="str">
            <v>Balanza de precisión</v>
          </cell>
          <cell r="O307" t="str">
            <v>EQUIPOS CLINICOS</v>
          </cell>
          <cell r="P307">
            <v>35000</v>
          </cell>
          <cell r="T307" t="str">
            <v>Bueno</v>
          </cell>
          <cell r="U307" t="str">
            <v>N/T</v>
          </cell>
        </row>
        <row r="308">
          <cell r="J308" t="str">
            <v>42-05-02-01-0300</v>
          </cell>
          <cell r="K308" t="str">
            <v>42-2636</v>
          </cell>
          <cell r="L308" t="str">
            <v>42-05-02-01-0300</v>
          </cell>
          <cell r="M308" t="str">
            <v>Riñón de porcelana color blanco de 29 cm.</v>
          </cell>
          <cell r="O308" t="str">
            <v>EQUIPOS CLINICOS</v>
          </cell>
          <cell r="P308">
            <v>5000</v>
          </cell>
          <cell r="T308" t="str">
            <v>Bueno</v>
          </cell>
          <cell r="U308" t="str">
            <v>N/T</v>
          </cell>
        </row>
        <row r="309">
          <cell r="J309" t="str">
            <v>42-06-01-00-0301</v>
          </cell>
          <cell r="K309" t="str">
            <v>42-2559</v>
          </cell>
          <cell r="L309" t="str">
            <v>42-06-01-00-0301</v>
          </cell>
          <cell r="M309" t="str">
            <v>Computador Intel P4</v>
          </cell>
          <cell r="O309" t="str">
            <v>EQUIPOS COMPUTACIONALES Y PERIFÉRICOS</v>
          </cell>
          <cell r="P309">
            <v>145000</v>
          </cell>
          <cell r="T309" t="str">
            <v>Bueno</v>
          </cell>
          <cell r="U309" t="str">
            <v>Intel</v>
          </cell>
        </row>
        <row r="310">
          <cell r="J310" t="str">
            <v>42-06-01-00-0302</v>
          </cell>
          <cell r="K310" t="str">
            <v>42-2560</v>
          </cell>
          <cell r="L310" t="str">
            <v>42-06-01-00-0302</v>
          </cell>
          <cell r="M310" t="str">
            <v>Monitor LCD marca Samsung Mod. 540N S/Nº HA15H9NP302530N</v>
          </cell>
          <cell r="O310" t="str">
            <v>EQUIPOS COMPUTACIONALES Y PERIFÉRICOS</v>
          </cell>
          <cell r="P310">
            <v>14000</v>
          </cell>
          <cell r="T310" t="str">
            <v>Bueno</v>
          </cell>
          <cell r="U310" t="str">
            <v>Samsung</v>
          </cell>
        </row>
        <row r="311">
          <cell r="J311" t="str">
            <v>42-06-01-00-0303</v>
          </cell>
          <cell r="K311" t="str">
            <v>42-2561</v>
          </cell>
          <cell r="L311" t="str">
            <v>42-06-01-00-0303</v>
          </cell>
          <cell r="M311" t="str">
            <v>Teclado OK Technology</v>
          </cell>
          <cell r="O311" t="str">
            <v>EQUIPOS COMPUTACIONALES Y PERIFÉRICOS</v>
          </cell>
          <cell r="P311">
            <v>4000</v>
          </cell>
          <cell r="T311" t="str">
            <v>Bueno</v>
          </cell>
          <cell r="U311" t="str">
            <v>Technology</v>
          </cell>
        </row>
        <row r="312">
          <cell r="J312" t="str">
            <v>42-06-01-00-0304</v>
          </cell>
          <cell r="K312" t="str">
            <v>42-2562</v>
          </cell>
          <cell r="L312" t="str">
            <v>42-06-01-00-0304</v>
          </cell>
          <cell r="M312" t="str">
            <v>Mouse optico OK Technology</v>
          </cell>
          <cell r="O312" t="str">
            <v>EQUIPOS COMPUTACIONALES Y PERIFÉRICOS</v>
          </cell>
          <cell r="P312">
            <v>3000</v>
          </cell>
          <cell r="T312" t="str">
            <v>Bueno</v>
          </cell>
          <cell r="U312" t="str">
            <v>Technology</v>
          </cell>
        </row>
        <row r="313">
          <cell r="J313" t="str">
            <v>42-05-02-07-0305</v>
          </cell>
          <cell r="K313" t="str">
            <v>42-2664</v>
          </cell>
          <cell r="L313" t="str">
            <v>42-05-02-07-0305</v>
          </cell>
          <cell r="M313" t="str">
            <v>Jgo parlantes marca Aopen Mod. Nº MS621 S/Nº 329001265CM1</v>
          </cell>
          <cell r="O313" t="str">
            <v>EQUIPOS DE AUDIO</v>
          </cell>
          <cell r="P313">
            <v>20000</v>
          </cell>
          <cell r="T313" t="str">
            <v>Bueno</v>
          </cell>
          <cell r="U313" t="str">
            <v>Aopen</v>
          </cell>
        </row>
        <row r="314">
          <cell r="J314" t="str">
            <v>42-05-01-01-0306</v>
          </cell>
          <cell r="K314" t="str">
            <v>42-2833</v>
          </cell>
          <cell r="L314" t="str">
            <v>42-05-01-01-0306</v>
          </cell>
          <cell r="M314" t="str">
            <v>Reloj/termómetro refrigerador marca Control company 4105 S/Nº 72182618</v>
          </cell>
          <cell r="O314" t="str">
            <v>EQUIPO DE OFICINA</v>
          </cell>
          <cell r="P314">
            <v>40000</v>
          </cell>
          <cell r="T314" t="str">
            <v>Bueno</v>
          </cell>
          <cell r="U314" t="str">
            <v>Control Company</v>
          </cell>
        </row>
        <row r="315">
          <cell r="J315" t="str">
            <v>42-05-02-01-0307</v>
          </cell>
          <cell r="K315" t="str">
            <v>42-1889</v>
          </cell>
          <cell r="L315" t="str">
            <v>42-05-02-01-0307</v>
          </cell>
          <cell r="M315" t="str">
            <v>Refrigerador marca Sindelen  Eurofrest 4800 ( Donación club de Leones de Loncoche. ).</v>
          </cell>
          <cell r="O315" t="str">
            <v>EQUIPOS CLINICOS</v>
          </cell>
          <cell r="P315">
            <v>150000</v>
          </cell>
          <cell r="T315" t="str">
            <v>Bueno</v>
          </cell>
          <cell r="U315" t="str">
            <v>Sindelen</v>
          </cell>
        </row>
        <row r="316">
          <cell r="J316" t="str">
            <v>42-05-02-01-0308</v>
          </cell>
          <cell r="K316" t="str">
            <v xml:space="preserve"> 42-137</v>
          </cell>
          <cell r="L316" t="str">
            <v>42-05-02-01-0308</v>
          </cell>
          <cell r="M316" t="str">
            <v>Microscopio  monocular marca Olympus 240543</v>
          </cell>
          <cell r="O316" t="str">
            <v>EQUIPOS CLINICOS</v>
          </cell>
          <cell r="P316">
            <v>1000000</v>
          </cell>
          <cell r="T316" t="str">
            <v>Bueno</v>
          </cell>
          <cell r="U316" t="str">
            <v>Olympus</v>
          </cell>
        </row>
        <row r="317">
          <cell r="J317" t="str">
            <v>42-04-06-00-0309</v>
          </cell>
          <cell r="K317" t="str">
            <v>42-2405</v>
          </cell>
          <cell r="L317" t="str">
            <v>42-04-06-00-0309</v>
          </cell>
          <cell r="M317" t="str">
            <v>Mueble computación, 1 cajón enchapado eucaliptus 120x65x76 cms.</v>
          </cell>
          <cell r="O317" t="str">
            <v>REPISA</v>
          </cell>
          <cell r="P317">
            <v>50000</v>
          </cell>
          <cell r="T317" t="str">
            <v>Bueno</v>
          </cell>
          <cell r="U317" t="str">
            <v>N/T</v>
          </cell>
        </row>
        <row r="318">
          <cell r="J318" t="str">
            <v>42-04-07-00-0310</v>
          </cell>
          <cell r="K318" t="str">
            <v>42-2660</v>
          </cell>
          <cell r="L318" t="str">
            <v>42-04-07-00-0310</v>
          </cell>
          <cell r="M318" t="str">
            <v>Mural plumavit con marco madera</v>
          </cell>
          <cell r="O318" t="str">
            <v>OTROS</v>
          </cell>
          <cell r="P318">
            <v>15000</v>
          </cell>
          <cell r="T318" t="str">
            <v>Bueno</v>
          </cell>
          <cell r="U318" t="str">
            <v>N/T</v>
          </cell>
        </row>
        <row r="319">
          <cell r="J319" t="str">
            <v>42-04-02-00-0311</v>
          </cell>
          <cell r="K319" t="str">
            <v xml:space="preserve">42-1910           </v>
          </cell>
          <cell r="L319" t="str">
            <v>42-04-02-00-0311</v>
          </cell>
          <cell r="M319" t="str">
            <v>Silla cajera s/ brazo con apoyo lumbar color burdeo</v>
          </cell>
          <cell r="O319" t="str">
            <v>SILLAS</v>
          </cell>
          <cell r="P319">
            <v>42500</v>
          </cell>
          <cell r="T319" t="str">
            <v>Bueno</v>
          </cell>
          <cell r="U319" t="str">
            <v>N/T</v>
          </cell>
        </row>
        <row r="320">
          <cell r="J320" t="str">
            <v>42-04-02-00-0312</v>
          </cell>
          <cell r="K320" t="str">
            <v>42-1818</v>
          </cell>
          <cell r="L320" t="str">
            <v>42-04-02-00-0312</v>
          </cell>
          <cell r="M320" t="str">
            <v>Silla cajera s/brazo con apoyo lumbar color burdeo</v>
          </cell>
          <cell r="O320" t="str">
            <v>SILLAS</v>
          </cell>
          <cell r="P320">
            <v>42500</v>
          </cell>
          <cell r="T320" t="str">
            <v>Bueno</v>
          </cell>
          <cell r="U320" t="str">
            <v>N/T</v>
          </cell>
        </row>
        <row r="321">
          <cell r="J321" t="str">
            <v>42-05-01-01-0313</v>
          </cell>
          <cell r="K321" t="str">
            <v>42-161</v>
          </cell>
          <cell r="L321" t="str">
            <v>42-05-01-01-0313</v>
          </cell>
          <cell r="M321" t="str">
            <v>Perforador extra fuerte color gris</v>
          </cell>
          <cell r="O321" t="str">
            <v>EQUIPO DE OFICINA</v>
          </cell>
          <cell r="P321">
            <v>4000</v>
          </cell>
          <cell r="T321" t="str">
            <v>Bueno</v>
          </cell>
          <cell r="U321" t="str">
            <v>N/T</v>
          </cell>
        </row>
        <row r="322">
          <cell r="J322" t="str">
            <v>42-04-01-00-0314</v>
          </cell>
          <cell r="K322" t="str">
            <v>42-2661</v>
          </cell>
          <cell r="L322" t="str">
            <v>42-04-01-00-0314</v>
          </cell>
          <cell r="M322" t="str">
            <v>Mesa madera con cubierta formalita ploma 102x51x70 cms.</v>
          </cell>
          <cell r="O322" t="str">
            <v>MESAS</v>
          </cell>
          <cell r="P322">
            <v>65000</v>
          </cell>
          <cell r="T322" t="str">
            <v>Bueno</v>
          </cell>
          <cell r="U322" t="str">
            <v>N/T</v>
          </cell>
        </row>
        <row r="323">
          <cell r="J323" t="str">
            <v>42-04-01-00-0315</v>
          </cell>
          <cell r="K323" t="str">
            <v>42-2406</v>
          </cell>
          <cell r="L323" t="str">
            <v>42-04-01-00-0315</v>
          </cell>
          <cell r="M323" t="str">
            <v>Mesa cubierta blanca con base metálica 60x45 cms.</v>
          </cell>
          <cell r="O323" t="str">
            <v>MESAS</v>
          </cell>
          <cell r="P323">
            <v>75000</v>
          </cell>
          <cell r="T323" t="str">
            <v>Bueno</v>
          </cell>
          <cell r="U323" t="str">
            <v>N/T</v>
          </cell>
        </row>
        <row r="324">
          <cell r="J324" t="str">
            <v>42-05-01-01-0316</v>
          </cell>
          <cell r="K324" t="str">
            <v>42-2407</v>
          </cell>
          <cell r="L324" t="str">
            <v>42-05-01-01-0316</v>
          </cell>
          <cell r="M324" t="str">
            <v>Pizarra melamina blanca 70x50 cms.</v>
          </cell>
          <cell r="O324" t="str">
            <v>EQUIPO DE OFICINA</v>
          </cell>
          <cell r="P324">
            <v>25000</v>
          </cell>
          <cell r="T324" t="str">
            <v>Bueno</v>
          </cell>
          <cell r="U324" t="str">
            <v>N/T</v>
          </cell>
        </row>
        <row r="325">
          <cell r="J325" t="str">
            <v>42-04-06-00-0317</v>
          </cell>
          <cell r="K325" t="str">
            <v>42-2665</v>
          </cell>
          <cell r="L325" t="str">
            <v>42-04-06-00-0317</v>
          </cell>
          <cell r="M325" t="str">
            <v>Repisa masisa enchapada eucaliptus 66x25x43 cms.</v>
          </cell>
          <cell r="O325" t="str">
            <v>REPISA</v>
          </cell>
          <cell r="P325">
            <v>25000</v>
          </cell>
          <cell r="T325" t="str">
            <v>Bueno</v>
          </cell>
          <cell r="U325" t="str">
            <v>N/T</v>
          </cell>
        </row>
        <row r="326">
          <cell r="J326" t="str">
            <v>42-04-06-00-0318</v>
          </cell>
          <cell r="K326" t="str">
            <v>42-2408</v>
          </cell>
          <cell r="L326" t="str">
            <v>42-04-06-00-0318</v>
          </cell>
          <cell r="M326" t="str">
            <v>Repisa trupan 1 compartimento color natural 100x30 cms.</v>
          </cell>
          <cell r="O326" t="str">
            <v>REPISA</v>
          </cell>
          <cell r="P326">
            <v>20000</v>
          </cell>
          <cell r="T326" t="str">
            <v>Bueno</v>
          </cell>
          <cell r="U326" t="str">
            <v>N/T</v>
          </cell>
        </row>
        <row r="327">
          <cell r="J327" t="str">
            <v>42-04-06-00-0319</v>
          </cell>
          <cell r="K327" t="str">
            <v>42-2409</v>
          </cell>
          <cell r="L327" t="str">
            <v>42-04-06-00-0319</v>
          </cell>
          <cell r="M327" t="str">
            <v>Repisa blanca con soportes metálicos 58x18 cms.</v>
          </cell>
          <cell r="O327" t="str">
            <v>REPISA</v>
          </cell>
          <cell r="P327">
            <v>20000</v>
          </cell>
          <cell r="T327" t="str">
            <v>Bueno</v>
          </cell>
          <cell r="U327" t="str">
            <v>N/T</v>
          </cell>
        </row>
        <row r="328">
          <cell r="J328" t="str">
            <v>42-05-01-01-0320</v>
          </cell>
          <cell r="K328" t="str">
            <v>42-160</v>
          </cell>
          <cell r="L328" t="str">
            <v>42-05-01-01-0320</v>
          </cell>
          <cell r="M328" t="str">
            <v>Corchetera marca Torre color ploma / negro</v>
          </cell>
          <cell r="O328" t="str">
            <v>EQUIPO DE OFICINA</v>
          </cell>
          <cell r="P328">
            <v>3500</v>
          </cell>
          <cell r="T328" t="str">
            <v>Bueno</v>
          </cell>
          <cell r="U328" t="str">
            <v>N/T</v>
          </cell>
        </row>
        <row r="329">
          <cell r="J329" t="str">
            <v>42-04-02-00-0321</v>
          </cell>
          <cell r="K329" t="str">
            <v>42-331</v>
          </cell>
          <cell r="L329" t="str">
            <v>42-04-02-00-0321</v>
          </cell>
          <cell r="M329" t="str">
            <v>Silla mixta color beige</v>
          </cell>
          <cell r="O329" t="str">
            <v>SILLAS</v>
          </cell>
          <cell r="P329">
            <v>42500</v>
          </cell>
          <cell r="T329" t="str">
            <v>Malo</v>
          </cell>
          <cell r="U329" t="str">
            <v>N/T</v>
          </cell>
        </row>
        <row r="330">
          <cell r="J330" t="str">
            <v>42-05-02-01-0322</v>
          </cell>
          <cell r="K330" t="str">
            <v>42-127</v>
          </cell>
          <cell r="L330" t="str">
            <v>42-05-02-01-0322</v>
          </cell>
          <cell r="M330" t="str">
            <v>Camilla metálica color blanco con pegamoide color verde</v>
          </cell>
          <cell r="O330" t="str">
            <v>EQUIPOS CLINICOS</v>
          </cell>
          <cell r="P330">
            <v>75000</v>
          </cell>
          <cell r="T330" t="str">
            <v>Bueno</v>
          </cell>
          <cell r="U330" t="str">
            <v>N/T</v>
          </cell>
        </row>
        <row r="331">
          <cell r="J331" t="str">
            <v>42-05-01-01-0323</v>
          </cell>
          <cell r="K331" t="str">
            <v>42-1964</v>
          </cell>
          <cell r="L331" t="str">
            <v>42-05-01-01-0323</v>
          </cell>
          <cell r="M331" t="str">
            <v>Citófono/ teléfono marca Nortel Network, Modelo 7000</v>
          </cell>
          <cell r="O331" t="str">
            <v>EQUIPO DE OFICINA</v>
          </cell>
          <cell r="P331">
            <v>36000</v>
          </cell>
          <cell r="T331" t="str">
            <v>Bueno</v>
          </cell>
          <cell r="U331" t="str">
            <v>Nortel Network</v>
          </cell>
        </row>
        <row r="332">
          <cell r="J332" t="str">
            <v>42-06-01-00-0324</v>
          </cell>
          <cell r="K332" t="str">
            <v>42-2410</v>
          </cell>
          <cell r="L332" t="str">
            <v>42-06-01-00-0324</v>
          </cell>
          <cell r="M332" t="str">
            <v>Estabilizador electrónico de tensión Fernandez Fica Modelo RAP 3023 MP</v>
          </cell>
          <cell r="O332" t="str">
            <v>EQUIPOS COMPUTACIONALES Y PERIFÉRICOS</v>
          </cell>
          <cell r="P332">
            <v>1000000</v>
          </cell>
          <cell r="T332" t="str">
            <v>Bueno</v>
          </cell>
          <cell r="U332" t="str">
            <v>N/T</v>
          </cell>
        </row>
        <row r="333">
          <cell r="J333" t="str">
            <v>42-05-01-01-0325</v>
          </cell>
          <cell r="K333" t="str">
            <v>42-2832</v>
          </cell>
          <cell r="L333" t="str">
            <v>42-05-01-01-0325</v>
          </cell>
          <cell r="M333" t="str">
            <v>Reloj/termómetro refrigerador marca Control company 4105 S/Nº 72182671</v>
          </cell>
          <cell r="O333" t="str">
            <v>EQUIPO DE OFICINA</v>
          </cell>
          <cell r="P333">
            <v>40000</v>
          </cell>
          <cell r="T333" t="str">
            <v>Bueno</v>
          </cell>
          <cell r="U333" t="str">
            <v xml:space="preserve">Control  </v>
          </cell>
        </row>
        <row r="334">
          <cell r="J334" t="str">
            <v>42-05-02-01-0326</v>
          </cell>
          <cell r="K334" t="str">
            <v>42-1656</v>
          </cell>
          <cell r="L334" t="str">
            <v>42-05-02-01-0326</v>
          </cell>
          <cell r="M334" t="str">
            <v>Refrigerador marca Fensa non frost modelo Advantage 7300</v>
          </cell>
          <cell r="O334" t="str">
            <v>EQUIPOS CLINICOS</v>
          </cell>
          <cell r="P334">
            <v>180000</v>
          </cell>
          <cell r="T334" t="str">
            <v>Bueno</v>
          </cell>
          <cell r="U334" t="str">
            <v>Fensa</v>
          </cell>
        </row>
        <row r="335">
          <cell r="J335" t="str">
            <v>42-05-02-06-0327</v>
          </cell>
          <cell r="K335" t="str">
            <v>42-141</v>
          </cell>
          <cell r="L335" t="str">
            <v>42-05-02-06-0327</v>
          </cell>
          <cell r="M335" t="str">
            <v>Estufa secadora marca MLW serie 74040</v>
          </cell>
          <cell r="O335" t="str">
            <v>HERRAMIENTAS</v>
          </cell>
          <cell r="P335">
            <v>100000</v>
          </cell>
          <cell r="T335" t="str">
            <v>Bueno</v>
          </cell>
          <cell r="U335" t="str">
            <v>MLW</v>
          </cell>
        </row>
        <row r="336">
          <cell r="J336" t="str">
            <v>42-05-02-02-0328</v>
          </cell>
          <cell r="K336" t="str">
            <v>42-2411</v>
          </cell>
          <cell r="L336" t="str">
            <v>42-05-02-02-0328</v>
          </cell>
          <cell r="M336" t="str">
            <v>Campana marca Mademsa 80 cms.</v>
          </cell>
          <cell r="O336" t="str">
            <v>EQUIPOS DE COCINA</v>
          </cell>
          <cell r="P336">
            <v>70000</v>
          </cell>
          <cell r="T336" t="str">
            <v>Bueno</v>
          </cell>
          <cell r="U336" t="str">
            <v>Mademsa</v>
          </cell>
        </row>
        <row r="337">
          <cell r="J337" t="str">
            <v>42-04-07-00-0329</v>
          </cell>
          <cell r="K337" t="str">
            <v>42-126</v>
          </cell>
          <cell r="L337" t="str">
            <v>42-04-07-00-0329</v>
          </cell>
          <cell r="M337" t="str">
            <v>Paragüero, perchero metálico color blanco</v>
          </cell>
          <cell r="O337" t="str">
            <v>OTROS</v>
          </cell>
          <cell r="P337">
            <v>15000</v>
          </cell>
          <cell r="T337" t="str">
            <v>Bueno</v>
          </cell>
          <cell r="U337" t="str">
            <v>N/T</v>
          </cell>
        </row>
        <row r="338">
          <cell r="J338" t="str">
            <v>42-04-07-00-0330</v>
          </cell>
          <cell r="K338" t="str">
            <v>42-2412</v>
          </cell>
          <cell r="L338" t="str">
            <v>42-04-07-00-0330</v>
          </cell>
          <cell r="M338" t="str">
            <v>Dispensador jabón marca Johnson</v>
          </cell>
          <cell r="O338" t="str">
            <v>OTROS</v>
          </cell>
          <cell r="P338">
            <v>17000</v>
          </cell>
          <cell r="T338" t="str">
            <v>Bueno</v>
          </cell>
          <cell r="U338" t="str">
            <v>Johnson</v>
          </cell>
        </row>
        <row r="339">
          <cell r="J339" t="str">
            <v>42-05-02-05-0331</v>
          </cell>
          <cell r="K339" t="str">
            <v>42-2637</v>
          </cell>
          <cell r="L339" t="str">
            <v>42-05-02-05-0331</v>
          </cell>
          <cell r="M339" t="str">
            <v>Extintor incendio tipo Dioxido carbono 2 kgs.</v>
          </cell>
          <cell r="O339" t="str">
            <v>EQUIPOS DE SEGURIDAD</v>
          </cell>
          <cell r="P339">
            <v>25000</v>
          </cell>
          <cell r="T339" t="str">
            <v>Bueno</v>
          </cell>
          <cell r="U339" t="str">
            <v>N/T</v>
          </cell>
        </row>
        <row r="340">
          <cell r="J340" t="str">
            <v>42-05-01-01-0332</v>
          </cell>
          <cell r="K340" t="str">
            <v>42-1963</v>
          </cell>
          <cell r="L340" t="str">
            <v>42-05-01-01-0332</v>
          </cell>
          <cell r="M340" t="str">
            <v>Citófono/ teléfono marca Nortel Network, Modelo 7000</v>
          </cell>
          <cell r="O340" t="str">
            <v>EQUIPO DE OFICINA</v>
          </cell>
          <cell r="P340">
            <v>36000</v>
          </cell>
          <cell r="T340" t="str">
            <v>Bueno</v>
          </cell>
          <cell r="U340" t="str">
            <v>Nortel Network</v>
          </cell>
        </row>
        <row r="341">
          <cell r="J341" t="str">
            <v>42-05-02-01-0333</v>
          </cell>
          <cell r="K341" t="str">
            <v>42-3529</v>
          </cell>
          <cell r="L341" t="str">
            <v>42-05-02-01-0333</v>
          </cell>
          <cell r="M341" t="str">
            <v>Mesa Toma de Muestras</v>
          </cell>
          <cell r="O341" t="str">
            <v>EQUIPOS CLINICOS</v>
          </cell>
          <cell r="P341">
            <v>62832</v>
          </cell>
          <cell r="T341" t="str">
            <v>Bueno</v>
          </cell>
          <cell r="U341" t="str">
            <v>N/T</v>
          </cell>
        </row>
        <row r="342">
          <cell r="J342" t="str">
            <v>42-06-01-00-0334</v>
          </cell>
          <cell r="K342" t="str">
            <v>42-1873</v>
          </cell>
          <cell r="L342" t="str">
            <v>42-06-01-00-0334</v>
          </cell>
          <cell r="M342" t="str">
            <v>Teclado Aopen S/Nº 41202545</v>
          </cell>
          <cell r="O342" t="str">
            <v>EQUIPOS COMPUTACIONALES Y PERIFÉRICOS</v>
          </cell>
          <cell r="P342">
            <v>4000</v>
          </cell>
          <cell r="T342" t="str">
            <v>Bueno</v>
          </cell>
          <cell r="U342" t="str">
            <v>Aopen</v>
          </cell>
        </row>
        <row r="343">
          <cell r="J343" t="str">
            <v>42-05-01-01-0335</v>
          </cell>
          <cell r="K343" t="str">
            <v>42-2709</v>
          </cell>
          <cell r="L343" t="str">
            <v>42-05-01-01-0335</v>
          </cell>
          <cell r="M343" t="str">
            <v>Radio CD MP3 marca Recco Mod. RRCSWM5 S/N° 0047/0410/00502</v>
          </cell>
          <cell r="O343" t="str">
            <v>EQUIPO DE OFICINA</v>
          </cell>
          <cell r="P343">
            <v>53710</v>
          </cell>
          <cell r="T343" t="str">
            <v>Bueno</v>
          </cell>
          <cell r="U343" t="str">
            <v>Recco</v>
          </cell>
        </row>
        <row r="344">
          <cell r="J344" t="str">
            <v>42-06-01-00-0336</v>
          </cell>
          <cell r="K344" t="str">
            <v>42-1931</v>
          </cell>
          <cell r="L344" t="str">
            <v>42-06-01-00-0336</v>
          </cell>
          <cell r="M344" t="str">
            <v>Impresora Hewlett Packard modelo Laser Jet 1320</v>
          </cell>
          <cell r="O344" t="str">
            <v>EQUIPOS COMPUTACIONALES Y PERIFÉRICOS</v>
          </cell>
          <cell r="P344">
            <v>60000</v>
          </cell>
          <cell r="T344" t="str">
            <v>Bueno</v>
          </cell>
          <cell r="U344" t="str">
            <v>Packard</v>
          </cell>
        </row>
        <row r="345">
          <cell r="J345" t="str">
            <v>42-05-01-01-0337</v>
          </cell>
          <cell r="K345" t="str">
            <v>42-1206B</v>
          </cell>
          <cell r="L345" t="str">
            <v>42-05-01-01-0337</v>
          </cell>
          <cell r="M345" t="str">
            <v>Reloj de pared</v>
          </cell>
          <cell r="O345" t="str">
            <v>EQUIPO DE OFICINA</v>
          </cell>
          <cell r="P345">
            <v>7500</v>
          </cell>
          <cell r="T345" t="str">
            <v>Bueno</v>
          </cell>
          <cell r="U345" t="str">
            <v>N/T</v>
          </cell>
        </row>
        <row r="346">
          <cell r="J346" t="str">
            <v>42-05-02-05-0338</v>
          </cell>
          <cell r="K346" t="str">
            <v>42-2346</v>
          </cell>
          <cell r="L346" t="str">
            <v>42-05-02-05-0338</v>
          </cell>
          <cell r="M346" t="str">
            <v>Extintor incendio tipo ABC 6 kgs.</v>
          </cell>
          <cell r="O346" t="str">
            <v>EQUIPOS DE SEGURIDAD</v>
          </cell>
          <cell r="P346">
            <v>25000</v>
          </cell>
          <cell r="T346" t="str">
            <v>Bueno</v>
          </cell>
          <cell r="U346" t="str">
            <v>N/T</v>
          </cell>
        </row>
        <row r="347">
          <cell r="J347" t="str">
            <v>42-05-01-01-0339</v>
          </cell>
          <cell r="K347" t="str">
            <v>42-3198</v>
          </cell>
          <cell r="L347" t="str">
            <v>42-05-01-01-0339</v>
          </cell>
          <cell r="M347" t="str">
            <v>Refrigerador 2 puertas Whirpool 350 Mod. WRH33ABDWC S/Nº JL7058653</v>
          </cell>
          <cell r="O347" t="str">
            <v>EQUIPO DE OFICINA</v>
          </cell>
          <cell r="P347">
            <v>150000</v>
          </cell>
          <cell r="T347" t="str">
            <v>Bueno</v>
          </cell>
          <cell r="U347" t="str">
            <v>Whirpool</v>
          </cell>
        </row>
        <row r="348">
          <cell r="J348" t="str">
            <v>42-05-01-01-0340</v>
          </cell>
          <cell r="K348" t="str">
            <v>42-2710</v>
          </cell>
          <cell r="L348" t="str">
            <v>42-05-01-01-0340</v>
          </cell>
          <cell r="M348" t="str">
            <v>Microondas marca Daewoo Mod. KOR 63FB</v>
          </cell>
          <cell r="O348" t="str">
            <v>EQUIPO DE OFICINA</v>
          </cell>
          <cell r="P348">
            <v>45000</v>
          </cell>
          <cell r="T348" t="str">
            <v>Bueno</v>
          </cell>
          <cell r="U348" t="str">
            <v>Daewoo</v>
          </cell>
        </row>
        <row r="349">
          <cell r="J349" t="str">
            <v>42-05-01-01-0341</v>
          </cell>
          <cell r="K349" t="str">
            <v>42-2711</v>
          </cell>
          <cell r="L349" t="str">
            <v>42-05-01-01-0341</v>
          </cell>
          <cell r="M349" t="str">
            <v>Televisor 21" marca Daewoo Mod. Summus Dinamic</v>
          </cell>
          <cell r="O349" t="str">
            <v>EQUIPO DE OFICINA</v>
          </cell>
          <cell r="P349">
            <v>65000</v>
          </cell>
          <cell r="T349" t="str">
            <v>Bueno</v>
          </cell>
          <cell r="U349" t="str">
            <v>Daewoo</v>
          </cell>
        </row>
        <row r="350">
          <cell r="J350" t="str">
            <v>42-05-02-01-0342</v>
          </cell>
          <cell r="K350" t="str">
            <v>42-2983</v>
          </cell>
          <cell r="L350" t="str">
            <v>42-05-02-01-0342</v>
          </cell>
          <cell r="M350" t="str">
            <v>Bomba aspiración Medi-Pump Mod. 1636A S/Nº 070700001521</v>
          </cell>
          <cell r="O350" t="str">
            <v>EQUIPOS CLINICOS</v>
          </cell>
          <cell r="P350">
            <v>231931</v>
          </cell>
          <cell r="T350" t="str">
            <v>Bueno</v>
          </cell>
          <cell r="U350" t="str">
            <v>N/T</v>
          </cell>
        </row>
        <row r="351">
          <cell r="J351" t="str">
            <v>42-05-02-01-0343</v>
          </cell>
          <cell r="K351" t="str">
            <v>42-3363</v>
          </cell>
          <cell r="L351" t="str">
            <v>42-05-02-01-0343</v>
          </cell>
          <cell r="M351" t="str">
            <v>Bomba infusion Samtronic Mod. ST 1000 S/Nº 33182L/10</v>
          </cell>
          <cell r="O351" t="str">
            <v>EQUIPOS CLINICOS</v>
          </cell>
          <cell r="P351">
            <v>809209</v>
          </cell>
          <cell r="T351" t="str">
            <v>Bueno</v>
          </cell>
          <cell r="U351" t="str">
            <v>N/T</v>
          </cell>
        </row>
        <row r="352">
          <cell r="J352" t="str">
            <v>42-05-02-01-0344</v>
          </cell>
          <cell r="K352" t="str">
            <v>42-179</v>
          </cell>
          <cell r="L352" t="str">
            <v>42-05-02-01-0344</v>
          </cell>
          <cell r="M352" t="str">
            <v>Máquina de aspiracion eléctrica Medi Pump Mod. 1132 S/Nº 099500003491</v>
          </cell>
          <cell r="O352" t="str">
            <v>EQUIPOS CLINICOS</v>
          </cell>
          <cell r="P352">
            <v>231931</v>
          </cell>
          <cell r="T352" t="str">
            <v>Bueno</v>
          </cell>
          <cell r="U352" t="str">
            <v>Medi</v>
          </cell>
        </row>
        <row r="353">
          <cell r="J353" t="str">
            <v>42-05-02-01-0345</v>
          </cell>
          <cell r="K353" t="str">
            <v>42-1934</v>
          </cell>
          <cell r="L353" t="str">
            <v>42-05-02-01-0345</v>
          </cell>
          <cell r="M353" t="str">
            <v>Desfribilador Marca ZOLL M Series color gris</v>
          </cell>
          <cell r="O353" t="str">
            <v>EQUIPOS CLINICOS</v>
          </cell>
          <cell r="P353">
            <v>100000</v>
          </cell>
          <cell r="T353" t="str">
            <v>Bueno</v>
          </cell>
          <cell r="U353" t="str">
            <v>Zoll</v>
          </cell>
        </row>
        <row r="354">
          <cell r="J354" t="str">
            <v>42-05-02-01-0346</v>
          </cell>
          <cell r="K354" t="str">
            <v>42-2630</v>
          </cell>
          <cell r="L354" t="str">
            <v>42-05-02-01-0346</v>
          </cell>
          <cell r="M354" t="str">
            <v>Electrocardigrafo marca Bionet Mod. Cardio care-2000 S/Nº EE0900197</v>
          </cell>
          <cell r="O354" t="str">
            <v>EQUIPOS CLINICOS</v>
          </cell>
          <cell r="P354">
            <v>600000</v>
          </cell>
          <cell r="T354" t="str">
            <v>Bueno</v>
          </cell>
          <cell r="U354" t="str">
            <v>Bionet</v>
          </cell>
        </row>
        <row r="355">
          <cell r="J355" t="str">
            <v>42-05-02-01-0347</v>
          </cell>
          <cell r="K355" t="str">
            <v>42-176</v>
          </cell>
          <cell r="L355" t="str">
            <v>42-05-02-01-0347</v>
          </cell>
          <cell r="M355" t="str">
            <v>Esfingomanómetro con pedestal marca Trimline de 115 cms.</v>
          </cell>
          <cell r="O355" t="str">
            <v>EQUIPOS CLINICOS</v>
          </cell>
          <cell r="P355">
            <v>35585</v>
          </cell>
          <cell r="T355" t="str">
            <v>Bueno</v>
          </cell>
          <cell r="U355" t="str">
            <v>Trimiline</v>
          </cell>
        </row>
        <row r="356">
          <cell r="J356" t="str">
            <v>42-05-02-01-0348</v>
          </cell>
          <cell r="K356" t="str">
            <v>42-174</v>
          </cell>
          <cell r="L356" t="str">
            <v>42-05-02-01-0348</v>
          </cell>
          <cell r="M356" t="str">
            <v>Laringoscopio con 10 hojas desmontables</v>
          </cell>
          <cell r="O356" t="str">
            <v>EQUIPOS CLINICOS</v>
          </cell>
          <cell r="P356">
            <v>80000</v>
          </cell>
          <cell r="T356" t="str">
            <v>Bueno</v>
          </cell>
          <cell r="U356" t="str">
            <v>N/T</v>
          </cell>
        </row>
        <row r="357">
          <cell r="J357" t="str">
            <v>42-05-02-01-0349</v>
          </cell>
          <cell r="K357" t="str">
            <v>42-182</v>
          </cell>
          <cell r="L357" t="str">
            <v>42-05-02-01-0349</v>
          </cell>
          <cell r="M357" t="str">
            <v>Manómetro de oxigeno marca Victor Medical</v>
          </cell>
          <cell r="O357" t="str">
            <v>EQUIPOS CLINICOS</v>
          </cell>
          <cell r="P357">
            <v>50000</v>
          </cell>
          <cell r="T357" t="str">
            <v>Bueno</v>
          </cell>
          <cell r="U357" t="str">
            <v>Victor M</v>
          </cell>
        </row>
        <row r="358">
          <cell r="J358" t="str">
            <v>42-05-02-01-0350</v>
          </cell>
          <cell r="K358" t="str">
            <v>42-3399</v>
          </cell>
          <cell r="L358" t="str">
            <v>42-05-02-01-0350</v>
          </cell>
          <cell r="M358" t="str">
            <v>Manometro oxígeno</v>
          </cell>
          <cell r="O358" t="str">
            <v>EQUIPOS CLINICOS</v>
          </cell>
          <cell r="P358">
            <v>50000</v>
          </cell>
          <cell r="T358" t="str">
            <v>Bueno</v>
          </cell>
          <cell r="U358" t="str">
            <v>N/T</v>
          </cell>
        </row>
        <row r="359">
          <cell r="J359" t="str">
            <v>42-05-02-01-0351</v>
          </cell>
          <cell r="K359" t="str">
            <v>42-1933</v>
          </cell>
          <cell r="L359" t="str">
            <v>42-05-02-01-0351</v>
          </cell>
          <cell r="M359" t="str">
            <v>Monitor signos vitales Nihon Kohden BSM-2301K S/Nº 11272</v>
          </cell>
          <cell r="O359" t="str">
            <v>EQUIPOS CLINICOS</v>
          </cell>
          <cell r="P359">
            <v>580000</v>
          </cell>
          <cell r="T359" t="str">
            <v>Bueno</v>
          </cell>
          <cell r="U359" t="str">
            <v>Nihon</v>
          </cell>
        </row>
        <row r="360">
          <cell r="J360" t="str">
            <v>42-05-02-01-0352</v>
          </cell>
          <cell r="K360" t="str">
            <v>42-752</v>
          </cell>
          <cell r="L360" t="str">
            <v>42-05-02-01-0352</v>
          </cell>
          <cell r="M360" t="str">
            <v xml:space="preserve">Negatoscopio </v>
          </cell>
          <cell r="O360" t="str">
            <v>EQUIPOS CLINICOS</v>
          </cell>
          <cell r="P360">
            <v>46241</v>
          </cell>
          <cell r="T360" t="str">
            <v>Bueno</v>
          </cell>
          <cell r="U360" t="str">
            <v>N/T</v>
          </cell>
        </row>
        <row r="361">
          <cell r="J361" t="str">
            <v>42-05-02-01-0353</v>
          </cell>
          <cell r="K361" t="str">
            <v>42-3162</v>
          </cell>
          <cell r="L361" t="str">
            <v>42-05-02-01-0353</v>
          </cell>
          <cell r="M361" t="str">
            <v>Otoscopio marca Walch Allyn color blanco</v>
          </cell>
          <cell r="O361" t="str">
            <v>EQUIPOS CLINICOS</v>
          </cell>
          <cell r="P361">
            <v>60000</v>
          </cell>
          <cell r="T361" t="str">
            <v>Malo</v>
          </cell>
          <cell r="U361" t="str">
            <v>Walch</v>
          </cell>
        </row>
        <row r="362">
          <cell r="J362" t="str">
            <v>42-05-02-01-0354</v>
          </cell>
          <cell r="K362" t="str">
            <v>42-3496</v>
          </cell>
          <cell r="L362" t="str">
            <v>42-05-02-01-0354</v>
          </cell>
          <cell r="M362" t="str">
            <v>Otoscopio marca Walch Allyn color negro</v>
          </cell>
          <cell r="O362" t="str">
            <v>EQUIPOS CLINICOS</v>
          </cell>
          <cell r="P362">
            <v>31990</v>
          </cell>
          <cell r="T362" t="str">
            <v>Bueno</v>
          </cell>
          <cell r="U362" t="str">
            <v>Walch</v>
          </cell>
        </row>
        <row r="363">
          <cell r="J363" t="str">
            <v>42-05-02-01-0355</v>
          </cell>
          <cell r="K363" t="str">
            <v>42-1776</v>
          </cell>
          <cell r="L363" t="str">
            <v>42-05-02-01-0355</v>
          </cell>
          <cell r="M363" t="str">
            <v>Oximetro de pulso, marca Nellcor Puritan Bennett, modelo NPB-295  Serie G 00862492</v>
          </cell>
          <cell r="O363" t="str">
            <v>EQUIPOS CLINICOS</v>
          </cell>
          <cell r="P363">
            <v>189567</v>
          </cell>
          <cell r="T363" t="str">
            <v>Bueno</v>
          </cell>
          <cell r="U363" t="str">
            <v>N/T</v>
          </cell>
        </row>
        <row r="364">
          <cell r="J364" t="str">
            <v>42-05-02-01-0356</v>
          </cell>
          <cell r="K364" t="str">
            <v>42-2657x</v>
          </cell>
          <cell r="L364" t="str">
            <v>42-05-02-01-0356</v>
          </cell>
          <cell r="M364" t="str">
            <v>Resucitador Ambú Mark 111 adulto</v>
          </cell>
          <cell r="O364" t="str">
            <v>EQUIPOS CLINICOS</v>
          </cell>
          <cell r="P364">
            <v>58950</v>
          </cell>
          <cell r="T364" t="str">
            <v>Bueno</v>
          </cell>
          <cell r="U364" t="str">
            <v>Ambu</v>
          </cell>
        </row>
        <row r="365">
          <cell r="J365" t="str">
            <v>42-05-02-01-0357</v>
          </cell>
          <cell r="K365" t="str">
            <v>42-3166</v>
          </cell>
          <cell r="L365" t="str">
            <v>42-05-02-01-0357</v>
          </cell>
          <cell r="M365" t="str">
            <v>Reanimador Ambú Mark 111 pediátrico</v>
          </cell>
          <cell r="O365" t="str">
            <v>EQUIPOS CLINICOS</v>
          </cell>
          <cell r="P365">
            <v>57901</v>
          </cell>
          <cell r="T365" t="str">
            <v>Bueno</v>
          </cell>
          <cell r="U365" t="str">
            <v>Ambu</v>
          </cell>
        </row>
        <row r="366">
          <cell r="J366" t="str">
            <v>42-05-01-01-0358</v>
          </cell>
          <cell r="K366" t="str">
            <v>42-1504</v>
          </cell>
          <cell r="L366" t="str">
            <v>42-05-01-01-0358</v>
          </cell>
          <cell r="M366" t="str">
            <v>Caja metálica de seguridad color negra Nº 249</v>
          </cell>
          <cell r="O366" t="str">
            <v>EQUIPO DE OFICINA</v>
          </cell>
          <cell r="P366">
            <v>20000</v>
          </cell>
          <cell r="T366" t="str">
            <v>Bueno</v>
          </cell>
          <cell r="U366" t="str">
            <v>N/T</v>
          </cell>
        </row>
        <row r="367">
          <cell r="J367" t="str">
            <v>42-05-01-01-0359</v>
          </cell>
          <cell r="K367" t="str">
            <v>42-1295</v>
          </cell>
          <cell r="L367" t="str">
            <v>42-05-01-01-0359</v>
          </cell>
          <cell r="M367" t="str">
            <v>Caja metálica de Seguridad para muestras de alcoholemias de  250x200x150 cms. con sistema tolva</v>
          </cell>
          <cell r="O367" t="str">
            <v>EQUIPO DE OFICINA</v>
          </cell>
          <cell r="P367">
            <v>25000</v>
          </cell>
          <cell r="T367" t="str">
            <v>Bueno</v>
          </cell>
          <cell r="U367" t="str">
            <v>N/T</v>
          </cell>
        </row>
        <row r="368">
          <cell r="J368" t="str">
            <v>42-04-07-00-0360</v>
          </cell>
          <cell r="K368" t="str">
            <v>42-1613</v>
          </cell>
          <cell r="L368" t="str">
            <v>42-04-07-00-0360</v>
          </cell>
          <cell r="M368" t="str">
            <v>Diván cama 1 plaza con cajonera c/llave pino oregón</v>
          </cell>
          <cell r="O368" t="str">
            <v>OTROS</v>
          </cell>
          <cell r="P368">
            <v>70000</v>
          </cell>
          <cell r="T368" t="str">
            <v>Bueno</v>
          </cell>
          <cell r="U368" t="str">
            <v>N/T</v>
          </cell>
        </row>
        <row r="369">
          <cell r="J369" t="str">
            <v>42-05-02-01-0361</v>
          </cell>
          <cell r="K369" t="str">
            <v>42-2275</v>
          </cell>
          <cell r="L369" t="str">
            <v>42-05-02-01-0361</v>
          </cell>
          <cell r="M369" t="str">
            <v>Escabel mixto blanco/negro</v>
          </cell>
          <cell r="O369" t="str">
            <v>EQUIPOS CLINICOS</v>
          </cell>
          <cell r="P369">
            <v>10000</v>
          </cell>
          <cell r="T369" t="str">
            <v>Bueno</v>
          </cell>
          <cell r="U369" t="str">
            <v>N/T</v>
          </cell>
        </row>
        <row r="370">
          <cell r="J370" t="str">
            <v>42-04-03-00-0362</v>
          </cell>
          <cell r="K370" t="str">
            <v>42-3158</v>
          </cell>
          <cell r="L370" t="str">
            <v>42-04-03-00-0362</v>
          </cell>
          <cell r="M370" t="str">
            <v>Estación de trabajo computador 3 cajones color café claro</v>
          </cell>
          <cell r="O370" t="str">
            <v>ESCRITORIOS</v>
          </cell>
          <cell r="P370">
            <v>89000</v>
          </cell>
          <cell r="T370" t="str">
            <v>Bueno</v>
          </cell>
          <cell r="U370" t="str">
            <v>N/T</v>
          </cell>
        </row>
        <row r="371">
          <cell r="J371" t="str">
            <v>42-04-01-00-0363</v>
          </cell>
          <cell r="K371" t="str">
            <v>42-2712</v>
          </cell>
          <cell r="L371" t="str">
            <v>42-04-01-00-0363</v>
          </cell>
          <cell r="M371" t="str">
            <v>Mueble melamina blanco, 1 puerta, 2 cajones 90x67x160 cms. con 1 mesa 66,5x51x78 cms.</v>
          </cell>
          <cell r="O371" t="str">
            <v>MESAS</v>
          </cell>
          <cell r="P371">
            <v>89000</v>
          </cell>
          <cell r="T371" t="str">
            <v>Bueno</v>
          </cell>
          <cell r="U371" t="str">
            <v>N/T</v>
          </cell>
        </row>
        <row r="372">
          <cell r="J372" t="str">
            <v>42-04-06-00-0364</v>
          </cell>
          <cell r="K372" t="str">
            <v>42-3159</v>
          </cell>
          <cell r="L372" t="str">
            <v>42-04-06-00-0364</v>
          </cell>
          <cell r="M372" t="str">
            <v>Mueble melamina blanco con cubierta postformado, 2 lavamanos con llaves de combinación, 6 puertas, 18 cajones</v>
          </cell>
          <cell r="O372" t="str">
            <v>REPISA</v>
          </cell>
          <cell r="P372">
            <v>78000</v>
          </cell>
          <cell r="T372" t="str">
            <v>Bueno</v>
          </cell>
          <cell r="U372" t="str">
            <v>N/T</v>
          </cell>
        </row>
        <row r="373">
          <cell r="J373" t="str">
            <v>42-04-06-00-0365</v>
          </cell>
          <cell r="K373" t="str">
            <v>42-3160</v>
          </cell>
          <cell r="L373" t="str">
            <v>42-04-06-00-0365</v>
          </cell>
          <cell r="M373" t="str">
            <v>Mueble pared melamina blanco 4 puertas</v>
          </cell>
          <cell r="O373" t="str">
            <v>REPISA</v>
          </cell>
          <cell r="P373">
            <v>50000</v>
          </cell>
          <cell r="T373" t="str">
            <v>Bueno</v>
          </cell>
          <cell r="U373" t="str">
            <v>N/T</v>
          </cell>
        </row>
        <row r="374">
          <cell r="J374" t="str">
            <v>42-04-06-00-0366</v>
          </cell>
          <cell r="K374" t="str">
            <v>42-3161</v>
          </cell>
          <cell r="L374" t="str">
            <v>42-04-06-00-0366</v>
          </cell>
          <cell r="M374" t="str">
            <v>Mueble pared melamina blanco 5 puertas</v>
          </cell>
          <cell r="O374" t="str">
            <v>REPISA</v>
          </cell>
          <cell r="P374">
            <v>65000</v>
          </cell>
          <cell r="T374" t="str">
            <v>Bueno</v>
          </cell>
          <cell r="U374" t="str">
            <v>N/T</v>
          </cell>
        </row>
        <row r="375">
          <cell r="J375" t="str">
            <v>42-05-02-06-0367</v>
          </cell>
          <cell r="K375" t="str">
            <v>42-404</v>
          </cell>
          <cell r="L375" t="str">
            <v>42-05-02-06-0367</v>
          </cell>
          <cell r="M375" t="str">
            <v>Piso metálico giratorio color blanco</v>
          </cell>
          <cell r="O375" t="str">
            <v>HERRAMIENTAS</v>
          </cell>
          <cell r="P375">
            <v>15000</v>
          </cell>
          <cell r="T375" t="str">
            <v>Bueno</v>
          </cell>
          <cell r="U375" t="str">
            <v>N/T</v>
          </cell>
        </row>
        <row r="376">
          <cell r="J376" t="str">
            <v>42-04-06-00-0368</v>
          </cell>
          <cell r="K376" t="str">
            <v>42-3165</v>
          </cell>
          <cell r="L376" t="str">
            <v>42-04-06-00-0368</v>
          </cell>
          <cell r="M376" t="str">
            <v>Repisa melamina blanca 2 soportes metálicos 75x30 cms.</v>
          </cell>
          <cell r="O376" t="str">
            <v>REPISA</v>
          </cell>
          <cell r="P376">
            <v>15000</v>
          </cell>
          <cell r="T376" t="str">
            <v>Bueno</v>
          </cell>
          <cell r="U376" t="str">
            <v>N/T</v>
          </cell>
        </row>
        <row r="377">
          <cell r="J377" t="str">
            <v>42-04-02-00-0369</v>
          </cell>
          <cell r="K377" t="str">
            <v>42-190</v>
          </cell>
          <cell r="L377" t="str">
            <v>42-04-02-00-0369</v>
          </cell>
          <cell r="M377" t="str">
            <v>Silla de madera color blanco</v>
          </cell>
          <cell r="O377" t="str">
            <v>SILLAS</v>
          </cell>
          <cell r="P377">
            <v>17000</v>
          </cell>
          <cell r="T377" t="str">
            <v>Bueno</v>
          </cell>
          <cell r="U377" t="str">
            <v>N/T</v>
          </cell>
        </row>
        <row r="378">
          <cell r="J378" t="str">
            <v>42-04-02-00-0370</v>
          </cell>
          <cell r="K378" t="str">
            <v>42-2002</v>
          </cell>
          <cell r="L378" t="str">
            <v>42-04-02-00-0370</v>
          </cell>
          <cell r="M378" t="str">
            <v>Silla Ergonometrica color azul, 5 ruedas ( MEL )</v>
          </cell>
          <cell r="O378" t="str">
            <v>SILLAS</v>
          </cell>
          <cell r="P378">
            <v>42500</v>
          </cell>
          <cell r="T378" t="str">
            <v>Bueno</v>
          </cell>
          <cell r="U378" t="str">
            <v>N/T</v>
          </cell>
        </row>
        <row r="379">
          <cell r="J379" t="str">
            <v>42-04-02-00-0371</v>
          </cell>
          <cell r="K379" t="str">
            <v>42-1614</v>
          </cell>
          <cell r="L379" t="str">
            <v>42-04-02-00-0371</v>
          </cell>
          <cell r="M379" t="str">
            <v>Silla computación, neumática, color verde estampado, 5 ruedas</v>
          </cell>
          <cell r="O379" t="str">
            <v>SILLAS</v>
          </cell>
          <cell r="P379">
            <v>42500</v>
          </cell>
          <cell r="T379" t="str">
            <v>Bueno</v>
          </cell>
          <cell r="U379" t="str">
            <v>N/T</v>
          </cell>
        </row>
        <row r="380">
          <cell r="J380" t="str">
            <v>42-04-02-00-0372</v>
          </cell>
          <cell r="K380" t="str">
            <v>42-1313</v>
          </cell>
          <cell r="L380" t="str">
            <v>42-04-02-00-0372</v>
          </cell>
          <cell r="M380" t="str">
            <v>Silla giratoria regulable con pistón de aire color gris</v>
          </cell>
          <cell r="O380" t="str">
            <v>SILLAS</v>
          </cell>
          <cell r="P380">
            <v>42500</v>
          </cell>
          <cell r="T380" t="str">
            <v>Bueno</v>
          </cell>
          <cell r="U380" t="str">
            <v>N/T</v>
          </cell>
        </row>
        <row r="381">
          <cell r="J381" t="str">
            <v>42-04-07-00-0373</v>
          </cell>
          <cell r="K381" t="str">
            <v>42-3250</v>
          </cell>
          <cell r="L381" t="str">
            <v>42-04-07-00-0373</v>
          </cell>
          <cell r="M381" t="str">
            <v>Dispensador toalla nova marca Pisa</v>
          </cell>
          <cell r="O381" t="str">
            <v>OTROS</v>
          </cell>
          <cell r="P381">
            <v>17000</v>
          </cell>
          <cell r="T381" t="str">
            <v>Bueno</v>
          </cell>
          <cell r="U381" t="str">
            <v>N/T</v>
          </cell>
        </row>
        <row r="382">
          <cell r="J382" t="str">
            <v>42-05-01-01-0374</v>
          </cell>
          <cell r="K382" t="str">
            <v>42-3400</v>
          </cell>
          <cell r="L382" t="str">
            <v>42-05-01-01-0374</v>
          </cell>
          <cell r="M382" t="str">
            <v>Perforador Isofit Mod. PP 35</v>
          </cell>
          <cell r="O382" t="str">
            <v>EQUIPO DE OFICINA</v>
          </cell>
          <cell r="P382">
            <v>3500</v>
          </cell>
          <cell r="T382" t="str">
            <v>Bueno</v>
          </cell>
          <cell r="U382" t="str">
            <v>Isofit</v>
          </cell>
        </row>
        <row r="383">
          <cell r="J383" t="str">
            <v>42-05-02-01-0375</v>
          </cell>
          <cell r="K383" t="str">
            <v>42-712</v>
          </cell>
          <cell r="L383" t="str">
            <v>42-05-02-01-0375</v>
          </cell>
          <cell r="M383" t="str">
            <v>Camilla metálica transportable con pergamoide color verde</v>
          </cell>
          <cell r="O383" t="str">
            <v>EQUIPOS CLINICOS</v>
          </cell>
          <cell r="P383">
            <v>17000</v>
          </cell>
          <cell r="T383" t="str">
            <v>Bueno</v>
          </cell>
          <cell r="U383" t="str">
            <v>N/T</v>
          </cell>
        </row>
        <row r="384">
          <cell r="J384" t="str">
            <v>42-05-02-01-0376</v>
          </cell>
          <cell r="K384" t="str">
            <v>42-208</v>
          </cell>
          <cell r="L384" t="str">
            <v>42-05-02-01-0376</v>
          </cell>
          <cell r="M384" t="str">
            <v xml:space="preserve">Camilla metálica transportable con pergamoide color café de 165x60x77 </v>
          </cell>
          <cell r="O384" t="str">
            <v>EQUIPOS CLINICOS</v>
          </cell>
          <cell r="P384">
            <v>17000</v>
          </cell>
          <cell r="T384" t="str">
            <v>Bueno</v>
          </cell>
          <cell r="U384" t="str">
            <v>N/T</v>
          </cell>
        </row>
        <row r="385">
          <cell r="J385" t="str">
            <v>42-05-02-01-0377</v>
          </cell>
          <cell r="K385" t="str">
            <v>42-3156</v>
          </cell>
          <cell r="L385" t="str">
            <v>42-05-02-01-0377</v>
          </cell>
          <cell r="M385" t="str">
            <v>Camilla acero inoxidable regulable c/colchoneta color azul</v>
          </cell>
          <cell r="O385" t="str">
            <v>EQUIPOS CLINICOS</v>
          </cell>
          <cell r="P385">
            <v>17000</v>
          </cell>
          <cell r="T385" t="str">
            <v>Bueno</v>
          </cell>
          <cell r="U385" t="str">
            <v>N/T</v>
          </cell>
        </row>
        <row r="386">
          <cell r="J386" t="str">
            <v>42-05-02-01-0378</v>
          </cell>
          <cell r="K386" t="str">
            <v>42-201</v>
          </cell>
          <cell r="L386" t="str">
            <v>42-05-02-01-0378</v>
          </cell>
          <cell r="M386" t="str">
            <v>Carro curaciones fijo de acero inox. de 90x41x76 cms.</v>
          </cell>
          <cell r="O386" t="str">
            <v>EQUIPOS CLINICOS</v>
          </cell>
          <cell r="P386">
            <v>25000</v>
          </cell>
          <cell r="T386" t="str">
            <v>Bueno</v>
          </cell>
          <cell r="U386" t="str">
            <v>N/T</v>
          </cell>
        </row>
        <row r="387">
          <cell r="J387" t="str">
            <v>42-04-06-00-0379</v>
          </cell>
          <cell r="K387" t="str">
            <v>42-195</v>
          </cell>
          <cell r="L387" t="str">
            <v>42-04-06-00-0379</v>
          </cell>
          <cell r="M387" t="str">
            <v>Carro de curaciones de acero inox. 2 repisas 90x42x90 cms. c/ruedas</v>
          </cell>
          <cell r="O387" t="str">
            <v>REPISA</v>
          </cell>
          <cell r="P387">
            <v>25000</v>
          </cell>
          <cell r="T387" t="str">
            <v>Bueno</v>
          </cell>
          <cell r="U387" t="str">
            <v>N/T</v>
          </cell>
        </row>
        <row r="388">
          <cell r="J388" t="str">
            <v>42-05-02-01-0380</v>
          </cell>
          <cell r="K388" t="str">
            <v>42-196</v>
          </cell>
          <cell r="L388" t="str">
            <v>42-05-02-01-0380</v>
          </cell>
          <cell r="M388" t="str">
            <v>Carro de procedimientos portátil fierro color blanco  60x40x86 cms.</v>
          </cell>
          <cell r="O388" t="str">
            <v>EQUIPOS CLINICOS</v>
          </cell>
          <cell r="P388">
            <v>30000</v>
          </cell>
          <cell r="T388" t="str">
            <v>Bueno</v>
          </cell>
          <cell r="U388" t="str">
            <v>N/T</v>
          </cell>
        </row>
        <row r="389">
          <cell r="J389" t="str">
            <v>42-05-02-01-0381</v>
          </cell>
          <cell r="K389" t="str">
            <v>42-1932</v>
          </cell>
          <cell r="L389" t="str">
            <v>42-05-02-01-0381</v>
          </cell>
          <cell r="M389" t="str">
            <v>Carro de paro 5 cajones portátil de 78x64x75 color celeste</v>
          </cell>
          <cell r="O389" t="str">
            <v>EQUIPOS CLINICOS</v>
          </cell>
          <cell r="P389">
            <v>45000</v>
          </cell>
          <cell r="T389" t="str">
            <v>Bueno</v>
          </cell>
          <cell r="U389" t="str">
            <v>N/T</v>
          </cell>
        </row>
        <row r="390">
          <cell r="J390" t="str">
            <v>42-05-02-01-0382</v>
          </cell>
          <cell r="K390" t="str">
            <v>42-3163</v>
          </cell>
          <cell r="L390" t="str">
            <v>42-05-02-01-0382</v>
          </cell>
          <cell r="M390" t="str">
            <v>Carro porta oxígeno metálico 3 ruedas color plomo</v>
          </cell>
          <cell r="O390" t="str">
            <v>EQUIPOS CLINICOS</v>
          </cell>
          <cell r="P390">
            <v>15000</v>
          </cell>
          <cell r="T390" t="str">
            <v>Bueno</v>
          </cell>
          <cell r="U390" t="str">
            <v>N/T</v>
          </cell>
        </row>
        <row r="391">
          <cell r="J391" t="str">
            <v>42-05-02-01-0383</v>
          </cell>
          <cell r="K391" t="str">
            <v>42-3164</v>
          </cell>
          <cell r="L391" t="str">
            <v>42-05-02-01-0383</v>
          </cell>
          <cell r="M391" t="str">
            <v>Carro porta oxígeno metálico 3 ruedas color plomo</v>
          </cell>
          <cell r="O391" t="str">
            <v>EQUIPOS CLINICOS</v>
          </cell>
          <cell r="P391">
            <v>20000</v>
          </cell>
          <cell r="T391" t="str">
            <v>Bueno</v>
          </cell>
          <cell r="U391" t="str">
            <v>N/T</v>
          </cell>
        </row>
        <row r="392">
          <cell r="J392" t="str">
            <v>42-04-01-00-0384</v>
          </cell>
          <cell r="K392" t="str">
            <v>42-199</v>
          </cell>
          <cell r="L392" t="str">
            <v>42-04-01-00-0384</v>
          </cell>
          <cell r="M392" t="str">
            <v>Mesa toma de muestras color blanco de 51x30x90 cms.</v>
          </cell>
          <cell r="O392" t="str">
            <v>MESAS</v>
          </cell>
          <cell r="P392">
            <v>10000</v>
          </cell>
          <cell r="T392" t="str">
            <v>Bueno</v>
          </cell>
          <cell r="U392" t="str">
            <v>N/T</v>
          </cell>
        </row>
        <row r="393">
          <cell r="J393" t="str">
            <v>42-04-01-00-0385</v>
          </cell>
          <cell r="K393" t="str">
            <v>42-470</v>
          </cell>
          <cell r="L393" t="str">
            <v>42-04-01-00-0385</v>
          </cell>
          <cell r="M393" t="str">
            <v>Mesa metálica pedestal procedimientos 2 ruedas</v>
          </cell>
          <cell r="O393" t="str">
            <v>MESAS</v>
          </cell>
          <cell r="P393">
            <v>12000</v>
          </cell>
          <cell r="T393" t="str">
            <v>Bueno</v>
          </cell>
          <cell r="U393" t="str">
            <v>N/T</v>
          </cell>
        </row>
        <row r="394">
          <cell r="J394" t="str">
            <v>42-05-02-01-0386</v>
          </cell>
          <cell r="K394" t="str">
            <v>42-205</v>
          </cell>
          <cell r="L394" t="str">
            <v>42-05-02-01-0386</v>
          </cell>
          <cell r="M394" t="str">
            <v>Porta suero metálico regulable.</v>
          </cell>
          <cell r="O394" t="str">
            <v>EQUIPOS CLINICOS</v>
          </cell>
          <cell r="P394">
            <v>15000</v>
          </cell>
          <cell r="T394" t="str">
            <v>Bueno</v>
          </cell>
          <cell r="U394" t="str">
            <v>N/T</v>
          </cell>
        </row>
        <row r="395">
          <cell r="J395" t="str">
            <v>42-04-07-00-0387</v>
          </cell>
          <cell r="K395" t="str">
            <v>42-661</v>
          </cell>
          <cell r="L395" t="str">
            <v>42-04-07-00-0387</v>
          </cell>
          <cell r="M395" t="str">
            <v>Velador metálico, 1 cajon 1 puerta con cubierta café</v>
          </cell>
          <cell r="O395" t="str">
            <v>OTROS</v>
          </cell>
          <cell r="P395">
            <v>15000</v>
          </cell>
          <cell r="T395" t="str">
            <v>Bueno</v>
          </cell>
          <cell r="U395" t="str">
            <v>N/T</v>
          </cell>
        </row>
        <row r="396">
          <cell r="J396" t="str">
            <v>42-04-07-00-0388</v>
          </cell>
          <cell r="K396" t="str">
            <v>42-662</v>
          </cell>
          <cell r="L396" t="str">
            <v>42-04-07-00-0388</v>
          </cell>
          <cell r="M396" t="str">
            <v>Velador metálico, 1 cajon 1 puerta con cubierta café</v>
          </cell>
          <cell r="O396" t="str">
            <v>OTROS</v>
          </cell>
          <cell r="P396">
            <v>15000</v>
          </cell>
          <cell r="T396" t="str">
            <v>Bueno</v>
          </cell>
          <cell r="U396" t="str">
            <v>N/T</v>
          </cell>
        </row>
        <row r="397">
          <cell r="J397" t="str">
            <v>42-05-02-01-0389</v>
          </cell>
          <cell r="K397" t="str">
            <v>42-1406</v>
          </cell>
          <cell r="L397" t="str">
            <v>42-05-02-01-0389</v>
          </cell>
          <cell r="M397" t="str">
            <v>Sierra eléctrica para cortar yeso marca Alce mod. 10 ch 7129</v>
          </cell>
          <cell r="O397" t="str">
            <v>EQUIPOS CLINICOS</v>
          </cell>
          <cell r="P397">
            <v>500000</v>
          </cell>
          <cell r="T397" t="str">
            <v>Bueno</v>
          </cell>
          <cell r="U397" t="str">
            <v>N/T</v>
          </cell>
        </row>
        <row r="398">
          <cell r="J398" t="str">
            <v>42-05-01-01-0390</v>
          </cell>
          <cell r="K398" t="str">
            <v>42-1982</v>
          </cell>
          <cell r="L398" t="str">
            <v>42-05-01-01-0390</v>
          </cell>
          <cell r="M398" t="str">
            <v>Central telefónica marca Nortel Network</v>
          </cell>
          <cell r="O398" t="str">
            <v>EQUIPO DE OFICINA</v>
          </cell>
          <cell r="P398">
            <v>47000</v>
          </cell>
          <cell r="T398" t="str">
            <v>Bueno</v>
          </cell>
          <cell r="U398" t="str">
            <v>Nortel Network</v>
          </cell>
        </row>
        <row r="399">
          <cell r="J399" t="str">
            <v>42-05-02-03-0391</v>
          </cell>
          <cell r="K399" t="str">
            <v>42-1578</v>
          </cell>
          <cell r="L399" t="str">
            <v>42-05-02-03-0391</v>
          </cell>
          <cell r="M399" t="str">
            <v>Equipo de radiocomunicaciones Motorola Pro 5100</v>
          </cell>
          <cell r="O399" t="str">
            <v>EQUIPOS DE COMUNICACIÓN</v>
          </cell>
          <cell r="P399">
            <v>302306</v>
          </cell>
          <cell r="T399" t="str">
            <v>Bueno</v>
          </cell>
          <cell r="U399" t="str">
            <v>Motorola</v>
          </cell>
        </row>
        <row r="400">
          <cell r="J400" t="str">
            <v>42-05-02-03-0392</v>
          </cell>
          <cell r="K400" t="str">
            <v>42-3245</v>
          </cell>
          <cell r="L400" t="str">
            <v>42-05-02-03-0392</v>
          </cell>
          <cell r="M400" t="str">
            <v>Radio Motorola EP 450 Mod. LAH65KDC9AA2AN S/Nº 442TJSP741</v>
          </cell>
          <cell r="O400" t="str">
            <v>EQUIPOS DE COMUNICACIÓN</v>
          </cell>
          <cell r="P400">
            <v>200000</v>
          </cell>
          <cell r="T400" t="str">
            <v>Bueno</v>
          </cell>
          <cell r="U400" t="str">
            <v>Motorola</v>
          </cell>
        </row>
        <row r="401">
          <cell r="J401" t="str">
            <v>42-05-02-03-0393</v>
          </cell>
          <cell r="K401" t="str">
            <v>42-3244</v>
          </cell>
          <cell r="L401" t="str">
            <v>42-05-02-03-0393</v>
          </cell>
          <cell r="M401" t="str">
            <v>Cargador de pilas Motorola WPLN41371BR 8249MTPB04</v>
          </cell>
          <cell r="O401" t="str">
            <v>EQUIPOS DE COMUNICACIÓN</v>
          </cell>
          <cell r="P401">
            <v>10000</v>
          </cell>
          <cell r="T401" t="str">
            <v>Bueno</v>
          </cell>
          <cell r="U401" t="str">
            <v>Motorola</v>
          </cell>
        </row>
        <row r="402">
          <cell r="J402" t="str">
            <v>42-05-02-01-0394</v>
          </cell>
          <cell r="K402" t="str">
            <v>42-3443</v>
          </cell>
          <cell r="L402" t="str">
            <v>42-05-02-01-0394</v>
          </cell>
          <cell r="M402" t="str">
            <v xml:space="preserve">Otoscopio Welch Allyn Mod. Pocket Junior </v>
          </cell>
          <cell r="O402" t="str">
            <v>EQUIPOS CLINICOS</v>
          </cell>
          <cell r="P402">
            <v>31900</v>
          </cell>
          <cell r="T402" t="str">
            <v>Bueno</v>
          </cell>
          <cell r="U402" t="str">
            <v>Pocket junior</v>
          </cell>
        </row>
        <row r="403">
          <cell r="J403" t="str">
            <v>42-04-03-00-0395</v>
          </cell>
          <cell r="K403" t="str">
            <v>42-17</v>
          </cell>
          <cell r="L403" t="str">
            <v>42-04-03-00-0395</v>
          </cell>
          <cell r="M403" t="str">
            <v>Escritorio madera 2 cajones cubierta, barniz natural de 120x75x75.</v>
          </cell>
          <cell r="O403" t="str">
            <v>ESCRITORIOS</v>
          </cell>
          <cell r="P403">
            <v>287000</v>
          </cell>
          <cell r="T403" t="str">
            <v>Bueno</v>
          </cell>
          <cell r="U403" t="str">
            <v>N/T</v>
          </cell>
        </row>
        <row r="404">
          <cell r="J404" t="str">
            <v>42-04-03-00-0396</v>
          </cell>
          <cell r="K404" t="str">
            <v>42-358</v>
          </cell>
          <cell r="L404" t="str">
            <v>42-04-03-00-0396</v>
          </cell>
          <cell r="M404" t="str">
            <v>Escritorio mixto barniz natural de 120x66x80 cms.</v>
          </cell>
          <cell r="O404" t="str">
            <v>ESCRITORIOS</v>
          </cell>
          <cell r="P404">
            <v>65000</v>
          </cell>
          <cell r="T404" t="str">
            <v>Bueno</v>
          </cell>
          <cell r="U404" t="str">
            <v>N/T</v>
          </cell>
        </row>
        <row r="405">
          <cell r="J405" t="str">
            <v>42-04-07-00-0397</v>
          </cell>
          <cell r="K405" t="str">
            <v>42-2658x</v>
          </cell>
          <cell r="L405" t="str">
            <v>42-04-07-00-0397</v>
          </cell>
          <cell r="M405" t="str">
            <v>Sillón confortable tapizado en felpa color celeste</v>
          </cell>
          <cell r="O405" t="str">
            <v>OTROS</v>
          </cell>
          <cell r="P405">
            <v>40000</v>
          </cell>
          <cell r="T405" t="str">
            <v>Bueno</v>
          </cell>
          <cell r="U405" t="str">
            <v>N/T</v>
          </cell>
        </row>
        <row r="406">
          <cell r="J406" t="str">
            <v>42-04-07-00-0398</v>
          </cell>
          <cell r="K406" t="str">
            <v>42-1285</v>
          </cell>
          <cell r="L406" t="str">
            <v>42-04-07-00-0398</v>
          </cell>
          <cell r="M406" t="str">
            <v>Mueble para televisor y video, 2 puertas y ruedas de 120x60x60 cms. enchapado en Eucaliptus con cerraduras</v>
          </cell>
          <cell r="O406" t="str">
            <v>OTROS</v>
          </cell>
          <cell r="P406">
            <v>30000</v>
          </cell>
          <cell r="T406" t="str">
            <v>Bueno</v>
          </cell>
          <cell r="U406" t="str">
            <v>N/T</v>
          </cell>
        </row>
        <row r="407">
          <cell r="J407" t="str">
            <v>42-05-02-01-0399</v>
          </cell>
          <cell r="K407" t="str">
            <v>42-476</v>
          </cell>
          <cell r="L407" t="str">
            <v>42-05-02-01-0399</v>
          </cell>
          <cell r="M407" t="str">
            <v>Catre quirúrgico color café claro</v>
          </cell>
          <cell r="O407" t="str">
            <v>EQUIPOS CLINICOS</v>
          </cell>
          <cell r="P407">
            <v>386000</v>
          </cell>
          <cell r="T407" t="str">
            <v>Bueno</v>
          </cell>
          <cell r="U407" t="str">
            <v>N/T</v>
          </cell>
        </row>
        <row r="408">
          <cell r="J408" t="str">
            <v>42-04-07-00-0400</v>
          </cell>
          <cell r="K408" t="str">
            <v>42-1293</v>
          </cell>
          <cell r="L408" t="str">
            <v>42-04-07-00-0400</v>
          </cell>
          <cell r="M408" t="str">
            <v>Lámpara apliqué color blanco</v>
          </cell>
          <cell r="O408" t="str">
            <v>OTROS</v>
          </cell>
          <cell r="P408">
            <v>25000</v>
          </cell>
          <cell r="T408" t="str">
            <v>Bueno</v>
          </cell>
          <cell r="U408" t="str">
            <v>N/T</v>
          </cell>
        </row>
        <row r="409">
          <cell r="J409" t="str">
            <v>42-04-07-00-0401</v>
          </cell>
          <cell r="K409" t="str">
            <v>42-1294</v>
          </cell>
          <cell r="L409" t="str">
            <v>42-04-07-00-0401</v>
          </cell>
          <cell r="M409" t="str">
            <v>Lámpara apliqué color blanco</v>
          </cell>
          <cell r="O409" t="str">
            <v>OTROS</v>
          </cell>
          <cell r="P409">
            <v>25000</v>
          </cell>
          <cell r="T409" t="str">
            <v>Bueno</v>
          </cell>
          <cell r="U409" t="str">
            <v>N/T</v>
          </cell>
        </row>
        <row r="410">
          <cell r="J410" t="str">
            <v>42-04-07-00-0402</v>
          </cell>
          <cell r="K410" t="str">
            <v>42-2366</v>
          </cell>
          <cell r="L410" t="str">
            <v>42-04-07-00-0402</v>
          </cell>
          <cell r="M410" t="str">
            <v>Cajón de madera blanco para guardar ropa</v>
          </cell>
          <cell r="O410" t="str">
            <v>OTROS</v>
          </cell>
          <cell r="P410">
            <v>12000</v>
          </cell>
          <cell r="T410" t="str">
            <v>Bueno</v>
          </cell>
          <cell r="U410" t="str">
            <v>N/T</v>
          </cell>
        </row>
        <row r="411">
          <cell r="J411" t="str">
            <v>42-05-02-01-0403</v>
          </cell>
          <cell r="K411" t="str">
            <v>42-3223</v>
          </cell>
          <cell r="L411" t="str">
            <v>42-05-02-01-0403</v>
          </cell>
          <cell r="M411" t="str">
            <v>Catre clínico</v>
          </cell>
          <cell r="O411" t="str">
            <v>EQUIPOS CLINICOS</v>
          </cell>
          <cell r="P411">
            <v>136000</v>
          </cell>
          <cell r="T411" t="str">
            <v>Bueno</v>
          </cell>
          <cell r="U411" t="str">
            <v>N/T</v>
          </cell>
        </row>
        <row r="412">
          <cell r="J412" t="str">
            <v>42-05-02-01-0404</v>
          </cell>
          <cell r="K412" t="str">
            <v>42-3224</v>
          </cell>
          <cell r="L412" t="str">
            <v>42-05-02-01-0404</v>
          </cell>
          <cell r="M412" t="str">
            <v>Catre clínico</v>
          </cell>
          <cell r="O412" t="str">
            <v>EQUIPOS CLINICOS</v>
          </cell>
          <cell r="P412">
            <v>136000</v>
          </cell>
          <cell r="T412" t="str">
            <v>Bueno</v>
          </cell>
          <cell r="U412" t="str">
            <v>N/T</v>
          </cell>
        </row>
        <row r="413">
          <cell r="J413" t="str">
            <v>42-04-01-00-0405</v>
          </cell>
          <cell r="K413" t="str">
            <v>42-1209</v>
          </cell>
          <cell r="L413" t="str">
            <v>42-04-01-00-0405</v>
          </cell>
          <cell r="M413" t="str">
            <v>Mesa de comer en cama con cubierta de formalita , sin ruedas</v>
          </cell>
          <cell r="O413" t="str">
            <v>MESAS</v>
          </cell>
          <cell r="P413">
            <v>10000</v>
          </cell>
          <cell r="T413" t="str">
            <v>Bueno</v>
          </cell>
          <cell r="U413" t="str">
            <v>N/T</v>
          </cell>
        </row>
        <row r="414">
          <cell r="J414" t="str">
            <v>42-04-01-00-0406</v>
          </cell>
          <cell r="K414" t="str">
            <v>42-1211</v>
          </cell>
          <cell r="L414" t="str">
            <v>42-04-01-00-0406</v>
          </cell>
          <cell r="M414" t="str">
            <v>Mesa para comer en cama con cubierta de formalita sin ruedas</v>
          </cell>
          <cell r="O414" t="str">
            <v>MESAS</v>
          </cell>
          <cell r="P414">
            <v>10000</v>
          </cell>
          <cell r="T414" t="str">
            <v>Bueno</v>
          </cell>
          <cell r="U414" t="str">
            <v>N/T</v>
          </cell>
        </row>
        <row r="415">
          <cell r="J415" t="str">
            <v>42-04-07-00-0407</v>
          </cell>
          <cell r="K415" t="str">
            <v>42-660</v>
          </cell>
          <cell r="L415" t="str">
            <v>42-04-07-00-0407</v>
          </cell>
          <cell r="M415" t="str">
            <v>Velador metálico, 1 cajon 1 puerta con cubierta café</v>
          </cell>
          <cell r="O415" t="str">
            <v>OTROS</v>
          </cell>
          <cell r="P415">
            <v>7500</v>
          </cell>
          <cell r="T415" t="str">
            <v>Bueno</v>
          </cell>
          <cell r="U415" t="str">
            <v>N/T</v>
          </cell>
        </row>
        <row r="416">
          <cell r="J416" t="str">
            <v>42-04-07-00-0408</v>
          </cell>
          <cell r="K416" t="str">
            <v>42-2600</v>
          </cell>
          <cell r="L416" t="str">
            <v>42-04-07-00-0408</v>
          </cell>
          <cell r="M416" t="str">
            <v>Velador metálico 1 cajón 1 puerta color plomo</v>
          </cell>
          <cell r="O416" t="str">
            <v>OTROS</v>
          </cell>
          <cell r="P416">
            <v>7500</v>
          </cell>
          <cell r="T416" t="str">
            <v>Bueno</v>
          </cell>
          <cell r="U416" t="str">
            <v>N/T</v>
          </cell>
        </row>
        <row r="417">
          <cell r="J417" t="str">
            <v>42-05-02-01-0409</v>
          </cell>
          <cell r="K417" t="str">
            <v>42-2363</v>
          </cell>
          <cell r="L417" t="str">
            <v>42-05-02-01-0409</v>
          </cell>
          <cell r="M417" t="str">
            <v>Porta sueros metálico con 5 ruedas, 4 ganchos</v>
          </cell>
          <cell r="O417" t="str">
            <v>EQUIPOS CLINICOS</v>
          </cell>
          <cell r="P417">
            <v>15000</v>
          </cell>
          <cell r="T417" t="str">
            <v>Bueno</v>
          </cell>
          <cell r="U417" t="str">
            <v>N/T</v>
          </cell>
        </row>
        <row r="418">
          <cell r="J418" t="str">
            <v>42-04-07-00-0410</v>
          </cell>
          <cell r="K418" t="str">
            <v>42-3524</v>
          </cell>
          <cell r="L418" t="str">
            <v>42-04-07-00-0410</v>
          </cell>
          <cell r="M418" t="str">
            <v>Sillón para descanso, tipo Bergere, 3 posiciones, color negro</v>
          </cell>
          <cell r="O418" t="str">
            <v>OTROS</v>
          </cell>
          <cell r="P418">
            <v>130900</v>
          </cell>
          <cell r="T418" t="str">
            <v>Bueno</v>
          </cell>
          <cell r="U418" t="str">
            <v>Metarus</v>
          </cell>
        </row>
        <row r="419">
          <cell r="J419" t="str">
            <v>42-04-07-00-0411</v>
          </cell>
          <cell r="K419" t="str">
            <v>42-3525</v>
          </cell>
          <cell r="L419" t="str">
            <v>42-04-07-00-0411</v>
          </cell>
          <cell r="M419" t="str">
            <v>Sillón para descanso, tipo Bergere, 3 posiciones, color negro</v>
          </cell>
          <cell r="O419" t="str">
            <v>OTROS</v>
          </cell>
          <cell r="P419">
            <v>130900</v>
          </cell>
          <cell r="T419" t="str">
            <v>Bueno</v>
          </cell>
          <cell r="U419" t="str">
            <v>Metarus</v>
          </cell>
        </row>
        <row r="420">
          <cell r="J420" t="str">
            <v>42-04-02-00-0412</v>
          </cell>
          <cell r="K420" t="str">
            <v>42-45</v>
          </cell>
          <cell r="L420" t="str">
            <v>42-04-02-00-0412</v>
          </cell>
          <cell r="M420" t="str">
            <v>Silla de madera barniz natural tapizada en pergamoide color café</v>
          </cell>
          <cell r="O420" t="str">
            <v>SILLAS</v>
          </cell>
          <cell r="P420">
            <v>17850</v>
          </cell>
          <cell r="T420" t="str">
            <v>Bueno</v>
          </cell>
          <cell r="U420" t="str">
            <v>N/T</v>
          </cell>
        </row>
        <row r="421">
          <cell r="J421" t="str">
            <v>42-04-02-00-0413</v>
          </cell>
          <cell r="K421" t="str">
            <v>42-1234</v>
          </cell>
          <cell r="L421" t="str">
            <v>42-04-02-00-0413</v>
          </cell>
          <cell r="M421" t="str">
            <v>Silla Computador G Lif, 5 ruedas color gris</v>
          </cell>
          <cell r="O421" t="str">
            <v>SILLAS</v>
          </cell>
          <cell r="P421">
            <v>42500</v>
          </cell>
          <cell r="T421" t="str">
            <v>Bueno</v>
          </cell>
          <cell r="U421" t="str">
            <v>N/T</v>
          </cell>
        </row>
        <row r="422">
          <cell r="J422" t="str">
            <v>42-04-02-00-0414</v>
          </cell>
          <cell r="K422" t="str">
            <v>42-1988</v>
          </cell>
          <cell r="L422" t="str">
            <v>42-04-02-00-0414</v>
          </cell>
          <cell r="M422" t="str">
            <v>Silla Ergonometrica color azul, 5 ruedas ( MEL )</v>
          </cell>
          <cell r="O422" t="str">
            <v>SILLAS</v>
          </cell>
          <cell r="P422">
            <v>42500</v>
          </cell>
          <cell r="T422" t="str">
            <v>Bueno</v>
          </cell>
          <cell r="U422" t="str">
            <v>N/T</v>
          </cell>
        </row>
        <row r="423">
          <cell r="J423" t="str">
            <v>42-05-01-01-0415</v>
          </cell>
          <cell r="K423" t="str">
            <v>42-216</v>
          </cell>
          <cell r="L423" t="str">
            <v>42-05-01-01-0415</v>
          </cell>
          <cell r="M423" t="str">
            <v>Corchetera color azul marca Rexel</v>
          </cell>
          <cell r="O423" t="str">
            <v>EQUIPO DE OFICINA</v>
          </cell>
          <cell r="P423">
            <v>8000</v>
          </cell>
          <cell r="T423" t="str">
            <v>Bueno</v>
          </cell>
          <cell r="U423" t="str">
            <v>Rexel</v>
          </cell>
        </row>
        <row r="424">
          <cell r="J424" t="str">
            <v>42-05-01-01-0416</v>
          </cell>
          <cell r="K424" t="str">
            <v>42-217</v>
          </cell>
          <cell r="L424" t="str">
            <v>42-05-01-01-0416</v>
          </cell>
          <cell r="M424" t="str">
            <v>Perforador color verde marca Sil Rey</v>
          </cell>
          <cell r="O424" t="str">
            <v>EQUIPO DE OFICINA</v>
          </cell>
          <cell r="P424">
            <v>5000</v>
          </cell>
          <cell r="T424" t="str">
            <v>Bueno</v>
          </cell>
          <cell r="U424" t="str">
            <v>Sii Rey</v>
          </cell>
        </row>
        <row r="425">
          <cell r="J425" t="str">
            <v>42-05-01-01-0417</v>
          </cell>
          <cell r="K425" t="str">
            <v>42-1384</v>
          </cell>
          <cell r="L425" t="str">
            <v>42-05-01-01-0417</v>
          </cell>
          <cell r="M425" t="str">
            <v>Caja de seguridad SR-8811 AZCOBEBEITA, color azul CASH BOX  de 14x21x7 ½ cms.</v>
          </cell>
          <cell r="O425" t="str">
            <v>EQUIPO DE OFICINA</v>
          </cell>
          <cell r="P425">
            <v>45212</v>
          </cell>
          <cell r="T425" t="str">
            <v>Bueno</v>
          </cell>
          <cell r="U425" t="str">
            <v>Cash Box</v>
          </cell>
        </row>
        <row r="426">
          <cell r="J426" t="str">
            <v>42-05-01-01-0418</v>
          </cell>
          <cell r="K426" t="str">
            <v>42-1584</v>
          </cell>
          <cell r="L426" t="str">
            <v>42-05-01-01-0418</v>
          </cell>
          <cell r="M426" t="str">
            <v>Calculadora a pila marca Casio Modelo MS-20TV</v>
          </cell>
          <cell r="O426" t="str">
            <v>EQUIPO DE OFICINA</v>
          </cell>
          <cell r="P426">
            <v>7000</v>
          </cell>
          <cell r="T426" t="str">
            <v>Bueno</v>
          </cell>
          <cell r="U426" t="str">
            <v>Casio</v>
          </cell>
        </row>
        <row r="427">
          <cell r="J427" t="str">
            <v>42-04-06-00-0419</v>
          </cell>
          <cell r="K427" t="str">
            <v>42-19</v>
          </cell>
          <cell r="L427" t="str">
            <v>42-04-06-00-0419</v>
          </cell>
          <cell r="M427" t="str">
            <v>Mueble de madera, barniz natural, 1 puerta 80x54x35</v>
          </cell>
          <cell r="O427" t="str">
            <v>REPISA</v>
          </cell>
          <cell r="P427">
            <v>35000</v>
          </cell>
          <cell r="T427" t="str">
            <v>Bueno</v>
          </cell>
          <cell r="U427" t="str">
            <v>N/T</v>
          </cell>
        </row>
        <row r="428">
          <cell r="J428" t="str">
            <v>42-05-01-01-0420</v>
          </cell>
          <cell r="K428" t="str">
            <v>42-2043</v>
          </cell>
          <cell r="L428" t="str">
            <v>42-05-01-01-0420</v>
          </cell>
          <cell r="M428" t="str">
            <v>Pizarra blanca marco aluminio 150x100 cms.</v>
          </cell>
          <cell r="O428" t="str">
            <v>EQUIPO DE OFICINA</v>
          </cell>
          <cell r="P428">
            <v>29750</v>
          </cell>
          <cell r="T428" t="str">
            <v>Bueno</v>
          </cell>
          <cell r="U428" t="str">
            <v>N/T</v>
          </cell>
        </row>
        <row r="429">
          <cell r="J429" t="str">
            <v>42-04-06-00-0421</v>
          </cell>
          <cell r="K429" t="str">
            <v>42-2696</v>
          </cell>
          <cell r="L429" t="str">
            <v>42-04-06-00-0421</v>
          </cell>
          <cell r="M429" t="str">
            <v>Repisa blanca con soportes metálicos 60x30 cms.</v>
          </cell>
          <cell r="O429" t="str">
            <v>REPISA</v>
          </cell>
          <cell r="P429">
            <v>30000</v>
          </cell>
          <cell r="T429" t="str">
            <v>Bueno</v>
          </cell>
          <cell r="U429" t="str">
            <v>N/T</v>
          </cell>
        </row>
        <row r="430">
          <cell r="J430" t="str">
            <v>42-04-06-00-0422</v>
          </cell>
          <cell r="K430" t="str">
            <v>42-2697</v>
          </cell>
          <cell r="L430" t="str">
            <v>42-04-06-00-0422</v>
          </cell>
          <cell r="M430" t="str">
            <v>Repisa blanca con soportes metálicos 60x30 cms.</v>
          </cell>
          <cell r="O430" t="str">
            <v>REPISA</v>
          </cell>
          <cell r="P430">
            <v>30000</v>
          </cell>
          <cell r="T430" t="str">
            <v>Bueno</v>
          </cell>
          <cell r="U430" t="str">
            <v>N/T</v>
          </cell>
        </row>
        <row r="431">
          <cell r="J431" t="str">
            <v>42-04-06-00-0423</v>
          </cell>
          <cell r="K431" t="str">
            <v>42-3110</v>
          </cell>
          <cell r="L431" t="str">
            <v>42-04-06-00-0423</v>
          </cell>
          <cell r="M431" t="str">
            <v>Repisa blanca con soportes metálicos 60x30 cms.</v>
          </cell>
          <cell r="O431" t="str">
            <v>REPISA</v>
          </cell>
          <cell r="P431">
            <v>30000</v>
          </cell>
          <cell r="T431" t="str">
            <v>Bueno</v>
          </cell>
          <cell r="U431" t="str">
            <v>N/T</v>
          </cell>
        </row>
        <row r="432">
          <cell r="J432" t="str">
            <v>42-04-06-00-0424</v>
          </cell>
          <cell r="K432" t="str">
            <v>42-2288</v>
          </cell>
          <cell r="L432" t="str">
            <v>42-04-06-00-0424</v>
          </cell>
          <cell r="M432" t="str">
            <v>Mueble melamina blanca 3 puertas ( 2 con llave ), 1 cajón c/llave, 1 lavamanos Fanaloza c/ llave combinación 150x57x91 cms.</v>
          </cell>
          <cell r="O432" t="str">
            <v>REPISA</v>
          </cell>
          <cell r="P432">
            <v>46987</v>
          </cell>
          <cell r="T432" t="str">
            <v>Bueno</v>
          </cell>
          <cell r="U432" t="str">
            <v>N/T</v>
          </cell>
        </row>
        <row r="433">
          <cell r="J433" t="str">
            <v>42-04-06-00-0425</v>
          </cell>
          <cell r="K433" t="str">
            <v>42-2289</v>
          </cell>
          <cell r="L433" t="str">
            <v>42-04-06-00-0425</v>
          </cell>
          <cell r="M433" t="str">
            <v>Mueble melamina blanca 2 puertas ( 1 con llave ), 1 lavamanos Fanaloza 150x57x91 cms.</v>
          </cell>
          <cell r="O433" t="str">
            <v>REPISA</v>
          </cell>
          <cell r="P433">
            <v>46987</v>
          </cell>
          <cell r="T433" t="str">
            <v>Bueno</v>
          </cell>
          <cell r="U433" t="str">
            <v>N/T</v>
          </cell>
        </row>
        <row r="434">
          <cell r="J434" t="str">
            <v>42-04-06-00-0426</v>
          </cell>
          <cell r="K434" t="str">
            <v>42-2919</v>
          </cell>
          <cell r="L434" t="str">
            <v>42-04-06-00-0426</v>
          </cell>
          <cell r="M434" t="str">
            <v>Mueble 1 compartimento melamina café/blanco 38x32x60 cms.</v>
          </cell>
          <cell r="O434" t="str">
            <v>REPISA</v>
          </cell>
          <cell r="P434">
            <v>35000</v>
          </cell>
          <cell r="T434" t="str">
            <v>Bueno</v>
          </cell>
          <cell r="U434" t="str">
            <v>N/T</v>
          </cell>
        </row>
        <row r="435">
          <cell r="J435" t="str">
            <v>42-04-06-00-0427</v>
          </cell>
          <cell r="K435" t="str">
            <v>42-2920</v>
          </cell>
          <cell r="L435" t="str">
            <v>42-04-06-00-0427</v>
          </cell>
          <cell r="M435" t="str">
            <v>Mueble masisa enchapada 5 compartimentos, 2 puertas correderas 149x50x219 cms. color barniz natural</v>
          </cell>
          <cell r="O435" t="str">
            <v>REPISA</v>
          </cell>
          <cell r="P435">
            <v>40000</v>
          </cell>
          <cell r="T435" t="str">
            <v>Bueno</v>
          </cell>
          <cell r="U435" t="str">
            <v>N/T</v>
          </cell>
        </row>
        <row r="436">
          <cell r="J436" t="str">
            <v>42-04-03-00-0428</v>
          </cell>
          <cell r="K436" t="str">
            <v>42-2044</v>
          </cell>
          <cell r="L436" t="str">
            <v>42-04-03-00-0428</v>
          </cell>
          <cell r="M436" t="str">
            <v>Escritorio computacion 2 bandejas 2 compartimento 90x50x80 cms.</v>
          </cell>
          <cell r="O436" t="str">
            <v>ESCRITORIOS</v>
          </cell>
          <cell r="P436">
            <v>83300</v>
          </cell>
          <cell r="T436" t="str">
            <v>Bueno</v>
          </cell>
          <cell r="U436" t="str">
            <v>N/T</v>
          </cell>
        </row>
        <row r="437">
          <cell r="J437" t="str">
            <v>42-04-03-00-0429</v>
          </cell>
          <cell r="K437" t="str">
            <v>42-2023</v>
          </cell>
          <cell r="L437" t="str">
            <v>42-04-03-00-0429</v>
          </cell>
          <cell r="M437" t="str">
            <v>Escritorio computación 1 cajón 1 compartimento melamina color café</v>
          </cell>
          <cell r="O437" t="str">
            <v>ESCRITORIOS</v>
          </cell>
          <cell r="P437">
            <v>83300</v>
          </cell>
          <cell r="T437" t="str">
            <v>Bueno</v>
          </cell>
          <cell r="U437" t="str">
            <v>N/T</v>
          </cell>
        </row>
        <row r="438">
          <cell r="J438" t="str">
            <v>42-05-01-01-0430</v>
          </cell>
          <cell r="K438" t="str">
            <v>42-2309</v>
          </cell>
          <cell r="L438" t="str">
            <v>42-05-01-01-0430</v>
          </cell>
          <cell r="M438" t="str">
            <v>Pizarra magnética marco aluminio de 150x100 cms.</v>
          </cell>
          <cell r="O438" t="str">
            <v>EQUIPO DE OFICINA</v>
          </cell>
          <cell r="P438">
            <v>29750</v>
          </cell>
          <cell r="T438" t="str">
            <v>Bueno</v>
          </cell>
          <cell r="U438" t="str">
            <v>N/T</v>
          </cell>
        </row>
        <row r="439">
          <cell r="J439" t="str">
            <v>42-06-01-00-0431</v>
          </cell>
          <cell r="K439" t="str">
            <v>42-2038</v>
          </cell>
          <cell r="L439" t="str">
            <v>42-06-01-00-0431</v>
          </cell>
          <cell r="M439" t="str">
            <v>Computador Thinkcentre Intel Pentium 4</v>
          </cell>
          <cell r="O439" t="str">
            <v>EQUIPOS COMPUTACIONALES Y PERIFÉRICOS</v>
          </cell>
          <cell r="P439">
            <v>340000</v>
          </cell>
          <cell r="T439" t="str">
            <v>Bueno</v>
          </cell>
          <cell r="U439" t="str">
            <v>Pentium</v>
          </cell>
        </row>
        <row r="440">
          <cell r="J440" t="str">
            <v>42-06-01-00-0432</v>
          </cell>
          <cell r="K440" t="str">
            <v>42-2702</v>
          </cell>
          <cell r="L440" t="str">
            <v>42-06-01-00-0432</v>
          </cell>
          <cell r="M440" t="str">
            <v>Monitor Samsung Sync Master Mod. 793 v S/Nº LB17H9KY948014A</v>
          </cell>
          <cell r="O440" t="str">
            <v>EQUIPOS COMPUTACIONALES Y PERIFÉRICOS</v>
          </cell>
          <cell r="P440">
            <v>14000</v>
          </cell>
          <cell r="T440" t="str">
            <v>Bueno</v>
          </cell>
          <cell r="U440" t="str">
            <v>Samsung</v>
          </cell>
        </row>
        <row r="441">
          <cell r="J441" t="str">
            <v>42-06-01-00-0433</v>
          </cell>
          <cell r="K441" t="str">
            <v>42-2704</v>
          </cell>
          <cell r="L441" t="str">
            <v>42-06-01-00-0433</v>
          </cell>
          <cell r="M441" t="str">
            <v>Teclado marca IBM Mod. SK 8820 S/Nº 11967972</v>
          </cell>
          <cell r="O441" t="str">
            <v>EQUIPOS COMPUTACIONALES Y PERIFÉRICOS</v>
          </cell>
          <cell r="P441">
            <v>4000</v>
          </cell>
          <cell r="T441" t="str">
            <v>Bueno</v>
          </cell>
          <cell r="U441" t="str">
            <v>IBM</v>
          </cell>
        </row>
        <row r="442">
          <cell r="J442" t="str">
            <v>42-06-01-00-0434</v>
          </cell>
          <cell r="K442" t="str">
            <v>42-2703</v>
          </cell>
          <cell r="L442" t="str">
            <v>42-06-01-00-0434</v>
          </cell>
          <cell r="M442" t="str">
            <v>Mouse Aopen Mod. W - 23B S/Nº 61800752MS</v>
          </cell>
          <cell r="O442" t="str">
            <v>EQUIPOS COMPUTACIONALES Y PERIFÉRICOS</v>
          </cell>
          <cell r="P442">
            <v>3000</v>
          </cell>
          <cell r="T442" t="str">
            <v>Bueno</v>
          </cell>
          <cell r="U442" t="str">
            <v>Appen</v>
          </cell>
        </row>
        <row r="443">
          <cell r="J443" t="str">
            <v>42-06-01-00-0435</v>
          </cell>
          <cell r="K443" t="str">
            <v>42-3255</v>
          </cell>
          <cell r="L443" t="str">
            <v>42-06-01-00-0435</v>
          </cell>
          <cell r="M443" t="str">
            <v>Impresora HP LaserJet P1005 Mod. CB410A S/Nº BRBS93801C</v>
          </cell>
          <cell r="O443" t="str">
            <v>EQUIPOS COMPUTACIONALES Y PERIFÉRICOS</v>
          </cell>
          <cell r="P443">
            <v>22000</v>
          </cell>
          <cell r="T443" t="str">
            <v>Bueno</v>
          </cell>
          <cell r="U443" t="str">
            <v>Hp Laser Jet</v>
          </cell>
        </row>
        <row r="444">
          <cell r="J444" t="str">
            <v>42-05-01-01-0436</v>
          </cell>
          <cell r="K444" t="str">
            <v>42-2040</v>
          </cell>
          <cell r="L444" t="str">
            <v>42-05-01-01-0436</v>
          </cell>
          <cell r="M444" t="str">
            <v>Radio CD marca RCA Mod. RCD 002 Cod.  0532</v>
          </cell>
          <cell r="O444" t="str">
            <v>EQUIPO DE OFICINA</v>
          </cell>
          <cell r="P444">
            <v>53710</v>
          </cell>
          <cell r="T444" t="str">
            <v>Bueno</v>
          </cell>
          <cell r="U444" t="str">
            <v>RCA</v>
          </cell>
        </row>
        <row r="445">
          <cell r="J445" t="str">
            <v>42-05-01-01-0437</v>
          </cell>
          <cell r="K445" t="str">
            <v>42-57 B</v>
          </cell>
          <cell r="L445" t="str">
            <v>42-05-01-01-0437</v>
          </cell>
          <cell r="M445" t="str">
            <v>Maquina de escribir manual marca Olivetti linea 98</v>
          </cell>
          <cell r="O445" t="str">
            <v>EQUIPO DE OFICINA</v>
          </cell>
          <cell r="P445">
            <v>70000</v>
          </cell>
          <cell r="T445" t="str">
            <v>Bueno</v>
          </cell>
          <cell r="U445" t="str">
            <v>N/T</v>
          </cell>
        </row>
        <row r="446">
          <cell r="J446" t="str">
            <v>42-05-01-01-0438</v>
          </cell>
          <cell r="K446" t="str">
            <v>42-2705</v>
          </cell>
          <cell r="L446" t="str">
            <v>42-05-01-01-0438</v>
          </cell>
          <cell r="M446" t="str">
            <v>Calefactor eléctrico marca Somela Radiant Nº 041269</v>
          </cell>
          <cell r="O446" t="str">
            <v>EQUIPO DE OFICINA</v>
          </cell>
          <cell r="P446">
            <v>20000</v>
          </cell>
          <cell r="T446" t="str">
            <v>Bueno</v>
          </cell>
          <cell r="U446" t="str">
            <v>Somela</v>
          </cell>
        </row>
        <row r="447">
          <cell r="J447" t="str">
            <v>42-05-01-01-0439</v>
          </cell>
          <cell r="K447" t="str">
            <v>42-1947</v>
          </cell>
          <cell r="L447" t="str">
            <v>42-05-01-01-0439</v>
          </cell>
          <cell r="M447" t="str">
            <v>Citófono/ teléfono marca Nortel Network, Modelo 7000</v>
          </cell>
          <cell r="O447" t="str">
            <v>EQUIPO DE OFICINA</v>
          </cell>
          <cell r="P447">
            <v>36000</v>
          </cell>
          <cell r="T447" t="str">
            <v>Bueno</v>
          </cell>
          <cell r="U447" t="str">
            <v>Nortel Network</v>
          </cell>
        </row>
        <row r="448">
          <cell r="J448" t="str">
            <v>42-05-01-01-0440</v>
          </cell>
          <cell r="K448" t="str">
            <v>42-1379</v>
          </cell>
          <cell r="L448" t="str">
            <v>42-05-01-01-0440</v>
          </cell>
          <cell r="M448" t="str">
            <v>Máquina de escribir Olimpia con memoria, eléctrica Prof. Medidas 15" 54 k</v>
          </cell>
          <cell r="O448" t="str">
            <v>EQUIPO DE OFICINA</v>
          </cell>
          <cell r="P448">
            <v>70000</v>
          </cell>
          <cell r="T448" t="str">
            <v>Bueno</v>
          </cell>
          <cell r="U448" t="str">
            <v>Olimpia</v>
          </cell>
        </row>
        <row r="449">
          <cell r="J449" t="str">
            <v>42-05-01-01-0441</v>
          </cell>
          <cell r="K449" t="str">
            <v>42-1207</v>
          </cell>
          <cell r="L449" t="str">
            <v>42-05-01-01-0441</v>
          </cell>
          <cell r="M449" t="str">
            <v>Televisor marca Samsung 21" Mod. ST 5002K S/Nº 29513132EB700235</v>
          </cell>
          <cell r="O449" t="str">
            <v>EQUIPO DE OFICINA</v>
          </cell>
          <cell r="P449">
            <v>68000</v>
          </cell>
          <cell r="T449" t="str">
            <v>Bueno</v>
          </cell>
          <cell r="U449" t="str">
            <v>Samsung</v>
          </cell>
        </row>
        <row r="450">
          <cell r="J450" t="str">
            <v>42-05-01-01-0442</v>
          </cell>
          <cell r="K450" t="str">
            <v>42-1208</v>
          </cell>
          <cell r="L450" t="str">
            <v>42-05-01-01-0442</v>
          </cell>
          <cell r="M450" t="str">
            <v>Vídeo grabador marca Phillips Mod. V13929/87 S/Nº 105010506</v>
          </cell>
          <cell r="O450" t="str">
            <v>EQUIPO DE OFICINA</v>
          </cell>
          <cell r="P450">
            <v>50000</v>
          </cell>
          <cell r="T450" t="str">
            <v>Bueno</v>
          </cell>
          <cell r="U450" t="str">
            <v>Phillips</v>
          </cell>
        </row>
        <row r="451">
          <cell r="J451" t="str">
            <v>42-05-01-01-0443</v>
          </cell>
          <cell r="K451" t="str">
            <v>42-2019</v>
          </cell>
          <cell r="L451" t="str">
            <v>42-05-01-01-0443</v>
          </cell>
          <cell r="M451" t="str">
            <v>Radio CD marca Recco Mod. RRC158CB</v>
          </cell>
          <cell r="O451" t="str">
            <v>EQUIPO DE OFICINA</v>
          </cell>
          <cell r="P451">
            <v>53710</v>
          </cell>
          <cell r="T451" t="str">
            <v>Bueno</v>
          </cell>
          <cell r="U451" t="str">
            <v>Recco</v>
          </cell>
        </row>
        <row r="452">
          <cell r="J452" t="str">
            <v>42-04-03-00-0444</v>
          </cell>
          <cell r="K452" t="str">
            <v>42-01</v>
          </cell>
          <cell r="L452" t="str">
            <v>42-04-03-00-0444</v>
          </cell>
          <cell r="M452" t="str">
            <v>Escritorio de madera 150x80x78 cms., 8 cajones, 2 bandejas</v>
          </cell>
          <cell r="O452" t="str">
            <v>ESCRITORIOS</v>
          </cell>
          <cell r="P452">
            <v>68455</v>
          </cell>
          <cell r="T452" t="str">
            <v>Bueno</v>
          </cell>
          <cell r="U452" t="str">
            <v>N/T</v>
          </cell>
        </row>
        <row r="453">
          <cell r="J453" t="str">
            <v>42-04-06-00-0445</v>
          </cell>
          <cell r="K453" t="str">
            <v>42-1119</v>
          </cell>
          <cell r="L453" t="str">
            <v>42-04-06-00-0445</v>
          </cell>
          <cell r="M453" t="str">
            <v>Mueble de madera 173x50x80 cms, 2 puertas correderas, barniz natural</v>
          </cell>
          <cell r="O453" t="str">
            <v>REPISA</v>
          </cell>
          <cell r="P453">
            <v>70000</v>
          </cell>
          <cell r="T453" t="str">
            <v>Bueno</v>
          </cell>
          <cell r="U453" t="str">
            <v>N/T</v>
          </cell>
        </row>
        <row r="454">
          <cell r="J454" t="str">
            <v>42-04-02-00-0446</v>
          </cell>
          <cell r="K454" t="str">
            <v>42-220</v>
          </cell>
          <cell r="L454" t="str">
            <v>42-04-02-00-0446</v>
          </cell>
          <cell r="M454" t="str">
            <v>Silla de madera color plomo</v>
          </cell>
          <cell r="O454" t="str">
            <v>SILLAS</v>
          </cell>
          <cell r="P454">
            <v>17850</v>
          </cell>
          <cell r="T454" t="str">
            <v>Bueno</v>
          </cell>
          <cell r="U454" t="str">
            <v>N/T</v>
          </cell>
        </row>
        <row r="455">
          <cell r="J455" t="str">
            <v>42-04-02-00-0447</v>
          </cell>
          <cell r="K455" t="str">
            <v>42-222</v>
          </cell>
          <cell r="L455" t="str">
            <v>42-04-02-00-0447</v>
          </cell>
          <cell r="M455" t="str">
            <v>Silla de madera color plomo</v>
          </cell>
          <cell r="O455" t="str">
            <v>SILLAS</v>
          </cell>
          <cell r="P455">
            <v>17850</v>
          </cell>
          <cell r="T455" t="str">
            <v>Bueno</v>
          </cell>
          <cell r="U455" t="str">
            <v>N/T</v>
          </cell>
        </row>
        <row r="456">
          <cell r="J456" t="str">
            <v>42-04-06-00-0448</v>
          </cell>
          <cell r="K456" t="str">
            <v>42-224</v>
          </cell>
          <cell r="L456" t="str">
            <v>42-04-06-00-0448</v>
          </cell>
          <cell r="M456" t="str">
            <v>Mueble 3 divisiones, 2 puertas correderas, barniz natural 220x50x140 cms</v>
          </cell>
          <cell r="O456" t="str">
            <v>REPISA</v>
          </cell>
          <cell r="P456">
            <v>96300</v>
          </cell>
          <cell r="T456" t="str">
            <v>Bueno</v>
          </cell>
          <cell r="U456" t="str">
            <v>N/T</v>
          </cell>
        </row>
        <row r="457">
          <cell r="J457" t="str">
            <v>42-04-07-00-0449</v>
          </cell>
          <cell r="K457" t="str">
            <v>42-1671</v>
          </cell>
          <cell r="L457" t="str">
            <v>42-04-07-00-0449</v>
          </cell>
          <cell r="M457" t="str">
            <v>Archivador metálico, 2 cajones marca Indina</v>
          </cell>
          <cell r="O457" t="str">
            <v>OTROS</v>
          </cell>
          <cell r="P457">
            <v>70000</v>
          </cell>
          <cell r="T457" t="str">
            <v>Bueno</v>
          </cell>
          <cell r="U457" t="str">
            <v>N/T</v>
          </cell>
        </row>
        <row r="458">
          <cell r="J458" t="str">
            <v>42-05-01-01-0450</v>
          </cell>
          <cell r="K458" t="str">
            <v>42-1290</v>
          </cell>
          <cell r="L458" t="str">
            <v>42-05-01-01-0450</v>
          </cell>
          <cell r="M458" t="str">
            <v>Corchetera marca Torre, color verde</v>
          </cell>
          <cell r="O458" t="str">
            <v>EQUIPO DE OFICINA</v>
          </cell>
          <cell r="P458">
            <v>10000</v>
          </cell>
          <cell r="T458" t="str">
            <v>Bueno</v>
          </cell>
          <cell r="U458" t="str">
            <v>Torre</v>
          </cell>
        </row>
        <row r="459">
          <cell r="J459" t="str">
            <v>42-05-01-01-0451</v>
          </cell>
          <cell r="K459" t="str">
            <v>42-231</v>
          </cell>
          <cell r="L459" t="str">
            <v>42-05-01-01-0451</v>
          </cell>
          <cell r="M459" t="str">
            <v>Perforador metálico color verde sin marca</v>
          </cell>
          <cell r="O459" t="str">
            <v>EQUIPO DE OFICINA</v>
          </cell>
          <cell r="P459">
            <v>3500</v>
          </cell>
          <cell r="T459" t="str">
            <v>Bueno</v>
          </cell>
          <cell r="U459" t="str">
            <v>N/T</v>
          </cell>
        </row>
        <row r="460">
          <cell r="J460" t="str">
            <v>42-04-07-00-0452</v>
          </cell>
          <cell r="K460" t="str">
            <v>42-232</v>
          </cell>
          <cell r="L460" t="str">
            <v>42-04-07-00-0452</v>
          </cell>
          <cell r="M460" t="str">
            <v>Tarjetero de madera 2 divisiones, color blanco 36x34x15 cms.</v>
          </cell>
          <cell r="O460" t="str">
            <v>OTROS</v>
          </cell>
          <cell r="P460">
            <v>4000</v>
          </cell>
          <cell r="T460" t="str">
            <v>Bueno</v>
          </cell>
          <cell r="U460" t="str">
            <v>N/T</v>
          </cell>
        </row>
        <row r="461">
          <cell r="J461" t="str">
            <v>42-04-07-00-0453</v>
          </cell>
          <cell r="K461" t="str">
            <v>42-233</v>
          </cell>
          <cell r="L461" t="str">
            <v>42-04-07-00-0453</v>
          </cell>
          <cell r="M461" t="str">
            <v>Tarjetero de madera 2 divisiones color blanco 40x21x13 cms.</v>
          </cell>
          <cell r="O461" t="str">
            <v>OTROS</v>
          </cell>
          <cell r="P461">
            <v>4000</v>
          </cell>
          <cell r="T461" t="str">
            <v>Bueno</v>
          </cell>
          <cell r="U461" t="str">
            <v>N/T</v>
          </cell>
        </row>
        <row r="462">
          <cell r="J462" t="str">
            <v>42-04-02-00-0454</v>
          </cell>
          <cell r="K462" t="str">
            <v>42-1193</v>
          </cell>
          <cell r="L462" t="str">
            <v>42-04-02-00-0454</v>
          </cell>
          <cell r="M462" t="str">
            <v>Silla de madera barniz café, asiento y respaldo tapizado en lanilla café</v>
          </cell>
          <cell r="O462" t="str">
            <v>SILLAS</v>
          </cell>
          <cell r="P462">
            <v>17850</v>
          </cell>
          <cell r="T462" t="str">
            <v>Bueno</v>
          </cell>
          <cell r="U462" t="str">
            <v>N/T</v>
          </cell>
        </row>
        <row r="463">
          <cell r="J463" t="str">
            <v>42-04-02-00-0455</v>
          </cell>
          <cell r="K463" t="str">
            <v>42-1191</v>
          </cell>
          <cell r="L463" t="str">
            <v>42-04-02-00-0455</v>
          </cell>
          <cell r="M463" t="str">
            <v>Silla de madera barniz café, tapiz lanilla color café</v>
          </cell>
          <cell r="O463" t="str">
            <v>SILLAS</v>
          </cell>
          <cell r="P463">
            <v>17850</v>
          </cell>
          <cell r="T463" t="str">
            <v>Bueno</v>
          </cell>
          <cell r="U463" t="str">
            <v>N/T</v>
          </cell>
        </row>
        <row r="464">
          <cell r="J464" t="str">
            <v>42-04-02-00-0456</v>
          </cell>
          <cell r="K464" t="str">
            <v>42-1915</v>
          </cell>
          <cell r="L464" t="str">
            <v>42-04-02-00-0456</v>
          </cell>
          <cell r="M464" t="str">
            <v>Silla Cajera s/brazo con apoyo lumbar color burdeo</v>
          </cell>
          <cell r="O464" t="str">
            <v>SILLAS</v>
          </cell>
          <cell r="P464">
            <v>42500</v>
          </cell>
          <cell r="T464" t="str">
            <v>Bueno</v>
          </cell>
          <cell r="U464" t="str">
            <v>N/T</v>
          </cell>
        </row>
        <row r="465">
          <cell r="J465" t="str">
            <v>42-04-02-00-0457</v>
          </cell>
          <cell r="K465" t="str">
            <v>42-3219</v>
          </cell>
          <cell r="L465" t="str">
            <v>42-04-02-00-0457</v>
          </cell>
          <cell r="M465" t="str">
            <v>Silla computación con apoya brazos 5 ruedas color burdeo</v>
          </cell>
          <cell r="O465" t="str">
            <v>SILLAS</v>
          </cell>
          <cell r="P465">
            <v>42500</v>
          </cell>
          <cell r="T465" t="str">
            <v>Bueno</v>
          </cell>
          <cell r="U465" t="str">
            <v>N/T</v>
          </cell>
        </row>
        <row r="466">
          <cell r="J466" t="str">
            <v>42-05-01-01-0458</v>
          </cell>
          <cell r="K466" t="str">
            <v>42-2791</v>
          </cell>
          <cell r="L466" t="str">
            <v>42-05-01-01-0458</v>
          </cell>
          <cell r="M466" t="str">
            <v>Pizarra magnética marco aluminio de 150x100 cms.</v>
          </cell>
          <cell r="O466" t="str">
            <v>EQUIPO DE OFICINA</v>
          </cell>
          <cell r="P466">
            <v>29750</v>
          </cell>
          <cell r="T466" t="str">
            <v>Bueno</v>
          </cell>
          <cell r="U466" t="str">
            <v>N/T</v>
          </cell>
        </row>
        <row r="467">
          <cell r="J467" t="str">
            <v>42-06-01-00-0459</v>
          </cell>
          <cell r="K467" t="str">
            <v>42-1479</v>
          </cell>
          <cell r="L467" t="str">
            <v>42-06-01-00-0459</v>
          </cell>
          <cell r="M467" t="str">
            <v>Impresora  Canon BJC-250 S/Nº ENB95105</v>
          </cell>
          <cell r="O467" t="str">
            <v>EQUIPOS COMPUTACIONALES Y PERIFÉRICOS</v>
          </cell>
          <cell r="P467">
            <v>18000</v>
          </cell>
          <cell r="T467" t="str">
            <v>Bueno</v>
          </cell>
          <cell r="U467" t="str">
            <v>Canon</v>
          </cell>
        </row>
        <row r="468">
          <cell r="J468" t="str">
            <v>42-04-03-00-0460</v>
          </cell>
          <cell r="K468" t="str">
            <v>42-227</v>
          </cell>
          <cell r="L468" t="str">
            <v>42-04-03-00-0460</v>
          </cell>
          <cell r="M468" t="str">
            <v>Escritorio mixto 2 cajones de 90x79x61cms.</v>
          </cell>
          <cell r="O468" t="str">
            <v>ESCRITORIOS</v>
          </cell>
          <cell r="P468">
            <v>83300</v>
          </cell>
          <cell r="T468" t="str">
            <v>Bueno</v>
          </cell>
          <cell r="U468" t="str">
            <v>N/T</v>
          </cell>
        </row>
        <row r="469">
          <cell r="J469" t="str">
            <v>42-04-03-00-0461</v>
          </cell>
          <cell r="K469" t="str">
            <v>42-1811</v>
          </cell>
          <cell r="L469" t="str">
            <v>42-04-03-00-0461</v>
          </cell>
          <cell r="M469" t="str">
            <v>Muble para computador 100x50x75 en melamina, 1 cajón</v>
          </cell>
          <cell r="O469" t="str">
            <v>ESCRITORIOS</v>
          </cell>
          <cell r="P469">
            <v>83300</v>
          </cell>
          <cell r="T469" t="str">
            <v>Bueno</v>
          </cell>
          <cell r="U469" t="str">
            <v>N/T</v>
          </cell>
        </row>
        <row r="470">
          <cell r="J470" t="str">
            <v>42-04-02-00-0462</v>
          </cell>
          <cell r="K470" t="str">
            <v>42-221</v>
          </cell>
          <cell r="L470" t="str">
            <v>42-04-02-00-0462</v>
          </cell>
          <cell r="M470" t="str">
            <v>Silla de madera color plomo</v>
          </cell>
          <cell r="O470" t="str">
            <v>SILLAS</v>
          </cell>
          <cell r="P470">
            <v>17850</v>
          </cell>
          <cell r="T470" t="str">
            <v>Bueno</v>
          </cell>
          <cell r="U470" t="str">
            <v>N/T</v>
          </cell>
        </row>
        <row r="471">
          <cell r="J471" t="str">
            <v>42-04-02-00-0463</v>
          </cell>
          <cell r="K471" t="str">
            <v>42-1914</v>
          </cell>
          <cell r="L471" t="str">
            <v>42-04-02-00-0463</v>
          </cell>
          <cell r="M471" t="str">
            <v>Silla Cajera s/brazo con apoyo lumbar color burdeo</v>
          </cell>
          <cell r="O471" t="str">
            <v>SILLAS</v>
          </cell>
          <cell r="P471">
            <v>42500</v>
          </cell>
          <cell r="T471" t="str">
            <v>Bueno</v>
          </cell>
          <cell r="U471" t="str">
            <v>N/T</v>
          </cell>
        </row>
        <row r="472">
          <cell r="J472" t="str">
            <v>42-04-06-00-0464</v>
          </cell>
          <cell r="K472" t="str">
            <v>42-3337</v>
          </cell>
          <cell r="L472" t="str">
            <v>42-04-06-00-0464</v>
          </cell>
          <cell r="M472" t="str">
            <v>Repisa 2 divisiones</v>
          </cell>
          <cell r="O472" t="str">
            <v>REPISA</v>
          </cell>
          <cell r="P472">
            <v>45000</v>
          </cell>
          <cell r="T472" t="str">
            <v>Bueno</v>
          </cell>
          <cell r="U472" t="str">
            <v>N/T</v>
          </cell>
        </row>
        <row r="473">
          <cell r="J473" t="str">
            <v>42-04-06-00-0465</v>
          </cell>
          <cell r="K473" t="str">
            <v>42-3338</v>
          </cell>
          <cell r="L473" t="str">
            <v>42-04-06-00-0465</v>
          </cell>
          <cell r="M473" t="str">
            <v>Repisa melamina blanca 2 divisiones</v>
          </cell>
          <cell r="O473" t="str">
            <v>REPISA</v>
          </cell>
          <cell r="P473">
            <v>45000</v>
          </cell>
          <cell r="T473" t="str">
            <v>Bueno</v>
          </cell>
          <cell r="U473" t="str">
            <v>N/T</v>
          </cell>
        </row>
        <row r="474">
          <cell r="J474" t="str">
            <v>42-05-01-01-0466</v>
          </cell>
          <cell r="K474" t="str">
            <v>42-1948</v>
          </cell>
          <cell r="L474" t="str">
            <v>42-05-01-01-0466</v>
          </cell>
          <cell r="M474" t="str">
            <v>Citófono/ teléfono marca Nortel Network, Modelo 7000</v>
          </cell>
          <cell r="O474" t="str">
            <v>EQUIPO DE OFICINA</v>
          </cell>
          <cell r="P474">
            <v>36000</v>
          </cell>
          <cell r="T474" t="str">
            <v>Bueno</v>
          </cell>
          <cell r="U474" t="str">
            <v>Nortel Network</v>
          </cell>
        </row>
        <row r="475">
          <cell r="J475" t="str">
            <v>42-05-01-01-0467</v>
          </cell>
          <cell r="K475" t="str">
            <v>42-3447</v>
          </cell>
          <cell r="L475" t="str">
            <v>42-05-01-01-0467</v>
          </cell>
          <cell r="M475" t="str">
            <v>Citófono/ teléfono marca Nortel Network, Modelo 7000</v>
          </cell>
          <cell r="O475" t="str">
            <v>EQUIPO DE OFICINA</v>
          </cell>
          <cell r="P475">
            <v>36000</v>
          </cell>
          <cell r="T475" t="str">
            <v>Bueno</v>
          </cell>
          <cell r="U475" t="str">
            <v>Nortel Network</v>
          </cell>
        </row>
        <row r="476">
          <cell r="J476" t="str">
            <v>42-05-01-01-0468</v>
          </cell>
          <cell r="K476" t="str">
            <v>42-1924</v>
          </cell>
          <cell r="L476" t="str">
            <v>42-05-01-01-0468</v>
          </cell>
          <cell r="M476" t="str">
            <v>Radio CD marca Recco color gris</v>
          </cell>
          <cell r="O476" t="str">
            <v>EQUIPO DE OFICINA</v>
          </cell>
          <cell r="P476">
            <v>53710</v>
          </cell>
          <cell r="T476" t="str">
            <v>Bueno</v>
          </cell>
          <cell r="U476" t="str">
            <v>Recco</v>
          </cell>
        </row>
        <row r="477">
          <cell r="J477" t="str">
            <v>42-05-02-01-0469</v>
          </cell>
          <cell r="K477" t="str">
            <v>42-238</v>
          </cell>
          <cell r="L477" t="str">
            <v>42-05-02-01-0469</v>
          </cell>
          <cell r="M477" t="str">
            <v>Radiador marca Somela 2 barras a quarzo</v>
          </cell>
          <cell r="O477" t="str">
            <v>EQUIPOS CLINICOS</v>
          </cell>
          <cell r="P477">
            <v>35000</v>
          </cell>
          <cell r="T477" t="str">
            <v>Bueno</v>
          </cell>
          <cell r="U477" t="str">
            <v>Somela</v>
          </cell>
        </row>
        <row r="478">
          <cell r="J478" t="str">
            <v>42-05-01-01-0470</v>
          </cell>
          <cell r="K478" t="str">
            <v>42-3301</v>
          </cell>
          <cell r="L478" t="str">
            <v>42-05-01-01-0470</v>
          </cell>
          <cell r="M478" t="str">
            <v>Refrigerador Fensa Mod. Advantage 7505B No Frost S/Nº 00104086- 00006355</v>
          </cell>
          <cell r="O478" t="str">
            <v>EQUIPO DE OFICINA</v>
          </cell>
          <cell r="P478">
            <v>238700</v>
          </cell>
          <cell r="T478" t="str">
            <v>Bueno</v>
          </cell>
          <cell r="U478" t="str">
            <v>Fensa</v>
          </cell>
        </row>
        <row r="479">
          <cell r="J479" t="str">
            <v>42-04-02-00-0471</v>
          </cell>
          <cell r="K479" t="str">
            <v>42-243</v>
          </cell>
          <cell r="L479" t="str">
            <v>42-04-02-00-0471</v>
          </cell>
          <cell r="M479" t="str">
            <v>Silla de madera color blanco</v>
          </cell>
          <cell r="O479" t="str">
            <v>SILLAS</v>
          </cell>
          <cell r="P479">
            <v>17850</v>
          </cell>
          <cell r="T479" t="str">
            <v>Mala</v>
          </cell>
          <cell r="U479" t="str">
            <v>N/T</v>
          </cell>
        </row>
        <row r="480">
          <cell r="J480" t="str">
            <v>42-04-03-00-0472</v>
          </cell>
          <cell r="K480" t="str">
            <v>42-3481</v>
          </cell>
          <cell r="L480" t="str">
            <v>42-04-03-00-0472</v>
          </cell>
          <cell r="M480" t="str">
            <v>Escritorio de madera con 1 cajon, 1 bandeja, color nogal con plomo  de 61X75X121</v>
          </cell>
          <cell r="O480" t="str">
            <v>ESCRITORIOS</v>
          </cell>
          <cell r="P480">
            <v>89000</v>
          </cell>
          <cell r="T480" t="str">
            <v>Bueno</v>
          </cell>
          <cell r="U480" t="str">
            <v>N/T</v>
          </cell>
        </row>
        <row r="481">
          <cell r="J481" t="str">
            <v>42-04-06-00-0473</v>
          </cell>
          <cell r="K481" t="str">
            <v>42-3448</v>
          </cell>
          <cell r="L481" t="str">
            <v>42-04-06-00-0473</v>
          </cell>
          <cell r="M481" t="str">
            <v>Estante de melamina color crema 12 cajones  de  170X60X1 mtts.</v>
          </cell>
          <cell r="O481" t="str">
            <v>REPISA</v>
          </cell>
          <cell r="P481">
            <v>65212</v>
          </cell>
          <cell r="T481" t="str">
            <v>Bueno</v>
          </cell>
          <cell r="U481" t="str">
            <v>N/T</v>
          </cell>
        </row>
        <row r="482">
          <cell r="J482" t="str">
            <v>42-04-06-00-0474</v>
          </cell>
          <cell r="K482" t="str">
            <v>42-3449</v>
          </cell>
          <cell r="L482" t="str">
            <v>42-04-06-00-0474</v>
          </cell>
          <cell r="M482" t="str">
            <v>Estante de madera color crema 54 cajones  1 separador 2.20x36x1.70 mts</v>
          </cell>
          <cell r="O482" t="str">
            <v>REPISA</v>
          </cell>
          <cell r="P482">
            <v>86120</v>
          </cell>
          <cell r="T482" t="str">
            <v>Bueno</v>
          </cell>
          <cell r="U482" t="str">
            <v>N/T</v>
          </cell>
        </row>
        <row r="483">
          <cell r="J483" t="str">
            <v>42-04-06-00-0475</v>
          </cell>
          <cell r="K483" t="str">
            <v>42-3450</v>
          </cell>
          <cell r="L483" t="str">
            <v>42-04-06-00-0475</v>
          </cell>
          <cell r="M483" t="str">
            <v>Repisa de madera con 40 cajones color crema de 1.10x30x1.50</v>
          </cell>
          <cell r="O483" t="str">
            <v>REPISA</v>
          </cell>
          <cell r="P483">
            <v>102254</v>
          </cell>
          <cell r="T483" t="str">
            <v>Bueno</v>
          </cell>
          <cell r="U483" t="str">
            <v>N/T</v>
          </cell>
        </row>
        <row r="484">
          <cell r="J484" t="str">
            <v>42-04-06-00-0476</v>
          </cell>
          <cell r="K484" t="str">
            <v>42-3451</v>
          </cell>
          <cell r="L484" t="str">
            <v>42-04-06-00-0476</v>
          </cell>
          <cell r="M484" t="str">
            <v>Repisa de madera color crema con 9 cajones de 95x60x1,50</v>
          </cell>
          <cell r="O484" t="str">
            <v>REPISA</v>
          </cell>
          <cell r="P484">
            <v>86254</v>
          </cell>
          <cell r="T484" t="str">
            <v>Bueno</v>
          </cell>
          <cell r="U484" t="str">
            <v>N/T</v>
          </cell>
        </row>
        <row r="485">
          <cell r="J485" t="str">
            <v>42-04-06-00-0477</v>
          </cell>
          <cell r="K485" t="str">
            <v>42-3452</v>
          </cell>
          <cell r="L485" t="str">
            <v>42-04-06-00-0477</v>
          </cell>
          <cell r="M485" t="str">
            <v>Estante de madera color crema con 48 cajones de 270x36x1.50</v>
          </cell>
          <cell r="O485" t="str">
            <v>REPISA</v>
          </cell>
          <cell r="P485">
            <v>125807</v>
          </cell>
          <cell r="T485" t="str">
            <v>Bueno</v>
          </cell>
          <cell r="U485" t="str">
            <v>N/T</v>
          </cell>
        </row>
        <row r="486">
          <cell r="J486" t="str">
            <v>42-04-06-00-0478</v>
          </cell>
          <cell r="K486" t="str">
            <v>42-3453</v>
          </cell>
          <cell r="L486" t="str">
            <v>42-04-06-00-0478</v>
          </cell>
          <cell r="M486" t="str">
            <v xml:space="preserve">Estante de madera color crema con 2 separadores. 2 puertas correrizas de 75x16x115 </v>
          </cell>
          <cell r="O486" t="str">
            <v>REPISA</v>
          </cell>
          <cell r="P486">
            <v>68545</v>
          </cell>
          <cell r="T486" t="str">
            <v>Bueno</v>
          </cell>
          <cell r="U486" t="str">
            <v>N/T</v>
          </cell>
        </row>
        <row r="487">
          <cell r="J487" t="str">
            <v>42-04-06-00-0479</v>
          </cell>
          <cell r="K487" t="str">
            <v>42-3454</v>
          </cell>
          <cell r="L487" t="str">
            <v>42-04-06-00-0479</v>
          </cell>
          <cell r="M487" t="str">
            <v>Mueble de color blanco con 6 cajones , 2 puertas correrizas con llave  de 110x45x200</v>
          </cell>
          <cell r="O487" t="str">
            <v>REPISA</v>
          </cell>
          <cell r="P487">
            <v>125484</v>
          </cell>
          <cell r="T487" t="str">
            <v>Bueno</v>
          </cell>
          <cell r="U487" t="str">
            <v>N/T</v>
          </cell>
        </row>
        <row r="488">
          <cell r="J488" t="str">
            <v>42-04-02-00-0480</v>
          </cell>
          <cell r="K488" t="str">
            <v>42-3470</v>
          </cell>
          <cell r="L488" t="str">
            <v>42-04-02-00-0480</v>
          </cell>
          <cell r="M488" t="str">
            <v>Silla Computación , 5 ruedas color azul</v>
          </cell>
          <cell r="O488" t="str">
            <v>SILLAS</v>
          </cell>
          <cell r="P488">
            <v>42500</v>
          </cell>
          <cell r="T488" t="str">
            <v>Bueno</v>
          </cell>
          <cell r="U488" t="str">
            <v>N/T</v>
          </cell>
        </row>
        <row r="489">
          <cell r="J489" t="str">
            <v>42-04-02-00-0481</v>
          </cell>
          <cell r="K489" t="str">
            <v>42-3305</v>
          </cell>
          <cell r="L489" t="str">
            <v>42-04-02-00-0481</v>
          </cell>
          <cell r="M489" t="str">
            <v>Sila mixta pergamide color beige</v>
          </cell>
          <cell r="O489" t="str">
            <v>SILLAS</v>
          </cell>
          <cell r="P489">
            <v>42500</v>
          </cell>
          <cell r="T489" t="str">
            <v>Mala</v>
          </cell>
          <cell r="U489" t="str">
            <v>N/T</v>
          </cell>
        </row>
        <row r="490">
          <cell r="J490" t="str">
            <v>42-04-02-00-0482</v>
          </cell>
          <cell r="K490" t="str">
            <v>42-3457</v>
          </cell>
          <cell r="L490" t="str">
            <v>42-04-02-00-0482</v>
          </cell>
          <cell r="M490" t="str">
            <v>Silla de madera con respaldo en formalita color café claro</v>
          </cell>
          <cell r="O490" t="str">
            <v>SILLAS</v>
          </cell>
          <cell r="P490">
            <v>13854</v>
          </cell>
          <cell r="T490" t="str">
            <v>Bueno</v>
          </cell>
          <cell r="U490" t="str">
            <v>N/T</v>
          </cell>
        </row>
        <row r="491">
          <cell r="J491" t="str">
            <v>42-04-02-00-0483</v>
          </cell>
          <cell r="K491" t="str">
            <v>42-3465</v>
          </cell>
          <cell r="L491" t="str">
            <v>42-04-02-00-0483</v>
          </cell>
          <cell r="M491" t="str">
            <v>Silla Computacion de color azul  con apoyo de brazos, 5 ruedas.</v>
          </cell>
          <cell r="O491" t="str">
            <v>SILLAS</v>
          </cell>
          <cell r="P491">
            <v>45890</v>
          </cell>
          <cell r="T491" t="str">
            <v>Bueno</v>
          </cell>
          <cell r="U491" t="str">
            <v>N/T</v>
          </cell>
        </row>
        <row r="492">
          <cell r="J492" t="str">
            <v>42-04-07-00-0484</v>
          </cell>
          <cell r="K492" t="str">
            <v>42-247</v>
          </cell>
          <cell r="L492" t="str">
            <v>42-04-07-00-0484</v>
          </cell>
          <cell r="M492" t="str">
            <v>Percha de madera color plomo 4 ganchos</v>
          </cell>
          <cell r="O492" t="str">
            <v>OTROS</v>
          </cell>
          <cell r="P492">
            <v>12890</v>
          </cell>
          <cell r="T492" t="str">
            <v>Bueno</v>
          </cell>
          <cell r="U492" t="str">
            <v>N/T</v>
          </cell>
        </row>
        <row r="493">
          <cell r="J493" t="str">
            <v>42-04-07-00-0485</v>
          </cell>
          <cell r="K493" t="str">
            <v>42-816</v>
          </cell>
          <cell r="L493" t="str">
            <v>42-04-07-00-0485</v>
          </cell>
          <cell r="M493" t="str">
            <v>Piso mixto grande</v>
          </cell>
          <cell r="O493" t="str">
            <v>OTROS</v>
          </cell>
          <cell r="P493">
            <v>10248</v>
          </cell>
          <cell r="T493" t="str">
            <v>Bueno</v>
          </cell>
          <cell r="U493" t="str">
            <v>N/T</v>
          </cell>
        </row>
        <row r="494">
          <cell r="J494" t="str">
            <v>42-05-02-01-0486</v>
          </cell>
          <cell r="K494" t="str">
            <v>42-248</v>
          </cell>
          <cell r="L494" t="str">
            <v>42-05-02-01-0486</v>
          </cell>
          <cell r="M494" t="str">
            <v>Balanza de precisión de 100 grs.</v>
          </cell>
          <cell r="N494">
            <v>1</v>
          </cell>
          <cell r="O494" t="str">
            <v>EQUIPOS CLINICOS</v>
          </cell>
          <cell r="P494">
            <v>129154</v>
          </cell>
          <cell r="T494" t="str">
            <v>Bueno</v>
          </cell>
          <cell r="U494" t="str">
            <v>N/T</v>
          </cell>
        </row>
        <row r="495">
          <cell r="J495" t="str">
            <v>42-05-02-06-0487</v>
          </cell>
          <cell r="K495" t="str">
            <v>42-249</v>
          </cell>
          <cell r="L495" t="str">
            <v>42-05-02-06-0487</v>
          </cell>
          <cell r="M495" t="str">
            <v>Prensa de corcho forma de cocodrilo</v>
          </cell>
          <cell r="O495" t="str">
            <v>HERRAMIENTAS</v>
          </cell>
          <cell r="P495">
            <v>34000</v>
          </cell>
          <cell r="T495" t="str">
            <v>Bueno</v>
          </cell>
          <cell r="U495" t="str">
            <v>N/T</v>
          </cell>
        </row>
        <row r="496">
          <cell r="J496" t="str">
            <v>42-05-01-01-0488</v>
          </cell>
          <cell r="K496" t="str">
            <v>42-242</v>
          </cell>
          <cell r="L496" t="str">
            <v>42-05-01-01-0488</v>
          </cell>
          <cell r="M496" t="str">
            <v>Perforador extra fuerte color gris</v>
          </cell>
          <cell r="O496" t="str">
            <v>EQUIPO DE OFICINA</v>
          </cell>
          <cell r="P496">
            <v>12000</v>
          </cell>
          <cell r="T496" t="str">
            <v>Bueno</v>
          </cell>
          <cell r="U496" t="str">
            <v>N/T</v>
          </cell>
        </row>
        <row r="497">
          <cell r="J497" t="str">
            <v>42-05-01-01-0489</v>
          </cell>
          <cell r="K497" t="str">
            <v>42-3303</v>
          </cell>
          <cell r="L497" t="str">
            <v>42-05-01-01-0489</v>
          </cell>
          <cell r="M497" t="str">
            <v>Perforador Isofit Mod. PP35 color plomo</v>
          </cell>
          <cell r="O497" t="str">
            <v>EQUIPO DE OFICINA</v>
          </cell>
          <cell r="P497">
            <v>7800</v>
          </cell>
          <cell r="T497" t="str">
            <v>Bueno</v>
          </cell>
          <cell r="U497" t="str">
            <v>N/T</v>
          </cell>
        </row>
        <row r="498">
          <cell r="J498" t="str">
            <v>42-05-01-01-0490</v>
          </cell>
          <cell r="K498" t="str">
            <v>42-3304</v>
          </cell>
          <cell r="L498" t="str">
            <v>42-05-01-01-0490</v>
          </cell>
          <cell r="M498" t="str">
            <v>Perforador Isofit Mod. PP35 color plomo</v>
          </cell>
          <cell r="O498" t="str">
            <v>EQUIPO DE OFICINA</v>
          </cell>
          <cell r="P498">
            <v>7800</v>
          </cell>
          <cell r="T498" t="str">
            <v>Bueno</v>
          </cell>
          <cell r="U498" t="str">
            <v>N/T</v>
          </cell>
        </row>
        <row r="499">
          <cell r="J499" t="str">
            <v>42-04-07-00-0491</v>
          </cell>
          <cell r="K499" t="str">
            <v>42-409 B</v>
          </cell>
          <cell r="L499" t="str">
            <v>42-04-07-00-0491</v>
          </cell>
          <cell r="M499" t="str">
            <v>Basurero metálico con pedal y tapa</v>
          </cell>
          <cell r="O499" t="str">
            <v>OTROS</v>
          </cell>
          <cell r="P499">
            <v>3000</v>
          </cell>
          <cell r="T499" t="str">
            <v>Bueno</v>
          </cell>
          <cell r="U499" t="str">
            <v>N/T</v>
          </cell>
        </row>
        <row r="500">
          <cell r="J500" t="str">
            <v>42-05-02-01-0492</v>
          </cell>
          <cell r="K500" t="str">
            <v>42-3456</v>
          </cell>
          <cell r="L500" t="str">
            <v>42-05-02-01-0492</v>
          </cell>
          <cell r="M500" t="str">
            <v xml:space="preserve">Escabel color negro con patas de color blanco </v>
          </cell>
          <cell r="O500" t="str">
            <v>EQUIPOS CLINICOS</v>
          </cell>
          <cell r="P500">
            <v>17350</v>
          </cell>
          <cell r="T500" t="str">
            <v>Bueno</v>
          </cell>
          <cell r="U500" t="str">
            <v>N/T</v>
          </cell>
        </row>
        <row r="501">
          <cell r="J501" t="str">
            <v>42-05-01-01-0493</v>
          </cell>
          <cell r="K501" t="str">
            <v>42-1958</v>
          </cell>
          <cell r="L501" t="str">
            <v>42-05-01-01-0493</v>
          </cell>
          <cell r="M501" t="str">
            <v>Citófono/ teléfono marca Nortel Network, Modelo 7000</v>
          </cell>
          <cell r="O501" t="str">
            <v>EQUIPO DE OFICINA</v>
          </cell>
          <cell r="P501">
            <v>36000</v>
          </cell>
          <cell r="T501" t="str">
            <v>Bueno</v>
          </cell>
          <cell r="U501" t="str">
            <v>Nortel Network</v>
          </cell>
        </row>
        <row r="502">
          <cell r="J502" t="str">
            <v>42-04-03-00-0494</v>
          </cell>
          <cell r="K502" t="str">
            <v>42-2618</v>
          </cell>
          <cell r="L502" t="str">
            <v>42-04-03-00-0494</v>
          </cell>
          <cell r="M502" t="str">
            <v>Escritorio computación 1 cajón melamina color cerezo 111x56x75 cms.</v>
          </cell>
          <cell r="O502" t="str">
            <v>ESCRITORIOS</v>
          </cell>
          <cell r="P502">
            <v>85000</v>
          </cell>
          <cell r="T502" t="str">
            <v>Bueno</v>
          </cell>
          <cell r="U502" t="str">
            <v>N/T</v>
          </cell>
        </row>
        <row r="503">
          <cell r="J503" t="str">
            <v>42-04-02-00-0495</v>
          </cell>
          <cell r="K503" t="str">
            <v>42-258</v>
          </cell>
          <cell r="L503" t="str">
            <v>42-04-02-00-0495</v>
          </cell>
          <cell r="M503" t="str">
            <v>Silla mixta color barniz natural</v>
          </cell>
          <cell r="O503" t="str">
            <v>SILLAS</v>
          </cell>
          <cell r="P503">
            <v>6902</v>
          </cell>
          <cell r="T503" t="str">
            <v>Bueno</v>
          </cell>
          <cell r="U503" t="str">
            <v>N/T</v>
          </cell>
        </row>
        <row r="504">
          <cell r="J504" t="str">
            <v>42-04-02-00-0496</v>
          </cell>
          <cell r="K504" t="str">
            <v>42-259</v>
          </cell>
          <cell r="L504" t="str">
            <v>42-04-02-00-0496</v>
          </cell>
          <cell r="M504" t="str">
            <v>Silla mixta color barniz natural</v>
          </cell>
          <cell r="O504" t="str">
            <v>SILLAS</v>
          </cell>
          <cell r="P504">
            <v>6902</v>
          </cell>
          <cell r="T504" t="str">
            <v>Bueno</v>
          </cell>
          <cell r="U504" t="str">
            <v>N/T</v>
          </cell>
        </row>
        <row r="505">
          <cell r="J505" t="str">
            <v>42-04-02-00-0497</v>
          </cell>
          <cell r="K505" t="str">
            <v>42-2009</v>
          </cell>
          <cell r="L505" t="str">
            <v>42-04-02-00-0497</v>
          </cell>
          <cell r="M505" t="str">
            <v>Silla Ergonometrica color azul, 5 ruedas ( MEL )</v>
          </cell>
          <cell r="O505" t="str">
            <v>SILLAS</v>
          </cell>
          <cell r="P505">
            <v>42500</v>
          </cell>
          <cell r="T505" t="str">
            <v>Bueno</v>
          </cell>
          <cell r="U505" t="str">
            <v>N/T</v>
          </cell>
        </row>
        <row r="506">
          <cell r="J506" t="str">
            <v>42-04-06-00-0498</v>
          </cell>
          <cell r="K506" t="str">
            <v>42-260</v>
          </cell>
          <cell r="L506" t="str">
            <v>42-04-06-00-0498</v>
          </cell>
          <cell r="M506" t="str">
            <v>Estante de madera barniz natural 2 puertas de vidrio</v>
          </cell>
          <cell r="O506" t="str">
            <v>REPISA</v>
          </cell>
          <cell r="P506">
            <v>108707</v>
          </cell>
          <cell r="T506" t="str">
            <v>Bueno</v>
          </cell>
          <cell r="U506" t="str">
            <v>N/T</v>
          </cell>
        </row>
        <row r="507">
          <cell r="J507" t="str">
            <v>42-04-01-00-0499</v>
          </cell>
          <cell r="K507" t="str">
            <v>42-262</v>
          </cell>
          <cell r="L507" t="str">
            <v>42-04-01-00-0499</v>
          </cell>
          <cell r="M507" t="str">
            <v>Mesón metálico color blanco de 180x60x80 cms.</v>
          </cell>
          <cell r="O507" t="str">
            <v>MESAS</v>
          </cell>
          <cell r="P507">
            <v>98000</v>
          </cell>
          <cell r="T507" t="str">
            <v>Bueno</v>
          </cell>
          <cell r="U507" t="str">
            <v>N/T</v>
          </cell>
        </row>
        <row r="508">
          <cell r="J508" t="str">
            <v>42-04-01-00-0500</v>
          </cell>
          <cell r="K508" t="str">
            <v>42-348</v>
          </cell>
          <cell r="L508" t="str">
            <v>42-04-01-00-0500</v>
          </cell>
          <cell r="M508" t="str">
            <v>Mesa metálica con 1 cajón , cubierta de formalita verde</v>
          </cell>
          <cell r="O508" t="str">
            <v>MESAS</v>
          </cell>
          <cell r="P508">
            <v>100000</v>
          </cell>
          <cell r="T508" t="str">
            <v>Bueno</v>
          </cell>
          <cell r="U508" t="str">
            <v>N/T</v>
          </cell>
        </row>
        <row r="509">
          <cell r="J509" t="str">
            <v>42-05-02-01-0501</v>
          </cell>
          <cell r="K509" t="str">
            <v>42-263</v>
          </cell>
          <cell r="L509" t="str">
            <v>42-05-02-01-0501</v>
          </cell>
          <cell r="M509" t="str">
            <v>Cartabón de madera</v>
          </cell>
          <cell r="O509" t="str">
            <v>EQUIPOS CLINICOS</v>
          </cell>
          <cell r="P509">
            <v>40000</v>
          </cell>
          <cell r="T509" t="str">
            <v>Bueno</v>
          </cell>
          <cell r="U509" t="str">
            <v>N/T</v>
          </cell>
        </row>
        <row r="510">
          <cell r="J510" t="str">
            <v>42-04-02-00-0502</v>
          </cell>
          <cell r="K510" t="str">
            <v>42-66</v>
          </cell>
          <cell r="L510" t="str">
            <v>42-04-02-00-0502</v>
          </cell>
          <cell r="M510" t="str">
            <v>Silla de madera barniz natural tapizada en lanilla color café</v>
          </cell>
          <cell r="O510" t="str">
            <v>SILLAS</v>
          </cell>
          <cell r="P510">
            <v>15000</v>
          </cell>
          <cell r="T510" t="str">
            <v>Bueno</v>
          </cell>
          <cell r="U510" t="str">
            <v>N/T</v>
          </cell>
        </row>
        <row r="511">
          <cell r="J511" t="str">
            <v>42-05-02-01-0503</v>
          </cell>
          <cell r="K511" t="str">
            <v>42-2292</v>
          </cell>
          <cell r="L511" t="str">
            <v>42-05-02-01-0503</v>
          </cell>
          <cell r="M511" t="str">
            <v>Escabel madera blanco</v>
          </cell>
          <cell r="O511" t="str">
            <v>EQUIPOS CLINICOS</v>
          </cell>
          <cell r="P511">
            <v>17850</v>
          </cell>
          <cell r="T511" t="str">
            <v>Bueno</v>
          </cell>
          <cell r="U511" t="str">
            <v>N/T</v>
          </cell>
        </row>
        <row r="512">
          <cell r="J512" t="str">
            <v>42-04-07-00-0504</v>
          </cell>
          <cell r="K512" t="str">
            <v>42-265</v>
          </cell>
          <cell r="L512" t="str">
            <v>42-04-07-00-0504</v>
          </cell>
          <cell r="M512" t="str">
            <v>Papelero metálico color café</v>
          </cell>
          <cell r="O512" t="str">
            <v>OTROS</v>
          </cell>
          <cell r="P512">
            <v>5000</v>
          </cell>
          <cell r="T512" t="str">
            <v>Bueno</v>
          </cell>
          <cell r="U512" t="str">
            <v>N/T</v>
          </cell>
        </row>
        <row r="513">
          <cell r="J513" t="str">
            <v>42-05-01-01-0505</v>
          </cell>
          <cell r="K513" t="str">
            <v>42-261</v>
          </cell>
          <cell r="L513" t="str">
            <v>42-05-01-01-0505</v>
          </cell>
          <cell r="M513" t="str">
            <v>Perforador extra fuerte color gris</v>
          </cell>
          <cell r="O513" t="str">
            <v>EQUIPO DE OFICINA</v>
          </cell>
          <cell r="P513">
            <v>13582</v>
          </cell>
          <cell r="T513" t="str">
            <v>Bueno</v>
          </cell>
          <cell r="U513" t="str">
            <v>N/T</v>
          </cell>
        </row>
        <row r="514">
          <cell r="J514" t="str">
            <v>42-05-02-01-0506</v>
          </cell>
          <cell r="K514" t="str">
            <v>42-2293</v>
          </cell>
          <cell r="L514" t="str">
            <v>42-05-02-01-0506</v>
          </cell>
          <cell r="M514" t="str">
            <v>Balanza para lactante marca Soehnle S/Nº 400302042860 Cap. 20 Kg.</v>
          </cell>
          <cell r="O514" t="str">
            <v>EQUIPOS CLINICOS</v>
          </cell>
          <cell r="P514">
            <v>169546</v>
          </cell>
          <cell r="T514" t="str">
            <v>Malo</v>
          </cell>
          <cell r="U514" t="str">
            <v>Soehnle</v>
          </cell>
        </row>
        <row r="515">
          <cell r="J515" t="str">
            <v>42-05-02-01-0507</v>
          </cell>
          <cell r="K515" t="str">
            <v>42-2294</v>
          </cell>
          <cell r="L515" t="str">
            <v>42-05-02-01-0507</v>
          </cell>
          <cell r="M515" t="str">
            <v>Balanza con cartabón adulto marca EL-402 Health Scale cap. 160 Kg.</v>
          </cell>
          <cell r="O515" t="str">
            <v>EQUIPOS CLINICOS</v>
          </cell>
          <cell r="P515">
            <v>165648</v>
          </cell>
          <cell r="T515" t="str">
            <v>Malo</v>
          </cell>
          <cell r="U515" t="str">
            <v>Health Scale</v>
          </cell>
        </row>
        <row r="516">
          <cell r="J516" t="str">
            <v>42-05-02-01-0508</v>
          </cell>
          <cell r="K516" t="str">
            <v>42-1276</v>
          </cell>
          <cell r="L516" t="str">
            <v>42-05-02-01-0508</v>
          </cell>
          <cell r="M516" t="str">
            <v>Balanza para adulto con cartabón marca Seca</v>
          </cell>
          <cell r="O516" t="str">
            <v>EQUIPOS CLINICOS</v>
          </cell>
          <cell r="P516">
            <v>165648</v>
          </cell>
          <cell r="T516" t="str">
            <v>Malo</v>
          </cell>
          <cell r="U516" t="str">
            <v>Seca</v>
          </cell>
        </row>
        <row r="517">
          <cell r="J517" t="str">
            <v>42-05-01-01-0509</v>
          </cell>
          <cell r="K517" t="str">
            <v>42-1977</v>
          </cell>
          <cell r="L517" t="str">
            <v>42-05-01-01-0509</v>
          </cell>
          <cell r="M517" t="str">
            <v>Citófono/ teléfono marca Nortel Network, Modelo 7000</v>
          </cell>
          <cell r="O517" t="str">
            <v>EQUIPO DE OFICINA</v>
          </cell>
          <cell r="P517">
            <v>36000</v>
          </cell>
          <cell r="T517" t="str">
            <v>Bueno</v>
          </cell>
          <cell r="U517" t="str">
            <v>Nortel Network</v>
          </cell>
        </row>
        <row r="518">
          <cell r="J518" t="str">
            <v>42-04-07-00-0510</v>
          </cell>
          <cell r="K518" t="str">
            <v>42-3391</v>
          </cell>
          <cell r="L518" t="str">
            <v>42-04-07-00-0510</v>
          </cell>
          <cell r="M518" t="str">
            <v>Dispensador números para turno marca Turnotronics color azul</v>
          </cell>
          <cell r="O518" t="str">
            <v>OTROS</v>
          </cell>
          <cell r="P518">
            <v>95500</v>
          </cell>
          <cell r="T518" t="str">
            <v>Bueno</v>
          </cell>
          <cell r="U518" t="str">
            <v>Turnotronics</v>
          </cell>
        </row>
        <row r="519">
          <cell r="J519" t="str">
            <v>42-04-07-00-0511</v>
          </cell>
          <cell r="K519" t="str">
            <v>42-3392</v>
          </cell>
          <cell r="L519" t="str">
            <v>42-04-07-00-0511</v>
          </cell>
          <cell r="M519" t="str">
            <v>Dispensador números para turno marca Turnotronics color verde</v>
          </cell>
          <cell r="O519" t="str">
            <v>OTROS</v>
          </cell>
          <cell r="P519">
            <v>95500</v>
          </cell>
          <cell r="T519" t="str">
            <v>Bueno</v>
          </cell>
          <cell r="U519" t="str">
            <v>Turnotronics</v>
          </cell>
        </row>
        <row r="520">
          <cell r="J520" t="str">
            <v>42-04-07-00-0512</v>
          </cell>
          <cell r="K520" t="str">
            <v>42-3393</v>
          </cell>
          <cell r="L520" t="str">
            <v>42-04-07-00-0512</v>
          </cell>
          <cell r="M520" t="str">
            <v>Dispensador números para turno marca Turnotronics color amarillo</v>
          </cell>
          <cell r="O520" t="str">
            <v>OTROS</v>
          </cell>
          <cell r="P520">
            <v>95500</v>
          </cell>
          <cell r="T520" t="str">
            <v>Bueno</v>
          </cell>
          <cell r="U520" t="str">
            <v>Turnotronics</v>
          </cell>
        </row>
        <row r="521">
          <cell r="J521" t="str">
            <v>42-05-01-01-0513</v>
          </cell>
          <cell r="K521" t="str">
            <v>42-30</v>
          </cell>
          <cell r="L521" t="str">
            <v>42-05-01-01-0513</v>
          </cell>
          <cell r="M521" t="str">
            <v>Reloj control marca AMANO</v>
          </cell>
          <cell r="N521">
            <v>1</v>
          </cell>
          <cell r="O521" t="str">
            <v>EQUIPO DE OFICINA</v>
          </cell>
          <cell r="P521">
            <v>76500</v>
          </cell>
          <cell r="T521" t="str">
            <v>Bueno</v>
          </cell>
          <cell r="U521" t="str">
            <v>Amano</v>
          </cell>
        </row>
        <row r="522">
          <cell r="J522" t="str">
            <v>42-05-01-01-0514</v>
          </cell>
          <cell r="K522" t="str">
            <v>42-1360</v>
          </cell>
          <cell r="L522" t="str">
            <v>42-05-01-01-0514</v>
          </cell>
          <cell r="M522" t="str">
            <v>Televisor marca Sony a color KV 21 R 20 C de 20 pulgadas</v>
          </cell>
          <cell r="O522" t="str">
            <v>EQUIPO DE OFICINA</v>
          </cell>
          <cell r="P522">
            <v>50000</v>
          </cell>
          <cell r="T522" t="str">
            <v>Bueno</v>
          </cell>
          <cell r="U522" t="str">
            <v>Sony</v>
          </cell>
        </row>
        <row r="523">
          <cell r="J523" t="str">
            <v>42-04-07-00-0515</v>
          </cell>
          <cell r="K523" t="str">
            <v>42-1196</v>
          </cell>
          <cell r="L523" t="str">
            <v>42-04-07-00-0515</v>
          </cell>
          <cell r="M523" t="str">
            <v>Banca de madera barniz natural con respaldo donada por Club de Leones</v>
          </cell>
          <cell r="O523" t="str">
            <v>OTROS</v>
          </cell>
          <cell r="P523">
            <v>79011</v>
          </cell>
          <cell r="T523" t="str">
            <v>Bueno</v>
          </cell>
          <cell r="U523" t="str">
            <v>N/T</v>
          </cell>
        </row>
        <row r="524">
          <cell r="J524" t="str">
            <v>42-04-07-00-0516</v>
          </cell>
          <cell r="K524" t="str">
            <v>42-1197</v>
          </cell>
          <cell r="L524" t="str">
            <v>42-04-07-00-0516</v>
          </cell>
          <cell r="M524" t="str">
            <v>Banca de madera barniz natural con respaldo donada por Club de Leones</v>
          </cell>
          <cell r="O524" t="str">
            <v>OTROS</v>
          </cell>
          <cell r="P524">
            <v>79011</v>
          </cell>
          <cell r="T524" t="str">
            <v>Bueno</v>
          </cell>
          <cell r="U524" t="str">
            <v>N/T</v>
          </cell>
        </row>
        <row r="525">
          <cell r="J525" t="str">
            <v>42-04-07-00-0517</v>
          </cell>
          <cell r="K525" t="str">
            <v>42-1198</v>
          </cell>
          <cell r="L525" t="str">
            <v>42-04-07-00-0517</v>
          </cell>
          <cell r="M525" t="str">
            <v>Banca de madera barniz natural con respaldo donada por Club de Leones</v>
          </cell>
          <cell r="O525" t="str">
            <v>OTROS</v>
          </cell>
          <cell r="P525">
            <v>79011</v>
          </cell>
          <cell r="T525" t="str">
            <v>Bueno</v>
          </cell>
          <cell r="U525" t="str">
            <v>N/T</v>
          </cell>
        </row>
        <row r="526">
          <cell r="J526" t="str">
            <v>42-04-07-00-0518</v>
          </cell>
          <cell r="K526" t="str">
            <v>42-1199</v>
          </cell>
          <cell r="L526" t="str">
            <v>42-04-07-00-0518</v>
          </cell>
          <cell r="M526" t="str">
            <v>Banca de madera barniz natural con respaldo donada por Club de Leones</v>
          </cell>
          <cell r="O526" t="str">
            <v>OTROS</v>
          </cell>
          <cell r="P526">
            <v>79011</v>
          </cell>
          <cell r="T526" t="str">
            <v>Bueno</v>
          </cell>
          <cell r="U526" t="str">
            <v>N/T</v>
          </cell>
        </row>
        <row r="527">
          <cell r="J527" t="str">
            <v>42-04-07-00-0519</v>
          </cell>
          <cell r="K527" t="str">
            <v>42-1200</v>
          </cell>
          <cell r="L527" t="str">
            <v>42-04-07-00-0519</v>
          </cell>
          <cell r="M527" t="str">
            <v>Banca de madera barniz natural con respaldo donada por Club de Leones</v>
          </cell>
          <cell r="O527" t="str">
            <v>OTROS</v>
          </cell>
          <cell r="P527">
            <v>79011</v>
          </cell>
          <cell r="T527" t="str">
            <v>Bueno</v>
          </cell>
          <cell r="U527" t="str">
            <v>N/T</v>
          </cell>
        </row>
        <row r="528">
          <cell r="J528" t="str">
            <v>42-04-07-00-0520</v>
          </cell>
          <cell r="K528" t="str">
            <v>42-2806</v>
          </cell>
          <cell r="L528" t="str">
            <v>42-04-07-00-0520</v>
          </cell>
          <cell r="M528" t="str">
            <v>Banca de madera barniz natural con respaldo donada por Club de Leones</v>
          </cell>
          <cell r="O528" t="str">
            <v>OTROS</v>
          </cell>
          <cell r="P528">
            <v>79011</v>
          </cell>
          <cell r="T528" t="str">
            <v>Bueno</v>
          </cell>
          <cell r="U528" t="str">
            <v>N/T</v>
          </cell>
        </row>
        <row r="529">
          <cell r="J529" t="str">
            <v>42-04-07-00-0521</v>
          </cell>
          <cell r="K529" t="str">
            <v>42-1195</v>
          </cell>
          <cell r="L529" t="str">
            <v>42-04-07-00-0521</v>
          </cell>
          <cell r="M529" t="str">
            <v>Banca de madera barniz natural con respaldo donada por Club de Leones</v>
          </cell>
          <cell r="O529" t="str">
            <v>OTROS</v>
          </cell>
          <cell r="P529">
            <v>79011</v>
          </cell>
          <cell r="T529" t="str">
            <v>Bueno</v>
          </cell>
          <cell r="U529" t="str">
            <v>N/T</v>
          </cell>
        </row>
        <row r="530">
          <cell r="J530" t="str">
            <v>42-04-07-00-0522</v>
          </cell>
          <cell r="K530" t="str">
            <v>42-1371</v>
          </cell>
          <cell r="L530" t="str">
            <v>42-04-07-00-0522</v>
          </cell>
          <cell r="M530" t="str">
            <v>Banca de madera con respaldo color plomo donada por el Rotary</v>
          </cell>
          <cell r="O530" t="str">
            <v>OTROS</v>
          </cell>
          <cell r="P530">
            <v>79011</v>
          </cell>
          <cell r="T530" t="str">
            <v>Bueno</v>
          </cell>
          <cell r="U530" t="str">
            <v>N/T</v>
          </cell>
        </row>
        <row r="531">
          <cell r="J531" t="str">
            <v>42-04-07-00-0523</v>
          </cell>
          <cell r="K531" t="str">
            <v>42-2847</v>
          </cell>
          <cell r="L531" t="str">
            <v>42-04-07-00-0523</v>
          </cell>
          <cell r="M531" t="str">
            <v>Banca mixta color plomo</v>
          </cell>
          <cell r="O531" t="str">
            <v>OTROS</v>
          </cell>
          <cell r="P531">
            <v>79011</v>
          </cell>
          <cell r="T531" t="str">
            <v>Bueno</v>
          </cell>
          <cell r="U531" t="str">
            <v>N/T</v>
          </cell>
        </row>
        <row r="532">
          <cell r="J532" t="str">
            <v>42-04-07-00-0524</v>
          </cell>
          <cell r="K532" t="str">
            <v>42-279</v>
          </cell>
          <cell r="L532" t="str">
            <v>42-04-07-00-0524</v>
          </cell>
          <cell r="M532" t="str">
            <v>Banca madera con estructura metálica color rojo</v>
          </cell>
          <cell r="O532" t="str">
            <v>OTROS</v>
          </cell>
          <cell r="P532">
            <v>79011</v>
          </cell>
          <cell r="T532" t="str">
            <v>Bueno</v>
          </cell>
          <cell r="U532" t="str">
            <v>N/T</v>
          </cell>
        </row>
        <row r="533">
          <cell r="J533" t="str">
            <v>42-04-07-00-0525</v>
          </cell>
          <cell r="K533" t="str">
            <v>42-277</v>
          </cell>
          <cell r="L533" t="str">
            <v>42-04-07-00-0525</v>
          </cell>
          <cell r="M533" t="str">
            <v>Banca mixta color plomo</v>
          </cell>
          <cell r="O533" t="str">
            <v>OTROS</v>
          </cell>
          <cell r="P533">
            <v>79011</v>
          </cell>
          <cell r="T533" t="str">
            <v>Bueno</v>
          </cell>
          <cell r="U533" t="str">
            <v>N/T</v>
          </cell>
        </row>
        <row r="534">
          <cell r="J534" t="str">
            <v>42-04-07-00-0526</v>
          </cell>
          <cell r="K534" t="str">
            <v>42-36</v>
          </cell>
          <cell r="L534" t="str">
            <v>42-04-07-00-0526</v>
          </cell>
          <cell r="M534" t="str">
            <v>Banca de madera color gris con respaldo</v>
          </cell>
          <cell r="O534" t="str">
            <v>OTROS</v>
          </cell>
          <cell r="P534">
            <v>79011</v>
          </cell>
          <cell r="T534" t="str">
            <v>Bueno</v>
          </cell>
          <cell r="U534" t="str">
            <v>N/T</v>
          </cell>
        </row>
        <row r="535">
          <cell r="J535" t="str">
            <v>42-04-07-00-0527</v>
          </cell>
          <cell r="K535" t="str">
            <v>42-2818</v>
          </cell>
          <cell r="L535" t="str">
            <v>42-04-07-00-0527</v>
          </cell>
          <cell r="M535" t="str">
            <v>Banca madera con estructura metálica color plomo</v>
          </cell>
          <cell r="O535" t="str">
            <v>OTROS</v>
          </cell>
          <cell r="P535">
            <v>79011</v>
          </cell>
          <cell r="T535" t="str">
            <v>Bueno</v>
          </cell>
          <cell r="U535" t="str">
            <v>N/T</v>
          </cell>
        </row>
        <row r="536">
          <cell r="J536" t="str">
            <v>42-04-03-00-0528</v>
          </cell>
          <cell r="K536" t="str">
            <v>42-883</v>
          </cell>
          <cell r="L536" t="str">
            <v>42-04-03-00-0528</v>
          </cell>
          <cell r="M536" t="str">
            <v>Escritorio de madera barniz natural 60x100x80 cms.</v>
          </cell>
          <cell r="O536" t="str">
            <v>ESCRITORIOS</v>
          </cell>
          <cell r="P536">
            <v>84794</v>
          </cell>
          <cell r="T536" t="str">
            <v>Bueno</v>
          </cell>
          <cell r="U536" t="str">
            <v>N/T</v>
          </cell>
        </row>
        <row r="537">
          <cell r="J537" t="str">
            <v>42-04-02-00-0529</v>
          </cell>
          <cell r="K537" t="str">
            <v>42-1407</v>
          </cell>
          <cell r="L537" t="str">
            <v>42-04-02-00-0529</v>
          </cell>
          <cell r="M537" t="str">
            <v>Silla computación G Lift color plomo 5 ruedas</v>
          </cell>
          <cell r="O537" t="str">
            <v>SILLAS</v>
          </cell>
          <cell r="P537">
            <v>42568</v>
          </cell>
          <cell r="T537" t="str">
            <v>Bueno</v>
          </cell>
          <cell r="U537" t="str">
            <v>N/T</v>
          </cell>
        </row>
        <row r="538">
          <cell r="J538" t="str">
            <v>42-04-02-00-0530</v>
          </cell>
          <cell r="K538" t="str">
            <v>42-1334</v>
          </cell>
          <cell r="L538" t="str">
            <v>42-04-02-00-0530</v>
          </cell>
          <cell r="M538" t="str">
            <v>Silla mixta asiento y respaldo en formalita café claro</v>
          </cell>
          <cell r="O538" t="str">
            <v>SILLAS</v>
          </cell>
          <cell r="P538">
            <v>17850</v>
          </cell>
          <cell r="T538" t="str">
            <v>Bueno</v>
          </cell>
          <cell r="U538" t="str">
            <v>N/T</v>
          </cell>
        </row>
        <row r="539">
          <cell r="J539" t="str">
            <v>42-04-07-00-0531</v>
          </cell>
          <cell r="K539" t="str">
            <v>42-2146</v>
          </cell>
          <cell r="L539" t="str">
            <v>42-04-07-00-0531</v>
          </cell>
          <cell r="M539" t="str">
            <v>Basurero grande marca Omnium color plomo con tapa burdeo y ruedas</v>
          </cell>
          <cell r="O539" t="str">
            <v>OTROS</v>
          </cell>
          <cell r="P539">
            <v>10251</v>
          </cell>
          <cell r="T539" t="str">
            <v>Bueno</v>
          </cell>
          <cell r="U539" t="str">
            <v>Omniun</v>
          </cell>
        </row>
        <row r="540">
          <cell r="J540" t="str">
            <v>42-05-01-01-0532</v>
          </cell>
          <cell r="K540" t="str">
            <v>42-2147</v>
          </cell>
          <cell r="L540" t="str">
            <v>42-05-01-01-0532</v>
          </cell>
          <cell r="M540" t="str">
            <v>Caja de madera para guardar televisor en cholguan con llave de 60x60 cms</v>
          </cell>
          <cell r="O540" t="str">
            <v>EQUIPO DE OFICINA</v>
          </cell>
          <cell r="P540">
            <v>38000</v>
          </cell>
          <cell r="T540" t="str">
            <v>Bueno</v>
          </cell>
          <cell r="U540" t="str">
            <v>N/T</v>
          </cell>
        </row>
        <row r="541">
          <cell r="J541" t="str">
            <v>42-04-07-00-0533</v>
          </cell>
          <cell r="K541" t="str">
            <v>42-3394</v>
          </cell>
          <cell r="L541" t="str">
            <v>42-04-07-00-0533</v>
          </cell>
          <cell r="M541" t="str">
            <v>Exhibidor metálico propaganda Auge</v>
          </cell>
          <cell r="O541" t="str">
            <v>OTROS</v>
          </cell>
          <cell r="P541">
            <v>15000</v>
          </cell>
          <cell r="T541" t="str">
            <v>Bueno</v>
          </cell>
          <cell r="U541" t="str">
            <v>N/T</v>
          </cell>
        </row>
        <row r="542">
          <cell r="J542" t="str">
            <v>42-05-02-05-0534</v>
          </cell>
          <cell r="K542" t="str">
            <v>42-276</v>
          </cell>
          <cell r="L542" t="str">
            <v>42-05-02-05-0534</v>
          </cell>
          <cell r="M542" t="str">
            <v>Equipo contra incendio color rojo con mangueras</v>
          </cell>
          <cell r="O542" t="str">
            <v>EQUIPOS DE SEGURIDAD</v>
          </cell>
          <cell r="P542">
            <v>150000</v>
          </cell>
          <cell r="T542" t="str">
            <v>Bueno</v>
          </cell>
          <cell r="U542" t="str">
            <v>N/T</v>
          </cell>
        </row>
        <row r="543">
          <cell r="J543" t="str">
            <v>42-05-02-05-0535</v>
          </cell>
          <cell r="K543" t="str">
            <v>42-2524</v>
          </cell>
          <cell r="L543" t="str">
            <v>42-05-02-05-0535</v>
          </cell>
          <cell r="M543" t="str">
            <v>Extintor incendio tipo ABC 2 kgs</v>
          </cell>
          <cell r="O543" t="str">
            <v>EQUIPOS DE SEGURIDAD</v>
          </cell>
          <cell r="P543">
            <v>25000</v>
          </cell>
          <cell r="T543" t="str">
            <v>Bueno</v>
          </cell>
          <cell r="U543" t="str">
            <v>N/T</v>
          </cell>
        </row>
        <row r="544">
          <cell r="J544" t="str">
            <v>42-04-06-00-0536</v>
          </cell>
          <cell r="K544" t="str">
            <v>42-3215</v>
          </cell>
          <cell r="L544" t="str">
            <v>42-04-06-00-0536</v>
          </cell>
          <cell r="M544" t="str">
            <v>Mueble mostrador madera color barniz natural</v>
          </cell>
          <cell r="O544" t="str">
            <v>REPISA</v>
          </cell>
          <cell r="P544">
            <v>79800</v>
          </cell>
          <cell r="T544" t="str">
            <v>Bueno</v>
          </cell>
          <cell r="U544" t="str">
            <v>N/T</v>
          </cell>
        </row>
        <row r="545">
          <cell r="J545" t="str">
            <v>42-04-06-00-0537</v>
          </cell>
          <cell r="K545" t="str">
            <v>42-3390</v>
          </cell>
          <cell r="L545" t="str">
            <v>42-04-06-00-0537</v>
          </cell>
          <cell r="M545" t="str">
            <v>Mueble masisa 1 puerta 68x36x101 cms.</v>
          </cell>
          <cell r="O545" t="str">
            <v>REPISA</v>
          </cell>
          <cell r="P545">
            <v>80000</v>
          </cell>
          <cell r="T545" t="str">
            <v>Bueno</v>
          </cell>
          <cell r="U545" t="str">
            <v>N/T</v>
          </cell>
        </row>
        <row r="546">
          <cell r="J546" t="str">
            <v>42-04-07-00-0538</v>
          </cell>
          <cell r="K546" t="str">
            <v>42-2148</v>
          </cell>
          <cell r="L546" t="str">
            <v>42-04-07-00-0538</v>
          </cell>
          <cell r="M546" t="str">
            <v>Mural de madera de 203x53 cms.</v>
          </cell>
          <cell r="O546" t="str">
            <v>OTROS</v>
          </cell>
          <cell r="P546">
            <v>120325</v>
          </cell>
          <cell r="T546" t="str">
            <v>Bueno</v>
          </cell>
          <cell r="U546" t="str">
            <v>N/T</v>
          </cell>
        </row>
        <row r="547">
          <cell r="J547" t="str">
            <v>42-04-07-00-0539</v>
          </cell>
          <cell r="K547" t="str">
            <v>42-3214</v>
          </cell>
          <cell r="L547" t="str">
            <v>42-04-07-00-0539</v>
          </cell>
          <cell r="M547" t="str">
            <v>Mural pedestal madera color barniz natural</v>
          </cell>
          <cell r="O547" t="str">
            <v>OTROS</v>
          </cell>
          <cell r="P547">
            <v>120325</v>
          </cell>
          <cell r="T547" t="str">
            <v>Bueno</v>
          </cell>
          <cell r="U547" t="str">
            <v>N/T</v>
          </cell>
        </row>
        <row r="548">
          <cell r="J548" t="str">
            <v>42-04-02-00-0540</v>
          </cell>
          <cell r="K548" t="str">
            <v>42-3237</v>
          </cell>
          <cell r="L548" t="str">
            <v>42-04-02-00-0540</v>
          </cell>
          <cell r="M548" t="str">
            <v>Silla de ruedas Kjaerlff Ref. 201921314/402435 color blanco/negro</v>
          </cell>
          <cell r="O548" t="str">
            <v>SILLAS</v>
          </cell>
          <cell r="P548">
            <v>156000</v>
          </cell>
          <cell r="T548" t="str">
            <v>Bueno</v>
          </cell>
          <cell r="U548" t="str">
            <v>N/T</v>
          </cell>
        </row>
        <row r="549">
          <cell r="J549" t="str">
            <v>42-04-02-00-0541</v>
          </cell>
          <cell r="K549" t="str">
            <v>42-3238</v>
          </cell>
          <cell r="L549" t="str">
            <v>42-04-02-00-0541</v>
          </cell>
          <cell r="M549" t="str">
            <v>Silla de ruedas Wheelchair Fundation color rojo/negro</v>
          </cell>
          <cell r="O549" t="str">
            <v>SILLAS</v>
          </cell>
          <cell r="P549">
            <v>156000</v>
          </cell>
          <cell r="T549" t="str">
            <v>Bueno</v>
          </cell>
          <cell r="U549" t="str">
            <v>N/T</v>
          </cell>
        </row>
        <row r="550">
          <cell r="J550" t="str">
            <v>42-04-02-00-0542</v>
          </cell>
          <cell r="K550" t="str">
            <v>42-317</v>
          </cell>
          <cell r="L550" t="str">
            <v>42-04-02-00-0542</v>
          </cell>
          <cell r="M550" t="str">
            <v>Silla mixta asiento y respaldo en  formalita café claro</v>
          </cell>
          <cell r="O550" t="str">
            <v>SILLAS</v>
          </cell>
          <cell r="P550">
            <v>5640</v>
          </cell>
          <cell r="T550" t="str">
            <v>Bueno</v>
          </cell>
          <cell r="U550" t="str">
            <v>N/T</v>
          </cell>
        </row>
        <row r="551">
          <cell r="J551" t="str">
            <v>42-04-07-00-0543</v>
          </cell>
          <cell r="K551" t="str">
            <v>42-31</v>
          </cell>
          <cell r="L551" t="str">
            <v>42-04-07-00-0543</v>
          </cell>
          <cell r="M551" t="str">
            <v>Tarjetero metálico color plomo 90x44 cms.</v>
          </cell>
          <cell r="O551" t="str">
            <v>OTROS</v>
          </cell>
          <cell r="P551">
            <v>45200</v>
          </cell>
          <cell r="T551" t="str">
            <v>Bueno</v>
          </cell>
          <cell r="U551" t="str">
            <v>N/T</v>
          </cell>
        </row>
        <row r="552">
          <cell r="J552" t="str">
            <v>42-05-01-01-0544</v>
          </cell>
          <cell r="K552" t="str">
            <v>42-2814</v>
          </cell>
          <cell r="L552" t="str">
            <v>42-05-01-01-0544</v>
          </cell>
          <cell r="M552" t="str">
            <v>Secador de manos eléctrico marca Fast line Mod. GSX - 1900A</v>
          </cell>
          <cell r="O552" t="str">
            <v>EQUIPO DE OFICINA</v>
          </cell>
          <cell r="P552">
            <v>45847</v>
          </cell>
          <cell r="T552" t="str">
            <v>Bueno</v>
          </cell>
          <cell r="U552" t="str">
            <v>Farst</v>
          </cell>
        </row>
        <row r="553">
          <cell r="J553" t="str">
            <v>42-05-01-01-0545</v>
          </cell>
          <cell r="K553" t="str">
            <v>42-2813</v>
          </cell>
          <cell r="L553" t="str">
            <v>42-05-01-01-0545</v>
          </cell>
          <cell r="M553" t="str">
            <v>Extractor de aire marca Dospel</v>
          </cell>
          <cell r="O553" t="str">
            <v>EQUIPO DE OFICINA</v>
          </cell>
          <cell r="P553">
            <v>25000</v>
          </cell>
          <cell r="T553" t="str">
            <v>Bueno</v>
          </cell>
          <cell r="U553" t="str">
            <v>Dospel</v>
          </cell>
        </row>
        <row r="554">
          <cell r="J554" t="str">
            <v>42-05-01-01-0546</v>
          </cell>
          <cell r="K554" t="str">
            <v>42-2816</v>
          </cell>
          <cell r="L554" t="str">
            <v>42-05-01-01-0546</v>
          </cell>
          <cell r="M554" t="str">
            <v>Extractor de aire marca Dospel</v>
          </cell>
          <cell r="O554" t="str">
            <v>EQUIPO DE OFICINA</v>
          </cell>
          <cell r="P554">
            <v>25000</v>
          </cell>
          <cell r="T554" t="str">
            <v>Bueno</v>
          </cell>
          <cell r="U554" t="str">
            <v>Dospel</v>
          </cell>
        </row>
        <row r="555">
          <cell r="J555" t="str">
            <v>42-04-07-00-0547</v>
          </cell>
          <cell r="K555" t="str">
            <v>42-2811</v>
          </cell>
          <cell r="L555" t="str">
            <v>42-04-07-00-0547</v>
          </cell>
          <cell r="M555" t="str">
            <v>Espejo marco aluminio 110x60 cms.</v>
          </cell>
          <cell r="O555" t="str">
            <v>OTROS</v>
          </cell>
          <cell r="P555">
            <v>15000</v>
          </cell>
          <cell r="T555" t="str">
            <v>Bueno</v>
          </cell>
          <cell r="U555" t="str">
            <v>N/T</v>
          </cell>
        </row>
        <row r="556">
          <cell r="J556" t="str">
            <v>42-04-07-00-0548</v>
          </cell>
          <cell r="K556" t="str">
            <v>42-2815</v>
          </cell>
          <cell r="L556" t="str">
            <v>42-04-07-00-0548</v>
          </cell>
          <cell r="M556" t="str">
            <v>Porta toalla acero 85 cms.</v>
          </cell>
          <cell r="O556" t="str">
            <v>OTROS</v>
          </cell>
          <cell r="P556">
            <v>15000</v>
          </cell>
          <cell r="T556" t="str">
            <v>Bueno</v>
          </cell>
          <cell r="U556" t="str">
            <v>N/T</v>
          </cell>
        </row>
        <row r="557">
          <cell r="J557" t="str">
            <v>42-04-07-00-0549</v>
          </cell>
          <cell r="K557" t="str">
            <v>42-282</v>
          </cell>
          <cell r="L557" t="str">
            <v>42-04-07-00-0549</v>
          </cell>
          <cell r="M557" t="str">
            <v>Banca madera con estructura metálica color plomo</v>
          </cell>
          <cell r="O557" t="str">
            <v>OTROS</v>
          </cell>
          <cell r="P557">
            <v>79011</v>
          </cell>
          <cell r="T557" t="str">
            <v>bueno</v>
          </cell>
          <cell r="U557" t="str">
            <v>N/T</v>
          </cell>
        </row>
        <row r="558">
          <cell r="J558" t="str">
            <v>42-04-07-00-0550</v>
          </cell>
          <cell r="K558" t="str">
            <v>42-283</v>
          </cell>
          <cell r="L558" t="str">
            <v>42-04-07-00-0550</v>
          </cell>
          <cell r="M558" t="str">
            <v>Banca madera con estructura metálica color plomo</v>
          </cell>
          <cell r="O558" t="str">
            <v>OTROS</v>
          </cell>
          <cell r="P558">
            <v>79011</v>
          </cell>
          <cell r="T558" t="str">
            <v>bueno</v>
          </cell>
          <cell r="U558" t="str">
            <v>N/T</v>
          </cell>
        </row>
        <row r="559">
          <cell r="J559" t="str">
            <v>42-04-07-00-0551</v>
          </cell>
          <cell r="K559" t="str">
            <v>42-284B</v>
          </cell>
          <cell r="L559" t="str">
            <v>42-04-07-00-0551</v>
          </cell>
          <cell r="M559" t="str">
            <v>Banca madera con estructura metálica color plomo</v>
          </cell>
          <cell r="O559" t="str">
            <v>OTROS</v>
          </cell>
          <cell r="P559">
            <v>79011</v>
          </cell>
          <cell r="T559" t="str">
            <v>bueno</v>
          </cell>
          <cell r="U559" t="str">
            <v>N/T</v>
          </cell>
        </row>
        <row r="560">
          <cell r="J560" t="str">
            <v>42-04-07-00-0552</v>
          </cell>
          <cell r="K560" t="str">
            <v>42-1368</v>
          </cell>
          <cell r="L560" t="str">
            <v>42-04-07-00-0552</v>
          </cell>
          <cell r="M560" t="str">
            <v>Banca de madera con respaldo color plomo ( Donado Rotary Club )</v>
          </cell>
          <cell r="O560" t="str">
            <v>OTROS</v>
          </cell>
          <cell r="P560">
            <v>79011</v>
          </cell>
          <cell r="T560" t="str">
            <v>bueno</v>
          </cell>
          <cell r="U560" t="str">
            <v>N/T</v>
          </cell>
        </row>
        <row r="561">
          <cell r="J561" t="str">
            <v>42-04-07-00-0553</v>
          </cell>
          <cell r="K561" t="str">
            <v>42-1365</v>
          </cell>
          <cell r="L561" t="str">
            <v>42-04-07-00-0553</v>
          </cell>
          <cell r="M561" t="str">
            <v>Banca de madera con respaldo color plomo donada por Rotary</v>
          </cell>
          <cell r="O561" t="str">
            <v>OTROS</v>
          </cell>
          <cell r="P561">
            <v>79011</v>
          </cell>
          <cell r="T561" t="str">
            <v>bueno</v>
          </cell>
          <cell r="U561" t="str">
            <v>N/T</v>
          </cell>
        </row>
        <row r="562">
          <cell r="J562" t="str">
            <v>42-04-07-00-0554</v>
          </cell>
          <cell r="K562" t="str">
            <v>42-1366</v>
          </cell>
          <cell r="L562" t="str">
            <v>42-04-07-00-0554</v>
          </cell>
          <cell r="M562" t="str">
            <v>Banca de madera con respaldo color plomo donada por Rotary</v>
          </cell>
          <cell r="O562" t="str">
            <v>OTROS</v>
          </cell>
          <cell r="P562">
            <v>79011</v>
          </cell>
          <cell r="T562" t="str">
            <v>bueno</v>
          </cell>
          <cell r="U562" t="str">
            <v>N/T</v>
          </cell>
        </row>
        <row r="563">
          <cell r="J563" t="str">
            <v>42-04-07-00-0555</v>
          </cell>
          <cell r="K563" t="str">
            <v>42-270</v>
          </cell>
          <cell r="L563" t="str">
            <v>42-04-07-00-0555</v>
          </cell>
          <cell r="M563" t="str">
            <v>Banca mixta con respaldo color plomo</v>
          </cell>
          <cell r="O563" t="str">
            <v>OTROS</v>
          </cell>
          <cell r="P563">
            <v>79011</v>
          </cell>
          <cell r="T563" t="str">
            <v>bueno</v>
          </cell>
          <cell r="U563" t="str">
            <v>N/T</v>
          </cell>
        </row>
        <row r="564">
          <cell r="J564" t="str">
            <v>42-04-07-00-0556</v>
          </cell>
          <cell r="K564" t="str">
            <v>42-2823</v>
          </cell>
          <cell r="L564" t="str">
            <v>42-04-07-00-0556</v>
          </cell>
          <cell r="M564" t="str">
            <v>Banca madera color rojo / plomo</v>
          </cell>
          <cell r="O564" t="str">
            <v>OTROS</v>
          </cell>
          <cell r="P564">
            <v>79011</v>
          </cell>
          <cell r="T564" t="str">
            <v>bueno</v>
          </cell>
          <cell r="U564" t="str">
            <v>N/T</v>
          </cell>
        </row>
        <row r="565">
          <cell r="J565" t="str">
            <v>42-04-07-00-0557</v>
          </cell>
          <cell r="K565" t="str">
            <v>42-2819</v>
          </cell>
          <cell r="L565" t="str">
            <v>42-04-07-00-0557</v>
          </cell>
          <cell r="M565" t="str">
            <v>Banca madera con estructura metálica color plomo</v>
          </cell>
          <cell r="O565" t="str">
            <v>OTROS</v>
          </cell>
          <cell r="P565">
            <v>79011</v>
          </cell>
          <cell r="T565" t="str">
            <v>bueno</v>
          </cell>
          <cell r="U565" t="str">
            <v>N/T</v>
          </cell>
        </row>
        <row r="566">
          <cell r="J566" t="str">
            <v>42-04-07-00-0558</v>
          </cell>
          <cell r="K566" t="str">
            <v>42-37</v>
          </cell>
          <cell r="L566" t="str">
            <v>42-04-07-00-0558</v>
          </cell>
          <cell r="M566" t="str">
            <v>Banca de madera color gris con respaldo</v>
          </cell>
          <cell r="O566" t="str">
            <v>OTROS</v>
          </cell>
          <cell r="P566">
            <v>79011</v>
          </cell>
          <cell r="T566" t="str">
            <v>bueno</v>
          </cell>
          <cell r="U566" t="str">
            <v>N/T</v>
          </cell>
        </row>
        <row r="567">
          <cell r="J567" t="str">
            <v>42-04-03-00-0559</v>
          </cell>
          <cell r="K567" t="str">
            <v>42-2483</v>
          </cell>
          <cell r="L567" t="str">
            <v>42-04-03-00-0559</v>
          </cell>
          <cell r="M567" t="str">
            <v>Escritorio de madera con patas metálicas 2 cajones 120x75x75 cms</v>
          </cell>
          <cell r="O567" t="str">
            <v>ESCRITORIOS</v>
          </cell>
          <cell r="P567">
            <v>69264</v>
          </cell>
          <cell r="T567" t="str">
            <v>bueno</v>
          </cell>
          <cell r="U567" t="str">
            <v>N/T</v>
          </cell>
        </row>
        <row r="568">
          <cell r="J568" t="str">
            <v>42-04-06-00-0560</v>
          </cell>
          <cell r="K568" t="str">
            <v>42-2484</v>
          </cell>
          <cell r="L568" t="str">
            <v>42-04-06-00-0560</v>
          </cell>
          <cell r="M568" t="str">
            <v>Mueble con tapa color plomo 152x45x48 cms.</v>
          </cell>
          <cell r="O568" t="str">
            <v>REPISA</v>
          </cell>
          <cell r="P568">
            <v>65984</v>
          </cell>
          <cell r="T568" t="str">
            <v>bueno</v>
          </cell>
          <cell r="U568" t="str">
            <v>N/T</v>
          </cell>
        </row>
        <row r="569">
          <cell r="J569" t="str">
            <v>42-04-07-00-0561</v>
          </cell>
          <cell r="K569" t="str">
            <v>42-1372</v>
          </cell>
          <cell r="L569" t="str">
            <v>42-04-07-00-0561</v>
          </cell>
          <cell r="M569" t="str">
            <v>Mudador con lavamanos blanco, 4 puertas, con tapiz claro de 163x60 cms</v>
          </cell>
          <cell r="O569" t="str">
            <v>OTROS</v>
          </cell>
          <cell r="P569">
            <v>95245</v>
          </cell>
          <cell r="T569" t="str">
            <v>bueno</v>
          </cell>
          <cell r="U569" t="str">
            <v>N/T</v>
          </cell>
        </row>
        <row r="570">
          <cell r="J570" t="str">
            <v>42-04-07-00-0562</v>
          </cell>
          <cell r="K570" t="str">
            <v>42-1373</v>
          </cell>
          <cell r="L570" t="str">
            <v>42-04-07-00-0562</v>
          </cell>
          <cell r="M570" t="str">
            <v>Mostrador para dividir en melamina blanca con 4 compartimentos de  125x58 cms.</v>
          </cell>
          <cell r="O570" t="str">
            <v>OTROS</v>
          </cell>
          <cell r="P570">
            <v>50000</v>
          </cell>
          <cell r="T570" t="str">
            <v>bueno</v>
          </cell>
          <cell r="U570" t="str">
            <v>N/T</v>
          </cell>
        </row>
        <row r="571">
          <cell r="J571" t="str">
            <v>42-05-01-01-0563</v>
          </cell>
          <cell r="K571" t="str">
            <v>42-2151</v>
          </cell>
          <cell r="L571" t="str">
            <v>42-05-01-01-0563</v>
          </cell>
          <cell r="M571" t="str">
            <v>Caja para guardar televisor en cholguan con llave de 60x60 cms.</v>
          </cell>
          <cell r="O571" t="str">
            <v>EQUIPO DE OFICINA</v>
          </cell>
          <cell r="P571">
            <v>38000</v>
          </cell>
          <cell r="T571" t="str">
            <v>bueno</v>
          </cell>
          <cell r="U571" t="str">
            <v>N/T</v>
          </cell>
        </row>
        <row r="572">
          <cell r="J572" t="str">
            <v>42-04-07-00-0564</v>
          </cell>
          <cell r="K572" t="str">
            <v>42-2820</v>
          </cell>
          <cell r="L572" t="str">
            <v>42-04-07-00-0564</v>
          </cell>
          <cell r="M572" t="str">
            <v>Cuadro con marco aluminio con vidrio de 79x57 cms. pirámide alimenticia</v>
          </cell>
          <cell r="O572" t="str">
            <v>OTROS</v>
          </cell>
          <cell r="P572">
            <v>40000</v>
          </cell>
          <cell r="T572" t="str">
            <v>bueno</v>
          </cell>
          <cell r="U572" t="str">
            <v>N/T</v>
          </cell>
        </row>
        <row r="573">
          <cell r="J573" t="str">
            <v>42-05-02-05-0565</v>
          </cell>
          <cell r="K573" t="str">
            <v>42-3395</v>
          </cell>
          <cell r="L573" t="str">
            <v>42-05-02-05-0565</v>
          </cell>
          <cell r="M573" t="str">
            <v>Extintor incensio tipo ABC 6 kgs</v>
          </cell>
          <cell r="O573" t="str">
            <v>EQUIPOS DE SEGURIDAD</v>
          </cell>
          <cell r="P573">
            <v>28900</v>
          </cell>
          <cell r="T573" t="str">
            <v>bueno</v>
          </cell>
          <cell r="U573" t="str">
            <v>N/T</v>
          </cell>
        </row>
        <row r="574">
          <cell r="J574" t="str">
            <v>42-04-07-00-0566</v>
          </cell>
          <cell r="K574" t="str">
            <v>42-2822</v>
          </cell>
          <cell r="L574" t="str">
            <v>42-04-07-00-0566</v>
          </cell>
          <cell r="M574" t="str">
            <v>Basurero grande marca Omnium color plomo con tapa color burdeo 125x58 cms.</v>
          </cell>
          <cell r="O574" t="str">
            <v>OTROS</v>
          </cell>
          <cell r="P574">
            <v>86421</v>
          </cell>
          <cell r="T574" t="str">
            <v>bueno</v>
          </cell>
          <cell r="U574" t="str">
            <v>Omnium</v>
          </cell>
        </row>
        <row r="575">
          <cell r="J575" t="str">
            <v>42-05-01-01-0567</v>
          </cell>
          <cell r="K575" t="str">
            <v>42-3216</v>
          </cell>
          <cell r="L575" t="str">
            <v>42-05-01-01-0567</v>
          </cell>
          <cell r="M575" t="str">
            <v>Extractor de aire Marca Silent 200</v>
          </cell>
          <cell r="O575" t="str">
            <v>EQUIPO DE OFICINA</v>
          </cell>
          <cell r="P575">
            <v>25000</v>
          </cell>
          <cell r="T575" t="str">
            <v>bueno</v>
          </cell>
          <cell r="U575" t="str">
            <v>Silient</v>
          </cell>
        </row>
        <row r="576">
          <cell r="J576" t="str">
            <v>42-04-07-00-0568</v>
          </cell>
          <cell r="K576" t="str">
            <v>42-2154</v>
          </cell>
          <cell r="L576" t="str">
            <v>42-04-07-00-0568</v>
          </cell>
          <cell r="M576" t="str">
            <v>Dispensador papel higiénico marca Elite</v>
          </cell>
          <cell r="O576" t="str">
            <v>OTROS</v>
          </cell>
          <cell r="P576">
            <v>15000</v>
          </cell>
          <cell r="T576" t="str">
            <v>bueno</v>
          </cell>
          <cell r="U576" t="str">
            <v>Elite</v>
          </cell>
        </row>
        <row r="577">
          <cell r="J577" t="str">
            <v>42-05-01-01-0569</v>
          </cell>
          <cell r="K577" t="str">
            <v>42-3217</v>
          </cell>
          <cell r="L577" t="str">
            <v>42-05-01-01-0569</v>
          </cell>
          <cell r="M577" t="str">
            <v>Extractor de aire Marca Silent 200</v>
          </cell>
          <cell r="O577" t="str">
            <v>EQUIPO DE OFICINA</v>
          </cell>
          <cell r="P577">
            <v>25000</v>
          </cell>
          <cell r="T577" t="str">
            <v>bueno</v>
          </cell>
          <cell r="U577" t="str">
            <v>Silent</v>
          </cell>
        </row>
        <row r="578">
          <cell r="J578" t="str">
            <v>42-05-01-01-0570</v>
          </cell>
          <cell r="K578" t="str">
            <v>42-2817</v>
          </cell>
          <cell r="L578" t="str">
            <v>42-05-01-01-0570</v>
          </cell>
          <cell r="M578" t="str">
            <v>Seca manos eléctrico marca Fast line Mod. GSX - 1900A</v>
          </cell>
          <cell r="N578">
            <v>1</v>
          </cell>
          <cell r="O578" t="str">
            <v>EQUIPO DE OFICINA</v>
          </cell>
          <cell r="P578">
            <v>45847</v>
          </cell>
          <cell r="T578" t="str">
            <v>bueno</v>
          </cell>
          <cell r="U578" t="str">
            <v xml:space="preserve">Fast line </v>
          </cell>
        </row>
        <row r="579">
          <cell r="J579" t="str">
            <v>42-04-07-00-0571</v>
          </cell>
          <cell r="K579" t="str">
            <v>42-2157</v>
          </cell>
          <cell r="L579" t="str">
            <v>42-04-07-00-0571</v>
          </cell>
          <cell r="M579" t="str">
            <v>Dispensador jabón marca Elite</v>
          </cell>
          <cell r="O579" t="str">
            <v>OTROS</v>
          </cell>
          <cell r="P579">
            <v>17000</v>
          </cell>
          <cell r="T579" t="str">
            <v>bueno</v>
          </cell>
          <cell r="U579" t="str">
            <v>Elite</v>
          </cell>
        </row>
        <row r="580">
          <cell r="J580" t="str">
            <v>42-04-07-00-0572</v>
          </cell>
          <cell r="K580" t="str">
            <v>42-649</v>
          </cell>
          <cell r="L580" t="str">
            <v>42-04-07-00-0572</v>
          </cell>
          <cell r="M580" t="str">
            <v>Velador metálico 1 puerta con formalita color café 1 cajón</v>
          </cell>
          <cell r="O580" t="str">
            <v>OTROS</v>
          </cell>
          <cell r="P580">
            <v>24895</v>
          </cell>
          <cell r="T580" t="str">
            <v>bueno</v>
          </cell>
          <cell r="U580" t="str">
            <v>N/T</v>
          </cell>
        </row>
        <row r="581">
          <cell r="J581" t="str">
            <v>42-06-01-00-0573</v>
          </cell>
          <cell r="K581" t="str">
            <v>42-3134</v>
          </cell>
          <cell r="L581" t="str">
            <v>42-06-01-00-0573</v>
          </cell>
          <cell r="M581" t="str">
            <v>Computador Benq</v>
          </cell>
          <cell r="O581" t="str">
            <v>EQUIPOS COMPUTACIONALES Y PERIFÉRICOS</v>
          </cell>
          <cell r="P581">
            <v>340000</v>
          </cell>
          <cell r="T581" t="str">
            <v>Regular</v>
          </cell>
          <cell r="U581" t="str">
            <v>Benq</v>
          </cell>
        </row>
        <row r="582">
          <cell r="J582" t="str">
            <v>42-06-01-00-0574</v>
          </cell>
          <cell r="K582" t="str">
            <v>42-3135</v>
          </cell>
          <cell r="L582" t="str">
            <v>42-06-01-00-0574</v>
          </cell>
          <cell r="M582" t="str">
            <v>Monitor Samsung Mod. Sync Master 551v S/Nº AN15HCDX415953V</v>
          </cell>
          <cell r="O582" t="str">
            <v>EQUIPOS COMPUTACIONALES Y PERIFÉRICOS</v>
          </cell>
          <cell r="P582">
            <v>14000</v>
          </cell>
          <cell r="T582" t="str">
            <v>Bueno</v>
          </cell>
          <cell r="U582" t="str">
            <v>Samsung</v>
          </cell>
        </row>
        <row r="583">
          <cell r="J583" t="str">
            <v>42-06-01-00-0575</v>
          </cell>
          <cell r="K583" t="str">
            <v>42-2803</v>
          </cell>
          <cell r="L583" t="str">
            <v>42-06-01-00-0575</v>
          </cell>
          <cell r="M583" t="str">
            <v>Teclado Aopen S/Nº 41202547</v>
          </cell>
          <cell r="O583" t="str">
            <v>EQUIPOS COMPUTACIONALES Y PERIFÉRICOS</v>
          </cell>
          <cell r="P583">
            <v>4000</v>
          </cell>
          <cell r="T583" t="str">
            <v>Bueno</v>
          </cell>
          <cell r="U583" t="str">
            <v>Aopen</v>
          </cell>
        </row>
        <row r="584">
          <cell r="J584" t="str">
            <v>42-06-01-00-0576</v>
          </cell>
          <cell r="K584" t="str">
            <v>42-3319</v>
          </cell>
          <cell r="L584" t="str">
            <v>42-06-01-00-0576</v>
          </cell>
          <cell r="M584" t="str">
            <v>Mouse Genius S/Nº X49702506224</v>
          </cell>
          <cell r="O584" t="str">
            <v>EQUIPOS COMPUTACIONALES Y PERIFÉRICOS</v>
          </cell>
          <cell r="P584">
            <v>3000</v>
          </cell>
          <cell r="T584" t="str">
            <v>Bueno</v>
          </cell>
          <cell r="U584" t="str">
            <v>Geniuns</v>
          </cell>
        </row>
        <row r="585">
          <cell r="J585" t="str">
            <v>42-05-01-01-0577</v>
          </cell>
          <cell r="K585" t="str">
            <v>42-2015</v>
          </cell>
          <cell r="L585" t="str">
            <v>42-05-01-01-0577</v>
          </cell>
          <cell r="M585" t="str">
            <v>Radio CD marca IRT Modelo RCD 1110</v>
          </cell>
          <cell r="O585" t="str">
            <v>EQUIPO DE OFICINA</v>
          </cell>
          <cell r="P585">
            <v>53710</v>
          </cell>
          <cell r="T585" t="str">
            <v>Bueno</v>
          </cell>
          <cell r="U585" t="str">
            <v>RCD</v>
          </cell>
        </row>
        <row r="586">
          <cell r="J586" t="str">
            <v>42-05-02-01-0578</v>
          </cell>
          <cell r="K586" t="str">
            <v>42-3325</v>
          </cell>
          <cell r="L586" t="str">
            <v>42-05-02-01-0578</v>
          </cell>
          <cell r="M586" t="str">
            <v>Esfignomanómetro Elite II CE 89645</v>
          </cell>
          <cell r="O586" t="str">
            <v>EQUIPOS CLINICOS</v>
          </cell>
          <cell r="P586">
            <v>49000</v>
          </cell>
          <cell r="T586" t="str">
            <v>Bueno</v>
          </cell>
          <cell r="U586" t="str">
            <v>Elite</v>
          </cell>
        </row>
        <row r="587">
          <cell r="J587" t="str">
            <v>42-05-02-01-0579</v>
          </cell>
          <cell r="K587" t="str">
            <v>42-3326</v>
          </cell>
          <cell r="L587" t="str">
            <v>42-05-02-01-0579</v>
          </cell>
          <cell r="M587" t="str">
            <v>Esfignomanómetro Elite II CE 89645</v>
          </cell>
          <cell r="O587" t="str">
            <v>EQUIPOS CLINICOS</v>
          </cell>
          <cell r="P587">
            <v>49000</v>
          </cell>
          <cell r="T587" t="str">
            <v>Bueno</v>
          </cell>
          <cell r="U587" t="str">
            <v>Elite</v>
          </cell>
        </row>
        <row r="588">
          <cell r="J588" t="str">
            <v>42-05-02-01-0580</v>
          </cell>
          <cell r="K588" t="str">
            <v>42-3327</v>
          </cell>
          <cell r="L588" t="str">
            <v>42-05-02-01-0580</v>
          </cell>
          <cell r="M588" t="str">
            <v>Glucómetro Accu-Chek S/Nº 8513243856</v>
          </cell>
          <cell r="O588" t="str">
            <v>EQUIPOS CLINICOS</v>
          </cell>
          <cell r="P588">
            <v>51075</v>
          </cell>
          <cell r="T588" t="str">
            <v>Bueno</v>
          </cell>
          <cell r="U588" t="str">
            <v>N/T</v>
          </cell>
        </row>
        <row r="589">
          <cell r="J589" t="str">
            <v>42-04-03-00-0581</v>
          </cell>
          <cell r="K589" t="str">
            <v>42-3479</v>
          </cell>
          <cell r="L589" t="str">
            <v>42-04-03-00-0581</v>
          </cell>
          <cell r="M589" t="str">
            <v>Escritorio  de computacion con 1 cajon, 1 bandeja  color nogal con plomo  121x75x61</v>
          </cell>
          <cell r="O589" t="str">
            <v>ESCRITORIOS</v>
          </cell>
          <cell r="P589">
            <v>340000</v>
          </cell>
          <cell r="T589" t="str">
            <v>Bueno</v>
          </cell>
          <cell r="U589" t="str">
            <v>N/T</v>
          </cell>
        </row>
        <row r="590">
          <cell r="J590" t="str">
            <v>42-04-05-00-0582</v>
          </cell>
          <cell r="K590" t="str">
            <v>42-3321</v>
          </cell>
          <cell r="L590" t="str">
            <v>42-04-05-00-0582</v>
          </cell>
          <cell r="M590" t="str">
            <v>Kardex melamina color nogal, 3 cajones 48x60x90 cms.</v>
          </cell>
          <cell r="O590" t="str">
            <v>KARDEX</v>
          </cell>
          <cell r="P590">
            <v>85616</v>
          </cell>
          <cell r="T590" t="str">
            <v>Bueno</v>
          </cell>
          <cell r="U590" t="str">
            <v>N/T</v>
          </cell>
        </row>
        <row r="591">
          <cell r="J591" t="str">
            <v>FN-04-05-00-0583</v>
          </cell>
          <cell r="K591" t="str">
            <v>42-113</v>
          </cell>
          <cell r="L591" t="str">
            <v>FN-04-05-00-0583</v>
          </cell>
          <cell r="M591" t="str">
            <v>Kardex metálico de 4 gavetas color verde marca Mademsa</v>
          </cell>
          <cell r="O591" t="str">
            <v>KARDEX FUNGIBLE / NOMINABLE</v>
          </cell>
          <cell r="P591">
            <v>66511</v>
          </cell>
          <cell r="T591" t="str">
            <v>Bueno</v>
          </cell>
          <cell r="U591" t="str">
            <v>N/T</v>
          </cell>
        </row>
        <row r="592">
          <cell r="J592" t="str">
            <v>42-04-07-00-0584</v>
          </cell>
          <cell r="K592" t="str">
            <v>42-2652</v>
          </cell>
          <cell r="L592" t="str">
            <v>42-04-07-00-0584</v>
          </cell>
          <cell r="M592" t="str">
            <v>Percha madera 4 ganchos</v>
          </cell>
          <cell r="O592" t="str">
            <v>OTROS</v>
          </cell>
          <cell r="P592">
            <v>17850</v>
          </cell>
          <cell r="T592" t="str">
            <v>Bueno</v>
          </cell>
          <cell r="U592" t="str">
            <v>N/T</v>
          </cell>
        </row>
        <row r="593">
          <cell r="J593" t="str">
            <v>42-04-06-00-0585</v>
          </cell>
          <cell r="K593" t="str">
            <v>42-3322</v>
          </cell>
          <cell r="L593" t="str">
            <v>42-04-06-00-0585</v>
          </cell>
          <cell r="M593" t="str">
            <v>Repisa 2 compartimentos 122x41,5x30 cms.</v>
          </cell>
          <cell r="O593" t="str">
            <v>REPISA</v>
          </cell>
          <cell r="P593">
            <v>35544</v>
          </cell>
          <cell r="T593" t="str">
            <v>Bueno</v>
          </cell>
          <cell r="U593" t="str">
            <v>N/T</v>
          </cell>
        </row>
        <row r="594">
          <cell r="J594" t="str">
            <v>42-04-06-00-0586</v>
          </cell>
          <cell r="K594" t="str">
            <v>42-3323</v>
          </cell>
          <cell r="L594" t="str">
            <v>42-04-06-00-0586</v>
          </cell>
          <cell r="M594" t="str">
            <v>Repisa masisa enchapada eucaliptus 110x41x31 cms.</v>
          </cell>
          <cell r="O594" t="str">
            <v>REPISA</v>
          </cell>
          <cell r="P594">
            <v>40000</v>
          </cell>
          <cell r="T594" t="str">
            <v>Bueno</v>
          </cell>
          <cell r="U594" t="str">
            <v>N/T</v>
          </cell>
        </row>
        <row r="595">
          <cell r="J595" t="str">
            <v>42-04-02-00-0587</v>
          </cell>
          <cell r="K595" t="str">
            <v>42-1310</v>
          </cell>
          <cell r="L595" t="str">
            <v>42-04-02-00-0587</v>
          </cell>
          <cell r="M595" t="str">
            <v>Silla Computacional color gris G lif, 5 ruedas</v>
          </cell>
          <cell r="O595" t="str">
            <v>SILLAS</v>
          </cell>
          <cell r="P595">
            <v>42500</v>
          </cell>
          <cell r="T595" t="str">
            <v>Bueno</v>
          </cell>
          <cell r="U595" t="str">
            <v>N/T</v>
          </cell>
        </row>
        <row r="596">
          <cell r="J596" t="str">
            <v>42-04-02-00-0588</v>
          </cell>
          <cell r="K596" t="str">
            <v>42-3461</v>
          </cell>
          <cell r="L596" t="str">
            <v>42-04-02-00-0588</v>
          </cell>
          <cell r="M596" t="str">
            <v>Silla Computacion color azul con brazo de apoyo 5 ruedas.</v>
          </cell>
          <cell r="O596" t="str">
            <v>SILLAS</v>
          </cell>
          <cell r="P596">
            <v>42500</v>
          </cell>
          <cell r="T596" t="str">
            <v>Bueno</v>
          </cell>
          <cell r="U596" t="str">
            <v>N/T</v>
          </cell>
        </row>
        <row r="597">
          <cell r="J597" t="str">
            <v>42-04-02-00-0589</v>
          </cell>
          <cell r="K597" t="str">
            <v>42-1333</v>
          </cell>
          <cell r="L597" t="str">
            <v>42-04-02-00-0589</v>
          </cell>
          <cell r="M597" t="str">
            <v>Silla mixta asiento y respaldo en formalita café claro</v>
          </cell>
          <cell r="O597" t="str">
            <v>SILLAS</v>
          </cell>
          <cell r="P597">
            <v>17850</v>
          </cell>
          <cell r="T597" t="str">
            <v>Bueno</v>
          </cell>
          <cell r="U597" t="str">
            <v>N/T</v>
          </cell>
        </row>
        <row r="598">
          <cell r="J598" t="str">
            <v>42-05-01-01-0590</v>
          </cell>
          <cell r="K598" t="str">
            <v>42-3324</v>
          </cell>
          <cell r="L598" t="str">
            <v>42-05-01-01-0590</v>
          </cell>
          <cell r="M598" t="str">
            <v>Perforador Isofit Mod. PP35 color plomo</v>
          </cell>
          <cell r="O598" t="str">
            <v>EQUIPO DE OFICINA</v>
          </cell>
          <cell r="P598">
            <v>11545</v>
          </cell>
          <cell r="T598" t="str">
            <v>Bueno</v>
          </cell>
          <cell r="U598" t="str">
            <v>N/T</v>
          </cell>
        </row>
        <row r="599">
          <cell r="J599" t="str">
            <v>42-05-02-01-0591</v>
          </cell>
          <cell r="K599" t="str">
            <v>42-291</v>
          </cell>
          <cell r="L599" t="str">
            <v>42-05-02-01-0591</v>
          </cell>
          <cell r="M599" t="str">
            <v>Pesa para adulto marca Seca capacidad 150 Kgs.</v>
          </cell>
          <cell r="O599" t="str">
            <v>EQUIPOS CLINICOS</v>
          </cell>
          <cell r="P599">
            <v>165648</v>
          </cell>
          <cell r="T599" t="str">
            <v>Malo</v>
          </cell>
          <cell r="U599" t="str">
            <v>Seca</v>
          </cell>
        </row>
        <row r="600">
          <cell r="J600" t="str">
            <v>42-05-02-01-0592</v>
          </cell>
          <cell r="K600" t="str">
            <v>42-3402</v>
          </cell>
          <cell r="L600" t="str">
            <v>42-05-02-01-0592</v>
          </cell>
          <cell r="M600" t="str">
            <v>Pesa pediatrica marca seca cap. 16 kgs. Mod. 7251021009   s/n 2725251091722</v>
          </cell>
          <cell r="O600" t="str">
            <v>EQUIPOS CLINICOS</v>
          </cell>
          <cell r="P600">
            <v>169546</v>
          </cell>
          <cell r="T600" t="str">
            <v>Bueno</v>
          </cell>
          <cell r="U600" t="str">
            <v>Seca</v>
          </cell>
        </row>
        <row r="601">
          <cell r="J601" t="str">
            <v>42-05-02-01-0593</v>
          </cell>
          <cell r="K601" t="str">
            <v>42-2427</v>
          </cell>
          <cell r="L601" t="str">
            <v>42-05-02-01-0593</v>
          </cell>
          <cell r="M601" t="str">
            <v>Caja con tapa de acero inoxidable de 31x20 cms.</v>
          </cell>
          <cell r="O601" t="str">
            <v>EQUIPOS CLINICOS</v>
          </cell>
          <cell r="P601">
            <v>25000</v>
          </cell>
          <cell r="T601" t="str">
            <v>Bueno</v>
          </cell>
          <cell r="U601" t="str">
            <v>N/T</v>
          </cell>
        </row>
        <row r="602">
          <cell r="J602" t="str">
            <v>42-05-02-02-0594</v>
          </cell>
          <cell r="K602" t="str">
            <v>42-2424</v>
          </cell>
          <cell r="L602" t="str">
            <v>42-05-02-02-0594</v>
          </cell>
          <cell r="M602" t="str">
            <v>Posillo de acero inoxidable de 12 cms.</v>
          </cell>
          <cell r="O602" t="str">
            <v>EQUIPOS DE COCINA</v>
          </cell>
          <cell r="P602">
            <v>15000</v>
          </cell>
          <cell r="T602" t="str">
            <v>Bueno</v>
          </cell>
          <cell r="U602" t="str">
            <v>N/T</v>
          </cell>
        </row>
        <row r="603">
          <cell r="J603" t="str">
            <v>42-05-02-02-0595</v>
          </cell>
          <cell r="K603" t="str">
            <v>42-2425</v>
          </cell>
          <cell r="L603" t="str">
            <v>42-05-02-02-0595</v>
          </cell>
          <cell r="M603" t="str">
            <v>Posillo de acero inoxidable de 12 cms.</v>
          </cell>
          <cell r="O603" t="str">
            <v>EQUIPOS DE COCINA</v>
          </cell>
          <cell r="P603">
            <v>15000</v>
          </cell>
          <cell r="T603" t="str">
            <v>Bueno</v>
          </cell>
          <cell r="U603" t="str">
            <v>N/T</v>
          </cell>
        </row>
        <row r="604">
          <cell r="J604" t="str">
            <v>42-05-02-01-0596</v>
          </cell>
          <cell r="K604" t="str">
            <v>42-2426</v>
          </cell>
          <cell r="L604" t="str">
            <v>42-05-02-01-0596</v>
          </cell>
          <cell r="M604" t="str">
            <v>Riñon chico de 20 cms.</v>
          </cell>
          <cell r="O604" t="str">
            <v>EQUIPOS CLINICOS</v>
          </cell>
          <cell r="P604">
            <v>2500</v>
          </cell>
          <cell r="T604" t="str">
            <v>Bueno</v>
          </cell>
          <cell r="U604" t="str">
            <v>N/T</v>
          </cell>
        </row>
        <row r="605">
          <cell r="J605" t="str">
            <v>42-05-02-01-0597</v>
          </cell>
          <cell r="K605" t="str">
            <v>42-2422</v>
          </cell>
          <cell r="L605" t="str">
            <v>42-05-02-01-0597</v>
          </cell>
          <cell r="M605" t="str">
            <v>Riñón de acero inoxidable de 25 cms.</v>
          </cell>
          <cell r="O605" t="str">
            <v>EQUIPOS CLINICOS</v>
          </cell>
          <cell r="P605">
            <v>3000</v>
          </cell>
          <cell r="T605" t="str">
            <v>Bueno</v>
          </cell>
          <cell r="U605" t="str">
            <v>N/T</v>
          </cell>
        </row>
        <row r="606">
          <cell r="J606" t="str">
            <v>42-05-02-01-0598</v>
          </cell>
          <cell r="K606" t="str">
            <v>42-2418</v>
          </cell>
          <cell r="L606" t="str">
            <v>42-05-02-01-0598</v>
          </cell>
          <cell r="M606" t="str">
            <v>Tambor de acero inox. 18x12 cms.</v>
          </cell>
          <cell r="O606" t="str">
            <v>EQUIPOS CLINICOS</v>
          </cell>
          <cell r="P606">
            <v>30000</v>
          </cell>
          <cell r="T606" t="str">
            <v>Bueno</v>
          </cell>
          <cell r="U606" t="str">
            <v>N/T</v>
          </cell>
        </row>
        <row r="607">
          <cell r="J607" t="str">
            <v>42-05-01-01-0599</v>
          </cell>
          <cell r="K607" t="str">
            <v>42-2935</v>
          </cell>
          <cell r="L607" t="str">
            <v>42-05-01-01-0599</v>
          </cell>
          <cell r="M607" t="str">
            <v>Citófono/ teléfono marca Nortel Network, Modelo 7000</v>
          </cell>
          <cell r="O607" t="str">
            <v>EQUIPO DE OFICINA</v>
          </cell>
          <cell r="P607">
            <v>36000</v>
          </cell>
          <cell r="T607" t="str">
            <v>Bueno</v>
          </cell>
          <cell r="U607" t="str">
            <v>Nortel Network</v>
          </cell>
        </row>
        <row r="608">
          <cell r="J608" t="str">
            <v>42-04-07-00-0600</v>
          </cell>
          <cell r="K608" t="str">
            <v>42-2940</v>
          </cell>
          <cell r="L608" t="str">
            <v>42-04-07-00-0600</v>
          </cell>
          <cell r="M608" t="str">
            <v>Dispensador de jabón</v>
          </cell>
          <cell r="O608" t="str">
            <v>OTROS</v>
          </cell>
          <cell r="P608">
            <v>17000</v>
          </cell>
          <cell r="T608" t="str">
            <v>Bueno</v>
          </cell>
          <cell r="U608" t="str">
            <v>N/T</v>
          </cell>
        </row>
        <row r="609">
          <cell r="J609" t="str">
            <v>42-04-03-00-0601</v>
          </cell>
          <cell r="K609" t="str">
            <v>42-18</v>
          </cell>
          <cell r="L609" t="str">
            <v>42-04-03-00-0601</v>
          </cell>
          <cell r="M609" t="str">
            <v>Escritorio de madera, barniz natural de 100x50x66 cms.</v>
          </cell>
          <cell r="O609" t="str">
            <v>ESCRITORIOS</v>
          </cell>
          <cell r="P609">
            <v>77350</v>
          </cell>
          <cell r="T609" t="str">
            <v>Bueno</v>
          </cell>
          <cell r="U609" t="str">
            <v>N/T</v>
          </cell>
        </row>
        <row r="610">
          <cell r="J610" t="str">
            <v>42-04-03-00-0602</v>
          </cell>
          <cell r="K610" t="str">
            <v>42-3316</v>
          </cell>
          <cell r="L610" t="str">
            <v>42-04-03-00-0602</v>
          </cell>
          <cell r="M610" t="str">
            <v>Escritorio masisa enchapada eucaliptus, 3 cajones 130x70x73 cms.</v>
          </cell>
          <cell r="O610" t="str">
            <v>ESCRITORIOS</v>
          </cell>
          <cell r="P610">
            <v>83300</v>
          </cell>
          <cell r="T610" t="str">
            <v>Bueno</v>
          </cell>
          <cell r="U610" t="str">
            <v>N/T</v>
          </cell>
        </row>
        <row r="611">
          <cell r="J611" t="str">
            <v>42-04-03-00-0603</v>
          </cell>
          <cell r="K611" t="str">
            <v>42-3482</v>
          </cell>
          <cell r="L611" t="str">
            <v>42-04-03-00-0603</v>
          </cell>
          <cell r="M611" t="str">
            <v>Escritorio  de computacion con 1 cajon, 1 bandeja  color nogal con plomo  121x75x61</v>
          </cell>
          <cell r="O611" t="str">
            <v>ESCRITORIOS</v>
          </cell>
          <cell r="P611">
            <v>83300</v>
          </cell>
          <cell r="T611" t="str">
            <v>Bueno</v>
          </cell>
          <cell r="U611" t="str">
            <v>N/T</v>
          </cell>
        </row>
        <row r="612">
          <cell r="J612" t="str">
            <v>42-04-06-00-0604</v>
          </cell>
          <cell r="K612" t="str">
            <v>42-3318</v>
          </cell>
          <cell r="L612" t="str">
            <v>42-04-06-00-0604</v>
          </cell>
          <cell r="M612" t="str">
            <v>Repisa 2 compartimentos, 122x41,5x30 cms.</v>
          </cell>
          <cell r="O612" t="str">
            <v>REPISA</v>
          </cell>
          <cell r="P612">
            <v>15000</v>
          </cell>
          <cell r="T612" t="str">
            <v>Bueno</v>
          </cell>
          <cell r="U612" t="str">
            <v>N/T</v>
          </cell>
        </row>
        <row r="613">
          <cell r="J613" t="str">
            <v>42-04-02-00-0605</v>
          </cell>
          <cell r="K613" t="str">
            <v>42-1410</v>
          </cell>
          <cell r="L613" t="str">
            <v>42-04-02-00-0605</v>
          </cell>
          <cell r="M613" t="str">
            <v>Silla giratoria regulable con piston aire color negro 5 ruedas</v>
          </cell>
          <cell r="O613" t="str">
            <v>SILLAS</v>
          </cell>
          <cell r="P613">
            <v>42500</v>
          </cell>
          <cell r="T613" t="str">
            <v>Bueno</v>
          </cell>
          <cell r="U613" t="str">
            <v>N/T</v>
          </cell>
        </row>
        <row r="614">
          <cell r="J614" t="str">
            <v>42-04-02-00-0606</v>
          </cell>
          <cell r="K614" t="str">
            <v>42-1314</v>
          </cell>
          <cell r="L614" t="str">
            <v>42-04-02-00-0606</v>
          </cell>
          <cell r="M614" t="str">
            <v>Silla giratoria regulable con pistón de aire color plomo 5 ruedas</v>
          </cell>
          <cell r="O614" t="str">
            <v>SILLAS</v>
          </cell>
          <cell r="P614">
            <v>42500</v>
          </cell>
          <cell r="T614" t="str">
            <v>Bueno</v>
          </cell>
          <cell r="U614" t="str">
            <v>N/T</v>
          </cell>
        </row>
        <row r="615">
          <cell r="J615" t="str">
            <v>42-04-02-00-0607</v>
          </cell>
          <cell r="K615" t="str">
            <v>42-3464</v>
          </cell>
          <cell r="L615" t="str">
            <v>42-04-02-00-0607</v>
          </cell>
          <cell r="M615" t="str">
            <v>Silla Computacion de color azul con apoyo de brazos, 5 ruedas.</v>
          </cell>
          <cell r="O615" t="str">
            <v>SILLAS</v>
          </cell>
          <cell r="P615">
            <v>42500</v>
          </cell>
          <cell r="T615" t="str">
            <v>Bueno</v>
          </cell>
          <cell r="U615" t="str">
            <v>N/T</v>
          </cell>
        </row>
        <row r="616">
          <cell r="J616" t="str">
            <v>42-04-02-00-0608</v>
          </cell>
          <cell r="K616" t="str">
            <v>42-3494</v>
          </cell>
          <cell r="L616" t="str">
            <v>42-04-02-00-0608</v>
          </cell>
          <cell r="M616" t="str">
            <v>Silla Computacion de color azul con apoyo de brazos, 5 ruedas.</v>
          </cell>
          <cell r="O616" t="str">
            <v>SILLAS</v>
          </cell>
          <cell r="P616">
            <v>42500</v>
          </cell>
          <cell r="T616" t="str">
            <v>Bueno</v>
          </cell>
          <cell r="U616" t="str">
            <v>N/T</v>
          </cell>
        </row>
        <row r="617">
          <cell r="J617" t="str">
            <v>42-04-02-00-0609</v>
          </cell>
          <cell r="K617" t="str">
            <v>42-305</v>
          </cell>
          <cell r="L617" t="str">
            <v>42-04-02-00-0609</v>
          </cell>
          <cell r="M617" t="str">
            <v>Silla mixta tapizada en tevinil color beige</v>
          </cell>
          <cell r="O617" t="str">
            <v>SILLAS</v>
          </cell>
          <cell r="P617">
            <v>17850</v>
          </cell>
          <cell r="T617" t="str">
            <v>Mala</v>
          </cell>
          <cell r="U617" t="str">
            <v>N/T</v>
          </cell>
        </row>
        <row r="618">
          <cell r="J618" t="str">
            <v>42-04-07-00-0610</v>
          </cell>
          <cell r="K618" t="str">
            <v>42-290</v>
          </cell>
          <cell r="L618" t="str">
            <v>42-04-07-00-0610</v>
          </cell>
          <cell r="M618" t="str">
            <v>Velador metálico color blanco 50x40x90 cms.</v>
          </cell>
          <cell r="O618" t="str">
            <v>OTROS</v>
          </cell>
          <cell r="P618">
            <v>24895</v>
          </cell>
          <cell r="T618" t="str">
            <v>Mala</v>
          </cell>
          <cell r="U618" t="str">
            <v>N/T</v>
          </cell>
        </row>
        <row r="619">
          <cell r="J619" t="str">
            <v>42-05-02-01-0611</v>
          </cell>
          <cell r="K619" t="str">
            <v>42-267</v>
          </cell>
          <cell r="L619" t="str">
            <v>42-05-02-01-0611</v>
          </cell>
          <cell r="M619" t="str">
            <v>Balanza para lactante capacidad 14 Kgs. marca Seca</v>
          </cell>
          <cell r="O619" t="str">
            <v>EQUIPOS CLINICOS</v>
          </cell>
          <cell r="P619">
            <v>169546</v>
          </cell>
          <cell r="T619" t="str">
            <v>Mala</v>
          </cell>
          <cell r="U619" t="str">
            <v>Seca</v>
          </cell>
        </row>
        <row r="620">
          <cell r="J620" t="str">
            <v>42-05-02-01-0612</v>
          </cell>
          <cell r="K620" t="str">
            <v>42-3132</v>
          </cell>
          <cell r="L620" t="str">
            <v>42-05-02-01-0612</v>
          </cell>
          <cell r="M620" t="str">
            <v>Camilla metálica 127x60x80 cms. color blanco</v>
          </cell>
          <cell r="O620" t="str">
            <v>EQUIPOS CLINICOS</v>
          </cell>
          <cell r="P620">
            <v>86456</v>
          </cell>
          <cell r="T620" t="str">
            <v>Bueno</v>
          </cell>
          <cell r="U620" t="str">
            <v>N/T</v>
          </cell>
        </row>
        <row r="621">
          <cell r="J621" t="str">
            <v>42-05-02-01-0613</v>
          </cell>
          <cell r="K621" t="str">
            <v>42-370</v>
          </cell>
          <cell r="L621" t="str">
            <v>42-05-02-01-0613</v>
          </cell>
          <cell r="M621" t="str">
            <v>Pesa con altímetro Unicef Nº 233769</v>
          </cell>
          <cell r="O621" t="str">
            <v>EQUIPOS CLINICOS</v>
          </cell>
          <cell r="P621">
            <v>169546</v>
          </cell>
          <cell r="T621" t="str">
            <v>Mala</v>
          </cell>
          <cell r="U621" t="str">
            <v>Unicef</v>
          </cell>
        </row>
        <row r="622">
          <cell r="J622" t="str">
            <v>42-05-02-01-0614</v>
          </cell>
          <cell r="K622" t="str">
            <v>42-3317</v>
          </cell>
          <cell r="L622" t="str">
            <v>42-05-02-01-0614</v>
          </cell>
          <cell r="M622" t="str">
            <v>Podómetro madera</v>
          </cell>
          <cell r="O622" t="str">
            <v>EQUIPOS CLINICOS</v>
          </cell>
          <cell r="P622">
            <v>30000</v>
          </cell>
          <cell r="T622" t="str">
            <v>Bueno</v>
          </cell>
          <cell r="U622" t="str">
            <v>N/T</v>
          </cell>
        </row>
        <row r="623">
          <cell r="J623" t="str">
            <v>42-05-02-01-0615</v>
          </cell>
          <cell r="K623" t="str">
            <v>42-3489</v>
          </cell>
          <cell r="L623" t="str">
            <v>42-05-02-01-0615</v>
          </cell>
          <cell r="M623" t="str">
            <v>Oximetro de pulso color azul con plomo de 6 cm.</v>
          </cell>
          <cell r="O623" t="str">
            <v>EQUIPOS CLINICOS</v>
          </cell>
          <cell r="P623">
            <v>189567</v>
          </cell>
          <cell r="T623" t="str">
            <v>Bueno</v>
          </cell>
          <cell r="U623" t="str">
            <v>N/T</v>
          </cell>
        </row>
        <row r="624">
          <cell r="J624" t="str">
            <v>42-05-01-01-0616</v>
          </cell>
          <cell r="K624" t="str">
            <v>42-3487</v>
          </cell>
          <cell r="L624" t="str">
            <v>42-05-01-01-0616</v>
          </cell>
          <cell r="M624" t="str">
            <v>Citòfono/ telefono marca Nortel Network, Modelo 7000</v>
          </cell>
          <cell r="O624" t="str">
            <v>EQUIPO DE OFICINA</v>
          </cell>
          <cell r="P624">
            <v>36000</v>
          </cell>
          <cell r="T624" t="str">
            <v>Bueno</v>
          </cell>
          <cell r="U624" t="str">
            <v>Nortel Network</v>
          </cell>
        </row>
        <row r="625">
          <cell r="J625" t="str">
            <v>42-05-01-01-0617</v>
          </cell>
          <cell r="K625" t="str">
            <v>42-3491</v>
          </cell>
          <cell r="L625" t="str">
            <v>42-05-01-01-0617</v>
          </cell>
          <cell r="M625" t="str">
            <v>Citòfono/ telefono marca Nortel Network, Modelo 7000</v>
          </cell>
          <cell r="O625" t="str">
            <v>EQUIPO DE OFICINA</v>
          </cell>
          <cell r="P625">
            <v>36000</v>
          </cell>
          <cell r="T625" t="str">
            <v>Bueno</v>
          </cell>
          <cell r="U625" t="str">
            <v>Nortel Network</v>
          </cell>
        </row>
        <row r="626">
          <cell r="J626" t="str">
            <v>42-04-07-00-0618</v>
          </cell>
          <cell r="K626" t="str">
            <v>42-3330</v>
          </cell>
          <cell r="L626" t="str">
            <v>42-04-07-00-0618</v>
          </cell>
          <cell r="M626" t="str">
            <v>Biombo metálico color amarillo</v>
          </cell>
          <cell r="O626" t="str">
            <v>OTROS</v>
          </cell>
          <cell r="P626">
            <v>34510</v>
          </cell>
          <cell r="T626" t="str">
            <v>Bueno</v>
          </cell>
          <cell r="U626" t="str">
            <v>N/T</v>
          </cell>
        </row>
        <row r="627">
          <cell r="J627" t="str">
            <v>42-05-02-01-0619</v>
          </cell>
          <cell r="K627" t="str">
            <v>42-308</v>
          </cell>
          <cell r="L627" t="str">
            <v>42-05-02-01-0619</v>
          </cell>
          <cell r="M627" t="str">
            <v>Escabel mixto 2 peldaños color barniz natural</v>
          </cell>
          <cell r="O627" t="str">
            <v>EQUIPOS CLINICOS</v>
          </cell>
          <cell r="P627">
            <v>17850</v>
          </cell>
          <cell r="T627" t="str">
            <v>Bueno</v>
          </cell>
          <cell r="U627" t="str">
            <v>N/T</v>
          </cell>
        </row>
        <row r="628">
          <cell r="J628" t="str">
            <v>42-04-03-00-0620</v>
          </cell>
          <cell r="K628" t="str">
            <v>42-2697 B</v>
          </cell>
          <cell r="L628" t="str">
            <v>42-04-03-00-0620</v>
          </cell>
          <cell r="M628" t="str">
            <v>Escritorio mixto 1 cajón de 92x61x80 cms.</v>
          </cell>
          <cell r="O628" t="str">
            <v>ESCRITORIOS</v>
          </cell>
          <cell r="P628">
            <v>77350</v>
          </cell>
          <cell r="T628" t="str">
            <v>Bueno</v>
          </cell>
          <cell r="U628" t="str">
            <v>N/T</v>
          </cell>
        </row>
        <row r="629">
          <cell r="J629" t="str">
            <v>42-04-03-00-0621</v>
          </cell>
          <cell r="K629" t="str">
            <v>42-3477</v>
          </cell>
          <cell r="L629" t="str">
            <v>42-04-03-00-0621</v>
          </cell>
          <cell r="M629" t="str">
            <v>Escritorio  de computacion con 1 cajon, 1 bandeja color nogal c/ plomo de 121x75x61</v>
          </cell>
          <cell r="O629" t="str">
            <v>ESCRITORIOS</v>
          </cell>
          <cell r="P629">
            <v>83300</v>
          </cell>
          <cell r="T629" t="str">
            <v>Bueno</v>
          </cell>
          <cell r="U629" t="str">
            <v>N/T</v>
          </cell>
        </row>
        <row r="630">
          <cell r="J630" t="str">
            <v>42-04-07-00-0622</v>
          </cell>
          <cell r="K630" t="str">
            <v>42-306</v>
          </cell>
          <cell r="L630" t="str">
            <v>42-04-07-00-0622</v>
          </cell>
          <cell r="M630" t="str">
            <v>Lámpara de tallo flexible</v>
          </cell>
          <cell r="O630" t="str">
            <v>OTROS</v>
          </cell>
          <cell r="P630">
            <v>32120</v>
          </cell>
          <cell r="T630" t="str">
            <v>Bueno</v>
          </cell>
          <cell r="U630" t="str">
            <v>N/T</v>
          </cell>
        </row>
        <row r="631">
          <cell r="J631" t="str">
            <v>42-04-07-00-0623</v>
          </cell>
          <cell r="K631" t="str">
            <v>42-2651</v>
          </cell>
          <cell r="L631" t="str">
            <v>42-04-07-00-0623</v>
          </cell>
          <cell r="M631" t="str">
            <v>Piso giratorio color blanco</v>
          </cell>
          <cell r="O631" t="str">
            <v>OTROS</v>
          </cell>
          <cell r="P631">
            <v>25490</v>
          </cell>
          <cell r="T631" t="str">
            <v>Bueno</v>
          </cell>
          <cell r="U631" t="str">
            <v>N/T</v>
          </cell>
        </row>
        <row r="632">
          <cell r="J632" t="str">
            <v>42-04-02-00-0624</v>
          </cell>
          <cell r="K632" t="str">
            <v>42-1311</v>
          </cell>
          <cell r="L632" t="str">
            <v>42-04-02-00-0624</v>
          </cell>
          <cell r="M632" t="str">
            <v>Silla Computacional color gris G lif, 5 ruedas</v>
          </cell>
          <cell r="O632" t="str">
            <v>SILLAS</v>
          </cell>
          <cell r="P632">
            <v>42500</v>
          </cell>
          <cell r="T632" t="str">
            <v>Bueno</v>
          </cell>
          <cell r="U632" t="str">
            <v>N/T</v>
          </cell>
        </row>
        <row r="633">
          <cell r="J633" t="str">
            <v>42-04-02-00-0625</v>
          </cell>
          <cell r="K633" t="str">
            <v>42-746</v>
          </cell>
          <cell r="L633" t="str">
            <v>42-04-02-00-0625</v>
          </cell>
          <cell r="M633" t="str">
            <v>Silla mixta pergamoide color crema</v>
          </cell>
          <cell r="O633" t="str">
            <v>SILLAS</v>
          </cell>
          <cell r="P633">
            <v>83500</v>
          </cell>
          <cell r="T633" t="str">
            <v>Bueno</v>
          </cell>
          <cell r="U633" t="str">
            <v>N/T</v>
          </cell>
        </row>
        <row r="634">
          <cell r="J634" t="str">
            <v>42-04-06-00-0626</v>
          </cell>
          <cell r="K634" t="str">
            <v>42-361</v>
          </cell>
          <cell r="L634" t="str">
            <v>42-04-06-00-0626</v>
          </cell>
          <cell r="M634" t="str">
            <v>Mueble madera, barniz natural 2 ptas. corred. 2 cajónes de 86x50x69 cms.</v>
          </cell>
          <cell r="O634" t="str">
            <v>REPISA</v>
          </cell>
          <cell r="P634">
            <v>66500</v>
          </cell>
          <cell r="T634" t="str">
            <v>Bueno</v>
          </cell>
          <cell r="U634" t="str">
            <v>N/T</v>
          </cell>
        </row>
        <row r="635">
          <cell r="J635" t="str">
            <v>42-04-07-00-0627</v>
          </cell>
          <cell r="K635" t="str">
            <v>42-3488</v>
          </cell>
          <cell r="L635" t="str">
            <v>42-04-07-00-0627</v>
          </cell>
          <cell r="M635" t="str">
            <v>Piso redondo color blanco con 3 patas de madera c/ fierro</v>
          </cell>
          <cell r="O635" t="str">
            <v>OTROS</v>
          </cell>
          <cell r="P635">
            <v>17350</v>
          </cell>
          <cell r="T635" t="str">
            <v>Bueno</v>
          </cell>
          <cell r="U635" t="str">
            <v>N/T</v>
          </cell>
        </row>
        <row r="636">
          <cell r="J636" t="str">
            <v>42-05-02-01-0628</v>
          </cell>
          <cell r="K636" t="str">
            <v>42-310</v>
          </cell>
          <cell r="L636" t="str">
            <v>42-05-02-01-0628</v>
          </cell>
          <cell r="M636" t="str">
            <v>Mesa ginecológica blanca 125x48x82 cms. con pergamoide color café</v>
          </cell>
          <cell r="O636" t="str">
            <v>EQUIPOS CLINICOS</v>
          </cell>
          <cell r="P636">
            <v>145250</v>
          </cell>
          <cell r="T636" t="str">
            <v>Bueno</v>
          </cell>
          <cell r="U636" t="str">
            <v>N/T</v>
          </cell>
        </row>
        <row r="637">
          <cell r="J637" t="str">
            <v>42-04-06-00-0629</v>
          </cell>
          <cell r="K637" t="str">
            <v>42-320</v>
          </cell>
          <cell r="L637" t="str">
            <v>42-04-06-00-0629</v>
          </cell>
          <cell r="M637" t="str">
            <v>Vitrina metálica clínica 1 puerta de vidrio de 153x38x62 cms.</v>
          </cell>
          <cell r="O637" t="str">
            <v>REPISA</v>
          </cell>
          <cell r="P637">
            <v>145214</v>
          </cell>
          <cell r="T637" t="str">
            <v>Bueno</v>
          </cell>
          <cell r="U637" t="str">
            <v>N/T</v>
          </cell>
        </row>
        <row r="638">
          <cell r="J638" t="str">
            <v>42-05-01-01-0630</v>
          </cell>
          <cell r="K638" t="str">
            <v>42-1971</v>
          </cell>
          <cell r="L638" t="str">
            <v>42-05-01-01-0630</v>
          </cell>
          <cell r="M638" t="str">
            <v>Citófono/ teléfono marca Nortel Network, Modelo 7000</v>
          </cell>
          <cell r="O638" t="str">
            <v>EQUIPO DE OFICINA</v>
          </cell>
          <cell r="P638">
            <v>36000</v>
          </cell>
          <cell r="T638" t="str">
            <v>Bueno</v>
          </cell>
          <cell r="U638" t="str">
            <v>Nortel Network</v>
          </cell>
        </row>
        <row r="639">
          <cell r="J639" t="str">
            <v>42-05-01-01-0631</v>
          </cell>
          <cell r="K639" t="str">
            <v>42-3492</v>
          </cell>
          <cell r="L639" t="str">
            <v>42-05-01-01-0631</v>
          </cell>
          <cell r="M639" t="str">
            <v>Citófono/ teléfono marca Nortel Network, Modelo 7000</v>
          </cell>
          <cell r="O639" t="str">
            <v>EQUIPO DE OFICINA</v>
          </cell>
          <cell r="P639">
            <v>36000</v>
          </cell>
          <cell r="T639" t="str">
            <v>Bueno</v>
          </cell>
          <cell r="U639" t="str">
            <v>Nortel Network</v>
          </cell>
        </row>
        <row r="640">
          <cell r="J640" t="str">
            <v>42-05-02-01-0632</v>
          </cell>
          <cell r="K640" t="str">
            <v>42-302</v>
          </cell>
          <cell r="L640" t="str">
            <v>42-05-02-01-0632</v>
          </cell>
          <cell r="M640" t="str">
            <v>Negatoscopio</v>
          </cell>
          <cell r="O640" t="str">
            <v>EQUIPOS CLINICOS</v>
          </cell>
          <cell r="P640">
            <v>46241</v>
          </cell>
          <cell r="T640" t="str">
            <v>Bueno</v>
          </cell>
          <cell r="U640" t="str">
            <v>N/T</v>
          </cell>
        </row>
        <row r="641">
          <cell r="J641" t="str">
            <v>42-04-03-00-0633</v>
          </cell>
          <cell r="K641" t="str">
            <v>42-3328</v>
          </cell>
          <cell r="L641" t="str">
            <v>42-04-03-00-0633</v>
          </cell>
          <cell r="M641" t="str">
            <v>Escritorio mixto madera, 2 cajones 102x61x78 cms.</v>
          </cell>
          <cell r="O641" t="str">
            <v>ESCRITORIOS</v>
          </cell>
          <cell r="P641">
            <v>77350</v>
          </cell>
          <cell r="T641" t="str">
            <v>Regular</v>
          </cell>
          <cell r="U641" t="str">
            <v>N/T</v>
          </cell>
        </row>
        <row r="642">
          <cell r="J642" t="str">
            <v>42-04-03-00-0634</v>
          </cell>
          <cell r="K642" t="str">
            <v>42-3476</v>
          </cell>
          <cell r="L642" t="str">
            <v>42-04-03-00-0634</v>
          </cell>
          <cell r="M642" t="str">
            <v>Escritorio de computaicon, 1 cajon, 1 bandeja,  color nogal  de 121x75x61</v>
          </cell>
          <cell r="O642" t="str">
            <v>ESCRITORIOS</v>
          </cell>
          <cell r="P642">
            <v>83300</v>
          </cell>
          <cell r="T642" t="str">
            <v>Bueno</v>
          </cell>
          <cell r="U642" t="str">
            <v>N/T</v>
          </cell>
        </row>
        <row r="643">
          <cell r="J643" t="str">
            <v>42-04-07-00-0635</v>
          </cell>
          <cell r="K643" t="str">
            <v>42-3329</v>
          </cell>
          <cell r="L643" t="str">
            <v>42-04-07-00-0635</v>
          </cell>
          <cell r="M643" t="str">
            <v>Dispensador de jabón</v>
          </cell>
          <cell r="O643" t="str">
            <v>OTROS</v>
          </cell>
          <cell r="P643">
            <v>17000</v>
          </cell>
          <cell r="T643" t="str">
            <v>Bueno</v>
          </cell>
          <cell r="U643" t="str">
            <v>N/T</v>
          </cell>
        </row>
        <row r="644">
          <cell r="J644" t="str">
            <v>42-04-07-00-0636</v>
          </cell>
          <cell r="K644" t="str">
            <v>42-1056</v>
          </cell>
          <cell r="L644" t="str">
            <v>42-04-07-00-0636</v>
          </cell>
          <cell r="M644" t="str">
            <v>Looker marca Mindugar</v>
          </cell>
          <cell r="O644" t="str">
            <v>OTROS</v>
          </cell>
          <cell r="P644">
            <v>37500</v>
          </cell>
          <cell r="T644" t="str">
            <v>Bueno</v>
          </cell>
          <cell r="U644" t="str">
            <v>Mindugar</v>
          </cell>
        </row>
        <row r="645">
          <cell r="J645" t="str">
            <v>42-04-01-00-0637</v>
          </cell>
          <cell r="K645" t="str">
            <v>42-295</v>
          </cell>
          <cell r="L645" t="str">
            <v>42-04-01-00-0637</v>
          </cell>
          <cell r="M645" t="str">
            <v>Mesa metálica para instrumental con cubierta de vidrio de 60x40x79 cms.</v>
          </cell>
          <cell r="O645" t="str">
            <v>MESAS</v>
          </cell>
          <cell r="P645">
            <v>86456</v>
          </cell>
          <cell r="T645" t="str">
            <v>Bueno</v>
          </cell>
          <cell r="U645" t="str">
            <v>N/T</v>
          </cell>
        </row>
        <row r="646">
          <cell r="J646" t="str">
            <v>42-04-03-00-0638</v>
          </cell>
          <cell r="K646" t="str">
            <v>42-2650</v>
          </cell>
          <cell r="L646" t="str">
            <v>42-04-03-00-0638</v>
          </cell>
          <cell r="M646" t="str">
            <v>Mueble apoyo CPU melamina blanco 19x50x32 cms.</v>
          </cell>
          <cell r="O646" t="str">
            <v>ESCRITORIOS</v>
          </cell>
          <cell r="P646">
            <v>30000</v>
          </cell>
          <cell r="T646" t="str">
            <v>Bueno</v>
          </cell>
          <cell r="U646" t="str">
            <v>N/T</v>
          </cell>
        </row>
        <row r="647">
          <cell r="J647" t="str">
            <v>42-04-07-00-0639</v>
          </cell>
          <cell r="K647" t="str">
            <v>42-286</v>
          </cell>
          <cell r="L647" t="str">
            <v>42-04-07-00-0639</v>
          </cell>
          <cell r="M647" t="str">
            <v>Piso giratorio color blanco</v>
          </cell>
          <cell r="O647" t="str">
            <v>OTROS</v>
          </cell>
          <cell r="P647">
            <v>25490</v>
          </cell>
          <cell r="T647" t="str">
            <v>Bueno</v>
          </cell>
          <cell r="U647" t="str">
            <v>N/T</v>
          </cell>
        </row>
        <row r="648">
          <cell r="J648" t="str">
            <v>42-04-02-00-0640</v>
          </cell>
          <cell r="K648" t="str">
            <v>42-2285</v>
          </cell>
          <cell r="L648" t="str">
            <v>42-04-02-00-0640</v>
          </cell>
          <cell r="M648" t="str">
            <v>Silla computación 5 ruedas color azul</v>
          </cell>
          <cell r="O648" t="str">
            <v>SILLAS</v>
          </cell>
          <cell r="P648">
            <v>42500</v>
          </cell>
          <cell r="T648" t="str">
            <v>Bueno</v>
          </cell>
          <cell r="U648" t="str">
            <v>N/T</v>
          </cell>
        </row>
        <row r="649">
          <cell r="J649" t="str">
            <v>42-04-02-00-0641</v>
          </cell>
          <cell r="K649" t="str">
            <v>42-1227</v>
          </cell>
          <cell r="L649" t="str">
            <v>42-04-02-00-0641</v>
          </cell>
          <cell r="M649" t="str">
            <v>Silla giratoria regulable con pistón aire color plomo 5 ruedas</v>
          </cell>
          <cell r="O649" t="str">
            <v>SILLAS</v>
          </cell>
          <cell r="P649">
            <v>42500</v>
          </cell>
          <cell r="T649" t="str">
            <v>Bueno</v>
          </cell>
          <cell r="U649" t="str">
            <v>N/T</v>
          </cell>
        </row>
        <row r="650">
          <cell r="J650" t="str">
            <v>42-04-02-00-0642</v>
          </cell>
          <cell r="K650" t="str">
            <v>42-1410</v>
          </cell>
          <cell r="L650" t="str">
            <v>42-04-02-00-0642</v>
          </cell>
          <cell r="M650" t="str">
            <v>Silla giratoria regulable con pistón aire color negro 5 ruedas</v>
          </cell>
          <cell r="O650" t="str">
            <v>SILLAS</v>
          </cell>
          <cell r="P650">
            <v>42500</v>
          </cell>
          <cell r="T650" t="str">
            <v>Bueno</v>
          </cell>
          <cell r="U650" t="str">
            <v>N/T</v>
          </cell>
        </row>
        <row r="651">
          <cell r="J651" t="str">
            <v>42-04-02-00-0643</v>
          </cell>
          <cell r="K651" t="str">
            <v>42-3462</v>
          </cell>
          <cell r="L651" t="str">
            <v>42-04-02-00-0643</v>
          </cell>
          <cell r="M651" t="str">
            <v>Silla Computacion color azul con apoyo de brazos 5 ruedas</v>
          </cell>
          <cell r="O651" t="str">
            <v>SILLAS</v>
          </cell>
          <cell r="P651">
            <v>42500</v>
          </cell>
          <cell r="T651" t="str">
            <v>Bueno</v>
          </cell>
          <cell r="U651" t="str">
            <v>N/T</v>
          </cell>
        </row>
        <row r="652">
          <cell r="J652" t="str">
            <v>42-05-02-01-0644</v>
          </cell>
          <cell r="K652" t="str">
            <v>42-3445</v>
          </cell>
          <cell r="L652" t="str">
            <v>42-05-02-01-0644</v>
          </cell>
          <cell r="M652" t="str">
            <v>Otoscopio Welch allyn Mod. Pocker Junior</v>
          </cell>
          <cell r="O652" t="str">
            <v>EQUIPOS CLINICOS</v>
          </cell>
          <cell r="P652">
            <v>50000</v>
          </cell>
          <cell r="T652" t="str">
            <v>Bueno</v>
          </cell>
          <cell r="U652" t="str">
            <v>Pocker Junior.</v>
          </cell>
        </row>
        <row r="653">
          <cell r="J653" t="str">
            <v>42-05-02-01-0645</v>
          </cell>
          <cell r="K653" t="str">
            <v>42-307</v>
          </cell>
          <cell r="L653" t="str">
            <v>42-05-02-01-0645</v>
          </cell>
          <cell r="M653" t="str">
            <v>Camilla fija metálica color blanco tapizada en pergamoide color café de  180x80x60 cms.</v>
          </cell>
          <cell r="O653" t="str">
            <v>EQUIPOS CLINICOS</v>
          </cell>
          <cell r="P653">
            <v>86456</v>
          </cell>
          <cell r="T653" t="str">
            <v>Bueno</v>
          </cell>
          <cell r="U653" t="str">
            <v>N/T</v>
          </cell>
        </row>
        <row r="654">
          <cell r="J654" t="str">
            <v>42-05-02-01-0646</v>
          </cell>
          <cell r="K654" t="str">
            <v>42-300</v>
          </cell>
          <cell r="L654" t="str">
            <v>42-05-02-01-0646</v>
          </cell>
          <cell r="M654" t="str">
            <v>Escabel mixto barniz natural, 2 peldaños</v>
          </cell>
          <cell r="O654" t="str">
            <v>EQUIPOS CLINICOS</v>
          </cell>
          <cell r="P654">
            <v>17850</v>
          </cell>
          <cell r="T654" t="str">
            <v>Bueno</v>
          </cell>
          <cell r="U654" t="str">
            <v>N/T</v>
          </cell>
        </row>
        <row r="655">
          <cell r="J655" t="str">
            <v>42-04-06-00-0647</v>
          </cell>
          <cell r="K655" t="str">
            <v>42-289</v>
          </cell>
          <cell r="L655" t="str">
            <v>42-04-06-00-0647</v>
          </cell>
          <cell r="M655" t="str">
            <v>Vitrina mixta con vidrio, 1 puerta 3 divisiones 150x60x32 cms</v>
          </cell>
          <cell r="O655" t="str">
            <v>REPISA</v>
          </cell>
          <cell r="P655">
            <v>145214</v>
          </cell>
          <cell r="T655" t="str">
            <v>Bueno</v>
          </cell>
          <cell r="U655" t="str">
            <v>N/T</v>
          </cell>
        </row>
        <row r="656">
          <cell r="J656" t="str">
            <v>42-04-06-00-0648</v>
          </cell>
          <cell r="K656" t="str">
            <v>42-311</v>
          </cell>
          <cell r="L656" t="str">
            <v>42-04-06-00-0648</v>
          </cell>
          <cell r="M656" t="str">
            <v xml:space="preserve">Vitrina metálica color blanco, 2 puertas 98x82x33 cms. </v>
          </cell>
          <cell r="O656" t="str">
            <v>REPISA</v>
          </cell>
          <cell r="P656">
            <v>150000</v>
          </cell>
          <cell r="T656" t="str">
            <v>Bueno</v>
          </cell>
          <cell r="U656" t="str">
            <v>N/T</v>
          </cell>
        </row>
        <row r="657">
          <cell r="J657" t="str">
            <v>42-05-02-01-0649</v>
          </cell>
          <cell r="K657" t="str">
            <v>42-2649</v>
          </cell>
          <cell r="L657" t="str">
            <v>42-05-02-01-0649</v>
          </cell>
          <cell r="M657" t="str">
            <v>Caja metálica acero inox. 36x24x10 cms.</v>
          </cell>
          <cell r="O657" t="str">
            <v>EQUIPOS CLINICOS</v>
          </cell>
          <cell r="P657">
            <v>25000</v>
          </cell>
          <cell r="T657" t="str">
            <v>Bueno</v>
          </cell>
          <cell r="U657" t="str">
            <v>N/T</v>
          </cell>
        </row>
        <row r="658">
          <cell r="J658" t="str">
            <v>42-05-02-01-0650</v>
          </cell>
          <cell r="K658" t="str">
            <v>42-2385</v>
          </cell>
          <cell r="L658" t="str">
            <v>42-05-02-01-0650</v>
          </cell>
          <cell r="M658" t="str">
            <v>Esfingomanómetro</v>
          </cell>
          <cell r="O658" t="str">
            <v>EQUIPOS CLINICOS</v>
          </cell>
          <cell r="P658">
            <v>49000</v>
          </cell>
          <cell r="T658" t="str">
            <v>Bueno</v>
          </cell>
          <cell r="U658" t="str">
            <v>N/T</v>
          </cell>
        </row>
        <row r="659">
          <cell r="J659" t="str">
            <v>42-05-02-01-0651</v>
          </cell>
          <cell r="K659" t="str">
            <v>42-3401</v>
          </cell>
          <cell r="L659" t="str">
            <v>42-05-02-01-0651</v>
          </cell>
          <cell r="M659" t="str">
            <v>Glucómetro Accu-Chek S/Nº 8517193597</v>
          </cell>
          <cell r="O659" t="str">
            <v>EQUIPOS CLINICOS</v>
          </cell>
          <cell r="P659">
            <v>51075</v>
          </cell>
          <cell r="T659" t="str">
            <v>Bueno</v>
          </cell>
          <cell r="U659" t="str">
            <v>Accu</v>
          </cell>
        </row>
        <row r="660">
          <cell r="J660" t="str">
            <v>42-04-03-00-0652</v>
          </cell>
          <cell r="K660" t="str">
            <v>42-3480</v>
          </cell>
          <cell r="L660" t="str">
            <v>42-04-03-00-0652</v>
          </cell>
          <cell r="M660" t="str">
            <v>Escritorio de computacion con 1 cajon, 1 bandeja color nogal con plomo de 121x75x61</v>
          </cell>
          <cell r="O660" t="str">
            <v>ESCRITORIOS</v>
          </cell>
          <cell r="P660">
            <v>83300</v>
          </cell>
          <cell r="T660" t="str">
            <v>Bueno</v>
          </cell>
          <cell r="U660" t="str">
            <v>N/T</v>
          </cell>
        </row>
        <row r="661">
          <cell r="J661" t="str">
            <v>42-04-05-00-0653</v>
          </cell>
          <cell r="K661" t="str">
            <v>42-342 B</v>
          </cell>
          <cell r="L661" t="str">
            <v>42-04-05-00-0653</v>
          </cell>
          <cell r="M661" t="str">
            <v>Kardex metálico con 4 gabetas</v>
          </cell>
          <cell r="O661" t="str">
            <v>KARDEX</v>
          </cell>
          <cell r="P661">
            <v>149671</v>
          </cell>
          <cell r="T661" t="str">
            <v>Bueno</v>
          </cell>
          <cell r="U661" t="str">
            <v>N/T</v>
          </cell>
        </row>
        <row r="662">
          <cell r="J662" t="str">
            <v>42-04-05-00-0654</v>
          </cell>
          <cell r="K662" t="str">
            <v>42-3358</v>
          </cell>
          <cell r="L662" t="str">
            <v>42-04-05-00-0654</v>
          </cell>
          <cell r="M662" t="str">
            <v>Kardex melamina color nogal, 3 cajones 48x60x90 cms.</v>
          </cell>
          <cell r="O662" t="str">
            <v>KARDEX</v>
          </cell>
          <cell r="P662">
            <v>120000</v>
          </cell>
          <cell r="T662" t="str">
            <v>Bueno</v>
          </cell>
          <cell r="U662" t="str">
            <v>N/T</v>
          </cell>
        </row>
        <row r="663">
          <cell r="J663" t="str">
            <v>42-04-06-00-0655</v>
          </cell>
          <cell r="K663" t="str">
            <v>42-2693</v>
          </cell>
          <cell r="L663" t="str">
            <v>42-04-06-00-0655</v>
          </cell>
          <cell r="M663" t="str">
            <v>Mueble melamina blanca con 3 puertas, 1 cajón, 1 lavaplatos, 1 llave  combinación.</v>
          </cell>
          <cell r="O663" t="str">
            <v>REPISA</v>
          </cell>
          <cell r="P663">
            <v>96511</v>
          </cell>
          <cell r="T663" t="str">
            <v>Bueno</v>
          </cell>
          <cell r="U663" t="str">
            <v>N/T</v>
          </cell>
        </row>
        <row r="664">
          <cell r="J664" t="str">
            <v>42-04-07-00-0656</v>
          </cell>
          <cell r="K664" t="str">
            <v>42-1285</v>
          </cell>
          <cell r="L664" t="str">
            <v>42-04-07-00-0656</v>
          </cell>
          <cell r="M664" t="str">
            <v>Mueble para televisor y video, 2 puertas y ruedas de 120x60x60 cms. enchapado en Eucaliptus con cerraduras</v>
          </cell>
          <cell r="O664" t="str">
            <v>OTROS</v>
          </cell>
          <cell r="P664">
            <v>125487</v>
          </cell>
          <cell r="T664" t="str">
            <v>Bueno</v>
          </cell>
          <cell r="U664" t="str">
            <v>N/T</v>
          </cell>
        </row>
        <row r="665">
          <cell r="J665" t="str">
            <v>42-04-06-00-0657</v>
          </cell>
          <cell r="K665" t="str">
            <v>42-2694</v>
          </cell>
          <cell r="L665" t="str">
            <v>42-04-06-00-0657</v>
          </cell>
          <cell r="M665" t="str">
            <v>Mueble pared melamina blanca, 1 compartimento 135x42x35 cms.</v>
          </cell>
          <cell r="O665" t="str">
            <v>REPISA</v>
          </cell>
          <cell r="P665">
            <v>80000</v>
          </cell>
          <cell r="T665" t="str">
            <v>Bueno</v>
          </cell>
          <cell r="U665" t="str">
            <v>N/T</v>
          </cell>
        </row>
        <row r="666">
          <cell r="J666" t="str">
            <v>42-04-06-00-0658</v>
          </cell>
          <cell r="K666" t="str">
            <v>42-2695</v>
          </cell>
          <cell r="L666" t="str">
            <v>42-04-06-00-0658</v>
          </cell>
          <cell r="M666" t="str">
            <v>Mueble pared masisa blanca, 1 compartimento 114x43x30 cms.</v>
          </cell>
          <cell r="O666" t="str">
            <v>REPISA</v>
          </cell>
          <cell r="P666">
            <v>95626</v>
          </cell>
          <cell r="T666" t="str">
            <v>Bueno</v>
          </cell>
          <cell r="U666" t="str">
            <v>N/T</v>
          </cell>
        </row>
        <row r="667">
          <cell r="J667" t="str">
            <v>42-04-06-00-0659</v>
          </cell>
          <cell r="K667" t="str">
            <v>42-366</v>
          </cell>
          <cell r="L667" t="str">
            <v>42-04-06-00-0659</v>
          </cell>
          <cell r="M667" t="str">
            <v>Mueble de madera barniz natural con 11 cajones de 120x49x131 cms.</v>
          </cell>
          <cell r="O667" t="str">
            <v>REPISA</v>
          </cell>
          <cell r="P667">
            <v>254654</v>
          </cell>
          <cell r="T667" t="str">
            <v>Bueno</v>
          </cell>
          <cell r="U667" t="str">
            <v>N/T</v>
          </cell>
        </row>
        <row r="668">
          <cell r="J668" t="str">
            <v>42-05-01-01-0660</v>
          </cell>
          <cell r="K668" t="str">
            <v>42-3186</v>
          </cell>
          <cell r="L668" t="str">
            <v>42-05-01-01-0660</v>
          </cell>
          <cell r="M668" t="str">
            <v>Perforador Isofit Mod. PP-35 color plomo</v>
          </cell>
          <cell r="O668" t="str">
            <v>EQUIPO DE OFICINA</v>
          </cell>
          <cell r="P668">
            <v>10000</v>
          </cell>
          <cell r="T668" t="str">
            <v>Bueno</v>
          </cell>
          <cell r="U668" t="str">
            <v>Isofit</v>
          </cell>
        </row>
        <row r="669">
          <cell r="J669" t="str">
            <v>42-04-02-00-0661</v>
          </cell>
          <cell r="K669" t="str">
            <v>42-3463</v>
          </cell>
          <cell r="L669" t="str">
            <v>42-04-02-00-0661</v>
          </cell>
          <cell r="M669" t="str">
            <v>silla de computacion de color azul con 5 ruedas.</v>
          </cell>
          <cell r="O669" t="str">
            <v>SILLAS</v>
          </cell>
          <cell r="P669">
            <v>42500</v>
          </cell>
          <cell r="T669" t="str">
            <v>Bueno</v>
          </cell>
          <cell r="U669" t="str">
            <v>N/T</v>
          </cell>
        </row>
        <row r="670">
          <cell r="J670" t="str">
            <v>42-04-02-00-0662</v>
          </cell>
          <cell r="K670" t="str">
            <v>42-1604</v>
          </cell>
          <cell r="L670" t="str">
            <v>42-04-02-00-0662</v>
          </cell>
          <cell r="M670" t="str">
            <v>Silla computación 5 ruedas con apoyo brazos color azul</v>
          </cell>
          <cell r="O670" t="str">
            <v>SILLAS</v>
          </cell>
          <cell r="P670">
            <v>42500</v>
          </cell>
          <cell r="T670" t="str">
            <v>Bueno</v>
          </cell>
          <cell r="U670" t="str">
            <v>N/T</v>
          </cell>
        </row>
        <row r="671">
          <cell r="J671" t="str">
            <v>42-04-02-00-0663</v>
          </cell>
          <cell r="K671" t="str">
            <v>42-1998</v>
          </cell>
          <cell r="L671" t="str">
            <v>42-04-02-00-0663</v>
          </cell>
          <cell r="M671" t="str">
            <v>Silla Ergonometrica color azul, 5 ruedas ( MEL )</v>
          </cell>
          <cell r="O671" t="str">
            <v>SILLAS</v>
          </cell>
          <cell r="P671">
            <v>42500</v>
          </cell>
          <cell r="T671" t="str">
            <v>Bueno</v>
          </cell>
          <cell r="U671" t="str">
            <v>N/T</v>
          </cell>
        </row>
        <row r="672">
          <cell r="J672" t="str">
            <v>42-04-07-00-0664</v>
          </cell>
          <cell r="K672" t="str">
            <v>42-364</v>
          </cell>
          <cell r="L672" t="str">
            <v>42-04-07-00-0664</v>
          </cell>
          <cell r="M672" t="str">
            <v>Piso giratorio metálico color blanco</v>
          </cell>
          <cell r="O672" t="str">
            <v>OTROS</v>
          </cell>
          <cell r="P672">
            <v>25490</v>
          </cell>
          <cell r="T672" t="str">
            <v>Bueno</v>
          </cell>
          <cell r="U672" t="str">
            <v>N/T</v>
          </cell>
        </row>
        <row r="673">
          <cell r="J673" t="str">
            <v>42-05-02-01-0665</v>
          </cell>
          <cell r="K673" t="str">
            <v>42-682</v>
          </cell>
          <cell r="L673" t="str">
            <v>42-05-02-01-0665</v>
          </cell>
          <cell r="M673" t="str">
            <v>Camilla metálica tapizada en tevinil verde</v>
          </cell>
          <cell r="O673" t="str">
            <v>EQUIPOS CLINICOS</v>
          </cell>
          <cell r="P673">
            <v>83300</v>
          </cell>
          <cell r="T673" t="str">
            <v>Bueno</v>
          </cell>
          <cell r="U673" t="str">
            <v>N/T</v>
          </cell>
        </row>
        <row r="674">
          <cell r="J674" t="str">
            <v>42-05-02-01-0666</v>
          </cell>
          <cell r="K674" t="str">
            <v>42-351</v>
          </cell>
          <cell r="L674" t="str">
            <v>42-05-02-01-0666</v>
          </cell>
          <cell r="M674" t="str">
            <v>Pesa para adulto marca Detecto con cartabón</v>
          </cell>
          <cell r="O674" t="str">
            <v>EQUIPOS CLINICOS</v>
          </cell>
          <cell r="P674">
            <v>165648</v>
          </cell>
          <cell r="T674" t="str">
            <v>Bueno</v>
          </cell>
          <cell r="U674" t="str">
            <v>N/T</v>
          </cell>
        </row>
        <row r="675">
          <cell r="J675" t="str">
            <v>42-05-02-01-0667</v>
          </cell>
          <cell r="K675" t="str">
            <v>42-3404</v>
          </cell>
          <cell r="L675" t="str">
            <v>42-05-02-01-0667</v>
          </cell>
          <cell r="M675" t="str">
            <v>Pesa pedriatrica marca seca cap. 16 kg mod 725 1021009  S/N  2725251091750</v>
          </cell>
          <cell r="O675" t="str">
            <v>EQUIPOS CLINICOS</v>
          </cell>
          <cell r="P675">
            <v>169546</v>
          </cell>
          <cell r="T675" t="str">
            <v>Bueno</v>
          </cell>
          <cell r="U675" t="str">
            <v>Seca</v>
          </cell>
        </row>
        <row r="676">
          <cell r="J676" t="str">
            <v>42-05-01-01-0668</v>
          </cell>
          <cell r="K676" t="str">
            <v>42-1960</v>
          </cell>
          <cell r="L676" t="str">
            <v>42-05-01-01-0668</v>
          </cell>
          <cell r="M676" t="str">
            <v>Citófono/ teléfono marca Nortel Network, Modelo 7000</v>
          </cell>
          <cell r="O676" t="str">
            <v>EQUIPO DE OFICINA</v>
          </cell>
          <cell r="P676">
            <v>36000</v>
          </cell>
          <cell r="T676" t="str">
            <v>Bueno</v>
          </cell>
          <cell r="U676" t="str">
            <v>Nortel Network</v>
          </cell>
        </row>
        <row r="677">
          <cell r="J677" t="str">
            <v>42-05-01-01-0669</v>
          </cell>
          <cell r="K677" t="str">
            <v>42-3495</v>
          </cell>
          <cell r="L677" t="str">
            <v>42-05-01-01-0669</v>
          </cell>
          <cell r="M677" t="str">
            <v>Radio cd marca RCA mod rcd</v>
          </cell>
          <cell r="O677" t="str">
            <v>EQUIPO DE OFICINA</v>
          </cell>
          <cell r="P677">
            <v>53710</v>
          </cell>
          <cell r="T677" t="str">
            <v>Bueno</v>
          </cell>
          <cell r="U677" t="str">
            <v>RCA</v>
          </cell>
        </row>
        <row r="678">
          <cell r="J678" t="str">
            <v>42-05-01-01-0670</v>
          </cell>
          <cell r="K678" t="str">
            <v>42-336</v>
          </cell>
          <cell r="L678" t="str">
            <v>42-05-01-01-0670</v>
          </cell>
          <cell r="M678" t="str">
            <v>Refrigerador marca Philips 2 puertas 59x60x167</v>
          </cell>
          <cell r="O678" t="str">
            <v>EQUIPO DE OFICINA</v>
          </cell>
          <cell r="P678">
            <v>202300</v>
          </cell>
          <cell r="T678" t="str">
            <v>Bueno</v>
          </cell>
          <cell r="U678" t="str">
            <v>Philips</v>
          </cell>
        </row>
        <row r="679">
          <cell r="J679" t="str">
            <v>42-05-01-01-0671</v>
          </cell>
          <cell r="K679" t="str">
            <v>42-3167</v>
          </cell>
          <cell r="L679" t="str">
            <v>42-05-01-01-0671</v>
          </cell>
          <cell r="M679" t="str">
            <v>Refrigerador marca SIBIR color verde, 2 puertas 145x58 cms.</v>
          </cell>
          <cell r="O679" t="str">
            <v>EQUIPO DE OFICINA</v>
          </cell>
          <cell r="P679">
            <v>158240</v>
          </cell>
          <cell r="T679" t="str">
            <v>Bueno</v>
          </cell>
          <cell r="U679" t="str">
            <v>Sibir</v>
          </cell>
        </row>
        <row r="680">
          <cell r="J680" t="str">
            <v>42-05-02-01-0672</v>
          </cell>
          <cell r="K680" t="str">
            <v>42-1418</v>
          </cell>
          <cell r="L680" t="str">
            <v>42-05-02-01-0672</v>
          </cell>
          <cell r="M680" t="str">
            <v>Cartabón de madera adulto</v>
          </cell>
          <cell r="O680" t="str">
            <v>EQUIPOS CLINICOS</v>
          </cell>
          <cell r="P680">
            <v>40000</v>
          </cell>
          <cell r="T680" t="str">
            <v>Bueno</v>
          </cell>
          <cell r="U680" t="str">
            <v>N/T</v>
          </cell>
        </row>
        <row r="681">
          <cell r="J681" t="str">
            <v>42-04-06-00-0673</v>
          </cell>
          <cell r="K681" t="str">
            <v>42-339</v>
          </cell>
          <cell r="L681" t="str">
            <v>42-04-06-00-0673</v>
          </cell>
          <cell r="M681" t="str">
            <v>Estante de madera barniz natural con puerta de vidrio de 121x16x46 cms.</v>
          </cell>
          <cell r="O681" t="str">
            <v>REPISA</v>
          </cell>
          <cell r="P681">
            <v>68545</v>
          </cell>
          <cell r="T681" t="str">
            <v>Bueno</v>
          </cell>
          <cell r="U681" t="str">
            <v>N/T</v>
          </cell>
        </row>
        <row r="682">
          <cell r="J682" t="str">
            <v>42-04-07-00-0674</v>
          </cell>
          <cell r="K682" t="str">
            <v>42-1082</v>
          </cell>
          <cell r="L682" t="str">
            <v>42-04-07-00-0674</v>
          </cell>
          <cell r="M682" t="str">
            <v>Loker metálico verde/plomo marca Mindugar</v>
          </cell>
          <cell r="O682" t="str">
            <v>OTROS</v>
          </cell>
          <cell r="P682">
            <v>37500</v>
          </cell>
          <cell r="T682" t="str">
            <v>Bueno</v>
          </cell>
          <cell r="U682" t="str">
            <v>Mindugar</v>
          </cell>
        </row>
        <row r="683">
          <cell r="J683" t="str">
            <v>42-04-06-00-0675</v>
          </cell>
          <cell r="K683" t="str">
            <v>42-337</v>
          </cell>
          <cell r="L683" t="str">
            <v>42-04-06-00-0675</v>
          </cell>
          <cell r="M683" t="str">
            <v>Mueble mudador blanco de 150x85x60 cms., 3 puertas en melamina  blanca con colchoneta de 120x60 cms. en tevinil café</v>
          </cell>
          <cell r="O683" t="str">
            <v>REPISA</v>
          </cell>
          <cell r="P683">
            <v>148290</v>
          </cell>
          <cell r="T683" t="str">
            <v>Bueno</v>
          </cell>
          <cell r="U683" t="str">
            <v>N/T</v>
          </cell>
        </row>
        <row r="684">
          <cell r="J684" t="str">
            <v>FN-05-02-01-0676</v>
          </cell>
          <cell r="K684" t="str">
            <v>42-2420</v>
          </cell>
          <cell r="L684" t="str">
            <v>FN-05-02-01-0676</v>
          </cell>
          <cell r="M684" t="str">
            <v>Riñón acero inox. 20 cms.</v>
          </cell>
          <cell r="O684" t="str">
            <v>EQUIPOS CLINICOS FUNGIBLE / NOMINABLE</v>
          </cell>
          <cell r="P684">
            <v>20000</v>
          </cell>
          <cell r="T684" t="str">
            <v>Bueno</v>
          </cell>
          <cell r="U684" t="str">
            <v>N/T</v>
          </cell>
        </row>
        <row r="685">
          <cell r="J685" t="str">
            <v>42-05-02-01-0677</v>
          </cell>
          <cell r="K685" t="str">
            <v>42-2428</v>
          </cell>
          <cell r="L685" t="str">
            <v>42-05-02-01-0677</v>
          </cell>
          <cell r="M685" t="str">
            <v>Caja con tapa de acero inoxidable de 31x20 cms.</v>
          </cell>
          <cell r="O685" t="str">
            <v>EQUIPOS CLINICOS</v>
          </cell>
          <cell r="P685">
            <v>15000</v>
          </cell>
          <cell r="T685" t="str">
            <v>Bueno</v>
          </cell>
          <cell r="U685" t="str">
            <v>N/T</v>
          </cell>
        </row>
        <row r="686">
          <cell r="J686" t="str">
            <v>42-05-02-01-0678</v>
          </cell>
          <cell r="K686" t="str">
            <v>42-2429</v>
          </cell>
          <cell r="L686" t="str">
            <v>42-05-02-01-0678</v>
          </cell>
          <cell r="M686" t="str">
            <v>Caja con tapa de acero inoxidable de 23 ½ x 13 ½ x 5 cms.</v>
          </cell>
          <cell r="O686" t="str">
            <v>EQUIPOS CLINICOS</v>
          </cell>
          <cell r="P686">
            <v>15000</v>
          </cell>
          <cell r="T686" t="str">
            <v>Bueno</v>
          </cell>
          <cell r="U686" t="str">
            <v>N/T</v>
          </cell>
        </row>
        <row r="687">
          <cell r="J687" t="str">
            <v>42-05-02-01-0679</v>
          </cell>
          <cell r="K687" t="str">
            <v>42-2431</v>
          </cell>
          <cell r="L687" t="str">
            <v>42-05-02-01-0679</v>
          </cell>
          <cell r="M687" t="str">
            <v>Caja con tapa acero inoxidable 211x71x4  cms.</v>
          </cell>
          <cell r="O687" t="str">
            <v>EQUIPOS CLINICOS</v>
          </cell>
          <cell r="P687">
            <v>15000</v>
          </cell>
          <cell r="T687" t="str">
            <v>Bueno</v>
          </cell>
          <cell r="U687" t="str">
            <v>N/T</v>
          </cell>
        </row>
        <row r="688">
          <cell r="J688" t="str">
            <v>42-05-02-01-0680</v>
          </cell>
          <cell r="K688" t="str">
            <v>42-2432</v>
          </cell>
          <cell r="L688" t="str">
            <v>42-05-02-01-0680</v>
          </cell>
          <cell r="M688" t="str">
            <v>Caja con tapa acero inoxidable 211x71x4  cms.</v>
          </cell>
          <cell r="O688" t="str">
            <v>EQUIPOS CLINICOS</v>
          </cell>
          <cell r="P688">
            <v>15000</v>
          </cell>
          <cell r="T688" t="str">
            <v>Bueno</v>
          </cell>
          <cell r="U688" t="str">
            <v>N/T</v>
          </cell>
        </row>
        <row r="689">
          <cell r="J689" t="str">
            <v>42-05-02-01-0681</v>
          </cell>
          <cell r="K689" t="str">
            <v>42-2433</v>
          </cell>
          <cell r="L689" t="str">
            <v>42-05-02-01-0681</v>
          </cell>
          <cell r="M689" t="str">
            <v>Caja con tapa acero inoxidable 211x71x4  cms.</v>
          </cell>
          <cell r="O689" t="str">
            <v>EQUIPOS CLINICOS</v>
          </cell>
          <cell r="P689">
            <v>15000</v>
          </cell>
          <cell r="T689" t="str">
            <v>Bueno</v>
          </cell>
          <cell r="U689" t="str">
            <v>N/T</v>
          </cell>
        </row>
        <row r="690">
          <cell r="J690" t="str">
            <v>42-05-02-01-0682</v>
          </cell>
          <cell r="K690" t="str">
            <v>42-2438</v>
          </cell>
          <cell r="L690" t="str">
            <v>42-05-02-01-0682</v>
          </cell>
          <cell r="M690" t="str">
            <v>Caja térmico marca Thermo de 50x29x30 azul con tapa blanca</v>
          </cell>
          <cell r="O690" t="str">
            <v>EQUIPOS CLINICOS</v>
          </cell>
          <cell r="P690">
            <v>20000</v>
          </cell>
          <cell r="T690" t="str">
            <v>Bueno</v>
          </cell>
          <cell r="U690" t="str">
            <v>N/T</v>
          </cell>
        </row>
        <row r="691">
          <cell r="J691" t="str">
            <v>42-05-02-01-0683</v>
          </cell>
          <cell r="K691" t="str">
            <v>42-2434</v>
          </cell>
          <cell r="L691" t="str">
            <v>42-05-02-01-0683</v>
          </cell>
          <cell r="M691" t="str">
            <v>Termo plástico para vacunas color plomo</v>
          </cell>
          <cell r="O691" t="str">
            <v>EQUIPOS CLINICOS</v>
          </cell>
          <cell r="P691">
            <v>28542</v>
          </cell>
          <cell r="T691" t="str">
            <v>Bueno</v>
          </cell>
          <cell r="U691" t="str">
            <v>N/T</v>
          </cell>
        </row>
        <row r="692">
          <cell r="J692" t="str">
            <v>42-05-02-01-0684</v>
          </cell>
          <cell r="K692" t="str">
            <v>42-2435</v>
          </cell>
          <cell r="L692" t="str">
            <v>42-05-02-01-0684</v>
          </cell>
          <cell r="M692" t="str">
            <v>Termo plástico para vacunas color plomo</v>
          </cell>
          <cell r="O692" t="str">
            <v>EQUIPOS CLINICOS</v>
          </cell>
          <cell r="P692">
            <v>28542</v>
          </cell>
          <cell r="T692" t="str">
            <v>Bueno</v>
          </cell>
          <cell r="U692" t="str">
            <v>N/T</v>
          </cell>
        </row>
        <row r="693">
          <cell r="J693" t="str">
            <v>42-05-02-01-0685</v>
          </cell>
          <cell r="K693" t="str">
            <v>42-2436</v>
          </cell>
          <cell r="L693" t="str">
            <v>42-05-02-01-0685</v>
          </cell>
          <cell r="M693" t="str">
            <v>Termo plástico para vacunas color plomo</v>
          </cell>
          <cell r="O693" t="str">
            <v>EQUIPOS CLINICOS</v>
          </cell>
          <cell r="P693">
            <v>28542</v>
          </cell>
          <cell r="T693" t="str">
            <v>Bueno</v>
          </cell>
          <cell r="U693" t="str">
            <v>N/T</v>
          </cell>
        </row>
        <row r="694">
          <cell r="J694" t="str">
            <v>42-05-02-01-0686</v>
          </cell>
          <cell r="K694" t="str">
            <v>42-2437</v>
          </cell>
          <cell r="L694" t="str">
            <v>42-05-02-01-0686</v>
          </cell>
          <cell r="M694" t="str">
            <v>Termo plástico para vacunas color plomo</v>
          </cell>
          <cell r="O694" t="str">
            <v>EQUIPOS CLINICOS</v>
          </cell>
          <cell r="P694">
            <v>28542</v>
          </cell>
          <cell r="T694" t="str">
            <v>Bueno</v>
          </cell>
          <cell r="U694" t="str">
            <v>N/T</v>
          </cell>
        </row>
        <row r="695">
          <cell r="J695" t="str">
            <v>42-05-02-01-0687</v>
          </cell>
          <cell r="K695" t="str">
            <v>24-1486</v>
          </cell>
          <cell r="L695" t="str">
            <v>42-05-02-01-0687</v>
          </cell>
          <cell r="M695" t="str">
            <v>Termo blanco con tapa azul</v>
          </cell>
          <cell r="O695" t="str">
            <v>EQUIPOS CLINICOS</v>
          </cell>
          <cell r="P695">
            <v>28542</v>
          </cell>
          <cell r="T695" t="str">
            <v>Bueno</v>
          </cell>
          <cell r="U695" t="str">
            <v>N/T</v>
          </cell>
        </row>
        <row r="696">
          <cell r="J696" t="str">
            <v>42-05-01-01-0688</v>
          </cell>
          <cell r="K696" t="str">
            <v>42-1808</v>
          </cell>
          <cell r="L696" t="str">
            <v>42-05-01-01-0688</v>
          </cell>
          <cell r="M696" t="str">
            <v>Estufa  oleoeléctrica marca Somela Mod. 2010T S/Nº 03051499</v>
          </cell>
          <cell r="O696" t="str">
            <v>EQUIPO DE OFICINA</v>
          </cell>
          <cell r="P696">
            <v>59488</v>
          </cell>
          <cell r="T696" t="str">
            <v>Bueno</v>
          </cell>
          <cell r="U696" t="str">
            <v>Somela</v>
          </cell>
        </row>
        <row r="697">
          <cell r="J697" t="str">
            <v>42-05-01-01-0689</v>
          </cell>
          <cell r="K697" t="str">
            <v>42-2690</v>
          </cell>
          <cell r="L697" t="str">
            <v>42-05-01-01-0689</v>
          </cell>
          <cell r="M697" t="str">
            <v>Ventilador pedestal marca Airolite Mod. V 16P3 N/Sº 5001888</v>
          </cell>
          <cell r="O697" t="str">
            <v>EQUIPO DE OFICINA</v>
          </cell>
          <cell r="P697">
            <v>36452</v>
          </cell>
          <cell r="T697" t="str">
            <v>Bueno</v>
          </cell>
          <cell r="U697" t="str">
            <v>Airolite</v>
          </cell>
        </row>
        <row r="698">
          <cell r="J698" t="str">
            <v>42-05-02-01-0690</v>
          </cell>
          <cell r="K698" t="str">
            <v>42-355</v>
          </cell>
          <cell r="L698" t="str">
            <v>42-05-02-01-0690</v>
          </cell>
          <cell r="M698" t="str">
            <v>Mesa ginecológica color café</v>
          </cell>
          <cell r="O698" t="str">
            <v>EQUIPOS CLINICOS</v>
          </cell>
          <cell r="P698">
            <v>52456</v>
          </cell>
          <cell r="T698" t="str">
            <v>Bueno</v>
          </cell>
          <cell r="U698" t="str">
            <v>N/T</v>
          </cell>
        </row>
        <row r="699">
          <cell r="J699" t="str">
            <v>42-04-03-00-0691</v>
          </cell>
          <cell r="K699" t="str">
            <v>42-3486</v>
          </cell>
          <cell r="L699" t="str">
            <v>42-04-03-00-0691</v>
          </cell>
          <cell r="M699" t="str">
            <v>Escritorio de computacion con, 1 cajon, 1 bandeja color nogal con plomo de 121x75x61</v>
          </cell>
          <cell r="O699" t="str">
            <v>ESCRITORIOS</v>
          </cell>
          <cell r="P699">
            <v>83300</v>
          </cell>
          <cell r="T699" t="str">
            <v>Bueno</v>
          </cell>
          <cell r="U699" t="str">
            <v>N/T</v>
          </cell>
        </row>
        <row r="700">
          <cell r="J700" t="str">
            <v>42-04-07-00-0692</v>
          </cell>
          <cell r="K700" t="str">
            <v>42-374</v>
          </cell>
          <cell r="L700" t="str">
            <v>42-04-07-00-0692</v>
          </cell>
          <cell r="M700" t="str">
            <v>Lámpara marca Skypet</v>
          </cell>
          <cell r="O700" t="str">
            <v>OTROS</v>
          </cell>
          <cell r="P700">
            <v>10000</v>
          </cell>
          <cell r="T700" t="str">
            <v>Bueno</v>
          </cell>
          <cell r="U700" t="str">
            <v>Skypet</v>
          </cell>
        </row>
        <row r="701">
          <cell r="J701" t="str">
            <v>42-04-06-00-0693</v>
          </cell>
          <cell r="K701" t="str">
            <v>42-362</v>
          </cell>
          <cell r="L701" t="str">
            <v>42-04-06-00-0693</v>
          </cell>
          <cell r="M701" t="str">
            <v>Mueble de madera, barniz natural, puertas corred. 1 cajón de 86x62x50  cms.</v>
          </cell>
          <cell r="O701" t="str">
            <v>REPISA</v>
          </cell>
          <cell r="P701">
            <v>254654</v>
          </cell>
          <cell r="T701" t="str">
            <v>Bueno</v>
          </cell>
          <cell r="U701" t="str">
            <v>N/T</v>
          </cell>
        </row>
        <row r="702">
          <cell r="J702" t="str">
            <v>42-04-05-00-0694</v>
          </cell>
          <cell r="K702" t="str">
            <v>42-2691</v>
          </cell>
          <cell r="L702" t="str">
            <v>42-04-05-00-0694</v>
          </cell>
          <cell r="M702" t="str">
            <v>Mueble melamina blanco 4 divisiones 105x55x85 cms.</v>
          </cell>
          <cell r="O702" t="str">
            <v>KARDEX</v>
          </cell>
          <cell r="P702">
            <v>78000</v>
          </cell>
          <cell r="T702" t="str">
            <v>Bueno</v>
          </cell>
          <cell r="U702" t="str">
            <v>N/T</v>
          </cell>
        </row>
        <row r="703">
          <cell r="J703" t="str">
            <v>42-04-07-00-0695</v>
          </cell>
          <cell r="K703" t="str">
            <v>42-374-B</v>
          </cell>
          <cell r="L703" t="str">
            <v>42-04-07-00-0695</v>
          </cell>
          <cell r="M703" t="str">
            <v>Percha paragüero color blanco</v>
          </cell>
          <cell r="O703" t="str">
            <v>OTROS</v>
          </cell>
          <cell r="P703">
            <v>30000</v>
          </cell>
          <cell r="T703" t="str">
            <v>Bueno</v>
          </cell>
          <cell r="U703" t="str">
            <v>N/T</v>
          </cell>
        </row>
        <row r="704">
          <cell r="J704" t="str">
            <v>42-04-02-00-0696</v>
          </cell>
          <cell r="K704" t="str">
            <v>42-1192</v>
          </cell>
          <cell r="L704" t="str">
            <v>42-04-02-00-0696</v>
          </cell>
          <cell r="M704" t="str">
            <v>Silla de madera barniz oscuro asiento y respaldo tapizado en lanilla color  café</v>
          </cell>
          <cell r="O704" t="str">
            <v>SILLAS</v>
          </cell>
          <cell r="P704">
            <v>17850</v>
          </cell>
          <cell r="T704" t="str">
            <v>Bueno</v>
          </cell>
          <cell r="U704" t="str">
            <v>N/T</v>
          </cell>
        </row>
        <row r="705">
          <cell r="J705" t="str">
            <v>42-04-02-00-0697</v>
          </cell>
          <cell r="K705" t="str">
            <v>42-1402</v>
          </cell>
          <cell r="L705" t="str">
            <v>42-04-02-00-0697</v>
          </cell>
          <cell r="M705" t="str">
            <v>Silla giratoria con pistón de aire tapizada con lanilla color plomo</v>
          </cell>
          <cell r="O705" t="str">
            <v>SILLAS</v>
          </cell>
          <cell r="P705">
            <v>17850</v>
          </cell>
          <cell r="T705" t="str">
            <v>Regular</v>
          </cell>
          <cell r="U705" t="str">
            <v>N/T</v>
          </cell>
        </row>
        <row r="706">
          <cell r="J706" t="str">
            <v>42-04-02-00-0698</v>
          </cell>
          <cell r="K706" t="str">
            <v>42-3467</v>
          </cell>
          <cell r="L706" t="str">
            <v>42-04-02-00-0698</v>
          </cell>
          <cell r="M706" t="str">
            <v>Silla computacion  de color azul con apoyo de brazos. 5  rueda</v>
          </cell>
          <cell r="O706" t="str">
            <v>SILLAS</v>
          </cell>
          <cell r="P706">
            <v>42500</v>
          </cell>
          <cell r="T706" t="str">
            <v>Bueno</v>
          </cell>
          <cell r="U706" t="str">
            <v>N/T</v>
          </cell>
        </row>
        <row r="707">
          <cell r="J707" t="str">
            <v>42-04-02-00-0699</v>
          </cell>
          <cell r="K707" t="str">
            <v>42-2000</v>
          </cell>
          <cell r="L707" t="str">
            <v>42-04-02-00-0699</v>
          </cell>
          <cell r="M707" t="str">
            <v>Silla Ergonometrica color azul, 5 ruedas  (MEL )</v>
          </cell>
          <cell r="O707" t="str">
            <v>SILLAS</v>
          </cell>
          <cell r="P707">
            <v>42500</v>
          </cell>
          <cell r="T707" t="str">
            <v>Bueno</v>
          </cell>
          <cell r="U707" t="str">
            <v>N/T</v>
          </cell>
        </row>
        <row r="708">
          <cell r="J708" t="str">
            <v>42-05-02-01-0700</v>
          </cell>
          <cell r="K708" t="str">
            <v>42-371</v>
          </cell>
          <cell r="L708" t="str">
            <v>42-05-02-01-0700</v>
          </cell>
          <cell r="M708" t="str">
            <v>Cartobón de madera barniz color caoba</v>
          </cell>
          <cell r="O708" t="str">
            <v>EQUIPOS CLINICOS</v>
          </cell>
          <cell r="P708">
            <v>165648</v>
          </cell>
          <cell r="T708" t="str">
            <v>Bueno</v>
          </cell>
          <cell r="U708" t="str">
            <v>N/T</v>
          </cell>
        </row>
        <row r="709">
          <cell r="J709" t="str">
            <v>42-05-02-01-0701</v>
          </cell>
          <cell r="K709" t="str">
            <v>42-372</v>
          </cell>
          <cell r="L709" t="str">
            <v>42-05-02-01-0701</v>
          </cell>
          <cell r="M709" t="str">
            <v>Balanza para lactante marca Wayluk suprema capacidad 13 kgs.</v>
          </cell>
          <cell r="O709" t="str">
            <v>EQUIPOS CLINICOS</v>
          </cell>
          <cell r="P709">
            <v>169546</v>
          </cell>
          <cell r="T709" t="str">
            <v>Bueno</v>
          </cell>
          <cell r="U709" t="str">
            <v>Wayluk</v>
          </cell>
        </row>
        <row r="710">
          <cell r="J710" t="str">
            <v>42-05-01-01-0702</v>
          </cell>
          <cell r="K710" t="str">
            <v>42-1993</v>
          </cell>
          <cell r="L710" t="str">
            <v>42-05-01-01-0702</v>
          </cell>
          <cell r="M710" t="str">
            <v>Citófono/ teléfono marca Nortel Network, Modelo 7000</v>
          </cell>
          <cell r="O710" t="str">
            <v>EQUIPO DE OFICINA</v>
          </cell>
          <cell r="P710">
            <v>36000</v>
          </cell>
          <cell r="T710" t="str">
            <v>Bueno</v>
          </cell>
          <cell r="U710" t="str">
            <v>Nortel Network</v>
          </cell>
        </row>
        <row r="711">
          <cell r="J711" t="str">
            <v>42-05-01-01-0703</v>
          </cell>
          <cell r="K711" t="str">
            <v>42-2546</v>
          </cell>
          <cell r="L711" t="str">
            <v>42-05-01-01-0703</v>
          </cell>
          <cell r="M711" t="str">
            <v>Extractor de aire marca Airolite</v>
          </cell>
          <cell r="O711" t="str">
            <v>EQUIPO DE OFICINA</v>
          </cell>
          <cell r="P711">
            <v>25000</v>
          </cell>
          <cell r="T711" t="str">
            <v>Bueno</v>
          </cell>
          <cell r="U711" t="str">
            <v>Airolite</v>
          </cell>
        </row>
        <row r="712">
          <cell r="J712" t="str">
            <v>42-04-03-00-0704</v>
          </cell>
          <cell r="K712" t="str">
            <v>42-3485</v>
          </cell>
          <cell r="L712" t="str">
            <v>42-04-03-00-0704</v>
          </cell>
          <cell r="M712" t="str">
            <v>Escritorio de computacion con 1 cajon, 1 bandeja color nogal con plomo  de 121x75x61</v>
          </cell>
          <cell r="O712" t="str">
            <v>ESCRITORIOS</v>
          </cell>
          <cell r="P712">
            <v>83300</v>
          </cell>
          <cell r="T712" t="str">
            <v>Bueno</v>
          </cell>
          <cell r="U712" t="str">
            <v>N/T</v>
          </cell>
        </row>
        <row r="713">
          <cell r="J713" t="str">
            <v>42-04-06-00-0705</v>
          </cell>
          <cell r="K713" t="str">
            <v>42-345</v>
          </cell>
          <cell r="L713" t="str">
            <v>42-04-06-00-0705</v>
          </cell>
          <cell r="M713" t="str">
            <v>Mueble melamina blanca, 2 puertas correderas de 170x55x89 cms.</v>
          </cell>
          <cell r="O713" t="str">
            <v>REPISA</v>
          </cell>
          <cell r="P713">
            <v>80000</v>
          </cell>
          <cell r="T713" t="str">
            <v>Bueno</v>
          </cell>
          <cell r="U713" t="str">
            <v>N/T</v>
          </cell>
        </row>
        <row r="714">
          <cell r="J714" t="str">
            <v>42-04-01-00-0706</v>
          </cell>
          <cell r="K714" t="str">
            <v>42-346B</v>
          </cell>
          <cell r="L714" t="str">
            <v>42-04-01-00-0706</v>
          </cell>
          <cell r="M714" t="str">
            <v>Mesa blanca de 70x48x89 cms.</v>
          </cell>
          <cell r="O714" t="str">
            <v>MESAS</v>
          </cell>
          <cell r="P714">
            <v>52416</v>
          </cell>
          <cell r="T714" t="str">
            <v>Bueno</v>
          </cell>
          <cell r="U714" t="str">
            <v>N/T</v>
          </cell>
        </row>
        <row r="715">
          <cell r="J715" t="str">
            <v>42-04-01-00-0707</v>
          </cell>
          <cell r="K715" t="str">
            <v>42-347B</v>
          </cell>
          <cell r="L715" t="str">
            <v>42-04-01-00-0707</v>
          </cell>
          <cell r="M715" t="str">
            <v>Mesa barniz natural de 100x71x83 cms. con colchoneta de tevinil café</v>
          </cell>
          <cell r="O715" t="str">
            <v>MESAS</v>
          </cell>
          <cell r="P715">
            <v>60000</v>
          </cell>
          <cell r="T715" t="str">
            <v>Bueno</v>
          </cell>
          <cell r="U715" t="str">
            <v>N/T</v>
          </cell>
        </row>
        <row r="716">
          <cell r="J716" t="str">
            <v>42-04-06-00-0708</v>
          </cell>
          <cell r="K716" t="str">
            <v>42-348B</v>
          </cell>
          <cell r="L716" t="str">
            <v>42-04-06-00-0708</v>
          </cell>
          <cell r="M716" t="str">
            <v>Vitrina metálica blanca de 116x35x152 cms. con 2 puertas</v>
          </cell>
          <cell r="O716" t="str">
            <v>REPISA</v>
          </cell>
          <cell r="P716">
            <v>145214</v>
          </cell>
          <cell r="T716" t="str">
            <v>Bueno</v>
          </cell>
          <cell r="U716" t="str">
            <v>N/T</v>
          </cell>
        </row>
        <row r="717">
          <cell r="J717" t="str">
            <v>42-04-07-00-0709</v>
          </cell>
          <cell r="K717" t="str">
            <v>42-349B</v>
          </cell>
          <cell r="L717" t="str">
            <v>42-04-07-00-0709</v>
          </cell>
          <cell r="M717" t="str">
            <v>Mural de madera de plumavit  forrado en género con  motivos infantiles de  100x51 cms.</v>
          </cell>
          <cell r="O717" t="str">
            <v>OTROS</v>
          </cell>
          <cell r="P717">
            <v>29750</v>
          </cell>
          <cell r="T717" t="str">
            <v>Bueno</v>
          </cell>
          <cell r="U717" t="str">
            <v>N/T</v>
          </cell>
        </row>
        <row r="718">
          <cell r="J718" t="str">
            <v>42-04-02-00-0710</v>
          </cell>
          <cell r="K718" t="str">
            <v>42-1119</v>
          </cell>
          <cell r="L718" t="str">
            <v>42-04-02-00-0710</v>
          </cell>
          <cell r="M718" t="str">
            <v>Silla de madera barniz natural tapizada en lanilla color café</v>
          </cell>
          <cell r="O718" t="str">
            <v>SILLAS</v>
          </cell>
          <cell r="P718">
            <v>13584</v>
          </cell>
          <cell r="T718" t="str">
            <v>Bueno</v>
          </cell>
          <cell r="U718" t="str">
            <v>N/T</v>
          </cell>
        </row>
        <row r="719">
          <cell r="J719" t="str">
            <v>42-04-02-00-0711</v>
          </cell>
          <cell r="K719" t="str">
            <v>42-1192</v>
          </cell>
          <cell r="L719" t="str">
            <v>42-04-02-00-0711</v>
          </cell>
          <cell r="M719" t="str">
            <v>Silla de madera barniz oscuro asiento y respaldo tapizado en lanilla color café</v>
          </cell>
          <cell r="O719" t="str">
            <v>SILLAS</v>
          </cell>
          <cell r="P719">
            <v>13584</v>
          </cell>
          <cell r="T719" t="str">
            <v>Bueno</v>
          </cell>
          <cell r="U719" t="str">
            <v>N/T</v>
          </cell>
        </row>
        <row r="720">
          <cell r="J720" t="str">
            <v>42-04-07-00-0712</v>
          </cell>
          <cell r="K720" t="str">
            <v>42-779</v>
          </cell>
          <cell r="L720" t="str">
            <v>42-04-07-00-0712</v>
          </cell>
          <cell r="M720" t="str">
            <v>Loker metálico plomo con puerta verde</v>
          </cell>
          <cell r="O720" t="str">
            <v>OTROS</v>
          </cell>
          <cell r="P720">
            <v>37500</v>
          </cell>
          <cell r="T720" t="str">
            <v>Bueno</v>
          </cell>
          <cell r="U720" t="str">
            <v>N/T</v>
          </cell>
        </row>
        <row r="721">
          <cell r="J721" t="str">
            <v>42-05-02-01-0713</v>
          </cell>
          <cell r="K721" t="str">
            <v>42-1279</v>
          </cell>
          <cell r="L721" t="str">
            <v>42-05-02-01-0713</v>
          </cell>
          <cell r="M721" t="str">
            <v>Cartabón de madera barniz natural</v>
          </cell>
          <cell r="O721" t="str">
            <v>EQUIPOS CLINICOS</v>
          </cell>
          <cell r="P721">
            <v>165648</v>
          </cell>
          <cell r="T721" t="str">
            <v>Bueno</v>
          </cell>
          <cell r="U721" t="str">
            <v>N/T</v>
          </cell>
        </row>
        <row r="722">
          <cell r="J722" t="str">
            <v>42-05-02-01-0714</v>
          </cell>
          <cell r="K722" t="str">
            <v>42-1418</v>
          </cell>
          <cell r="L722" t="str">
            <v>42-05-02-01-0714</v>
          </cell>
          <cell r="M722" t="str">
            <v>Cartabón de madera adulto</v>
          </cell>
          <cell r="O722" t="str">
            <v>EQUIPOS CLINICOS</v>
          </cell>
          <cell r="P722">
            <v>165648</v>
          </cell>
          <cell r="T722" t="str">
            <v>Bueno</v>
          </cell>
          <cell r="U722" t="str">
            <v>N/T</v>
          </cell>
        </row>
        <row r="723">
          <cell r="J723" t="str">
            <v>42-04-06-00-0715</v>
          </cell>
          <cell r="K723" t="str">
            <v>42-2440</v>
          </cell>
          <cell r="L723" t="str">
            <v>42-04-06-00-0715</v>
          </cell>
          <cell r="M723" t="str">
            <v>Repisa macisa con 2 soportes metálicos color café</v>
          </cell>
          <cell r="O723" t="str">
            <v>REPISA</v>
          </cell>
          <cell r="P723">
            <v>20000</v>
          </cell>
          <cell r="T723" t="str">
            <v>Bueno</v>
          </cell>
          <cell r="U723" t="str">
            <v>N/T</v>
          </cell>
        </row>
        <row r="724">
          <cell r="J724" t="str">
            <v>42-04-06-00-0716</v>
          </cell>
          <cell r="K724" t="str">
            <v>42-2441</v>
          </cell>
          <cell r="L724" t="str">
            <v>42-04-06-00-0716</v>
          </cell>
          <cell r="M724" t="str">
            <v>Repisa 100x40x30 cms.</v>
          </cell>
          <cell r="O724" t="str">
            <v>REPISA</v>
          </cell>
          <cell r="P724">
            <v>15000</v>
          </cell>
          <cell r="T724" t="str">
            <v>Bueno</v>
          </cell>
          <cell r="U724" t="str">
            <v>N/T</v>
          </cell>
        </row>
        <row r="725">
          <cell r="J725" t="str">
            <v>42-05-01-01-0717</v>
          </cell>
          <cell r="K725" t="str">
            <v>42-3139</v>
          </cell>
          <cell r="L725" t="str">
            <v>42-05-01-01-0717</v>
          </cell>
          <cell r="M725" t="str">
            <v>Pizarra 70x50</v>
          </cell>
          <cell r="O725" t="str">
            <v>EQUIPO DE OFICINA</v>
          </cell>
          <cell r="P725">
            <v>29750</v>
          </cell>
          <cell r="T725" t="str">
            <v>Bueno</v>
          </cell>
          <cell r="U725" t="str">
            <v>N/T</v>
          </cell>
        </row>
        <row r="726">
          <cell r="J726" t="str">
            <v>42-04-07-00-0718</v>
          </cell>
          <cell r="K726" t="str">
            <v>42-3262</v>
          </cell>
          <cell r="L726" t="str">
            <v>42-04-07-00-0718</v>
          </cell>
          <cell r="M726" t="str">
            <v>Dispensador toalla Nova marca Pisa</v>
          </cell>
          <cell r="O726" t="str">
            <v>OTROS</v>
          </cell>
          <cell r="P726">
            <v>17000</v>
          </cell>
          <cell r="T726" t="str">
            <v>Bueno</v>
          </cell>
          <cell r="U726" t="str">
            <v>N/T</v>
          </cell>
        </row>
        <row r="727">
          <cell r="J727" t="str">
            <v>42-05-02-01-0719</v>
          </cell>
          <cell r="K727" t="str">
            <v>42-343B</v>
          </cell>
          <cell r="L727" t="str">
            <v>42-05-02-01-0719</v>
          </cell>
          <cell r="M727" t="str">
            <v>Balanza infantil marca Seca cap. 15 Kg.</v>
          </cell>
          <cell r="O727" t="str">
            <v>EQUIPOS CLINICOS</v>
          </cell>
          <cell r="P727">
            <v>169546</v>
          </cell>
          <cell r="T727" t="str">
            <v>Mala</v>
          </cell>
          <cell r="U727" t="str">
            <v>Seca</v>
          </cell>
        </row>
        <row r="728">
          <cell r="J728" t="str">
            <v>42-05-02-01-0720</v>
          </cell>
          <cell r="K728" t="str">
            <v>42-344B</v>
          </cell>
          <cell r="L728" t="str">
            <v>42-05-02-01-0720</v>
          </cell>
          <cell r="M728" t="str">
            <v>Balanza para adulto marca Seca</v>
          </cell>
          <cell r="O728" t="str">
            <v>EQUIPOS CLINICOS</v>
          </cell>
          <cell r="P728">
            <v>165648</v>
          </cell>
          <cell r="T728" t="str">
            <v>Mala</v>
          </cell>
          <cell r="U728" t="str">
            <v>Seca</v>
          </cell>
        </row>
        <row r="729">
          <cell r="J729" t="str">
            <v>42-05-01-01-0721</v>
          </cell>
          <cell r="K729" t="str">
            <v>42-1954</v>
          </cell>
          <cell r="L729" t="str">
            <v>42-05-01-01-0721</v>
          </cell>
          <cell r="M729" t="str">
            <v>Citófono/ teléfono marca Nortel Network, Modelo 7000</v>
          </cell>
          <cell r="O729" t="str">
            <v>EQUIPO DE OFICINA</v>
          </cell>
          <cell r="P729">
            <v>36000</v>
          </cell>
          <cell r="T729" t="str">
            <v>Bueno</v>
          </cell>
          <cell r="U729" t="str">
            <v>Nortel Network</v>
          </cell>
        </row>
        <row r="730">
          <cell r="J730" t="str">
            <v>42-05-01-01-0722</v>
          </cell>
          <cell r="K730" t="str">
            <v>42-2546</v>
          </cell>
          <cell r="L730" t="str">
            <v>42-05-01-01-0722</v>
          </cell>
          <cell r="M730" t="str">
            <v>Extractor de aire marca Airolite</v>
          </cell>
          <cell r="O730" t="str">
            <v>EQUIPO DE OFICINA</v>
          </cell>
          <cell r="P730">
            <v>25000</v>
          </cell>
          <cell r="T730" t="str">
            <v>Bueno</v>
          </cell>
          <cell r="U730" t="str">
            <v>Airolite</v>
          </cell>
        </row>
        <row r="731">
          <cell r="J731" t="str">
            <v>42-04-03-00-0723</v>
          </cell>
          <cell r="K731" t="str">
            <v>42-3485</v>
          </cell>
          <cell r="L731" t="str">
            <v>42-04-03-00-0723</v>
          </cell>
          <cell r="M731" t="str">
            <v>Escritorio de computacion con 1 cajon, 1 bandeja color nogal con plomo  de 121x75x61</v>
          </cell>
          <cell r="O731" t="str">
            <v>ESCRITORIOS</v>
          </cell>
          <cell r="P731">
            <v>83300</v>
          </cell>
          <cell r="T731" t="str">
            <v>Bueno</v>
          </cell>
          <cell r="U731" t="str">
            <v>N/T</v>
          </cell>
        </row>
        <row r="732">
          <cell r="J732" t="str">
            <v>42-04-06-00-0724</v>
          </cell>
          <cell r="K732" t="str">
            <v>42-345</v>
          </cell>
          <cell r="L732" t="str">
            <v>42-04-06-00-0724</v>
          </cell>
          <cell r="M732" t="str">
            <v>Mueble melamina blanca, 2 puertas correderas de 170x55x89 cms.</v>
          </cell>
          <cell r="O732" t="str">
            <v>REPISA</v>
          </cell>
          <cell r="P732">
            <v>80000</v>
          </cell>
          <cell r="T732" t="str">
            <v>Bueno</v>
          </cell>
          <cell r="U732" t="str">
            <v>N/T</v>
          </cell>
        </row>
        <row r="733">
          <cell r="J733" t="str">
            <v>42-04-01-00-0725</v>
          </cell>
          <cell r="K733" t="str">
            <v>42-346B</v>
          </cell>
          <cell r="L733" t="str">
            <v>42-04-01-00-0725</v>
          </cell>
          <cell r="M733" t="str">
            <v>Mesa blanca de 70x48x89 cms.</v>
          </cell>
          <cell r="O733" t="str">
            <v>MESAS</v>
          </cell>
          <cell r="P733">
            <v>52416</v>
          </cell>
          <cell r="T733" t="str">
            <v>Bueno</v>
          </cell>
          <cell r="U733" t="str">
            <v>N/T</v>
          </cell>
        </row>
        <row r="734">
          <cell r="J734" t="str">
            <v>42-04-01-00-0726</v>
          </cell>
          <cell r="K734" t="str">
            <v>42-347B</v>
          </cell>
          <cell r="L734" t="str">
            <v>42-04-01-00-0726</v>
          </cell>
          <cell r="M734" t="str">
            <v>Mesa barniz natural de 100x71x83 cms. con colchoneta de tevinil café</v>
          </cell>
          <cell r="O734" t="str">
            <v>MESAS</v>
          </cell>
          <cell r="P734">
            <v>60000</v>
          </cell>
          <cell r="T734" t="str">
            <v>Bueno</v>
          </cell>
          <cell r="U734" t="str">
            <v>N/T</v>
          </cell>
        </row>
        <row r="735">
          <cell r="J735" t="str">
            <v>42-04-06-00-0727</v>
          </cell>
          <cell r="K735" t="str">
            <v>42-348B</v>
          </cell>
          <cell r="L735" t="str">
            <v>42-04-06-00-0727</v>
          </cell>
          <cell r="M735" t="str">
            <v>Vitrina metálica blanca de 116x35x152 cms. con 2 puertas</v>
          </cell>
          <cell r="O735" t="str">
            <v>REPISA</v>
          </cell>
          <cell r="P735">
            <v>145214</v>
          </cell>
          <cell r="T735" t="str">
            <v>Bueno</v>
          </cell>
          <cell r="U735" t="str">
            <v>N/T</v>
          </cell>
        </row>
        <row r="736">
          <cell r="J736" t="str">
            <v>42-04-07-00-0728</v>
          </cell>
          <cell r="K736" t="str">
            <v>42-349B</v>
          </cell>
          <cell r="L736" t="str">
            <v>42-04-07-00-0728</v>
          </cell>
          <cell r="M736" t="str">
            <v>Mural de madera de plumavit  forrado en género con  motivos infantiles de  100x51 cms.</v>
          </cell>
          <cell r="O736" t="str">
            <v>OTROS</v>
          </cell>
          <cell r="P736">
            <v>29750</v>
          </cell>
          <cell r="T736" t="str">
            <v>Bueno</v>
          </cell>
          <cell r="U736" t="str">
            <v>N/T</v>
          </cell>
        </row>
        <row r="737">
          <cell r="J737" t="str">
            <v>42-04-02-00-0729</v>
          </cell>
          <cell r="K737" t="str">
            <v>42-1119</v>
          </cell>
          <cell r="L737" t="str">
            <v>42-04-02-00-0729</v>
          </cell>
          <cell r="M737" t="str">
            <v>Silla de madera barniz natural tapizada en lanilla color café</v>
          </cell>
          <cell r="O737" t="str">
            <v>SILLAS</v>
          </cell>
          <cell r="P737">
            <v>13584</v>
          </cell>
          <cell r="T737" t="str">
            <v>Bueno</v>
          </cell>
          <cell r="U737" t="str">
            <v>N/T</v>
          </cell>
        </row>
        <row r="738">
          <cell r="J738" t="str">
            <v>42-04-02-00-0730</v>
          </cell>
          <cell r="K738" t="str">
            <v>42-1192</v>
          </cell>
          <cell r="L738" t="str">
            <v>42-04-02-00-0730</v>
          </cell>
          <cell r="M738" t="str">
            <v>Silla de madera barniz oscuro asiento y respaldo tapizado en lanilla color café</v>
          </cell>
          <cell r="O738" t="str">
            <v>SILLAS</v>
          </cell>
          <cell r="P738">
            <v>13584</v>
          </cell>
          <cell r="T738" t="str">
            <v>Bueno</v>
          </cell>
          <cell r="U738" t="str">
            <v>N/T</v>
          </cell>
        </row>
        <row r="739">
          <cell r="J739" t="str">
            <v>42-04-07-00-0731</v>
          </cell>
          <cell r="K739" t="str">
            <v>42-779</v>
          </cell>
          <cell r="L739" t="str">
            <v>42-04-07-00-0731</v>
          </cell>
          <cell r="M739" t="str">
            <v>Loker metálico plomo con puerta verde</v>
          </cell>
          <cell r="O739" t="str">
            <v>OTROS</v>
          </cell>
          <cell r="P739">
            <v>37500</v>
          </cell>
          <cell r="T739" t="str">
            <v>Bueno</v>
          </cell>
          <cell r="U739" t="str">
            <v>N/T</v>
          </cell>
        </row>
        <row r="740">
          <cell r="J740" t="str">
            <v>42-05-02-01-0732</v>
          </cell>
          <cell r="K740" t="str">
            <v>42-1279</v>
          </cell>
          <cell r="L740" t="str">
            <v>42-05-02-01-0732</v>
          </cell>
          <cell r="M740" t="str">
            <v>Cartabón de madera barniz natural</v>
          </cell>
          <cell r="O740" t="str">
            <v>EQUIPOS CLINICOS</v>
          </cell>
          <cell r="P740">
            <v>165648</v>
          </cell>
          <cell r="T740" t="str">
            <v>Bueno</v>
          </cell>
          <cell r="U740" t="str">
            <v>N/T</v>
          </cell>
        </row>
        <row r="741">
          <cell r="J741" t="str">
            <v>42-05-02-01-0733</v>
          </cell>
          <cell r="K741" t="str">
            <v>42-1418</v>
          </cell>
          <cell r="L741" t="str">
            <v>42-05-02-01-0733</v>
          </cell>
          <cell r="M741" t="str">
            <v>Cartabón de madera adulto</v>
          </cell>
          <cell r="O741" t="str">
            <v>EQUIPOS CLINICOS</v>
          </cell>
          <cell r="P741">
            <v>165648</v>
          </cell>
          <cell r="T741" t="str">
            <v>Bueno</v>
          </cell>
          <cell r="U741" t="str">
            <v>N/T</v>
          </cell>
        </row>
        <row r="742">
          <cell r="J742" t="str">
            <v>42-04-06-00-0734</v>
          </cell>
          <cell r="K742" t="str">
            <v>42-2440</v>
          </cell>
          <cell r="L742" t="str">
            <v>42-04-06-00-0734</v>
          </cell>
          <cell r="M742" t="str">
            <v>Repisa macisa con 2 soportes metálicos color café</v>
          </cell>
          <cell r="O742" t="str">
            <v>REPISA</v>
          </cell>
          <cell r="P742">
            <v>20000</v>
          </cell>
          <cell r="T742" t="str">
            <v>Bueno</v>
          </cell>
          <cell r="U742" t="str">
            <v>N/T</v>
          </cell>
        </row>
        <row r="743">
          <cell r="J743" t="str">
            <v>42-04-06-00-0735</v>
          </cell>
          <cell r="K743" t="str">
            <v>42-2441</v>
          </cell>
          <cell r="L743" t="str">
            <v>42-04-06-00-0735</v>
          </cell>
          <cell r="M743" t="str">
            <v>Repisa 100x40x30 cms.</v>
          </cell>
          <cell r="O743" t="str">
            <v>REPISA</v>
          </cell>
          <cell r="P743">
            <v>15000</v>
          </cell>
          <cell r="T743" t="str">
            <v>Bueno</v>
          </cell>
          <cell r="U743" t="str">
            <v>N/T</v>
          </cell>
        </row>
        <row r="744">
          <cell r="J744" t="str">
            <v>42-05-01-01-0736</v>
          </cell>
          <cell r="K744" t="str">
            <v>42-3139</v>
          </cell>
          <cell r="L744" t="str">
            <v>42-05-01-01-0736</v>
          </cell>
          <cell r="M744" t="str">
            <v>Pizarra 70x50</v>
          </cell>
          <cell r="O744" t="str">
            <v>EQUIPO DE OFICINA</v>
          </cell>
          <cell r="P744">
            <v>29750</v>
          </cell>
          <cell r="T744" t="str">
            <v>Bueno</v>
          </cell>
          <cell r="U744" t="str">
            <v>N/T</v>
          </cell>
        </row>
        <row r="745">
          <cell r="J745" t="str">
            <v>42-04-07-00-0737</v>
          </cell>
          <cell r="K745" t="str">
            <v>42-3262</v>
          </cell>
          <cell r="L745" t="str">
            <v>42-04-07-00-0737</v>
          </cell>
          <cell r="M745" t="str">
            <v>Dispensador toalla Nova marca Pisa</v>
          </cell>
          <cell r="O745" t="str">
            <v>OTROS</v>
          </cell>
          <cell r="P745">
            <v>17000</v>
          </cell>
          <cell r="T745" t="str">
            <v>Bueno</v>
          </cell>
          <cell r="U745" t="str">
            <v>N/T</v>
          </cell>
        </row>
        <row r="746">
          <cell r="J746" t="str">
            <v>42-05-02-01-0738</v>
          </cell>
          <cell r="K746" t="str">
            <v>42-343B</v>
          </cell>
          <cell r="L746" t="str">
            <v>42-05-02-01-0738</v>
          </cell>
          <cell r="M746" t="str">
            <v>Balanza infantil marca Seca cap. 15 Kg.</v>
          </cell>
          <cell r="O746" t="str">
            <v>EQUIPOS CLINICOS</v>
          </cell>
          <cell r="P746">
            <v>169546</v>
          </cell>
          <cell r="T746" t="str">
            <v>Mala</v>
          </cell>
          <cell r="U746" t="str">
            <v>Seca</v>
          </cell>
        </row>
        <row r="747">
          <cell r="J747" t="str">
            <v>42-05-02-01-0739</v>
          </cell>
          <cell r="K747" t="str">
            <v>42-344B</v>
          </cell>
          <cell r="L747" t="str">
            <v>42-05-02-01-0739</v>
          </cell>
          <cell r="M747" t="str">
            <v>Balanza para adulto marca Seca</v>
          </cell>
          <cell r="O747" t="str">
            <v>EQUIPOS CLINICOS</v>
          </cell>
          <cell r="P747">
            <v>165648</v>
          </cell>
          <cell r="T747" t="str">
            <v>Mala</v>
          </cell>
          <cell r="U747" t="str">
            <v>Seca</v>
          </cell>
        </row>
        <row r="748">
          <cell r="J748" t="str">
            <v>42-05-01-01-0740</v>
          </cell>
          <cell r="K748" t="str">
            <v>42-1954</v>
          </cell>
          <cell r="L748" t="str">
            <v>42-05-01-01-0740</v>
          </cell>
          <cell r="M748" t="str">
            <v>Citófono/ teléfono marca Nortel Network, Modelo 7000</v>
          </cell>
          <cell r="O748" t="str">
            <v>EQUIPO DE OFICINA</v>
          </cell>
          <cell r="P748">
            <v>36000</v>
          </cell>
          <cell r="T748" t="str">
            <v>Bueno</v>
          </cell>
          <cell r="U748" t="str">
            <v>Nortel Network</v>
          </cell>
        </row>
        <row r="749">
          <cell r="J749" t="str">
            <v>42-04-03-00-0741</v>
          </cell>
          <cell r="K749" t="str">
            <v>42-3478</v>
          </cell>
          <cell r="L749" t="str">
            <v>42-04-03-00-0741</v>
          </cell>
          <cell r="M749" t="str">
            <v>Escritorio  de computacion con 1 cajon, 1 bandeja color nogal  con plomo  de  121x75x61</v>
          </cell>
          <cell r="O749" t="str">
            <v>ESCRITORIOS</v>
          </cell>
          <cell r="P749">
            <v>83300</v>
          </cell>
          <cell r="T749" t="str">
            <v>Bueno</v>
          </cell>
          <cell r="U749" t="str">
            <v>N/T</v>
          </cell>
        </row>
        <row r="750">
          <cell r="J750" t="str">
            <v>42-04-05-00-0742</v>
          </cell>
          <cell r="K750" t="str">
            <v>42-2439</v>
          </cell>
          <cell r="L750" t="str">
            <v>42-04-05-00-0742</v>
          </cell>
          <cell r="M750" t="str">
            <v>Mueble melamina blanca adherido a la pared, 2 puertas, 3 divisiones 1 lavamanos  de 171x55x89 cms.</v>
          </cell>
          <cell r="O750" t="str">
            <v>KARDEX</v>
          </cell>
          <cell r="P750">
            <v>80000</v>
          </cell>
          <cell r="T750" t="str">
            <v>Bueno</v>
          </cell>
          <cell r="U750" t="str">
            <v>N/T</v>
          </cell>
        </row>
        <row r="751">
          <cell r="J751" t="str">
            <v>42-04-02-00-0743</v>
          </cell>
          <cell r="K751" t="str">
            <v>42-3460</v>
          </cell>
          <cell r="L751" t="str">
            <v>42-04-02-00-0743</v>
          </cell>
          <cell r="M751" t="str">
            <v>Silla computacional color azul con 5 ruedas</v>
          </cell>
          <cell r="O751" t="str">
            <v>SILLAS</v>
          </cell>
          <cell r="P751">
            <v>42500</v>
          </cell>
          <cell r="T751" t="str">
            <v>Bueno</v>
          </cell>
          <cell r="U751" t="str">
            <v>B</v>
          </cell>
        </row>
        <row r="752">
          <cell r="J752" t="str">
            <v>42-04-02-00-0744</v>
          </cell>
          <cell r="K752" t="str">
            <v>42-2595</v>
          </cell>
          <cell r="L752" t="str">
            <v>42-04-02-00-0744</v>
          </cell>
          <cell r="M752" t="str">
            <v>Silla mixta color beige</v>
          </cell>
          <cell r="O752" t="str">
            <v>SILLAS</v>
          </cell>
          <cell r="P752">
            <v>17850</v>
          </cell>
          <cell r="T752" t="str">
            <v>Bueno</v>
          </cell>
        </row>
        <row r="753">
          <cell r="J753" t="str">
            <v>42-05-02-01-0745</v>
          </cell>
          <cell r="K753" t="str">
            <v>42-3444</v>
          </cell>
          <cell r="L753" t="str">
            <v>42-05-02-01-0745</v>
          </cell>
          <cell r="M753" t="str">
            <v>Otoscopio Welch allyn Mod. Pocker Junior</v>
          </cell>
          <cell r="O753" t="str">
            <v>EQUIPOS CLINICOS</v>
          </cell>
          <cell r="P753">
            <v>25000</v>
          </cell>
          <cell r="T753" t="str">
            <v>Bueno</v>
          </cell>
        </row>
        <row r="754">
          <cell r="J754" t="str">
            <v>42-04-06-00-0746</v>
          </cell>
          <cell r="K754" t="str">
            <v>42-299</v>
          </cell>
          <cell r="L754" t="str">
            <v>42-04-06-00-0746</v>
          </cell>
          <cell r="M754" t="str">
            <v>Vitrina metálica color blanco, 1 puerta de vidrio 60x40x160 cms.</v>
          </cell>
          <cell r="O754" t="str">
            <v>REPISA</v>
          </cell>
          <cell r="P754">
            <v>145215</v>
          </cell>
          <cell r="T754" t="str">
            <v>Bueno</v>
          </cell>
          <cell r="U754" t="str">
            <v>B</v>
          </cell>
        </row>
        <row r="755">
          <cell r="J755" t="str">
            <v>42-05-01-01-0747</v>
          </cell>
          <cell r="K755" t="str">
            <v>42-1975</v>
          </cell>
          <cell r="L755" t="str">
            <v>42-05-01-01-0747</v>
          </cell>
          <cell r="M755" t="str">
            <v>Citófono/ teléfono marca Nortel Network, Modelo 7000</v>
          </cell>
          <cell r="O755" t="str">
            <v>EQUIPO DE OFICINA</v>
          </cell>
          <cell r="P755">
            <v>36000</v>
          </cell>
          <cell r="T755" t="str">
            <v>Bueno</v>
          </cell>
          <cell r="U755" t="str">
            <v>B</v>
          </cell>
        </row>
        <row r="756">
          <cell r="J756" t="str">
            <v>42-05-02-01-0748</v>
          </cell>
          <cell r="K756" t="str">
            <v>42-378</v>
          </cell>
          <cell r="L756" t="str">
            <v>42-05-02-01-0748</v>
          </cell>
          <cell r="M756" t="str">
            <v>Esterilizador marca Aesculap ISO 400 serie 243557 1.200 MAT.</v>
          </cell>
          <cell r="O756" t="str">
            <v>EQUIPOS CLINICOS</v>
          </cell>
          <cell r="P756">
            <v>118080</v>
          </cell>
          <cell r="T756" t="str">
            <v>Bueno</v>
          </cell>
          <cell r="U756" t="str">
            <v>Aesculap</v>
          </cell>
        </row>
        <row r="757">
          <cell r="J757" t="str">
            <v>42-05-02-01-0749</v>
          </cell>
          <cell r="K757" t="str">
            <v>42-2380</v>
          </cell>
          <cell r="L757" t="str">
            <v>42-05-02-01-0749</v>
          </cell>
          <cell r="M757" t="str">
            <v>Scaler marca NSK</v>
          </cell>
          <cell r="O757" t="str">
            <v>EQUIPOS CLINICOS</v>
          </cell>
          <cell r="P757">
            <v>89000</v>
          </cell>
          <cell r="T757" t="str">
            <v>Bueno</v>
          </cell>
          <cell r="U757" t="str">
            <v>Nsk</v>
          </cell>
        </row>
        <row r="758">
          <cell r="J758" t="str">
            <v>42-05-02-01-0750</v>
          </cell>
          <cell r="K758" t="str">
            <v>42-2381</v>
          </cell>
          <cell r="L758" t="str">
            <v>42-05-02-01-0750</v>
          </cell>
          <cell r="M758" t="str">
            <v>Turbina Panna Air marca NSK</v>
          </cell>
          <cell r="O758" t="str">
            <v>EQUIPOS CLINICOS</v>
          </cell>
          <cell r="P758">
            <v>95229</v>
          </cell>
          <cell r="T758" t="str">
            <v>Bueno</v>
          </cell>
          <cell r="U758" t="str">
            <v>Nsk</v>
          </cell>
        </row>
        <row r="759">
          <cell r="J759" t="str">
            <v>42-05-02-01-0751</v>
          </cell>
          <cell r="K759" t="str">
            <v>42-2382</v>
          </cell>
          <cell r="L759" t="str">
            <v>42-05-02-01-0751</v>
          </cell>
          <cell r="M759" t="str">
            <v>Pieza de mano NSK, 1 contrangulo NSK, 1 micromotor</v>
          </cell>
          <cell r="O759" t="str">
            <v>EQUIPOS CLINICOS</v>
          </cell>
          <cell r="P759">
            <v>70540</v>
          </cell>
          <cell r="T759" t="str">
            <v>Bueno</v>
          </cell>
          <cell r="U759" t="str">
            <v>Nsk</v>
          </cell>
        </row>
        <row r="760">
          <cell r="J760" t="str">
            <v>42-05-02-01-0752</v>
          </cell>
          <cell r="K760" t="str">
            <v>42-385</v>
          </cell>
          <cell r="L760" t="str">
            <v>42-05-02-01-0752</v>
          </cell>
          <cell r="M760" t="str">
            <v>Amalgamador mecánico marca Dentomat serie 8457266</v>
          </cell>
          <cell r="O760" t="str">
            <v>EQUIPOS CLINICOS</v>
          </cell>
          <cell r="P760">
            <v>69930</v>
          </cell>
          <cell r="T760" t="str">
            <v>Bueno</v>
          </cell>
          <cell r="U760" t="str">
            <v>Dentomat</v>
          </cell>
        </row>
        <row r="761">
          <cell r="J761" t="str">
            <v>42-05-02-01-0753</v>
          </cell>
          <cell r="K761" t="str">
            <v>42-2383</v>
          </cell>
          <cell r="L761" t="str">
            <v>42-05-02-01-0753</v>
          </cell>
          <cell r="M761" t="str">
            <v>Turbina Panna Air marca NSK</v>
          </cell>
          <cell r="O761" t="str">
            <v>EQUIPOS CLINICOS</v>
          </cell>
          <cell r="P761">
            <v>98000</v>
          </cell>
          <cell r="T761" t="str">
            <v>Bueno</v>
          </cell>
          <cell r="U761" t="str">
            <v>Nsk</v>
          </cell>
        </row>
        <row r="762">
          <cell r="J762" t="str">
            <v>42-05-02-01-0754</v>
          </cell>
          <cell r="K762" t="str">
            <v>42-2384</v>
          </cell>
          <cell r="L762" t="str">
            <v>42-05-02-01-0754</v>
          </cell>
          <cell r="M762" t="str">
            <v>Pieza de mano NSK, 1 contrangulo NSK, 1 micromotor</v>
          </cell>
          <cell r="O762" t="str">
            <v>EQUIPOS CLINICOS</v>
          </cell>
          <cell r="P762">
            <v>70540</v>
          </cell>
          <cell r="T762" t="str">
            <v>Bueno</v>
          </cell>
          <cell r="U762" t="str">
            <v>Nsk</v>
          </cell>
        </row>
        <row r="763">
          <cell r="J763" t="str">
            <v>42-05-02-01-0755</v>
          </cell>
          <cell r="K763" t="str">
            <v>42-2348</v>
          </cell>
          <cell r="L763" t="str">
            <v>42-05-02-01-0755</v>
          </cell>
          <cell r="M763" t="str">
            <v>Esterilizador dental marca Memmert</v>
          </cell>
          <cell r="O763" t="str">
            <v>EQUIPOS CLINICOS</v>
          </cell>
          <cell r="P763">
            <v>100000</v>
          </cell>
          <cell r="T763" t="str">
            <v>Bueno</v>
          </cell>
          <cell r="U763" t="str">
            <v>Memmert</v>
          </cell>
        </row>
        <row r="764">
          <cell r="J764" t="str">
            <v>42-04-07-00-0756</v>
          </cell>
          <cell r="K764" t="str">
            <v>42-1661</v>
          </cell>
          <cell r="L764" t="str">
            <v>42-04-07-00-0756</v>
          </cell>
          <cell r="M764" t="str">
            <v>Lámpara Optiligt Plus</v>
          </cell>
          <cell r="O764" t="str">
            <v>OTROS</v>
          </cell>
          <cell r="P764">
            <v>30000</v>
          </cell>
          <cell r="T764" t="str">
            <v>Bueno</v>
          </cell>
          <cell r="U764" t="str">
            <v>Optiligt</v>
          </cell>
        </row>
        <row r="765">
          <cell r="J765" t="str">
            <v>42-04-07-00-0757</v>
          </cell>
          <cell r="K765" t="str">
            <v>42-1662</v>
          </cell>
          <cell r="L765" t="str">
            <v>42-04-07-00-0757</v>
          </cell>
          <cell r="M765" t="str">
            <v>Lámpara Optiligt Plus</v>
          </cell>
          <cell r="O765" t="str">
            <v>OTROS</v>
          </cell>
          <cell r="P765">
            <v>30000</v>
          </cell>
          <cell r="T765" t="str">
            <v>Bueno</v>
          </cell>
          <cell r="U765" t="str">
            <v>Optiligt</v>
          </cell>
        </row>
        <row r="766">
          <cell r="J766" t="str">
            <v>42-05-02-01-0758</v>
          </cell>
          <cell r="K766" t="str">
            <v>42-2349</v>
          </cell>
          <cell r="L766" t="str">
            <v>42-05-02-01-0758</v>
          </cell>
          <cell r="M766" t="str">
            <v>Esfingomanometro, 1 Fonendo</v>
          </cell>
          <cell r="O766" t="str">
            <v>EQUIPOS CLINICOS</v>
          </cell>
          <cell r="P766">
            <v>30000</v>
          </cell>
          <cell r="T766" t="str">
            <v>Bueno</v>
          </cell>
          <cell r="U766" t="str">
            <v>N/T</v>
          </cell>
        </row>
        <row r="767">
          <cell r="J767" t="str">
            <v>42-05-01-01-0759</v>
          </cell>
          <cell r="K767" t="str">
            <v>42-401</v>
          </cell>
          <cell r="L767" t="str">
            <v>42-05-01-01-0759</v>
          </cell>
          <cell r="M767" t="str">
            <v>Perforador extra fuerte color gris</v>
          </cell>
          <cell r="O767" t="str">
            <v>EQUIPO DE OFICINA</v>
          </cell>
          <cell r="P767">
            <v>3000</v>
          </cell>
          <cell r="T767" t="str">
            <v>Bueno</v>
          </cell>
          <cell r="U767" t="str">
            <v>N/T</v>
          </cell>
        </row>
        <row r="768">
          <cell r="J768" t="str">
            <v>42-04-07-00-0760</v>
          </cell>
          <cell r="K768" t="str">
            <v>42-403</v>
          </cell>
          <cell r="L768" t="str">
            <v>42-04-07-00-0760</v>
          </cell>
          <cell r="M768" t="str">
            <v>Piso de madera color blanco</v>
          </cell>
          <cell r="O768" t="str">
            <v>OTROS</v>
          </cell>
          <cell r="P768">
            <v>17000</v>
          </cell>
          <cell r="T768" t="str">
            <v>Bueno</v>
          </cell>
          <cell r="U768" t="str">
            <v>N/T</v>
          </cell>
        </row>
        <row r="769">
          <cell r="J769" t="str">
            <v>42-04-06-00-0761</v>
          </cell>
          <cell r="K769" t="str">
            <v>42-406</v>
          </cell>
          <cell r="L769" t="str">
            <v>42-04-06-00-0761</v>
          </cell>
          <cell r="M769" t="str">
            <v>Vitrina metálica mural 2 puertas de 91x25x82 cms. color blanco</v>
          </cell>
          <cell r="O769" t="str">
            <v>REPISA</v>
          </cell>
          <cell r="P769">
            <v>45000</v>
          </cell>
          <cell r="T769" t="str">
            <v>Bueno</v>
          </cell>
          <cell r="U769" t="str">
            <v>N/T</v>
          </cell>
        </row>
        <row r="770">
          <cell r="J770" t="str">
            <v>42-04-01-00-0762</v>
          </cell>
          <cell r="K770" t="str">
            <v>42-407</v>
          </cell>
          <cell r="L770" t="str">
            <v>42-04-01-00-0762</v>
          </cell>
          <cell r="M770" t="str">
            <v>Mesa metálica con cubierta de formalita color verde de 55x44x80 cms.</v>
          </cell>
          <cell r="O770" t="str">
            <v>MESAS</v>
          </cell>
          <cell r="P770">
            <v>75000</v>
          </cell>
          <cell r="T770" t="str">
            <v>Bueno</v>
          </cell>
          <cell r="U770" t="str">
            <v>N/T</v>
          </cell>
        </row>
        <row r="771">
          <cell r="J771" t="str">
            <v>42-04-07-00-0763</v>
          </cell>
          <cell r="K771" t="str">
            <v>42-408</v>
          </cell>
          <cell r="L771" t="str">
            <v>42-04-07-00-0763</v>
          </cell>
          <cell r="M771" t="str">
            <v>Porta papelero metálico color crema y verde</v>
          </cell>
          <cell r="O771" t="str">
            <v>OTROS</v>
          </cell>
          <cell r="P771">
            <v>10000</v>
          </cell>
          <cell r="T771" t="str">
            <v>Bueno</v>
          </cell>
          <cell r="U771" t="str">
            <v>N/T</v>
          </cell>
        </row>
        <row r="772">
          <cell r="J772" t="str">
            <v>42-04-07-00-0764</v>
          </cell>
          <cell r="K772" t="str">
            <v>42-1105</v>
          </cell>
          <cell r="L772" t="str">
            <v>42-04-07-00-0764</v>
          </cell>
          <cell r="M772" t="str">
            <v>Loker metálico color beige</v>
          </cell>
          <cell r="O772" t="str">
            <v>OTROS</v>
          </cell>
          <cell r="P772">
            <v>35000</v>
          </cell>
          <cell r="T772" t="str">
            <v>Bueno</v>
          </cell>
          <cell r="U772" t="str">
            <v>N/T</v>
          </cell>
        </row>
        <row r="773">
          <cell r="J773" t="str">
            <v>42-04-02-00-0765</v>
          </cell>
          <cell r="K773" t="str">
            <v>42-1666</v>
          </cell>
          <cell r="L773" t="str">
            <v>42-04-02-00-0765</v>
          </cell>
          <cell r="M773" t="str">
            <v>Silla giratoria 5 ruedas, Mod. M-3E, color gris oscuro</v>
          </cell>
          <cell r="O773" t="str">
            <v>SILLAS</v>
          </cell>
          <cell r="P773">
            <v>30000</v>
          </cell>
          <cell r="T773" t="str">
            <v>Bueno</v>
          </cell>
          <cell r="U773" t="str">
            <v>N/T</v>
          </cell>
        </row>
        <row r="774">
          <cell r="J774" t="str">
            <v>42-04-06-00-0766</v>
          </cell>
          <cell r="K774" t="str">
            <v>42-1299</v>
          </cell>
          <cell r="L774" t="str">
            <v>42-04-06-00-0766</v>
          </cell>
          <cell r="M774" t="str">
            <v>Mueble de melamina blanco, 3 puertas de 192x80x50 cms.</v>
          </cell>
          <cell r="O774" t="str">
            <v>REPISA</v>
          </cell>
          <cell r="P774">
            <v>70000</v>
          </cell>
          <cell r="T774" t="str">
            <v>Bueno</v>
          </cell>
          <cell r="U774" t="str">
            <v>N/T</v>
          </cell>
        </row>
        <row r="775">
          <cell r="J775" t="str">
            <v>42-04-03-00-0767</v>
          </cell>
          <cell r="K775" t="str">
            <v>42-1300</v>
          </cell>
          <cell r="L775" t="str">
            <v>42-04-03-00-0767</v>
          </cell>
          <cell r="M775" t="str">
            <v>Escritorio de melamina blanco 80x50x80 cms</v>
          </cell>
          <cell r="O775" t="str">
            <v>ESCRITORIOS</v>
          </cell>
          <cell r="P775">
            <v>89000</v>
          </cell>
          <cell r="T775" t="str">
            <v>Bueno</v>
          </cell>
          <cell r="U775" t="str">
            <v>N/T</v>
          </cell>
        </row>
        <row r="776">
          <cell r="J776" t="str">
            <v>42-04-06-00-0768</v>
          </cell>
          <cell r="K776" t="str">
            <v>42-1301</v>
          </cell>
          <cell r="L776" t="str">
            <v>42-04-06-00-0768</v>
          </cell>
          <cell r="M776" t="str">
            <v>Mueble de melamina blanco, 6 cajones, 1 puerta, 3 repisas de 137x42x82 cms.</v>
          </cell>
          <cell r="O776" t="str">
            <v>REPISA</v>
          </cell>
          <cell r="P776">
            <v>98000</v>
          </cell>
          <cell r="T776" t="str">
            <v>Bueno</v>
          </cell>
          <cell r="U776" t="str">
            <v>N/T</v>
          </cell>
        </row>
        <row r="777">
          <cell r="J777" t="str">
            <v>42-04-06-00-0769</v>
          </cell>
          <cell r="K777" t="str">
            <v>42-2350</v>
          </cell>
          <cell r="L777" t="str">
            <v>42-04-06-00-0769</v>
          </cell>
          <cell r="M777" t="str">
            <v>Mueble c/ cubierta melamina blanca, 4 cajones, 2 puertas, 6 repisas, 1 lavaplatos, 1 llave combinación</v>
          </cell>
          <cell r="O777" t="str">
            <v>REPISA</v>
          </cell>
          <cell r="P777">
            <v>79900</v>
          </cell>
          <cell r="T777" t="str">
            <v>Bueno</v>
          </cell>
          <cell r="U777" t="str">
            <v>N/T</v>
          </cell>
        </row>
        <row r="778">
          <cell r="J778" t="str">
            <v>42-04-06-00-0770</v>
          </cell>
          <cell r="K778" t="str">
            <v>42-2351</v>
          </cell>
          <cell r="L778" t="str">
            <v>42-04-06-00-0770</v>
          </cell>
          <cell r="M778" t="str">
            <v>Mueble c/ cubierta melamina blanca, 4 cajones, 3 puertas, 3 repisas,  1 lavaplatos, 1 llave combinación</v>
          </cell>
          <cell r="O778" t="str">
            <v>REPISA</v>
          </cell>
          <cell r="P778">
            <v>79900</v>
          </cell>
          <cell r="T778" t="str">
            <v>Bueno</v>
          </cell>
          <cell r="U778" t="str">
            <v>N/T</v>
          </cell>
        </row>
        <row r="779">
          <cell r="J779" t="str">
            <v>42-04-07-00-0771</v>
          </cell>
          <cell r="K779" t="str">
            <v>42-2352</v>
          </cell>
          <cell r="L779" t="str">
            <v>42-04-07-00-0771</v>
          </cell>
          <cell r="M779" t="str">
            <v>Carro 5 ruedas c/ cubierta madera</v>
          </cell>
          <cell r="O779" t="str">
            <v>OTROS</v>
          </cell>
          <cell r="P779">
            <v>45000</v>
          </cell>
          <cell r="T779" t="str">
            <v>Bueno</v>
          </cell>
          <cell r="U779" t="str">
            <v>N/T</v>
          </cell>
        </row>
        <row r="780">
          <cell r="J780" t="str">
            <v>42-04-07-00-0772</v>
          </cell>
          <cell r="K780" t="str">
            <v>42-2486</v>
          </cell>
          <cell r="L780" t="str">
            <v>42-04-07-00-0772</v>
          </cell>
          <cell r="M780" t="str">
            <v>Dispensador jabón marca Johnson</v>
          </cell>
          <cell r="O780" t="str">
            <v>OTROS</v>
          </cell>
          <cell r="P780">
            <v>17000</v>
          </cell>
          <cell r="T780" t="str">
            <v>Bueno</v>
          </cell>
          <cell r="U780" t="str">
            <v>Johnson</v>
          </cell>
        </row>
        <row r="781">
          <cell r="J781" t="str">
            <v>42-04-07-00-0773</v>
          </cell>
          <cell r="K781" t="str">
            <v>42-2487</v>
          </cell>
          <cell r="L781" t="str">
            <v>42-04-07-00-0773</v>
          </cell>
          <cell r="M781" t="str">
            <v>Dispensador jabón marca Johnson</v>
          </cell>
          <cell r="O781" t="str">
            <v>OTROS</v>
          </cell>
          <cell r="P781">
            <v>17000</v>
          </cell>
          <cell r="T781" t="str">
            <v>Bueno</v>
          </cell>
          <cell r="U781" t="str">
            <v>Johnson</v>
          </cell>
        </row>
        <row r="782">
          <cell r="J782" t="str">
            <v>42-05-01-01-0774</v>
          </cell>
          <cell r="K782" t="str">
            <v>42-2353</v>
          </cell>
          <cell r="L782" t="str">
            <v>42-05-01-01-0774</v>
          </cell>
          <cell r="M782" t="str">
            <v>Pizarra blanca c/ borde aluminio 40x30 cms.</v>
          </cell>
          <cell r="O782" t="str">
            <v>EQUIPO DE OFICINA</v>
          </cell>
          <cell r="P782">
            <v>25000</v>
          </cell>
          <cell r="T782" t="str">
            <v>Bueno</v>
          </cell>
          <cell r="U782" t="str">
            <v>N/T</v>
          </cell>
        </row>
        <row r="783">
          <cell r="J783" t="str">
            <v>42-04-07-00-0775</v>
          </cell>
          <cell r="K783" t="str">
            <v>42-424</v>
          </cell>
          <cell r="L783" t="str">
            <v>42-04-07-00-0775</v>
          </cell>
          <cell r="M783" t="str">
            <v>Percha metálica 4 ganchos</v>
          </cell>
          <cell r="O783" t="str">
            <v>OTROS</v>
          </cell>
          <cell r="P783">
            <v>12000</v>
          </cell>
          <cell r="T783" t="str">
            <v>Bueno</v>
          </cell>
          <cell r="U783" t="str">
            <v>N/T</v>
          </cell>
        </row>
        <row r="784">
          <cell r="J784" t="str">
            <v>42-05-02-05-0776</v>
          </cell>
          <cell r="K784" t="str">
            <v>42-2777</v>
          </cell>
          <cell r="L784" t="str">
            <v>42-05-02-05-0776</v>
          </cell>
          <cell r="M784" t="str">
            <v>Extintor incendio tipo ABC 2 kgs</v>
          </cell>
          <cell r="O784" t="str">
            <v>EQUIPOS DE SEGURIDAD</v>
          </cell>
          <cell r="P784">
            <v>25000</v>
          </cell>
          <cell r="T784" t="str">
            <v>Bueno</v>
          </cell>
          <cell r="U784" t="str">
            <v>N/T</v>
          </cell>
        </row>
        <row r="785">
          <cell r="J785" t="str">
            <v>FN-05-02-01-0777</v>
          </cell>
          <cell r="K785" t="str">
            <v>42-1670</v>
          </cell>
          <cell r="L785" t="str">
            <v>FN-05-02-01-0777</v>
          </cell>
          <cell r="M785" t="str">
            <v>Espaciador para conducto Nº 40</v>
          </cell>
          <cell r="O785" t="str">
            <v>EQUIPOS CLINICOS FUNGIBLE / NOMINABLE</v>
          </cell>
          <cell r="P785">
            <v>7500</v>
          </cell>
          <cell r="T785" t="str">
            <v>Bueno</v>
          </cell>
          <cell r="U785" t="str">
            <v>N/T</v>
          </cell>
        </row>
        <row r="786">
          <cell r="J786" t="str">
            <v>FN-05-02-01-0778</v>
          </cell>
          <cell r="K786" t="str">
            <v>42-1792</v>
          </cell>
          <cell r="L786" t="str">
            <v>FN-05-02-01-0778</v>
          </cell>
          <cell r="M786" t="str">
            <v>Espaciadores  Nº 30</v>
          </cell>
          <cell r="O786" t="str">
            <v>EQUIPOS CLINICOS FUNGIBLE / NOMINABLE</v>
          </cell>
          <cell r="P786">
            <v>7500</v>
          </cell>
          <cell r="T786" t="str">
            <v>Bueno</v>
          </cell>
          <cell r="U786" t="str">
            <v>N/T</v>
          </cell>
        </row>
        <row r="787">
          <cell r="J787" t="str">
            <v>42-05-02-01-0779</v>
          </cell>
          <cell r="K787" t="str">
            <v>42-3114</v>
          </cell>
          <cell r="L787" t="str">
            <v>42-05-02-01-0779</v>
          </cell>
          <cell r="M787" t="str">
            <v>Suprasson P-5  Booster 8 ( Máquina de pulido y limpieza )</v>
          </cell>
          <cell r="O787" t="str">
            <v>EQUIPOS CLINICOS</v>
          </cell>
          <cell r="P787">
            <v>600000</v>
          </cell>
          <cell r="T787" t="str">
            <v>Bueno</v>
          </cell>
          <cell r="U787" t="str">
            <v>N/T</v>
          </cell>
        </row>
        <row r="788">
          <cell r="J788" t="str">
            <v>42-05-02-01-0780</v>
          </cell>
          <cell r="K788" t="str">
            <v>42-2493</v>
          </cell>
          <cell r="L788" t="str">
            <v>42-05-02-01-0780</v>
          </cell>
          <cell r="M788" t="str">
            <v>Unidad dental marca Gnatus Syncrus Optic con braquet, salivero, 2 jeringas triples, lámpara led fotocurado y unidad luz</v>
          </cell>
          <cell r="O788" t="str">
            <v>EQUIPOS CLINICOS</v>
          </cell>
          <cell r="P788">
            <v>1500000</v>
          </cell>
          <cell r="T788" t="str">
            <v>Bueno</v>
          </cell>
          <cell r="U788" t="str">
            <v>Gnatus Syncrus</v>
          </cell>
        </row>
        <row r="789">
          <cell r="J789" t="str">
            <v>42-05-02-06-0781</v>
          </cell>
          <cell r="K789" t="str">
            <v>42-2492</v>
          </cell>
          <cell r="L789" t="str">
            <v>42-05-02-06-0781</v>
          </cell>
          <cell r="M789" t="str">
            <v>Compresor aire</v>
          </cell>
          <cell r="O789" t="str">
            <v>HERRAMIENTAS</v>
          </cell>
          <cell r="P789">
            <v>124108</v>
          </cell>
          <cell r="T789" t="str">
            <v>Bueno</v>
          </cell>
          <cell r="U789" t="str">
            <v>N/T</v>
          </cell>
        </row>
        <row r="790">
          <cell r="J790" t="str">
            <v>42-05-02-01-0782</v>
          </cell>
          <cell r="K790" t="str">
            <v>42-2488</v>
          </cell>
          <cell r="L790" t="str">
            <v>42-05-02-01-0782</v>
          </cell>
          <cell r="M790" t="str">
            <v>Turbina Panna Air marca NSK</v>
          </cell>
          <cell r="O790" t="str">
            <v>EQUIPOS CLINICOS</v>
          </cell>
          <cell r="P790">
            <v>95229</v>
          </cell>
          <cell r="T790" t="str">
            <v>Bueno</v>
          </cell>
          <cell r="U790" t="str">
            <v>NSK</v>
          </cell>
        </row>
        <row r="791">
          <cell r="J791" t="str">
            <v>42-05-02-01-0783</v>
          </cell>
          <cell r="K791" t="str">
            <v>42-2701</v>
          </cell>
          <cell r="L791" t="str">
            <v>42-05-02-01-0783</v>
          </cell>
          <cell r="M791" t="str">
            <v>Micromotor con pieza mano y contrangulo</v>
          </cell>
          <cell r="O791" t="str">
            <v>EQUIPOS CLINICOS</v>
          </cell>
          <cell r="P791">
            <v>250000</v>
          </cell>
          <cell r="T791" t="str">
            <v>Bueno</v>
          </cell>
          <cell r="U791" t="str">
            <v>N/T</v>
          </cell>
        </row>
        <row r="792">
          <cell r="J792" t="str">
            <v>42-04-07-00-0784</v>
          </cell>
          <cell r="K792" t="str">
            <v>42-2490</v>
          </cell>
          <cell r="L792" t="str">
            <v>42-04-07-00-0784</v>
          </cell>
          <cell r="M792" t="str">
            <v>Taburete marca Gnatus color celeste</v>
          </cell>
          <cell r="O792" t="str">
            <v>OTROS</v>
          </cell>
          <cell r="P792">
            <v>86522</v>
          </cell>
          <cell r="T792" t="str">
            <v>Bueno</v>
          </cell>
          <cell r="U792" t="str">
            <v xml:space="preserve">Gnatus  </v>
          </cell>
        </row>
        <row r="793">
          <cell r="J793" t="str">
            <v>42-04-07-00-0785</v>
          </cell>
          <cell r="K793" t="str">
            <v>42-2491</v>
          </cell>
          <cell r="L793" t="str">
            <v>42-04-07-00-0785</v>
          </cell>
          <cell r="M793" t="str">
            <v>Taburete marca Gnatus color celeste</v>
          </cell>
          <cell r="O793" t="str">
            <v>OTROS</v>
          </cell>
          <cell r="P793">
            <v>86522</v>
          </cell>
          <cell r="T793" t="str">
            <v>Bueno</v>
          </cell>
          <cell r="U793" t="str">
            <v xml:space="preserve">Gnatus  </v>
          </cell>
        </row>
        <row r="794">
          <cell r="J794" t="str">
            <v>42-05-02-01-0786</v>
          </cell>
          <cell r="K794" t="str">
            <v>42-2494</v>
          </cell>
          <cell r="L794" t="str">
            <v>42-05-02-01-0786</v>
          </cell>
          <cell r="M794" t="str">
            <v>Unidad dental marca Gnatus Syncrus Optic con braquet, salivero, 2 jeringas triples, lámpara led fotocurado y unidad luz -</v>
          </cell>
          <cell r="O794" t="str">
            <v>EQUIPOS CLINICOS</v>
          </cell>
          <cell r="P794">
            <v>1500000</v>
          </cell>
          <cell r="T794" t="str">
            <v>Bueno</v>
          </cell>
          <cell r="U794" t="str">
            <v>Gnatus Syncrus</v>
          </cell>
        </row>
        <row r="795">
          <cell r="J795" t="str">
            <v>42-05-02-06-0787</v>
          </cell>
          <cell r="K795" t="str">
            <v>42-2475</v>
          </cell>
          <cell r="L795" t="str">
            <v>42-05-02-06-0787</v>
          </cell>
          <cell r="M795" t="str">
            <v>Compresor aire</v>
          </cell>
          <cell r="O795" t="str">
            <v>HERRAMIENTAS</v>
          </cell>
          <cell r="P795">
            <v>124108</v>
          </cell>
          <cell r="T795" t="str">
            <v>Bueno</v>
          </cell>
          <cell r="U795" t="str">
            <v>N/T</v>
          </cell>
        </row>
        <row r="796">
          <cell r="J796" t="str">
            <v>42-05-02-01-0788</v>
          </cell>
          <cell r="K796" t="str">
            <v>42-2496</v>
          </cell>
          <cell r="L796" t="str">
            <v>42-05-02-01-0788</v>
          </cell>
          <cell r="M796" t="str">
            <v>Turbina Panna Air marca NSK</v>
          </cell>
          <cell r="O796" t="str">
            <v>EQUIPOS CLINICOS</v>
          </cell>
          <cell r="P796">
            <v>95229</v>
          </cell>
          <cell r="T796" t="str">
            <v>Bueno</v>
          </cell>
          <cell r="U796" t="str">
            <v>NSK</v>
          </cell>
        </row>
        <row r="797">
          <cell r="J797" t="str">
            <v>42-05-02-01-0789</v>
          </cell>
          <cell r="K797" t="str">
            <v>42-2497</v>
          </cell>
          <cell r="L797" t="str">
            <v>42-05-02-01-0789</v>
          </cell>
          <cell r="M797" t="str">
            <v>Micromotor con pieza mano y contrangulo</v>
          </cell>
          <cell r="O797" t="str">
            <v>EQUIPOS CLINICOS</v>
          </cell>
          <cell r="P797">
            <v>50000</v>
          </cell>
          <cell r="T797" t="str">
            <v>Bueno</v>
          </cell>
          <cell r="U797" t="str">
            <v>N/T</v>
          </cell>
        </row>
        <row r="798">
          <cell r="J798" t="str">
            <v>42-04-07-00-0790</v>
          </cell>
          <cell r="K798" t="str">
            <v>42-2498</v>
          </cell>
          <cell r="L798" t="str">
            <v>42-04-07-00-0790</v>
          </cell>
          <cell r="M798" t="str">
            <v>Taburete marca Gnatus color celeste</v>
          </cell>
          <cell r="O798" t="str">
            <v>OTROS</v>
          </cell>
          <cell r="P798">
            <v>86522</v>
          </cell>
          <cell r="T798" t="str">
            <v>Bueno</v>
          </cell>
          <cell r="U798" t="str">
            <v>Gnatus</v>
          </cell>
        </row>
        <row r="799">
          <cell r="J799" t="str">
            <v>42-04-07-00-0791</v>
          </cell>
          <cell r="K799" t="str">
            <v>42-2499</v>
          </cell>
          <cell r="L799" t="str">
            <v>42-04-07-00-0791</v>
          </cell>
          <cell r="M799" t="str">
            <v>Taburete marca Gnatus color celeste</v>
          </cell>
          <cell r="O799" t="str">
            <v>OTROS</v>
          </cell>
          <cell r="P799">
            <v>86522</v>
          </cell>
          <cell r="T799" t="str">
            <v>Bueno</v>
          </cell>
          <cell r="U799" t="str">
            <v>Gnatus</v>
          </cell>
        </row>
        <row r="800">
          <cell r="J800" t="str">
            <v>42-06-01-00-0792</v>
          </cell>
          <cell r="K800" t="str">
            <v>42-2500</v>
          </cell>
          <cell r="L800" t="str">
            <v>42-06-01-00-0792</v>
          </cell>
          <cell r="M800" t="str">
            <v>Computador Pentium 4</v>
          </cell>
          <cell r="O800" t="str">
            <v>EQUIPOS COMPUTACIONALES Y PERIFÉRICOS</v>
          </cell>
          <cell r="P800">
            <v>150000</v>
          </cell>
          <cell r="T800" t="str">
            <v>Bueno</v>
          </cell>
          <cell r="U800" t="str">
            <v>Pentium</v>
          </cell>
        </row>
        <row r="801">
          <cell r="J801" t="str">
            <v>42-06-01-00-0793</v>
          </cell>
          <cell r="K801" t="str">
            <v>42-2501</v>
          </cell>
          <cell r="L801" t="str">
            <v>42-06-01-00-0793</v>
          </cell>
          <cell r="M801" t="str">
            <v>Pantalla LCD marca Samsung Mod. Sync master 540N</v>
          </cell>
          <cell r="O801" t="str">
            <v>EQUIPOS COMPUTACIONALES Y PERIFÉRICOS</v>
          </cell>
          <cell r="P801">
            <v>14000</v>
          </cell>
          <cell r="T801" t="str">
            <v>Bueno</v>
          </cell>
          <cell r="U801" t="str">
            <v>Samsung</v>
          </cell>
        </row>
        <row r="802">
          <cell r="J802" t="str">
            <v>42-06-01-00-0794</v>
          </cell>
          <cell r="K802" t="str">
            <v>42-2502</v>
          </cell>
          <cell r="L802" t="str">
            <v>42-06-01-00-0794</v>
          </cell>
          <cell r="M802" t="str">
            <v>Teclado marca Aopen S/N° 64206903</v>
          </cell>
          <cell r="O802" t="str">
            <v>EQUIPOS COMPUTACIONALES Y PERIFÉRICOS</v>
          </cell>
          <cell r="P802">
            <v>4000</v>
          </cell>
          <cell r="T802" t="str">
            <v>Bueno</v>
          </cell>
          <cell r="U802" t="str">
            <v>Aopen</v>
          </cell>
        </row>
        <row r="803">
          <cell r="J803" t="str">
            <v>42-06-01-00-0795</v>
          </cell>
          <cell r="K803" t="str">
            <v>42-2503</v>
          </cell>
          <cell r="L803" t="str">
            <v>42-06-01-00-0795</v>
          </cell>
          <cell r="M803" t="str">
            <v>Mouse optico marca Aopen S/N° 64634930</v>
          </cell>
          <cell r="O803" t="str">
            <v>EQUIPOS COMPUTACIONALES Y PERIFÉRICOS</v>
          </cell>
          <cell r="P803">
            <v>3000</v>
          </cell>
          <cell r="T803" t="str">
            <v>Bueno</v>
          </cell>
          <cell r="U803" t="str">
            <v>Aopen</v>
          </cell>
        </row>
        <row r="804">
          <cell r="J804" t="str">
            <v>42-06-01-00-0796</v>
          </cell>
          <cell r="K804" t="str">
            <v>42-2504</v>
          </cell>
          <cell r="L804" t="str">
            <v>42-06-01-00-0796</v>
          </cell>
          <cell r="M804" t="str">
            <v>Juego parlantes multimedia marca Pc tronic</v>
          </cell>
          <cell r="O804" t="str">
            <v>EQUIPOS COMPUTACIONALES Y PERIFÉRICOS</v>
          </cell>
          <cell r="P804">
            <v>12000</v>
          </cell>
          <cell r="T804" t="str">
            <v>Bueno</v>
          </cell>
          <cell r="U804" t="str">
            <v>Tronic</v>
          </cell>
        </row>
        <row r="805">
          <cell r="J805" t="str">
            <v>42-06-01-00-0797</v>
          </cell>
          <cell r="K805" t="str">
            <v>42-2505</v>
          </cell>
          <cell r="L805" t="str">
            <v>42-06-01-00-0797</v>
          </cell>
          <cell r="M805" t="str">
            <v>Computador Pentium 4</v>
          </cell>
          <cell r="O805" t="str">
            <v>EQUIPOS COMPUTACIONALES Y PERIFÉRICOS</v>
          </cell>
          <cell r="P805">
            <v>150000</v>
          </cell>
          <cell r="T805" t="str">
            <v>Bueno</v>
          </cell>
          <cell r="U805" t="str">
            <v>Pentium</v>
          </cell>
        </row>
        <row r="806">
          <cell r="J806" t="str">
            <v>42-06-01-00-0798</v>
          </cell>
          <cell r="K806" t="str">
            <v>42-2506</v>
          </cell>
          <cell r="L806" t="str">
            <v>42-06-01-00-0798</v>
          </cell>
          <cell r="M806" t="str">
            <v>Pantalla LCD marca Samsung Mod. Sync master 540N</v>
          </cell>
          <cell r="O806" t="str">
            <v>EQUIPOS COMPUTACIONALES Y PERIFÉRICOS</v>
          </cell>
          <cell r="P806">
            <v>14000</v>
          </cell>
          <cell r="T806" t="str">
            <v>Bueno</v>
          </cell>
          <cell r="U806" t="str">
            <v>Samsung</v>
          </cell>
        </row>
        <row r="807">
          <cell r="J807" t="str">
            <v>42-06-01-00-0799</v>
          </cell>
          <cell r="K807" t="str">
            <v>42-2507</v>
          </cell>
          <cell r="L807" t="str">
            <v>42-06-01-00-0799</v>
          </cell>
          <cell r="M807" t="str">
            <v>Teclado marca Aopen S/N° 64206905</v>
          </cell>
          <cell r="O807" t="str">
            <v>EQUIPOS COMPUTACIONALES Y PERIFÉRICOS</v>
          </cell>
          <cell r="P807">
            <v>4000</v>
          </cell>
          <cell r="T807" t="str">
            <v>Bueno</v>
          </cell>
          <cell r="U807" t="str">
            <v>Aopen</v>
          </cell>
        </row>
        <row r="808">
          <cell r="J808" t="str">
            <v>42-06-01-00-0800</v>
          </cell>
          <cell r="K808" t="str">
            <v>42-2508</v>
          </cell>
          <cell r="L808" t="str">
            <v>42-06-01-00-0800</v>
          </cell>
          <cell r="M808" t="str">
            <v>Mouse optico marca Aopen S/N° 64634925</v>
          </cell>
          <cell r="O808" t="str">
            <v>EQUIPOS COMPUTACIONALES Y PERIFÉRICOS</v>
          </cell>
          <cell r="P808">
            <v>3000</v>
          </cell>
          <cell r="T808" t="str">
            <v>Bueno</v>
          </cell>
          <cell r="U808" t="str">
            <v>Aopen</v>
          </cell>
        </row>
        <row r="809">
          <cell r="J809" t="str">
            <v>42-06-01-00-0801</v>
          </cell>
          <cell r="K809" t="str">
            <v>42-2509</v>
          </cell>
          <cell r="L809" t="str">
            <v>42-06-01-00-0801</v>
          </cell>
          <cell r="M809" t="str">
            <v>Juego parlantes multimedia marca Pc tronic</v>
          </cell>
          <cell r="O809" t="str">
            <v>EQUIPOS COMPUTACIONALES Y PERIFÉRICOS</v>
          </cell>
          <cell r="P809">
            <v>12000</v>
          </cell>
          <cell r="T809" t="str">
            <v>Bueno</v>
          </cell>
          <cell r="U809" t="str">
            <v>Pc Tronic</v>
          </cell>
        </row>
        <row r="810">
          <cell r="J810" t="str">
            <v>42-05-01-01-0802</v>
          </cell>
          <cell r="K810" t="str">
            <v>42-1980</v>
          </cell>
          <cell r="L810" t="str">
            <v>42-05-01-01-0802</v>
          </cell>
          <cell r="M810" t="str">
            <v>Citófono/ teléfono marca Nortel Network, Modelo 7000</v>
          </cell>
          <cell r="O810" t="str">
            <v>EQUIPO DE OFICINA</v>
          </cell>
          <cell r="P810">
            <v>36000</v>
          </cell>
          <cell r="T810" t="str">
            <v>Bueno</v>
          </cell>
          <cell r="U810" t="str">
            <v>Nortel Network</v>
          </cell>
        </row>
        <row r="811">
          <cell r="J811" t="str">
            <v>42-06-01-00-0803</v>
          </cell>
          <cell r="K811" t="str">
            <v>42 - 3514</v>
          </cell>
          <cell r="L811" t="str">
            <v>42-06-01-00-0803</v>
          </cell>
          <cell r="M811" t="str">
            <v xml:space="preserve">Impresora Láser HL - 2140, color gris </v>
          </cell>
          <cell r="O811" t="str">
            <v>EQUIPOS COMPUTACIONALES Y PERIFÉRICOS</v>
          </cell>
          <cell r="P811">
            <v>54429</v>
          </cell>
          <cell r="T811" t="str">
            <v>Bueno</v>
          </cell>
          <cell r="U811" t="str">
            <v>Brother</v>
          </cell>
        </row>
        <row r="812">
          <cell r="J812" t="str">
            <v>42-05-02-01-0804</v>
          </cell>
          <cell r="K812" t="str">
            <v>42-3040</v>
          </cell>
          <cell r="L812" t="str">
            <v>42-05-02-01-0804</v>
          </cell>
          <cell r="M812" t="str">
            <v>Catre clínico marca Hope Full Mod. BA 668</v>
          </cell>
          <cell r="O812" t="str">
            <v>EQUIPOS CLINICOS</v>
          </cell>
          <cell r="P812">
            <v>99990</v>
          </cell>
          <cell r="T812" t="str">
            <v>Bueno</v>
          </cell>
          <cell r="U812" t="str">
            <v>Hope Full</v>
          </cell>
        </row>
        <row r="813">
          <cell r="J813" t="str">
            <v>42-05-02-01-0805</v>
          </cell>
          <cell r="K813" t="str">
            <v>42-3041</v>
          </cell>
          <cell r="L813" t="str">
            <v>42-05-02-01-0805</v>
          </cell>
          <cell r="M813" t="str">
            <v>Catre clínico marca Hope Full Mod. BA 668</v>
          </cell>
          <cell r="O813" t="str">
            <v>EQUIPOS CLINICOS</v>
          </cell>
          <cell r="P813">
            <v>99990</v>
          </cell>
          <cell r="T813" t="str">
            <v>Bueno</v>
          </cell>
          <cell r="U813" t="str">
            <v>Hope Full</v>
          </cell>
        </row>
        <row r="814">
          <cell r="J814" t="str">
            <v>42-05-02-01-0806</v>
          </cell>
          <cell r="K814" t="str">
            <v>42-3103</v>
          </cell>
          <cell r="L814" t="str">
            <v>42-05-02-01-0806</v>
          </cell>
          <cell r="M814" t="str">
            <v>Catre clínico marca Hope Full Mod. BA 668</v>
          </cell>
          <cell r="O814" t="str">
            <v>EQUIPOS CLINICOS</v>
          </cell>
          <cell r="P814">
            <v>99990</v>
          </cell>
          <cell r="T814" t="str">
            <v>Bueno</v>
          </cell>
          <cell r="U814" t="str">
            <v>Hope Full</v>
          </cell>
        </row>
        <row r="815">
          <cell r="J815" t="str">
            <v>42-05-02-01-0807</v>
          </cell>
          <cell r="K815" t="str">
            <v>42-3091</v>
          </cell>
          <cell r="L815" t="str">
            <v>42-05-02-01-0807</v>
          </cell>
          <cell r="M815" t="str">
            <v>Catre clínico marca Hope Full Mod. BA 668</v>
          </cell>
          <cell r="O815" t="str">
            <v>EQUIPOS CLINICOS</v>
          </cell>
          <cell r="P815">
            <v>99990</v>
          </cell>
          <cell r="T815" t="str">
            <v>Bueno</v>
          </cell>
          <cell r="U815" t="str">
            <v>Hope Full</v>
          </cell>
        </row>
        <row r="816">
          <cell r="J816" t="str">
            <v>42-05-02-01-0808</v>
          </cell>
          <cell r="K816" t="str">
            <v>42-3044</v>
          </cell>
          <cell r="L816" t="str">
            <v>42-05-02-01-0808</v>
          </cell>
          <cell r="M816" t="str">
            <v>Catre clínico marca Hope Full Mod. BA 668</v>
          </cell>
          <cell r="O816" t="str">
            <v>EQUIPOS CLINICOS</v>
          </cell>
          <cell r="P816">
            <v>99990</v>
          </cell>
          <cell r="T816" t="str">
            <v>Bueno</v>
          </cell>
          <cell r="U816" t="str">
            <v>Hope Full</v>
          </cell>
        </row>
        <row r="817">
          <cell r="J817" t="str">
            <v>42-05-02-01-0809</v>
          </cell>
          <cell r="K817" t="str">
            <v>42-3101</v>
          </cell>
          <cell r="L817" t="str">
            <v>42-05-02-01-0809</v>
          </cell>
          <cell r="M817" t="str">
            <v>Catre clínico marca Hope Full Mod. BA 668</v>
          </cell>
          <cell r="O817" t="str">
            <v>EQUIPOS CLINICOS</v>
          </cell>
          <cell r="P817">
            <v>99990</v>
          </cell>
          <cell r="T817" t="str">
            <v>Bueno</v>
          </cell>
          <cell r="U817" t="str">
            <v>Hope Full</v>
          </cell>
        </row>
        <row r="818">
          <cell r="J818" t="str">
            <v>42-05-02-01-0810</v>
          </cell>
          <cell r="K818" t="str">
            <v>42-3068</v>
          </cell>
          <cell r="L818" t="str">
            <v>42-05-02-01-0810</v>
          </cell>
          <cell r="M818" t="str">
            <v>Catre clínico marca Hope Full Mod. BA 668</v>
          </cell>
          <cell r="O818" t="str">
            <v>EQUIPOS CLINICOS</v>
          </cell>
          <cell r="P818">
            <v>99990</v>
          </cell>
          <cell r="T818" t="str">
            <v>Bueno</v>
          </cell>
          <cell r="U818" t="str">
            <v>Hope Full</v>
          </cell>
        </row>
        <row r="819">
          <cell r="J819" t="str">
            <v>42-05-02-01-0811</v>
          </cell>
          <cell r="K819" t="str">
            <v>42-3065</v>
          </cell>
          <cell r="L819" t="str">
            <v>42-05-02-01-0811</v>
          </cell>
          <cell r="M819" t="str">
            <v>Catre clínico marca Hope Full Mod. BA 668</v>
          </cell>
          <cell r="O819" t="str">
            <v>EQUIPOS CLINICOS</v>
          </cell>
          <cell r="P819">
            <v>99990</v>
          </cell>
          <cell r="T819" t="str">
            <v>Bueno</v>
          </cell>
          <cell r="U819" t="str">
            <v>Hope Full</v>
          </cell>
        </row>
        <row r="820">
          <cell r="J820" t="str">
            <v>42-04-07-00-0812</v>
          </cell>
          <cell r="K820" t="str">
            <v>42-3048</v>
          </cell>
          <cell r="L820" t="str">
            <v>42-04-07-00-0812</v>
          </cell>
          <cell r="M820" t="str">
            <v>Velador metálico 1 cajón, 1 puerta masisa color café</v>
          </cell>
          <cell r="O820" t="str">
            <v>OTROS</v>
          </cell>
          <cell r="P820">
            <v>29895</v>
          </cell>
          <cell r="T820" t="str">
            <v>Bueno</v>
          </cell>
          <cell r="U820" t="str">
            <v>N/T</v>
          </cell>
        </row>
        <row r="821">
          <cell r="J821" t="str">
            <v>42-04-07-00-0813</v>
          </cell>
          <cell r="K821" t="str">
            <v>42-3049</v>
          </cell>
          <cell r="L821" t="str">
            <v>42-04-07-00-0813</v>
          </cell>
          <cell r="M821" t="str">
            <v>Velador metálico 1 cajón, 1 puerta masisa color café</v>
          </cell>
          <cell r="O821" t="str">
            <v>OTROS</v>
          </cell>
          <cell r="P821">
            <v>29895</v>
          </cell>
          <cell r="T821" t="str">
            <v>Bueno</v>
          </cell>
          <cell r="U821" t="str">
            <v>N/T</v>
          </cell>
        </row>
        <row r="822">
          <cell r="J822" t="str">
            <v>42-04-07-00-0814</v>
          </cell>
          <cell r="K822" t="str">
            <v>42-3050</v>
          </cell>
          <cell r="L822" t="str">
            <v>42-04-07-00-0814</v>
          </cell>
          <cell r="M822" t="str">
            <v>Velador metálico 1 cajón, 1 puerta masisa color café</v>
          </cell>
          <cell r="O822" t="str">
            <v>OTROS</v>
          </cell>
          <cell r="P822">
            <v>29895</v>
          </cell>
          <cell r="T822" t="str">
            <v>Bueno</v>
          </cell>
          <cell r="U822" t="str">
            <v>N/T</v>
          </cell>
        </row>
        <row r="823">
          <cell r="J823" t="str">
            <v>42-04-07-00-0815</v>
          </cell>
          <cell r="K823" t="str">
            <v>42-3051</v>
          </cell>
          <cell r="L823" t="str">
            <v>42-04-07-00-0815</v>
          </cell>
          <cell r="M823" t="str">
            <v>Velador metálico 1 cajón, 1 puerta masisa color café</v>
          </cell>
          <cell r="O823" t="str">
            <v>OTROS</v>
          </cell>
          <cell r="P823">
            <v>29895</v>
          </cell>
          <cell r="T823" t="str">
            <v>Bueno</v>
          </cell>
          <cell r="U823" t="str">
            <v>N/T</v>
          </cell>
        </row>
        <row r="824">
          <cell r="J824" t="str">
            <v>42-04-07-00-0816</v>
          </cell>
          <cell r="K824" t="str">
            <v>42-3052</v>
          </cell>
          <cell r="L824" t="str">
            <v>42-04-07-00-0816</v>
          </cell>
          <cell r="M824" t="str">
            <v>Velador metálico 1 cajón, 1 puerta masisa color café</v>
          </cell>
          <cell r="O824" t="str">
            <v>OTROS</v>
          </cell>
          <cell r="P824">
            <v>29895</v>
          </cell>
          <cell r="T824" t="str">
            <v>Bueno</v>
          </cell>
          <cell r="U824" t="str">
            <v>N/T</v>
          </cell>
        </row>
        <row r="825">
          <cell r="J825" t="str">
            <v>42-04-07-00-0817</v>
          </cell>
          <cell r="K825" t="str">
            <v>42-3053</v>
          </cell>
          <cell r="L825" t="str">
            <v>42-04-07-00-0817</v>
          </cell>
          <cell r="M825" t="str">
            <v>Velador metálico 1 cajón, 1 puerta masisa color café</v>
          </cell>
          <cell r="O825" t="str">
            <v>OTROS</v>
          </cell>
          <cell r="P825">
            <v>29895</v>
          </cell>
          <cell r="T825" t="str">
            <v>Bueno</v>
          </cell>
          <cell r="U825" t="str">
            <v>N/T</v>
          </cell>
        </row>
        <row r="826">
          <cell r="J826" t="str">
            <v>42-04-07-00-0818</v>
          </cell>
          <cell r="K826" t="str">
            <v>42-3054</v>
          </cell>
          <cell r="L826" t="str">
            <v>42-04-07-00-0818</v>
          </cell>
          <cell r="M826" t="str">
            <v>Velador metálico 1 cajón, 1 puerta masisa color café</v>
          </cell>
          <cell r="O826" t="str">
            <v>OTROS</v>
          </cell>
          <cell r="P826">
            <v>29895</v>
          </cell>
          <cell r="T826" t="str">
            <v>Bueno</v>
          </cell>
          <cell r="U826" t="str">
            <v>N/T</v>
          </cell>
        </row>
        <row r="827">
          <cell r="J827" t="str">
            <v>42-04-07-00-0819</v>
          </cell>
          <cell r="K827" t="str">
            <v>42-3055</v>
          </cell>
          <cell r="L827" t="str">
            <v>42-04-07-00-0819</v>
          </cell>
          <cell r="M827" t="str">
            <v>Velador metálico 1 cajón, 1 puerta masisa color café</v>
          </cell>
          <cell r="O827" t="str">
            <v>OTROS</v>
          </cell>
          <cell r="P827">
            <v>29895</v>
          </cell>
          <cell r="T827" t="str">
            <v>Bueno</v>
          </cell>
          <cell r="U827" t="str">
            <v>N/T</v>
          </cell>
        </row>
        <row r="828">
          <cell r="J828" t="str">
            <v>42-04-01-00-0820</v>
          </cell>
          <cell r="K828" t="str">
            <v>42-3056</v>
          </cell>
          <cell r="L828" t="str">
            <v>42-04-01-00-0820</v>
          </cell>
          <cell r="M828" t="str">
            <v>Mesa metálica con cubierta melamina, 4 ruedas color plomo</v>
          </cell>
          <cell r="O828" t="str">
            <v>MESAS</v>
          </cell>
          <cell r="P828">
            <v>35000</v>
          </cell>
          <cell r="T828" t="str">
            <v>Bueno</v>
          </cell>
          <cell r="U828" t="str">
            <v>N/T</v>
          </cell>
        </row>
        <row r="829">
          <cell r="J829" t="str">
            <v>42-04-01-00-0821</v>
          </cell>
          <cell r="K829" t="str">
            <v>42-3057</v>
          </cell>
          <cell r="L829" t="str">
            <v>42-04-01-00-0821</v>
          </cell>
          <cell r="M829" t="str">
            <v>Mesa metálica con cubierta melamina, 4 ruedas color plomo</v>
          </cell>
          <cell r="O829" t="str">
            <v>MESAS</v>
          </cell>
          <cell r="P829">
            <v>35000</v>
          </cell>
          <cell r="T829" t="str">
            <v>Bueno</v>
          </cell>
          <cell r="U829" t="str">
            <v>N/T</v>
          </cell>
        </row>
        <row r="830">
          <cell r="J830" t="str">
            <v>42-04-01-00-0822</v>
          </cell>
          <cell r="K830" t="str">
            <v>42-3058</v>
          </cell>
          <cell r="L830" t="str">
            <v>42-04-01-00-0822</v>
          </cell>
          <cell r="M830" t="str">
            <v>Mesa metálica con cubierta melamina, 4 ruedas color plomo</v>
          </cell>
          <cell r="O830" t="str">
            <v>MESAS</v>
          </cell>
          <cell r="P830">
            <v>35000</v>
          </cell>
          <cell r="T830" t="str">
            <v>Bueno</v>
          </cell>
          <cell r="U830" t="str">
            <v>N/T</v>
          </cell>
        </row>
        <row r="831">
          <cell r="J831" t="str">
            <v>42-05-01-01-0823</v>
          </cell>
          <cell r="K831" t="str">
            <v>42-427</v>
          </cell>
          <cell r="L831" t="str">
            <v>42-05-01-01-0823</v>
          </cell>
          <cell r="M831" t="str">
            <v>Repisa mixta con 2 soportes metálicos para televisor</v>
          </cell>
          <cell r="O831" t="str">
            <v>EQUIPO DE OFICINA</v>
          </cell>
          <cell r="P831">
            <v>36141</v>
          </cell>
          <cell r="T831" t="str">
            <v>Bueno</v>
          </cell>
          <cell r="U831" t="str">
            <v>N/T</v>
          </cell>
        </row>
        <row r="832">
          <cell r="J832" t="str">
            <v>42-05-02-01-0824</v>
          </cell>
          <cell r="K832" t="str">
            <v>42-432</v>
          </cell>
          <cell r="L832" t="str">
            <v>42-05-02-01-0824</v>
          </cell>
          <cell r="M832" t="str">
            <v>Escabel mixto color negro</v>
          </cell>
          <cell r="O832" t="str">
            <v>EQUIPOS CLINICOS</v>
          </cell>
          <cell r="P832">
            <v>17850</v>
          </cell>
          <cell r="T832" t="str">
            <v>Bueno</v>
          </cell>
          <cell r="U832" t="str">
            <v>N/T</v>
          </cell>
        </row>
        <row r="833">
          <cell r="J833" t="str">
            <v>42-05-02-01-0825</v>
          </cell>
          <cell r="K833" t="str">
            <v>42-605</v>
          </cell>
          <cell r="L833" t="str">
            <v>42-05-02-01-0825</v>
          </cell>
          <cell r="M833" t="str">
            <v>Escabel mixto, 2 peldaños color negro</v>
          </cell>
          <cell r="O833" t="str">
            <v>EQUIPOS CLINICOS</v>
          </cell>
          <cell r="P833">
            <v>17850</v>
          </cell>
          <cell r="T833" t="str">
            <v>Bueno</v>
          </cell>
          <cell r="U833" t="str">
            <v>N/T</v>
          </cell>
        </row>
        <row r="834">
          <cell r="J834" t="str">
            <v>42-05-01-01-0826</v>
          </cell>
          <cell r="K834" t="str">
            <v>42-1684</v>
          </cell>
          <cell r="L834" t="str">
            <v>42-05-01-01-0826</v>
          </cell>
          <cell r="M834" t="str">
            <v>Televisor marca Kioto 14 pulgadas  (donación)</v>
          </cell>
          <cell r="O834" t="str">
            <v>EQUIPO DE OFICINA</v>
          </cell>
          <cell r="P834">
            <v>76000</v>
          </cell>
          <cell r="T834" t="str">
            <v>Bueno</v>
          </cell>
          <cell r="U834" t="str">
            <v>Kioto</v>
          </cell>
        </row>
        <row r="835">
          <cell r="J835" t="str">
            <v>42-05-01-01-0827</v>
          </cell>
          <cell r="K835" t="str">
            <v>42-2360</v>
          </cell>
          <cell r="L835" t="str">
            <v>42-05-01-01-0827</v>
          </cell>
          <cell r="M835" t="str">
            <v>Reloj mural negro sin marca</v>
          </cell>
          <cell r="O835" t="str">
            <v>EQUIPO DE OFICINA</v>
          </cell>
          <cell r="P835">
            <v>3600</v>
          </cell>
          <cell r="T835" t="str">
            <v>Malo</v>
          </cell>
          <cell r="U835" t="str">
            <v>N/T</v>
          </cell>
        </row>
        <row r="836">
          <cell r="J836" t="str">
            <v>42-05-02-01-0828</v>
          </cell>
          <cell r="K836" t="str">
            <v>42-3107</v>
          </cell>
          <cell r="L836" t="str">
            <v>42-05-02-01-0828</v>
          </cell>
          <cell r="M836" t="str">
            <v>Manómetro de oxígeno marca Victor Medical con humidificador</v>
          </cell>
          <cell r="O836" t="str">
            <v>EQUIPOS CLINICOS</v>
          </cell>
          <cell r="P836">
            <v>25000</v>
          </cell>
          <cell r="T836" t="str">
            <v>Bueno</v>
          </cell>
          <cell r="U836" t="str">
            <v>N/T</v>
          </cell>
        </row>
        <row r="837">
          <cell r="J837" t="str">
            <v>42-05-02-01-0829</v>
          </cell>
          <cell r="K837" t="str">
            <v>42-3047</v>
          </cell>
          <cell r="L837" t="str">
            <v>42-05-02-01-0829</v>
          </cell>
          <cell r="M837" t="str">
            <v>Catre clínico marca Hope Full Mod. BA 668</v>
          </cell>
          <cell r="O837" t="str">
            <v>EQUIPOS CLINICOS</v>
          </cell>
          <cell r="P837">
            <v>99990</v>
          </cell>
          <cell r="T837" t="str">
            <v>Bueno</v>
          </cell>
          <cell r="U837" t="str">
            <v>Hope Full</v>
          </cell>
        </row>
        <row r="838">
          <cell r="J838" t="str">
            <v>42-05-02-01-0830</v>
          </cell>
          <cell r="K838" t="str">
            <v>42-3042</v>
          </cell>
          <cell r="L838" t="str">
            <v>42-05-02-01-0830</v>
          </cell>
          <cell r="M838" t="str">
            <v>Catre clínico marca Hope Full Mod. BA 668</v>
          </cell>
          <cell r="O838" t="str">
            <v>EQUIPOS CLINICOS</v>
          </cell>
          <cell r="P838">
            <v>99990</v>
          </cell>
          <cell r="T838" t="str">
            <v>Bueno</v>
          </cell>
          <cell r="U838" t="str">
            <v>Hope Full</v>
          </cell>
        </row>
        <row r="839">
          <cell r="J839" t="str">
            <v>42-05-02-01-0831</v>
          </cell>
          <cell r="K839" t="str">
            <v>42-3046</v>
          </cell>
          <cell r="L839" t="str">
            <v>42-05-02-01-0831</v>
          </cell>
          <cell r="M839" t="str">
            <v>Catre clínico marca Hope Full Mod. BA 668</v>
          </cell>
          <cell r="O839" t="str">
            <v>EQUIPOS CLINICOS</v>
          </cell>
          <cell r="P839">
            <v>99990</v>
          </cell>
          <cell r="T839" t="str">
            <v>Bueno</v>
          </cell>
          <cell r="U839" t="str">
            <v>Hope Full</v>
          </cell>
        </row>
        <row r="840">
          <cell r="J840" t="str">
            <v>42-05-02-01-0832</v>
          </cell>
          <cell r="K840" t="str">
            <v>42-3090</v>
          </cell>
          <cell r="L840" t="str">
            <v>42-05-02-01-0832</v>
          </cell>
          <cell r="M840" t="str">
            <v>Catre clínico marca Hope Full Mod. BA 668</v>
          </cell>
          <cell r="O840" t="str">
            <v>EQUIPOS CLINICOS</v>
          </cell>
          <cell r="P840">
            <v>99990</v>
          </cell>
          <cell r="T840" t="str">
            <v>Bueno</v>
          </cell>
          <cell r="U840" t="str">
            <v>Hope Full</v>
          </cell>
        </row>
        <row r="841">
          <cell r="J841" t="str">
            <v>42-05-02-01-0833</v>
          </cell>
          <cell r="K841" t="str">
            <v>42-3045</v>
          </cell>
          <cell r="L841" t="str">
            <v>42-05-02-01-0833</v>
          </cell>
          <cell r="M841" t="str">
            <v>Catre clínico marca Hope Full Mod. BA 668</v>
          </cell>
          <cell r="O841" t="str">
            <v>EQUIPOS CLINICOS</v>
          </cell>
          <cell r="P841">
            <v>99990</v>
          </cell>
          <cell r="T841" t="str">
            <v>Bueno</v>
          </cell>
          <cell r="U841" t="str">
            <v>Hope Full</v>
          </cell>
        </row>
        <row r="842">
          <cell r="J842" t="str">
            <v>42-05-02-01-0834</v>
          </cell>
          <cell r="K842" t="str">
            <v>42-3081</v>
          </cell>
          <cell r="L842" t="str">
            <v>42-05-02-01-0834</v>
          </cell>
          <cell r="M842" t="str">
            <v>Catre clínico marca Hope Full Mod. BA 668</v>
          </cell>
          <cell r="O842" t="str">
            <v>EQUIPOS CLINICOS</v>
          </cell>
          <cell r="P842">
            <v>99990</v>
          </cell>
          <cell r="T842" t="str">
            <v>Bueno</v>
          </cell>
          <cell r="U842" t="str">
            <v>Hope Full</v>
          </cell>
        </row>
        <row r="843">
          <cell r="J843" t="str">
            <v>42-05-02-01-0835</v>
          </cell>
          <cell r="K843" t="str">
            <v>42-3066</v>
          </cell>
          <cell r="L843" t="str">
            <v>42-05-02-01-0835</v>
          </cell>
          <cell r="M843" t="str">
            <v>Catre clínico marca Hope Full Mod. BA 668</v>
          </cell>
          <cell r="O843" t="str">
            <v>EQUIPOS CLINICOS</v>
          </cell>
          <cell r="P843">
            <v>99990</v>
          </cell>
          <cell r="T843" t="str">
            <v>Bueno</v>
          </cell>
          <cell r="U843" t="str">
            <v>Hope Full</v>
          </cell>
        </row>
        <row r="844">
          <cell r="J844" t="str">
            <v>42-05-02-01-0836</v>
          </cell>
          <cell r="K844" t="str">
            <v>42-3083</v>
          </cell>
          <cell r="L844" t="str">
            <v>42-05-02-01-0836</v>
          </cell>
          <cell r="M844" t="str">
            <v>Catre clínico marca Hope Full Mod. BA 668</v>
          </cell>
          <cell r="O844" t="str">
            <v>EQUIPOS CLINICOS</v>
          </cell>
          <cell r="P844">
            <v>99990</v>
          </cell>
          <cell r="T844" t="str">
            <v>Bueno</v>
          </cell>
          <cell r="U844" t="str">
            <v>Hope Full</v>
          </cell>
        </row>
        <row r="845">
          <cell r="J845" t="str">
            <v>42-04-07-00-0837</v>
          </cell>
          <cell r="K845" t="str">
            <v>42-3068</v>
          </cell>
          <cell r="L845" t="str">
            <v>42-04-07-00-0837</v>
          </cell>
          <cell r="M845" t="str">
            <v>Velador metálico 1 cajón, 1 puerta masisa color café</v>
          </cell>
          <cell r="O845" t="str">
            <v>OTROS</v>
          </cell>
          <cell r="P845">
            <v>29895</v>
          </cell>
          <cell r="T845" t="str">
            <v>Bueno</v>
          </cell>
          <cell r="U845" t="str">
            <v>N/T</v>
          </cell>
        </row>
        <row r="846">
          <cell r="J846" t="str">
            <v>42-04-07-00-0838</v>
          </cell>
          <cell r="K846" t="str">
            <v>42-3069</v>
          </cell>
          <cell r="L846" t="str">
            <v>42-04-07-00-0838</v>
          </cell>
          <cell r="M846" t="str">
            <v>Velador metálico 1 cajón, 1 puerta masisa color café</v>
          </cell>
          <cell r="O846" t="str">
            <v>OTROS</v>
          </cell>
          <cell r="P846">
            <v>29895</v>
          </cell>
          <cell r="T846" t="str">
            <v>Bueno</v>
          </cell>
          <cell r="U846" t="str">
            <v>N/T</v>
          </cell>
        </row>
        <row r="847">
          <cell r="J847" t="str">
            <v>42-04-07-00-0839</v>
          </cell>
          <cell r="K847" t="str">
            <v>42-3070</v>
          </cell>
          <cell r="L847" t="str">
            <v>42-04-07-00-0839</v>
          </cell>
          <cell r="M847" t="str">
            <v>Velador metálico 1 cajón, 1 puerta masisa color café</v>
          </cell>
          <cell r="O847" t="str">
            <v>OTROS</v>
          </cell>
          <cell r="P847">
            <v>29895</v>
          </cell>
          <cell r="T847" t="str">
            <v>Bueno</v>
          </cell>
          <cell r="U847" t="str">
            <v>N/T</v>
          </cell>
        </row>
        <row r="848">
          <cell r="J848" t="str">
            <v>42-04-07-00-0840</v>
          </cell>
          <cell r="K848" t="str">
            <v>42-3071</v>
          </cell>
          <cell r="L848" t="str">
            <v>42-04-07-00-0840</v>
          </cell>
          <cell r="M848" t="str">
            <v>Velador metálico 1 cajón, 1 puerta masisa color café</v>
          </cell>
          <cell r="O848" t="str">
            <v>OTROS</v>
          </cell>
          <cell r="P848">
            <v>29895</v>
          </cell>
          <cell r="T848" t="str">
            <v>Bueno</v>
          </cell>
          <cell r="U848" t="str">
            <v>N/T</v>
          </cell>
        </row>
        <row r="849">
          <cell r="J849" t="str">
            <v>42-04-07-00-0841</v>
          </cell>
          <cell r="K849" t="str">
            <v>42-3072</v>
          </cell>
          <cell r="L849" t="str">
            <v>42-04-07-00-0841</v>
          </cell>
          <cell r="M849" t="str">
            <v>Velador metálico 1 cajón, 1 puerta masisa color café</v>
          </cell>
          <cell r="O849" t="str">
            <v>OTROS</v>
          </cell>
          <cell r="P849">
            <v>29895</v>
          </cell>
          <cell r="T849" t="str">
            <v>Bueno</v>
          </cell>
          <cell r="U849" t="str">
            <v>N/T</v>
          </cell>
        </row>
        <row r="850">
          <cell r="J850" t="str">
            <v>42-04-07-00-0842</v>
          </cell>
          <cell r="K850" t="str">
            <v>42-3073</v>
          </cell>
          <cell r="L850" t="str">
            <v>42-04-07-00-0842</v>
          </cell>
          <cell r="M850" t="str">
            <v>Velador metálico 1 cajón, 1 puerta masisa color café</v>
          </cell>
          <cell r="O850" t="str">
            <v>OTROS</v>
          </cell>
          <cell r="P850">
            <v>29895</v>
          </cell>
          <cell r="T850" t="str">
            <v>Bueno</v>
          </cell>
          <cell r="U850" t="str">
            <v>N/T</v>
          </cell>
        </row>
        <row r="851">
          <cell r="J851" t="str">
            <v>42-04-07-00-0843</v>
          </cell>
          <cell r="K851" t="str">
            <v>42-3074</v>
          </cell>
          <cell r="L851" t="str">
            <v>42-04-07-00-0843</v>
          </cell>
          <cell r="M851" t="str">
            <v>Velador metálico 1 cajón, 1 puerta masisa color café</v>
          </cell>
          <cell r="O851" t="str">
            <v>OTROS</v>
          </cell>
          <cell r="P851">
            <v>29895</v>
          </cell>
          <cell r="T851" t="str">
            <v>Bueno</v>
          </cell>
          <cell r="U851" t="str">
            <v>N/T</v>
          </cell>
        </row>
        <row r="852">
          <cell r="J852" t="str">
            <v>42-04-07-00-0844</v>
          </cell>
          <cell r="K852" t="str">
            <v>42-3075</v>
          </cell>
          <cell r="L852" t="str">
            <v>42-04-07-00-0844</v>
          </cell>
          <cell r="M852" t="str">
            <v>Velador metálico 1 cajón, 1 puerta masisa color café</v>
          </cell>
          <cell r="O852" t="str">
            <v>OTROS</v>
          </cell>
          <cell r="P852">
            <v>29895</v>
          </cell>
          <cell r="T852" t="str">
            <v>Bueno</v>
          </cell>
          <cell r="U852" t="str">
            <v>N/T</v>
          </cell>
        </row>
        <row r="853">
          <cell r="J853" t="str">
            <v>42-04-01-00-0845</v>
          </cell>
          <cell r="K853" t="str">
            <v>42-3076</v>
          </cell>
          <cell r="L853" t="str">
            <v>42-04-01-00-0845</v>
          </cell>
          <cell r="M853" t="str">
            <v>Mesa metálica con cubierta melamina, 4 ruedas color plomo</v>
          </cell>
          <cell r="O853" t="str">
            <v>MESAS</v>
          </cell>
          <cell r="P853">
            <v>35000</v>
          </cell>
          <cell r="T853" t="str">
            <v>Bueno</v>
          </cell>
          <cell r="U853" t="str">
            <v>N/T</v>
          </cell>
        </row>
        <row r="854">
          <cell r="J854" t="str">
            <v>42-04-01-00-0846</v>
          </cell>
          <cell r="K854" t="str">
            <v>42-3098</v>
          </cell>
          <cell r="L854" t="str">
            <v>42-04-01-00-0846</v>
          </cell>
          <cell r="M854" t="str">
            <v>Mesa metálica con cubierta melamina, 4 ruedas color plomo</v>
          </cell>
          <cell r="O854" t="str">
            <v>MESAS</v>
          </cell>
          <cell r="P854">
            <v>35000</v>
          </cell>
          <cell r="T854" t="str">
            <v>Bueno</v>
          </cell>
          <cell r="U854" t="str">
            <v>N/T</v>
          </cell>
        </row>
        <row r="855">
          <cell r="J855" t="str">
            <v>42-04-01-00-0847</v>
          </cell>
          <cell r="K855" t="str">
            <v>42-3078</v>
          </cell>
          <cell r="L855" t="str">
            <v>42-04-01-00-0847</v>
          </cell>
          <cell r="M855" t="str">
            <v>Mesa metálica con cubierta melamina, 4 ruedas color plomo</v>
          </cell>
          <cell r="O855" t="str">
            <v>MESAS</v>
          </cell>
          <cell r="P855">
            <v>35000</v>
          </cell>
          <cell r="T855" t="str">
            <v>Bueno</v>
          </cell>
          <cell r="U855" t="str">
            <v>N/T</v>
          </cell>
        </row>
        <row r="856">
          <cell r="J856" t="str">
            <v>42-04-01-00-0848</v>
          </cell>
          <cell r="K856" t="str">
            <v>42-3088</v>
          </cell>
          <cell r="L856" t="str">
            <v>42-04-01-00-0848</v>
          </cell>
          <cell r="M856" t="str">
            <v>Mesa metálica con cubierta melamina, 4 ruedas color plomo</v>
          </cell>
          <cell r="O856" t="str">
            <v>MESAS</v>
          </cell>
          <cell r="P856">
            <v>36141</v>
          </cell>
          <cell r="T856" t="str">
            <v>Bueno</v>
          </cell>
          <cell r="U856" t="str">
            <v>N/T</v>
          </cell>
        </row>
        <row r="857">
          <cell r="J857" t="str">
            <v>42-05-01-01-0849</v>
          </cell>
          <cell r="K857" t="str">
            <v>42-453</v>
          </cell>
          <cell r="L857" t="str">
            <v>42-05-01-01-0849</v>
          </cell>
          <cell r="M857" t="str">
            <v>Repisa mixta para televisor</v>
          </cell>
          <cell r="O857" t="str">
            <v>EQUIPO DE OFICINA</v>
          </cell>
          <cell r="P857">
            <v>38090</v>
          </cell>
          <cell r="T857" t="str">
            <v>Bueno</v>
          </cell>
          <cell r="U857" t="str">
            <v>N/T</v>
          </cell>
        </row>
        <row r="858">
          <cell r="J858" t="str">
            <v>42-05-02-01-0850</v>
          </cell>
          <cell r="K858" t="str">
            <v>42-617</v>
          </cell>
          <cell r="L858" t="str">
            <v>42-05-02-01-0850</v>
          </cell>
          <cell r="M858" t="str">
            <v>Escabel mixto, 2 peldaños color negro</v>
          </cell>
          <cell r="O858" t="str">
            <v>EQUIPOS CLINICOS</v>
          </cell>
          <cell r="P858">
            <v>17850</v>
          </cell>
          <cell r="T858" t="str">
            <v>Bueno</v>
          </cell>
          <cell r="U858" t="str">
            <v>N/T</v>
          </cell>
        </row>
        <row r="859">
          <cell r="J859" t="str">
            <v>42-05-02-01-0851</v>
          </cell>
          <cell r="K859" t="str">
            <v>42-1777</v>
          </cell>
          <cell r="L859" t="str">
            <v>42-05-02-01-0851</v>
          </cell>
          <cell r="M859" t="str">
            <v>Manómetro de oxígeno marca Victor Medical con humidificador</v>
          </cell>
          <cell r="O859" t="str">
            <v>EQUIPOS CLINICOS</v>
          </cell>
          <cell r="P859">
            <v>25000</v>
          </cell>
          <cell r="T859" t="str">
            <v>Bueno</v>
          </cell>
          <cell r="U859" t="str">
            <v>N/T</v>
          </cell>
        </row>
        <row r="860">
          <cell r="J860" t="str">
            <v>42-05-01-01-0852</v>
          </cell>
          <cell r="K860" t="str">
            <v>42-3080</v>
          </cell>
          <cell r="L860" t="str">
            <v>42-05-01-01-0852</v>
          </cell>
          <cell r="M860" t="str">
            <v>Televisor Daewoo 14 " Mod. DTQ-14V1FS S/Nº MT07GP 0723</v>
          </cell>
          <cell r="O860" t="str">
            <v>EQUIPO DE OFICINA</v>
          </cell>
          <cell r="P860">
            <v>67890</v>
          </cell>
          <cell r="T860" t="str">
            <v>Bueno</v>
          </cell>
          <cell r="U860" t="str">
            <v>Daewoo</v>
          </cell>
        </row>
        <row r="861">
          <cell r="J861" t="str">
            <v>42-04-02-00-0853</v>
          </cell>
          <cell r="K861" t="str">
            <v>42-2601</v>
          </cell>
          <cell r="L861" t="str">
            <v>42-04-02-00-0853</v>
          </cell>
          <cell r="M861" t="str">
            <v>Silla mixta metálica con pergamoide color negro</v>
          </cell>
          <cell r="O861" t="str">
            <v>SILLAS</v>
          </cell>
          <cell r="P861">
            <v>35421</v>
          </cell>
          <cell r="T861" t="str">
            <v>Bueno</v>
          </cell>
          <cell r="U861" t="str">
            <v>N/T</v>
          </cell>
        </row>
        <row r="862">
          <cell r="J862" t="str">
            <v>42-05-02-01-0854</v>
          </cell>
          <cell r="K862" t="str">
            <v>42-3067</v>
          </cell>
          <cell r="L862" t="str">
            <v>42-05-02-01-0854</v>
          </cell>
          <cell r="M862" t="str">
            <v>Catre clínico marca Hope Full Mod. BA 668</v>
          </cell>
          <cell r="O862" t="str">
            <v>EQUIPOS CLINICOS</v>
          </cell>
          <cell r="P862">
            <v>99990</v>
          </cell>
          <cell r="T862" t="str">
            <v>Bueno</v>
          </cell>
          <cell r="U862" t="str">
            <v>Hope Full</v>
          </cell>
        </row>
        <row r="863">
          <cell r="J863" t="str">
            <v>42-05-02-01-0855</v>
          </cell>
          <cell r="K863" t="str">
            <v>42-3082</v>
          </cell>
          <cell r="L863" t="str">
            <v>42-05-02-01-0855</v>
          </cell>
          <cell r="M863" t="str">
            <v>Catre clínico marca Hope Full Mod. BA 668</v>
          </cell>
          <cell r="O863" t="str">
            <v>EQUIPOS CLINICOS</v>
          </cell>
          <cell r="P863">
            <v>99990</v>
          </cell>
          <cell r="T863" t="str">
            <v>Bueno</v>
          </cell>
          <cell r="U863" t="str">
            <v>Hope Full</v>
          </cell>
        </row>
        <row r="864">
          <cell r="J864" t="str">
            <v>42-05-02-01-0856</v>
          </cell>
          <cell r="K864" t="str">
            <v>42-3064</v>
          </cell>
          <cell r="L864" t="str">
            <v>42-05-02-01-0856</v>
          </cell>
          <cell r="M864" t="str">
            <v>Catre clínico marca Hope Full Mod. BA 668</v>
          </cell>
          <cell r="O864" t="str">
            <v>EQUIPOS CLINICOS</v>
          </cell>
          <cell r="P864">
            <v>99990</v>
          </cell>
          <cell r="T864" t="str">
            <v>Bueno</v>
          </cell>
          <cell r="U864" t="str">
            <v>Hope Full</v>
          </cell>
        </row>
        <row r="865">
          <cell r="J865" t="str">
            <v>42-05-02-01-0857</v>
          </cell>
          <cell r="K865" t="str">
            <v>42-3084</v>
          </cell>
          <cell r="L865" t="str">
            <v>42-05-02-01-0857</v>
          </cell>
          <cell r="M865" t="str">
            <v>Catre clínico marca Hope Full Mod. BA 668</v>
          </cell>
          <cell r="O865" t="str">
            <v>EQUIPOS CLINICOS</v>
          </cell>
          <cell r="P865">
            <v>99990</v>
          </cell>
          <cell r="T865" t="str">
            <v>Bueno</v>
          </cell>
          <cell r="U865" t="str">
            <v>Hope Full</v>
          </cell>
        </row>
        <row r="866">
          <cell r="J866" t="str">
            <v>42-04-07-00-0858</v>
          </cell>
          <cell r="K866" t="str">
            <v>42-3085</v>
          </cell>
          <cell r="L866" t="str">
            <v>42-04-07-00-0858</v>
          </cell>
          <cell r="M866" t="str">
            <v>Velador metálico 1 cajón, 1 puerta masisa color café</v>
          </cell>
          <cell r="O866" t="str">
            <v>OTROS</v>
          </cell>
          <cell r="P866">
            <v>29895</v>
          </cell>
          <cell r="T866" t="str">
            <v>Bueno</v>
          </cell>
          <cell r="U866" t="str">
            <v>N/T</v>
          </cell>
        </row>
        <row r="867">
          <cell r="J867" t="str">
            <v>42-04-07-00-0859</v>
          </cell>
          <cell r="K867" t="str">
            <v>42-3086</v>
          </cell>
          <cell r="L867" t="str">
            <v>42-04-07-00-0859</v>
          </cell>
          <cell r="M867" t="str">
            <v>Velador metálico 1 cajón, 1 puerta masisa color café</v>
          </cell>
          <cell r="O867" t="str">
            <v>OTROS</v>
          </cell>
          <cell r="P867">
            <v>29895</v>
          </cell>
          <cell r="T867" t="str">
            <v>Bueno</v>
          </cell>
          <cell r="U867" t="str">
            <v>N/T</v>
          </cell>
        </row>
        <row r="868">
          <cell r="J868" t="str">
            <v>42-04-07-00-0860</v>
          </cell>
          <cell r="K868" t="str">
            <v>42-3087</v>
          </cell>
          <cell r="L868" t="str">
            <v>42-04-07-00-0860</v>
          </cell>
          <cell r="M868" t="str">
            <v>Velador metálico 1 cajón, 1 puerta masisa color café</v>
          </cell>
          <cell r="O868" t="str">
            <v>OTROS</v>
          </cell>
          <cell r="P868">
            <v>29895</v>
          </cell>
          <cell r="T868" t="str">
            <v>Bueno</v>
          </cell>
          <cell r="U868" t="str">
            <v>N/T</v>
          </cell>
        </row>
        <row r="869">
          <cell r="J869" t="str">
            <v>42-04-01-00-0861</v>
          </cell>
          <cell r="K869" t="str">
            <v>42-3077</v>
          </cell>
          <cell r="L869" t="str">
            <v>42-04-01-00-0861</v>
          </cell>
          <cell r="M869" t="str">
            <v>Mesa metálica con cubierta melamina, 4 ruedas color plomo</v>
          </cell>
          <cell r="O869" t="str">
            <v>MESAS</v>
          </cell>
          <cell r="P869">
            <v>35000</v>
          </cell>
          <cell r="T869" t="str">
            <v>Bueno</v>
          </cell>
          <cell r="U869" t="str">
            <v>N/T</v>
          </cell>
        </row>
        <row r="870">
          <cell r="J870" t="str">
            <v>42-04-01-00-0862</v>
          </cell>
          <cell r="K870" t="str">
            <v>42-3079</v>
          </cell>
          <cell r="L870" t="str">
            <v>42-04-01-00-0862</v>
          </cell>
          <cell r="M870" t="str">
            <v>Mesa metálica con cubierta melamina, 4 ruedas color plomo</v>
          </cell>
          <cell r="O870" t="str">
            <v>MESAS</v>
          </cell>
          <cell r="P870">
            <v>35000</v>
          </cell>
          <cell r="T870" t="str">
            <v>Bueno</v>
          </cell>
          <cell r="U870" t="str">
            <v>N/T</v>
          </cell>
        </row>
        <row r="871">
          <cell r="J871" t="str">
            <v>42-05-02-01-0863</v>
          </cell>
          <cell r="K871" t="str">
            <v>42-3297</v>
          </cell>
          <cell r="L871" t="str">
            <v>42-05-02-01-0863</v>
          </cell>
          <cell r="M871" t="str">
            <v>Escabel mixto</v>
          </cell>
          <cell r="O871" t="str">
            <v>EQUIPOS CLINICOS</v>
          </cell>
          <cell r="P871">
            <v>17850</v>
          </cell>
          <cell r="T871" t="str">
            <v>Bueno</v>
          </cell>
          <cell r="U871" t="str">
            <v>N/T</v>
          </cell>
        </row>
        <row r="872">
          <cell r="J872" t="str">
            <v>42-05-02-01-0864</v>
          </cell>
          <cell r="K872" t="str">
            <v>42-3265</v>
          </cell>
          <cell r="L872" t="str">
            <v>42-05-02-01-0864</v>
          </cell>
          <cell r="M872" t="str">
            <v>Manómetro de oxígeno marca Victor Medical con humidificador</v>
          </cell>
          <cell r="O872" t="str">
            <v>EQUIPOS CLINICOS</v>
          </cell>
          <cell r="P872">
            <v>25000</v>
          </cell>
          <cell r="T872" t="str">
            <v>Bueno</v>
          </cell>
          <cell r="U872" t="str">
            <v>N/T</v>
          </cell>
        </row>
        <row r="873">
          <cell r="J873" t="str">
            <v>42-05-02-01-0865</v>
          </cell>
          <cell r="K873" t="str">
            <v>42-3043</v>
          </cell>
          <cell r="L873" t="str">
            <v>42-05-02-01-0865</v>
          </cell>
          <cell r="M873" t="str">
            <v>Catre clínico</v>
          </cell>
          <cell r="O873" t="str">
            <v>EQUIPOS CLINICOS</v>
          </cell>
          <cell r="P873">
            <v>99990</v>
          </cell>
          <cell r="T873" t="str">
            <v>Bueno</v>
          </cell>
          <cell r="U873" t="str">
            <v>N/T</v>
          </cell>
        </row>
        <row r="874">
          <cell r="J874" t="str">
            <v>42-04-01-00-0866</v>
          </cell>
          <cell r="K874" t="str">
            <v>42-2768</v>
          </cell>
          <cell r="L874" t="str">
            <v>42-04-01-00-0866</v>
          </cell>
          <cell r="M874" t="str">
            <v>Mesa alimentación metálica con cubierta melamina, con ruedas</v>
          </cell>
          <cell r="O874" t="str">
            <v>MESAS</v>
          </cell>
          <cell r="P874">
            <v>35000</v>
          </cell>
          <cell r="T874" t="str">
            <v>Bueno</v>
          </cell>
          <cell r="U874" t="str">
            <v>N/T</v>
          </cell>
        </row>
        <row r="875">
          <cell r="J875" t="str">
            <v>42-04-07-00-0867</v>
          </cell>
          <cell r="K875" t="str">
            <v>42-3102</v>
          </cell>
          <cell r="L875" t="str">
            <v>42-04-07-00-0867</v>
          </cell>
          <cell r="M875" t="str">
            <v>Velador metálico 1 cajón, 1 puerta masisa color café</v>
          </cell>
          <cell r="O875" t="str">
            <v>OTROS</v>
          </cell>
          <cell r="P875">
            <v>29895</v>
          </cell>
          <cell r="T875" t="str">
            <v>Bueno</v>
          </cell>
          <cell r="U875" t="str">
            <v>N/T</v>
          </cell>
        </row>
        <row r="876">
          <cell r="J876" t="str">
            <v>42-05-02-01-0868</v>
          </cell>
          <cell r="K876" t="str">
            <v>42-1685</v>
          </cell>
          <cell r="L876" t="str">
            <v>42-05-02-01-0868</v>
          </cell>
          <cell r="M876" t="str">
            <v>Manómetro de oxígeno Soltec Medical SM-OX, con humidificador</v>
          </cell>
          <cell r="O876" t="str">
            <v>EQUIPOS CLINICOS</v>
          </cell>
          <cell r="P876">
            <v>25000</v>
          </cell>
          <cell r="T876" t="str">
            <v>Bueno</v>
          </cell>
          <cell r="U876" t="str">
            <v>N/T</v>
          </cell>
        </row>
        <row r="877">
          <cell r="J877" t="str">
            <v>42-05-02-01-0869</v>
          </cell>
          <cell r="K877" t="str">
            <v>42-1381</v>
          </cell>
          <cell r="L877" t="str">
            <v>42-05-02-01-0869</v>
          </cell>
          <cell r="M877" t="str">
            <v>Manómetro de oxígeno marca Victor Medical con humidificador</v>
          </cell>
          <cell r="O877" t="str">
            <v>EQUIPOS CLINICOS</v>
          </cell>
          <cell r="P877">
            <v>25000</v>
          </cell>
          <cell r="T877" t="str">
            <v>Bueno</v>
          </cell>
          <cell r="U877" t="str">
            <v>N/T</v>
          </cell>
        </row>
        <row r="878">
          <cell r="J878" t="str">
            <v>42-04-07-00-0870</v>
          </cell>
          <cell r="K878" t="str">
            <v>42-1774</v>
          </cell>
          <cell r="L878" t="str">
            <v>42-04-07-00-0870</v>
          </cell>
          <cell r="M878" t="str">
            <v>Bergere reclinable en cuerina, marca Acapulco</v>
          </cell>
          <cell r="O878" t="str">
            <v>OTROS</v>
          </cell>
          <cell r="P878">
            <v>30000</v>
          </cell>
          <cell r="T878" t="str">
            <v>Bueno</v>
          </cell>
          <cell r="U878" t="str">
            <v>N/T</v>
          </cell>
        </row>
        <row r="879">
          <cell r="J879" t="str">
            <v>42-05-02-01-0871</v>
          </cell>
          <cell r="K879" t="str">
            <v>42-3063</v>
          </cell>
          <cell r="L879" t="str">
            <v>42-05-02-01-0871</v>
          </cell>
          <cell r="M879" t="str">
            <v>Catre clínico</v>
          </cell>
          <cell r="O879" t="str">
            <v>EQUIPOS CLINICOS</v>
          </cell>
          <cell r="P879">
            <v>99990</v>
          </cell>
          <cell r="T879" t="str">
            <v>Bueno</v>
          </cell>
          <cell r="U879" t="str">
            <v>N/T</v>
          </cell>
        </row>
        <row r="880">
          <cell r="J880" t="str">
            <v>42-04-01-00-0872</v>
          </cell>
          <cell r="K880" t="str">
            <v>42-3105</v>
          </cell>
          <cell r="L880" t="str">
            <v>42-04-01-00-0872</v>
          </cell>
          <cell r="M880" t="str">
            <v>Mesa lateral metálica con cubierta melamina, 4 ruedas color plomo</v>
          </cell>
          <cell r="O880" t="str">
            <v>MESAS</v>
          </cell>
          <cell r="P880">
            <v>35000</v>
          </cell>
          <cell r="T880" t="str">
            <v>Bueno</v>
          </cell>
          <cell r="U880" t="str">
            <v>B</v>
          </cell>
        </row>
        <row r="881">
          <cell r="J881" t="str">
            <v>42-04-07-00-0873</v>
          </cell>
          <cell r="K881" t="str">
            <v>42-3104</v>
          </cell>
          <cell r="L881" t="str">
            <v>42-04-07-00-0873</v>
          </cell>
          <cell r="M881" t="str">
            <v>Velador metálico 1 cajón, 1 puerta masisa color café</v>
          </cell>
          <cell r="O881" t="str">
            <v>OTROS</v>
          </cell>
          <cell r="P881">
            <v>29895</v>
          </cell>
          <cell r="T881" t="str">
            <v>Bueno</v>
          </cell>
          <cell r="U881" t="str">
            <v>B</v>
          </cell>
        </row>
        <row r="882">
          <cell r="J882" t="str">
            <v>42-05-01-01-0874</v>
          </cell>
          <cell r="K882" t="str">
            <v>42-2368</v>
          </cell>
          <cell r="L882" t="str">
            <v>42-05-01-01-0874</v>
          </cell>
          <cell r="M882" t="str">
            <v>Televisor marca Daewoo 20" Mod. DTQ 20V8SSFG</v>
          </cell>
          <cell r="O882" t="str">
            <v>EQUIPO DE OFICINA</v>
          </cell>
          <cell r="P882">
            <v>67890</v>
          </cell>
          <cell r="T882" t="str">
            <v>Bueno</v>
          </cell>
          <cell r="U882" t="str">
            <v>Daewoo</v>
          </cell>
        </row>
        <row r="883">
          <cell r="J883" t="str">
            <v>42-05-01-01-0875</v>
          </cell>
          <cell r="K883" t="str">
            <v>42-2369</v>
          </cell>
          <cell r="L883" t="str">
            <v>42-05-01-01-0875</v>
          </cell>
          <cell r="M883" t="str">
            <v>Radio CD marca IRT Mod. RCD 1110 S/N° 4250150</v>
          </cell>
          <cell r="O883" t="str">
            <v>EQUIPO DE OFICINA</v>
          </cell>
          <cell r="P883">
            <v>53710</v>
          </cell>
          <cell r="T883" t="str">
            <v>Bueno</v>
          </cell>
          <cell r="U883" t="str">
            <v>RCD</v>
          </cell>
        </row>
        <row r="884">
          <cell r="J884" t="str">
            <v>42-05-01-01-0876</v>
          </cell>
          <cell r="K884" t="str">
            <v>42-3296</v>
          </cell>
          <cell r="L884" t="str">
            <v>42-05-01-01-0876</v>
          </cell>
          <cell r="M884" t="str">
            <v>Refrigerador Daewoo Mod. FR-146R S/Nº 0641-07-RM</v>
          </cell>
          <cell r="O884" t="str">
            <v>EQUIPO DE OFICINA</v>
          </cell>
          <cell r="P884">
            <v>354609</v>
          </cell>
          <cell r="T884" t="str">
            <v>Bueno</v>
          </cell>
          <cell r="U884" t="str">
            <v>Daewoo</v>
          </cell>
        </row>
        <row r="885">
          <cell r="J885" t="str">
            <v>42-05-01-01-0877</v>
          </cell>
          <cell r="K885" t="str">
            <v>42-2370</v>
          </cell>
          <cell r="L885" t="str">
            <v>42-05-01-01-0877</v>
          </cell>
          <cell r="M885" t="str">
            <v>Reloj mural marca Taiping cuadrado</v>
          </cell>
          <cell r="N885">
            <v>1</v>
          </cell>
          <cell r="O885" t="str">
            <v>EQUIPO DE OFICINA</v>
          </cell>
          <cell r="P885">
            <v>5000</v>
          </cell>
          <cell r="T885" t="str">
            <v>Bueno</v>
          </cell>
          <cell r="U885" t="str">
            <v>Taiping</v>
          </cell>
        </row>
        <row r="886">
          <cell r="J886" t="str">
            <v>42-05-02-01-0878</v>
          </cell>
          <cell r="K886" t="str">
            <v>42-1935</v>
          </cell>
          <cell r="L886" t="str">
            <v>42-05-02-01-0878</v>
          </cell>
          <cell r="M886" t="str">
            <v>Desfribilador Marca NIHON KOHDEN Mod. TEC - 5531K S/Nº 00086 color gris/naranjo</v>
          </cell>
          <cell r="O886" t="str">
            <v>EQUIPOS CLINICOS</v>
          </cell>
          <cell r="P886">
            <v>59000</v>
          </cell>
          <cell r="T886" t="str">
            <v>Bueno</v>
          </cell>
          <cell r="U886" t="str">
            <v>Nihon</v>
          </cell>
        </row>
        <row r="887">
          <cell r="J887" t="str">
            <v>42-05-02-01-0879</v>
          </cell>
          <cell r="K887" t="str">
            <v>42-3038</v>
          </cell>
          <cell r="L887" t="str">
            <v>42-05-02-01-0879</v>
          </cell>
          <cell r="M887" t="str">
            <v>Máquina de aspiración Medi-Pump Mod. Nº 1136 S/Nº 090300003285</v>
          </cell>
          <cell r="O887" t="str">
            <v>EQUIPOS CLINICOS</v>
          </cell>
          <cell r="P887">
            <v>102900</v>
          </cell>
          <cell r="T887" t="str">
            <v>Malo</v>
          </cell>
          <cell r="U887" t="str">
            <v>Medi</v>
          </cell>
        </row>
        <row r="888">
          <cell r="J888" t="str">
            <v>42-05-02-01-0880</v>
          </cell>
          <cell r="K888" t="str">
            <v>42-3157</v>
          </cell>
          <cell r="L888" t="str">
            <v>42-05-02-01-0880</v>
          </cell>
          <cell r="M888" t="str">
            <v>Máquina de aspiración Medi-Pump Mod. 1132C S/Nº 0000356</v>
          </cell>
          <cell r="O888" t="str">
            <v>EQUIPOS CLINICOS</v>
          </cell>
          <cell r="P888">
            <v>102900</v>
          </cell>
          <cell r="T888" t="str">
            <v>Malo</v>
          </cell>
          <cell r="U888" t="str">
            <v>Medi</v>
          </cell>
        </row>
        <row r="889">
          <cell r="J889" t="str">
            <v>42-05-02-01-0881</v>
          </cell>
          <cell r="K889" t="str">
            <v>42-3362</v>
          </cell>
          <cell r="L889" t="str">
            <v>42-05-02-01-0881</v>
          </cell>
          <cell r="M889" t="str">
            <v>Bomba infusion Samtronic Mod. ST 1000 S/Nº 33123L/10</v>
          </cell>
          <cell r="O889" t="str">
            <v>EQUIPOS CLINICOS</v>
          </cell>
          <cell r="P889">
            <v>809200</v>
          </cell>
          <cell r="T889" t="str">
            <v>Bueno</v>
          </cell>
          <cell r="U889" t="str">
            <v>N/T</v>
          </cell>
        </row>
        <row r="890">
          <cell r="J890" t="str">
            <v>42-05-02-01-0882</v>
          </cell>
          <cell r="K890" t="str">
            <v>42-3294</v>
          </cell>
          <cell r="L890" t="str">
            <v>42-05-02-01-0882</v>
          </cell>
          <cell r="M890" t="str">
            <v>Elevador hidráulico marca A&amp;I</v>
          </cell>
          <cell r="O890" t="str">
            <v>EQUIPOS CLINICOS</v>
          </cell>
          <cell r="P890">
            <v>450000</v>
          </cell>
          <cell r="T890" t="str">
            <v>Bueno</v>
          </cell>
          <cell r="U890" t="str">
            <v>A&amp;I</v>
          </cell>
        </row>
        <row r="891">
          <cell r="J891" t="str">
            <v>42-05-02-01-0883</v>
          </cell>
          <cell r="K891" t="str">
            <v>42-499</v>
          </cell>
          <cell r="L891" t="str">
            <v>42-05-02-01-0883</v>
          </cell>
          <cell r="M891" t="str">
            <v>Negatoscopio</v>
          </cell>
          <cell r="O891" t="str">
            <v>EQUIPOS CLINICOS</v>
          </cell>
          <cell r="P891">
            <v>46241</v>
          </cell>
          <cell r="T891" t="str">
            <v>Bueno</v>
          </cell>
          <cell r="U891" t="str">
            <v>N/T</v>
          </cell>
        </row>
        <row r="892">
          <cell r="J892" t="str">
            <v>42-04-03-00-0884</v>
          </cell>
          <cell r="K892" t="str">
            <v>42-479</v>
          </cell>
          <cell r="L892" t="str">
            <v>42-04-03-00-0884</v>
          </cell>
          <cell r="M892" t="str">
            <v>Escritorio de madera, 1 cajón blanco 102x57x83 cms.</v>
          </cell>
          <cell r="O892" t="str">
            <v>ESCRITORIOS</v>
          </cell>
          <cell r="P892">
            <v>89000</v>
          </cell>
          <cell r="T892" t="str">
            <v>Bueno</v>
          </cell>
          <cell r="U892" t="str">
            <v>N/T</v>
          </cell>
        </row>
        <row r="893">
          <cell r="J893" t="str">
            <v>42-04-02-00-0885</v>
          </cell>
          <cell r="K893" t="str">
            <v>42-480</v>
          </cell>
          <cell r="L893" t="str">
            <v>42-04-02-00-0885</v>
          </cell>
          <cell r="M893" t="str">
            <v>Silla de madera color blanco</v>
          </cell>
          <cell r="O893" t="str">
            <v>SILLAS</v>
          </cell>
          <cell r="P893">
            <v>6902</v>
          </cell>
          <cell r="T893" t="str">
            <v>Bueno</v>
          </cell>
          <cell r="U893" t="str">
            <v>N/T</v>
          </cell>
        </row>
        <row r="894">
          <cell r="J894" t="str">
            <v>42-04-02-00-0886</v>
          </cell>
          <cell r="K894" t="str">
            <v>42-481</v>
          </cell>
          <cell r="L894" t="str">
            <v>42-04-02-00-0886</v>
          </cell>
          <cell r="M894" t="str">
            <v>Silla de madera color blanco</v>
          </cell>
          <cell r="O894" t="str">
            <v>SILLAS</v>
          </cell>
          <cell r="P894">
            <v>6902</v>
          </cell>
          <cell r="T894" t="str">
            <v>Bueno</v>
          </cell>
          <cell r="U894" t="str">
            <v>N/T</v>
          </cell>
        </row>
        <row r="895">
          <cell r="J895" t="str">
            <v>42-04-02-00-0887</v>
          </cell>
          <cell r="K895" t="str">
            <v>42-1226</v>
          </cell>
          <cell r="L895" t="str">
            <v>42-04-02-00-0887</v>
          </cell>
          <cell r="M895" t="str">
            <v>Silla computación G lit, 5 ruedas color plomo</v>
          </cell>
          <cell r="O895" t="str">
            <v>SILLAS</v>
          </cell>
          <cell r="P895">
            <v>42500</v>
          </cell>
          <cell r="T895" t="str">
            <v>Bueno</v>
          </cell>
          <cell r="U895" t="str">
            <v>N/T</v>
          </cell>
        </row>
        <row r="896">
          <cell r="J896" t="str">
            <v>42-04-07-00-0888</v>
          </cell>
          <cell r="K896" t="str">
            <v>42-482</v>
          </cell>
          <cell r="L896" t="str">
            <v>42-04-07-00-0888</v>
          </cell>
          <cell r="M896" t="str">
            <v>Piso metálico color blanco</v>
          </cell>
          <cell r="O896" t="str">
            <v>OTROS</v>
          </cell>
          <cell r="P896">
            <v>10248</v>
          </cell>
          <cell r="T896" t="str">
            <v>Bueno</v>
          </cell>
          <cell r="U896" t="str">
            <v>N/T</v>
          </cell>
        </row>
        <row r="897">
          <cell r="J897" t="str">
            <v>42-04-07-00-0889</v>
          </cell>
          <cell r="K897" t="str">
            <v>42-488</v>
          </cell>
          <cell r="L897" t="str">
            <v>42-04-07-00-0889</v>
          </cell>
          <cell r="M897" t="str">
            <v>Mural de madera</v>
          </cell>
          <cell r="O897" t="str">
            <v>OTROS</v>
          </cell>
          <cell r="P897">
            <v>29750</v>
          </cell>
          <cell r="T897" t="str">
            <v>Bueno</v>
          </cell>
          <cell r="U897" t="str">
            <v>N/T</v>
          </cell>
        </row>
        <row r="898">
          <cell r="J898" t="str">
            <v>42-04-06-00-0890</v>
          </cell>
          <cell r="K898" t="str">
            <v>42-485</v>
          </cell>
          <cell r="L898" t="str">
            <v>42-04-06-00-0890</v>
          </cell>
          <cell r="M898" t="str">
            <v>Vitrina metálica 2 puertas de vidrio, 3 compartimentos</v>
          </cell>
          <cell r="O898" t="str">
            <v>REPISA</v>
          </cell>
          <cell r="P898">
            <v>145214</v>
          </cell>
          <cell r="T898" t="str">
            <v>Bueno</v>
          </cell>
          <cell r="U898" t="str">
            <v>N/T</v>
          </cell>
        </row>
        <row r="899">
          <cell r="J899" t="str">
            <v>42-04-06-00-0891</v>
          </cell>
          <cell r="K899" t="str">
            <v>42-2371</v>
          </cell>
          <cell r="L899" t="str">
            <v>42-04-06-00-0891</v>
          </cell>
          <cell r="M899" t="str">
            <v>Mueble blanco de madera 7 puertas, 9 cajones, 2 fuentones, 1 llave comb.</v>
          </cell>
          <cell r="O899" t="str">
            <v>REPISA</v>
          </cell>
          <cell r="P899">
            <v>60000</v>
          </cell>
          <cell r="T899" t="str">
            <v>Bueno</v>
          </cell>
          <cell r="U899" t="str">
            <v>N/T</v>
          </cell>
        </row>
        <row r="900">
          <cell r="J900" t="str">
            <v>42-04-06-00-0892</v>
          </cell>
          <cell r="K900" t="str">
            <v>42-2372</v>
          </cell>
          <cell r="L900" t="str">
            <v>42-04-06-00-0892</v>
          </cell>
          <cell r="M900" t="str">
            <v>Mueble en L adosado a la pared 6 puertas, 4 cajones</v>
          </cell>
          <cell r="O900" t="str">
            <v>REPISA</v>
          </cell>
          <cell r="P900">
            <v>110000</v>
          </cell>
          <cell r="T900" t="str">
            <v>Bueno</v>
          </cell>
          <cell r="U900" t="str">
            <v>N/T</v>
          </cell>
        </row>
        <row r="901">
          <cell r="J901" t="str">
            <v>42-04-06-00-0893</v>
          </cell>
          <cell r="K901" t="str">
            <v>42-2594</v>
          </cell>
          <cell r="L901" t="str">
            <v>42-04-06-00-0893</v>
          </cell>
          <cell r="M901" t="str">
            <v>Mueble madera 1 puerta con llave color blanco 64x32x97 cms.</v>
          </cell>
          <cell r="O901" t="str">
            <v>REPISA</v>
          </cell>
          <cell r="P901">
            <v>100000</v>
          </cell>
          <cell r="T901" t="str">
            <v>Bueno</v>
          </cell>
          <cell r="U901" t="str">
            <v>N/T</v>
          </cell>
        </row>
        <row r="902">
          <cell r="J902" t="str">
            <v>42-04-02-00-0894</v>
          </cell>
          <cell r="K902" t="str">
            <v>42-2006</v>
          </cell>
          <cell r="L902" t="str">
            <v>42-04-02-00-0894</v>
          </cell>
          <cell r="M902" t="str">
            <v>Silla Ergonometrica color azul, 5 ruedas ( MEL )</v>
          </cell>
          <cell r="O902" t="str">
            <v>SILLAS</v>
          </cell>
          <cell r="P902">
            <v>42500</v>
          </cell>
          <cell r="T902" t="str">
            <v>Bueno</v>
          </cell>
          <cell r="U902" t="str">
            <v>N/T</v>
          </cell>
        </row>
        <row r="903">
          <cell r="J903" t="str">
            <v>42-05-01-01-0895</v>
          </cell>
          <cell r="K903" t="str">
            <v>42-3109</v>
          </cell>
          <cell r="L903" t="str">
            <v>42-05-01-01-0895</v>
          </cell>
          <cell r="M903" t="str">
            <v>Perforador Isofit PP35 color plomo</v>
          </cell>
          <cell r="O903" t="str">
            <v>EQUIPO DE OFICINA</v>
          </cell>
          <cell r="P903">
            <v>3000</v>
          </cell>
          <cell r="T903" t="str">
            <v>Bueno</v>
          </cell>
          <cell r="U903" t="str">
            <v>B</v>
          </cell>
        </row>
        <row r="904">
          <cell r="J904" t="str">
            <v>42-05-02-01-0896</v>
          </cell>
          <cell r="K904" t="str">
            <v>42-484</v>
          </cell>
          <cell r="L904" t="str">
            <v>42-05-02-01-0896</v>
          </cell>
          <cell r="M904" t="str">
            <v>Carro metálico de curaciones 4 ruedas 2 compartimentos 92x51x90 cms.</v>
          </cell>
          <cell r="O904" t="str">
            <v>EQUIPOS CLINICOS</v>
          </cell>
          <cell r="P904">
            <v>450000</v>
          </cell>
          <cell r="T904" t="str">
            <v>Bueno</v>
          </cell>
          <cell r="U904" t="str">
            <v>B</v>
          </cell>
        </row>
        <row r="905">
          <cell r="J905" t="str">
            <v>42-05-02-01-0897</v>
          </cell>
          <cell r="K905" t="str">
            <v>42-489</v>
          </cell>
          <cell r="L905" t="str">
            <v>42-05-02-01-0897</v>
          </cell>
          <cell r="M905" t="str">
            <v>Carro metálico de curaciones 4 ruedas 2 compartimentos 76x40x86 cms.</v>
          </cell>
          <cell r="O905" t="str">
            <v>EQUIPOS CLINICOS</v>
          </cell>
          <cell r="P905">
            <v>450000</v>
          </cell>
          <cell r="T905" t="str">
            <v>Bueno</v>
          </cell>
          <cell r="U905" t="str">
            <v>B</v>
          </cell>
        </row>
        <row r="906">
          <cell r="J906" t="str">
            <v>42-05-02-01-0898</v>
          </cell>
          <cell r="K906" t="str">
            <v>42-3039</v>
          </cell>
          <cell r="L906" t="str">
            <v>42-05-02-01-0898</v>
          </cell>
          <cell r="M906" t="str">
            <v>Carro de procedimientos marca Metro Flex 1 cajón, 4 ruedas color plomo</v>
          </cell>
          <cell r="O906" t="str">
            <v>EQUIPOS CLINICOS</v>
          </cell>
          <cell r="P906">
            <v>450000</v>
          </cell>
          <cell r="T906" t="str">
            <v>Bueno</v>
          </cell>
          <cell r="U906" t="str">
            <v>B</v>
          </cell>
        </row>
        <row r="907">
          <cell r="J907" t="str">
            <v>42-04-02-00-0899</v>
          </cell>
          <cell r="K907" t="str">
            <v>42-497</v>
          </cell>
          <cell r="L907" t="str">
            <v>42-04-02-00-0899</v>
          </cell>
          <cell r="M907" t="str">
            <v>Silla de ruedas color negro</v>
          </cell>
          <cell r="O907" t="str">
            <v>SILLAS</v>
          </cell>
          <cell r="P907">
            <v>156000</v>
          </cell>
          <cell r="T907" t="str">
            <v>Malo</v>
          </cell>
          <cell r="U907" t="str">
            <v>M</v>
          </cell>
        </row>
        <row r="908">
          <cell r="J908" t="str">
            <v>42-05-01-01-0900</v>
          </cell>
          <cell r="K908" t="str">
            <v>42-1966</v>
          </cell>
          <cell r="L908" t="str">
            <v>42-05-01-01-0900</v>
          </cell>
          <cell r="M908" t="str">
            <v>Citófono/ teléfono marca Nortel Network, Modelo 7000</v>
          </cell>
          <cell r="O908" t="str">
            <v>EQUIPO DE OFICINA</v>
          </cell>
          <cell r="P908">
            <v>36000</v>
          </cell>
          <cell r="T908" t="str">
            <v>Bueno</v>
          </cell>
          <cell r="U908" t="str">
            <v>B</v>
          </cell>
        </row>
        <row r="909">
          <cell r="J909" t="str">
            <v>42-04-01-00-0901</v>
          </cell>
          <cell r="K909" t="str">
            <v>42-1120</v>
          </cell>
          <cell r="L909" t="str">
            <v>42-04-01-00-0901</v>
          </cell>
          <cell r="M909" t="str">
            <v>Mesa de madera barniz natural de 120x75x75 cms. 2 cajones</v>
          </cell>
          <cell r="O909" t="str">
            <v>MESAS</v>
          </cell>
          <cell r="P909">
            <v>35441</v>
          </cell>
          <cell r="T909" t="str">
            <v>Bueno</v>
          </cell>
          <cell r="U909" t="str">
            <v>N/T</v>
          </cell>
        </row>
        <row r="910">
          <cell r="J910" t="str">
            <v>42-04-07-00-0902</v>
          </cell>
          <cell r="K910" t="str">
            <v>42-1449</v>
          </cell>
          <cell r="L910" t="str">
            <v>42-04-07-00-0902</v>
          </cell>
          <cell r="M910" t="str">
            <v>Loker Metálico marca Equimet color crema, puerta café</v>
          </cell>
          <cell r="O910" t="str">
            <v>OTROS</v>
          </cell>
          <cell r="P910">
            <v>37500</v>
          </cell>
          <cell r="T910" t="str">
            <v>Bueno</v>
          </cell>
          <cell r="U910" t="str">
            <v>N/T</v>
          </cell>
        </row>
        <row r="911">
          <cell r="J911" t="str">
            <v>42-04-02-00-0903</v>
          </cell>
          <cell r="K911" t="str">
            <v>42-1607</v>
          </cell>
          <cell r="L911" t="str">
            <v>42-04-02-00-0903</v>
          </cell>
          <cell r="M911" t="str">
            <v>Silla giratoria sin apoyo de brazos, color azul</v>
          </cell>
          <cell r="O911" t="str">
            <v>SILLAS</v>
          </cell>
          <cell r="P911">
            <v>42500</v>
          </cell>
          <cell r="T911" t="str">
            <v>Bueno</v>
          </cell>
          <cell r="U911" t="str">
            <v>N/T</v>
          </cell>
        </row>
        <row r="912">
          <cell r="J912" t="str">
            <v>42-05-01-01-0904</v>
          </cell>
          <cell r="K912" t="str">
            <v>42-1961</v>
          </cell>
          <cell r="L912" t="str">
            <v>42-05-01-01-0904</v>
          </cell>
          <cell r="M912" t="str">
            <v>Citófono/ teléfono marca Nortel Network, Modelo 7000</v>
          </cell>
          <cell r="O912" t="str">
            <v>EQUIPO DE OFICINA</v>
          </cell>
          <cell r="P912">
            <v>36000</v>
          </cell>
          <cell r="T912" t="str">
            <v>Bueno</v>
          </cell>
          <cell r="U912" t="str">
            <v>N/T</v>
          </cell>
        </row>
        <row r="913">
          <cell r="J913" t="str">
            <v>42-04-07-00-0905</v>
          </cell>
          <cell r="K913" t="str">
            <v>42-397</v>
          </cell>
          <cell r="L913" t="str">
            <v>42-04-07-00-0905</v>
          </cell>
          <cell r="M913" t="str">
            <v>Carro acero inoxidable 2 compartimentos, 4 ruedas</v>
          </cell>
          <cell r="O913" t="str">
            <v>OTROS</v>
          </cell>
          <cell r="P913">
            <v>58952</v>
          </cell>
          <cell r="T913" t="str">
            <v>Bueno</v>
          </cell>
          <cell r="U913" t="str">
            <v>N/T</v>
          </cell>
        </row>
        <row r="914">
          <cell r="J914" t="str">
            <v>42-05-02-01-0906</v>
          </cell>
          <cell r="K914" t="str">
            <v>42-1588</v>
          </cell>
          <cell r="L914" t="str">
            <v>42-05-02-01-0906</v>
          </cell>
          <cell r="M914" t="str">
            <v>Porta suero metálico con 5 ruedas y 4 ganchos metálicos</v>
          </cell>
          <cell r="O914" t="str">
            <v>EQUIPOS CLINICOS</v>
          </cell>
          <cell r="P914">
            <v>45680</v>
          </cell>
          <cell r="T914" t="str">
            <v>Bueno</v>
          </cell>
          <cell r="U914" t="str">
            <v>N/T</v>
          </cell>
        </row>
        <row r="915">
          <cell r="J915" t="str">
            <v>42-05-02-01-0907</v>
          </cell>
          <cell r="K915" t="str">
            <v>42-3295</v>
          </cell>
          <cell r="L915" t="str">
            <v>42-05-02-01-0907</v>
          </cell>
          <cell r="M915" t="str">
            <v>Porta suero metálico, 5 ruedas</v>
          </cell>
          <cell r="O915" t="str">
            <v>EQUIPOS CLINICOS</v>
          </cell>
          <cell r="P915">
            <v>45680</v>
          </cell>
          <cell r="T915" t="str">
            <v>Bueno</v>
          </cell>
          <cell r="U915" t="str">
            <v>N/T</v>
          </cell>
        </row>
        <row r="916">
          <cell r="J916" t="str">
            <v>42-04-07-00-0908</v>
          </cell>
          <cell r="K916" t="str">
            <v>42-2882</v>
          </cell>
          <cell r="L916" t="str">
            <v>42-04-07-00-0908</v>
          </cell>
          <cell r="M916" t="str">
            <v>Carro porta ropa con tapa, 3 ruedas metálico plomo</v>
          </cell>
          <cell r="O916" t="str">
            <v>OTROS</v>
          </cell>
          <cell r="P916">
            <v>95648</v>
          </cell>
          <cell r="T916" t="str">
            <v>Bueno</v>
          </cell>
          <cell r="U916" t="str">
            <v>N/T</v>
          </cell>
        </row>
        <row r="917">
          <cell r="J917" t="str">
            <v>42-04-06-00-0909</v>
          </cell>
          <cell r="K917" t="str">
            <v>42-509</v>
          </cell>
          <cell r="L917" t="str">
            <v>42-04-06-00-0909</v>
          </cell>
          <cell r="M917" t="str">
            <v>Estante metálico 2 puertas con vidrio</v>
          </cell>
          <cell r="O917" t="str">
            <v>REPISA</v>
          </cell>
          <cell r="P917">
            <v>108707</v>
          </cell>
          <cell r="T917" t="str">
            <v>Bueno</v>
          </cell>
          <cell r="U917" t="str">
            <v>N/T</v>
          </cell>
        </row>
        <row r="918">
          <cell r="J918" t="str">
            <v>42-05-02-01-0910</v>
          </cell>
          <cell r="K918" t="str">
            <v>42-3060</v>
          </cell>
          <cell r="L918" t="str">
            <v>42-05-02-01-0910</v>
          </cell>
          <cell r="M918" t="str">
            <v>Catre clínico marca Hope Full Mod. BA 668</v>
          </cell>
          <cell r="O918" t="str">
            <v>EQUIPOS CLINICOS</v>
          </cell>
          <cell r="P918">
            <v>99990</v>
          </cell>
          <cell r="T918" t="str">
            <v>Bueno</v>
          </cell>
          <cell r="U918" t="str">
            <v>Hope Full</v>
          </cell>
        </row>
        <row r="919">
          <cell r="J919" t="str">
            <v>42-05-02-01-0911</v>
          </cell>
          <cell r="K919" t="str">
            <v>42-3061</v>
          </cell>
          <cell r="L919" t="str">
            <v>42-05-02-01-0911</v>
          </cell>
          <cell r="M919" t="str">
            <v>Catre clínico marca Hope Full Mod. BA 668</v>
          </cell>
          <cell r="O919" t="str">
            <v>EQUIPOS CLINICOS</v>
          </cell>
          <cell r="P919">
            <v>99990</v>
          </cell>
          <cell r="T919" t="str">
            <v>Bueno</v>
          </cell>
          <cell r="U919" t="str">
            <v>Hope Full</v>
          </cell>
        </row>
        <row r="920">
          <cell r="J920" t="str">
            <v>42-05-02-01-0912</v>
          </cell>
          <cell r="K920" t="str">
            <v>42-3092</v>
          </cell>
          <cell r="L920" t="str">
            <v>42-05-02-01-0912</v>
          </cell>
          <cell r="M920" t="str">
            <v>Catre clínico marca Hope Full Mod. BA 668</v>
          </cell>
          <cell r="O920" t="str">
            <v>EQUIPOS CLINICOS</v>
          </cell>
          <cell r="P920">
            <v>99990</v>
          </cell>
          <cell r="T920" t="str">
            <v>Bueno</v>
          </cell>
          <cell r="U920" t="str">
            <v>Hope Full</v>
          </cell>
        </row>
        <row r="921">
          <cell r="J921" t="str">
            <v>42-05-02-01-0913</v>
          </cell>
          <cell r="K921" t="str">
            <v>42-3093</v>
          </cell>
          <cell r="L921" t="str">
            <v>42-05-02-01-0913</v>
          </cell>
          <cell r="M921" t="str">
            <v>Catre clínico marca Hope Full Mod. BA 668</v>
          </cell>
          <cell r="O921" t="str">
            <v>EQUIPOS CLINICOS</v>
          </cell>
          <cell r="P921">
            <v>99990</v>
          </cell>
          <cell r="T921" t="str">
            <v>Bueno</v>
          </cell>
          <cell r="U921" t="str">
            <v>Hope Full</v>
          </cell>
        </row>
        <row r="922">
          <cell r="J922" t="str">
            <v>42-04-07-00-0914</v>
          </cell>
          <cell r="K922" t="str">
            <v>42-3094</v>
          </cell>
          <cell r="L922" t="str">
            <v>42-04-07-00-0914</v>
          </cell>
          <cell r="M922" t="str">
            <v>Velador metálico 1 cajón, 1 puerta masisa color café</v>
          </cell>
          <cell r="O922" t="str">
            <v>OTROS</v>
          </cell>
          <cell r="P922">
            <v>29895</v>
          </cell>
          <cell r="T922" t="str">
            <v>Bueno</v>
          </cell>
          <cell r="U922" t="str">
            <v>N/T</v>
          </cell>
        </row>
        <row r="923">
          <cell r="J923" t="str">
            <v>42-04-07-00-0915</v>
          </cell>
          <cell r="K923" t="str">
            <v>42-3095</v>
          </cell>
          <cell r="L923" t="str">
            <v>42-04-07-00-0915</v>
          </cell>
          <cell r="M923" t="str">
            <v>Velador metálico 1 cajón, 1 puerta masisa color café</v>
          </cell>
          <cell r="O923" t="str">
            <v>OTROS</v>
          </cell>
          <cell r="P923">
            <v>29895</v>
          </cell>
          <cell r="T923" t="str">
            <v>Bueno</v>
          </cell>
          <cell r="U923" t="str">
            <v>N/T</v>
          </cell>
        </row>
        <row r="924">
          <cell r="J924" t="str">
            <v>42-04-07-00-0916</v>
          </cell>
          <cell r="K924" t="str">
            <v>42-3096</v>
          </cell>
          <cell r="L924" t="str">
            <v>42-04-07-00-0916</v>
          </cell>
          <cell r="M924" t="str">
            <v>Velador metálico 1 cajón, 1 puerta masisa color café</v>
          </cell>
          <cell r="O924" t="str">
            <v>OTROS</v>
          </cell>
          <cell r="P924">
            <v>29895</v>
          </cell>
          <cell r="T924" t="str">
            <v>Bueno</v>
          </cell>
          <cell r="U924" t="str">
            <v>N/T</v>
          </cell>
        </row>
        <row r="925">
          <cell r="J925" t="str">
            <v>42-04-07-00-0917</v>
          </cell>
          <cell r="K925" t="str">
            <v>42-3097</v>
          </cell>
          <cell r="L925" t="str">
            <v>42-04-07-00-0917</v>
          </cell>
          <cell r="M925" t="str">
            <v>Velador metálico 1 cajón, 1 puerta masisa color café</v>
          </cell>
          <cell r="O925" t="str">
            <v>OTROS</v>
          </cell>
          <cell r="P925">
            <v>29895</v>
          </cell>
          <cell r="T925" t="str">
            <v>Bueno</v>
          </cell>
          <cell r="U925" t="str">
            <v>N/T</v>
          </cell>
        </row>
        <row r="926">
          <cell r="J926" t="str">
            <v>42-04-01-00-0918</v>
          </cell>
          <cell r="K926" t="str">
            <v>42-3089</v>
          </cell>
          <cell r="L926" t="str">
            <v>42-04-01-00-0918</v>
          </cell>
          <cell r="M926" t="str">
            <v>Mesa metálica con cubierta melamina, 4 ruedas color plomo</v>
          </cell>
          <cell r="O926" t="str">
            <v>MESAS</v>
          </cell>
          <cell r="P926">
            <v>35000</v>
          </cell>
          <cell r="T926" t="str">
            <v>Bueno</v>
          </cell>
          <cell r="U926" t="str">
            <v>N/T</v>
          </cell>
        </row>
        <row r="927">
          <cell r="J927" t="str">
            <v>42-04-01-00-0919</v>
          </cell>
          <cell r="K927" t="str">
            <v>42-3099</v>
          </cell>
          <cell r="L927" t="str">
            <v>42-04-01-00-0919</v>
          </cell>
          <cell r="M927" t="str">
            <v>Mesa metálica con cubierta melamina, 4 ruedas color plomo</v>
          </cell>
          <cell r="O927" t="str">
            <v>MESAS</v>
          </cell>
          <cell r="P927">
            <v>35000</v>
          </cell>
          <cell r="T927" t="str">
            <v>Bueno</v>
          </cell>
          <cell r="U927" t="str">
            <v>N/T</v>
          </cell>
        </row>
        <row r="928">
          <cell r="J928" t="str">
            <v>42-04-01-00-0920</v>
          </cell>
          <cell r="K928" t="str">
            <v>42-3059</v>
          </cell>
          <cell r="L928" t="str">
            <v>42-04-01-00-0920</v>
          </cell>
          <cell r="M928" t="str">
            <v>Mesa metálica con cubierta melamina, 4 ruedas color plomo</v>
          </cell>
          <cell r="O928" t="str">
            <v>MESAS</v>
          </cell>
          <cell r="P928">
            <v>35000</v>
          </cell>
          <cell r="T928" t="str">
            <v>Bueno</v>
          </cell>
          <cell r="U928" t="str">
            <v>N/T</v>
          </cell>
        </row>
        <row r="929">
          <cell r="J929" t="str">
            <v>42-04-02-00-0921</v>
          </cell>
          <cell r="K929" t="str">
            <v>42-1591</v>
          </cell>
          <cell r="L929" t="str">
            <v>42-04-02-00-0921</v>
          </cell>
          <cell r="M929" t="str">
            <v>Silla metálica con balanza marca Detecto capacidad 160 Kgs.</v>
          </cell>
          <cell r="O929" t="str">
            <v>SILLAS</v>
          </cell>
          <cell r="P929">
            <v>6902</v>
          </cell>
          <cell r="T929" t="str">
            <v>Malo</v>
          </cell>
          <cell r="U929" t="str">
            <v>N/T</v>
          </cell>
        </row>
        <row r="930">
          <cell r="J930" t="str">
            <v>42-05-02-01-0922</v>
          </cell>
          <cell r="K930" t="str">
            <v>42-2358</v>
          </cell>
          <cell r="L930" t="str">
            <v>42-05-02-01-0922</v>
          </cell>
          <cell r="M930" t="str">
            <v>Escabel mixto</v>
          </cell>
          <cell r="O930" t="str">
            <v>EQUIPOS CLINICOS</v>
          </cell>
          <cell r="P930">
            <v>17850</v>
          </cell>
          <cell r="T930" t="str">
            <v>Bueno</v>
          </cell>
          <cell r="U930" t="str">
            <v>N/T</v>
          </cell>
        </row>
        <row r="931">
          <cell r="J931" t="str">
            <v>42-05-02-01-0923</v>
          </cell>
          <cell r="K931" t="str">
            <v>42-3298</v>
          </cell>
          <cell r="L931" t="str">
            <v>42-05-02-01-0923</v>
          </cell>
          <cell r="M931" t="str">
            <v>Escabel mixto</v>
          </cell>
          <cell r="O931" t="str">
            <v>EQUIPOS CLINICOS</v>
          </cell>
          <cell r="P931">
            <v>17850</v>
          </cell>
          <cell r="T931" t="str">
            <v>Bueno</v>
          </cell>
          <cell r="U931" t="str">
            <v>N/T</v>
          </cell>
        </row>
        <row r="932">
          <cell r="J932" t="str">
            <v>42-04-07-00-0924</v>
          </cell>
          <cell r="K932" t="str">
            <v>42-2603</v>
          </cell>
          <cell r="L932" t="str">
            <v>42-04-07-00-0924</v>
          </cell>
          <cell r="M932" t="str">
            <v>Bergere marca Acapulco color café</v>
          </cell>
          <cell r="O932" t="str">
            <v>OTROS</v>
          </cell>
          <cell r="P932">
            <v>30000</v>
          </cell>
          <cell r="T932" t="str">
            <v>Bueno</v>
          </cell>
          <cell r="U932" t="str">
            <v>N/T</v>
          </cell>
        </row>
        <row r="933">
          <cell r="J933" t="str">
            <v>42-04-07-00-0925</v>
          </cell>
          <cell r="K933" t="str">
            <v>42-3106</v>
          </cell>
          <cell r="L933" t="str">
            <v>42-04-07-00-0925</v>
          </cell>
          <cell r="M933" t="str">
            <v>Velador metálico 1 cajón, 1 puerta masisa color café</v>
          </cell>
          <cell r="O933" t="str">
            <v>OTROS</v>
          </cell>
          <cell r="P933">
            <v>29895</v>
          </cell>
          <cell r="T933" t="str">
            <v>Bueno</v>
          </cell>
          <cell r="U933" t="str">
            <v>N/T</v>
          </cell>
        </row>
        <row r="934">
          <cell r="J934" t="str">
            <v>42-04-07-00-0926</v>
          </cell>
          <cell r="K934" t="str">
            <v>42-2591</v>
          </cell>
          <cell r="L934" t="str">
            <v>42-04-07-00-0926</v>
          </cell>
          <cell r="M934" t="str">
            <v>Velador metálico color blanco</v>
          </cell>
          <cell r="O934" t="str">
            <v>OTROS</v>
          </cell>
          <cell r="P934">
            <v>29895</v>
          </cell>
          <cell r="T934" t="str">
            <v>Bueno</v>
          </cell>
          <cell r="U934" t="str">
            <v>N/T</v>
          </cell>
        </row>
        <row r="935">
          <cell r="J935" t="str">
            <v>42-04-07-00-0927</v>
          </cell>
          <cell r="K935" t="str">
            <v>42-1809</v>
          </cell>
          <cell r="L935" t="str">
            <v>42-04-07-00-0927</v>
          </cell>
          <cell r="M935" t="str">
            <v>Diván cama de madera 1 plaza con 6 cajones con llave</v>
          </cell>
          <cell r="O935" t="str">
            <v>OTROS</v>
          </cell>
          <cell r="P935">
            <v>202303</v>
          </cell>
          <cell r="T935" t="str">
            <v>Bueno</v>
          </cell>
          <cell r="U935" t="str">
            <v>N/T</v>
          </cell>
        </row>
        <row r="936">
          <cell r="J936" t="str">
            <v>42-04-07-00-0928</v>
          </cell>
          <cell r="K936" t="str">
            <v>42-1236</v>
          </cell>
          <cell r="L936" t="str">
            <v>42-04-07-00-0928</v>
          </cell>
          <cell r="M936" t="str">
            <v>Sofá cama en género estampado</v>
          </cell>
          <cell r="O936" t="str">
            <v>OTROS</v>
          </cell>
          <cell r="P936">
            <v>95675</v>
          </cell>
          <cell r="T936" t="str">
            <v>Bueno</v>
          </cell>
          <cell r="U936" t="str">
            <v>N/T</v>
          </cell>
        </row>
        <row r="937">
          <cell r="J937" t="str">
            <v>42-05-01-01-0929</v>
          </cell>
          <cell r="K937" t="str">
            <v>42-2612</v>
          </cell>
          <cell r="L937" t="str">
            <v>42-05-01-01-0929</v>
          </cell>
          <cell r="M937" t="str">
            <v>Reloj crono termostato HP 510</v>
          </cell>
          <cell r="O937" t="str">
            <v>EQUIPO DE OFICINA</v>
          </cell>
          <cell r="P937">
            <v>27000</v>
          </cell>
          <cell r="T937" t="str">
            <v>Bueno</v>
          </cell>
          <cell r="U937" t="str">
            <v>Termostato</v>
          </cell>
        </row>
        <row r="938">
          <cell r="J938" t="str">
            <v>42-05-01-01-0930</v>
          </cell>
          <cell r="K938" t="str">
            <v>42-2021</v>
          </cell>
          <cell r="L938" t="str">
            <v>42-05-01-01-0930</v>
          </cell>
          <cell r="M938" t="str">
            <v>Pizarra blanca con borde aluminio 120x90 cms</v>
          </cell>
          <cell r="O938" t="str">
            <v>EQUIPO DE OFICINA</v>
          </cell>
          <cell r="P938">
            <v>25890</v>
          </cell>
          <cell r="T938" t="str">
            <v>Bueno</v>
          </cell>
          <cell r="U938" t="str">
            <v>N/T</v>
          </cell>
        </row>
        <row r="939">
          <cell r="J939" t="str">
            <v>42-04-07-00-0931</v>
          </cell>
          <cell r="K939" t="str">
            <v>42-2605</v>
          </cell>
          <cell r="L939" t="str">
            <v>42-04-07-00-0931</v>
          </cell>
          <cell r="M939" t="str">
            <v>Basurero plástico marca Omnium color plomo, tapa color burdeo c/ruedas</v>
          </cell>
          <cell r="O939" t="str">
            <v>OTROS</v>
          </cell>
          <cell r="P939">
            <v>5000</v>
          </cell>
          <cell r="T939" t="str">
            <v>Bueno</v>
          </cell>
          <cell r="U939" t="str">
            <v>Omnium</v>
          </cell>
        </row>
        <row r="940">
          <cell r="J940" t="str">
            <v>42-05-02-05-0932</v>
          </cell>
          <cell r="K940" t="str">
            <v>42-2606</v>
          </cell>
          <cell r="L940" t="str">
            <v>42-05-02-05-0932</v>
          </cell>
          <cell r="M940" t="str">
            <v>Extintor incendio tipo ABC 10 kgs.</v>
          </cell>
          <cell r="O940" t="str">
            <v>EQUIPOS DE SEGURIDAD</v>
          </cell>
          <cell r="P940">
            <v>28900</v>
          </cell>
          <cell r="T940" t="str">
            <v>Bueno</v>
          </cell>
          <cell r="U940" t="str">
            <v>N/T</v>
          </cell>
        </row>
        <row r="941">
          <cell r="J941" t="str">
            <v>42-05-02-01-0933</v>
          </cell>
          <cell r="K941" t="str">
            <v>42-2610</v>
          </cell>
          <cell r="L941" t="str">
            <v>42-05-02-01-0933</v>
          </cell>
          <cell r="M941" t="str">
            <v>Andador metálico con frenos, 4 ruedas goma color burdeo</v>
          </cell>
          <cell r="O941" t="str">
            <v>EQUIPOS CLINICOS</v>
          </cell>
          <cell r="P941">
            <v>287000</v>
          </cell>
          <cell r="T941" t="str">
            <v>Bueno</v>
          </cell>
          <cell r="U941" t="str">
            <v>N/T</v>
          </cell>
        </row>
        <row r="942">
          <cell r="J942" t="str">
            <v>42-05-02-01-0934</v>
          </cell>
          <cell r="K942" t="str">
            <v>42-2611</v>
          </cell>
          <cell r="L942" t="str">
            <v>42-05-02-01-0934</v>
          </cell>
          <cell r="M942" t="str">
            <v>Andador metálico con frenos, 4 ruedas goma color burdeo</v>
          </cell>
          <cell r="O942" t="str">
            <v>EQUIPOS CLINICOS</v>
          </cell>
          <cell r="P942">
            <v>287000</v>
          </cell>
          <cell r="T942" t="str">
            <v>Bueno</v>
          </cell>
          <cell r="U942" t="str">
            <v>N/T</v>
          </cell>
        </row>
        <row r="943">
          <cell r="J943" t="str">
            <v>42-05-02-01-0935</v>
          </cell>
          <cell r="K943" t="str">
            <v>42-3222</v>
          </cell>
          <cell r="L943" t="str">
            <v>42-05-02-01-0935</v>
          </cell>
          <cell r="M943" t="str">
            <v>Pesa adulto Detecto 140 kgs.</v>
          </cell>
          <cell r="O943" t="str">
            <v>EQUIPOS CLINICOS</v>
          </cell>
          <cell r="P943">
            <v>165648</v>
          </cell>
          <cell r="T943" t="str">
            <v>Malo</v>
          </cell>
          <cell r="U943" t="str">
            <v>N/T</v>
          </cell>
        </row>
        <row r="944">
          <cell r="J944" t="str">
            <v>42-04-07-00-0936</v>
          </cell>
          <cell r="K944" t="str">
            <v>42-3522</v>
          </cell>
          <cell r="L944" t="str">
            <v>42-04-07-00-0936</v>
          </cell>
          <cell r="M944" t="str">
            <v>Sillón para descanso, tipo Bergere,  3 posiciones, color negro</v>
          </cell>
          <cell r="O944" t="str">
            <v>OTROS</v>
          </cell>
          <cell r="P944">
            <v>130900</v>
          </cell>
          <cell r="T944" t="str">
            <v>Bueno</v>
          </cell>
          <cell r="U944" t="str">
            <v>Metarus</v>
          </cell>
        </row>
        <row r="945">
          <cell r="J945" t="str">
            <v>42-04-07-00-0937</v>
          </cell>
          <cell r="K945" t="str">
            <v>42-3523</v>
          </cell>
          <cell r="L945" t="str">
            <v>42-04-07-00-0937</v>
          </cell>
          <cell r="M945" t="str">
            <v>Sillón para descanso, tipo Bergere, 3 posiciones, color negro</v>
          </cell>
          <cell r="O945" t="str">
            <v>OTROS</v>
          </cell>
          <cell r="P945">
            <v>130900</v>
          </cell>
          <cell r="T945" t="str">
            <v>Bueno</v>
          </cell>
          <cell r="U945" t="str">
            <v>Metarus</v>
          </cell>
        </row>
        <row r="946">
          <cell r="J946" t="str">
            <v>42-05-01-01-0938</v>
          </cell>
          <cell r="K946" t="str">
            <v>42-2589</v>
          </cell>
          <cell r="L946" t="str">
            <v>42-05-01-01-0938</v>
          </cell>
          <cell r="M946" t="str">
            <v>Radio CD marca RCA Mod. RCD 002 S/Nº 0627</v>
          </cell>
          <cell r="O946" t="str">
            <v>EQUIPO DE OFICINA</v>
          </cell>
          <cell r="P946">
            <v>53710</v>
          </cell>
          <cell r="T946" t="str">
            <v>Bueno</v>
          </cell>
          <cell r="U946" t="str">
            <v>Rca</v>
          </cell>
        </row>
        <row r="947">
          <cell r="J947" t="str">
            <v>42-05-02-01-0939</v>
          </cell>
          <cell r="K947" t="str">
            <v>42-2984</v>
          </cell>
          <cell r="L947" t="str">
            <v>42-05-02-01-0939</v>
          </cell>
          <cell r="M947" t="str">
            <v>Ambu adulto</v>
          </cell>
          <cell r="O947" t="str">
            <v>EQUIPOS CLINICOS</v>
          </cell>
          <cell r="P947">
            <v>30000</v>
          </cell>
          <cell r="T947" t="str">
            <v>Bueno</v>
          </cell>
          <cell r="U947" t="str">
            <v>N/T</v>
          </cell>
        </row>
        <row r="948">
          <cell r="J948" t="str">
            <v>42-05-02-01-0940</v>
          </cell>
          <cell r="K948" t="str">
            <v>42-2982</v>
          </cell>
          <cell r="L948" t="str">
            <v>42-05-02-01-0940</v>
          </cell>
          <cell r="M948" t="str">
            <v>Electro bisturí marca ERBE Mod. ICC 80 Int S/Nº C-1572 Type Nº 10122-101</v>
          </cell>
          <cell r="O948" t="str">
            <v>EQUIPOS CLINICOS</v>
          </cell>
          <cell r="P948">
            <v>50000</v>
          </cell>
          <cell r="T948" t="str">
            <v>Bueno</v>
          </cell>
          <cell r="U948" t="str">
            <v>Erbe</v>
          </cell>
        </row>
        <row r="949">
          <cell r="J949" t="str">
            <v>42-05-02-01-0941</v>
          </cell>
          <cell r="K949" t="str">
            <v>42-2988</v>
          </cell>
          <cell r="L949" t="str">
            <v>42-05-02-01-0941</v>
          </cell>
          <cell r="M949" t="str">
            <v>Electrocardiografo marca Biocare Modelo ECG-101 S/Nº BJ021234F</v>
          </cell>
          <cell r="O949" t="str">
            <v>EQUIPOS CLINICOS</v>
          </cell>
          <cell r="P949">
            <v>60000</v>
          </cell>
          <cell r="T949" t="str">
            <v>Bueno</v>
          </cell>
          <cell r="U949" t="str">
            <v>Biocare</v>
          </cell>
        </row>
        <row r="950">
          <cell r="J950" t="str">
            <v>42-04-07-00-0942</v>
          </cell>
          <cell r="K950" t="str">
            <v>42-2973</v>
          </cell>
          <cell r="L950" t="str">
            <v>42-04-07-00-0942</v>
          </cell>
          <cell r="M950" t="str">
            <v>Lámpara pedestal tallo flexible color blanco</v>
          </cell>
          <cell r="O950" t="str">
            <v>OTROS</v>
          </cell>
          <cell r="P950">
            <v>32130</v>
          </cell>
          <cell r="T950" t="str">
            <v>Bueno</v>
          </cell>
          <cell r="U950" t="str">
            <v>N/T</v>
          </cell>
        </row>
        <row r="951">
          <cell r="J951" t="str">
            <v>42-04-01-00-0943</v>
          </cell>
          <cell r="K951" t="str">
            <v>42-2442</v>
          </cell>
          <cell r="L951" t="str">
            <v>42-04-01-00-0943</v>
          </cell>
          <cell r="M951" t="str">
            <v>Mesa mixta 1 cajón barniz 100x50 cms.</v>
          </cell>
          <cell r="O951" t="str">
            <v>MESAS</v>
          </cell>
          <cell r="P951">
            <v>35441</v>
          </cell>
          <cell r="T951" t="str">
            <v>Bueno</v>
          </cell>
          <cell r="U951" t="str">
            <v>N/T</v>
          </cell>
        </row>
        <row r="952">
          <cell r="J952" t="str">
            <v>42-04-07-00-0944</v>
          </cell>
          <cell r="K952" t="str">
            <v>42-2977</v>
          </cell>
          <cell r="L952" t="str">
            <v>42-04-07-00-0944</v>
          </cell>
          <cell r="M952" t="str">
            <v>Loker metálico 2 puertas color plomo</v>
          </cell>
          <cell r="O952" t="str">
            <v>OTROS</v>
          </cell>
          <cell r="P952">
            <v>37500</v>
          </cell>
          <cell r="T952" t="str">
            <v>Bueno</v>
          </cell>
          <cell r="U952" t="str">
            <v>N/T</v>
          </cell>
        </row>
        <row r="953">
          <cell r="J953" t="str">
            <v>42-04-04-00-0945</v>
          </cell>
          <cell r="K953" t="str">
            <v>42-2980</v>
          </cell>
          <cell r="L953" t="str">
            <v>42-04-04-00-0945</v>
          </cell>
          <cell r="M953" t="str">
            <v>Mueble melamina blanco cubierta postformado con 2 lavamanos acero  inoxidable, 2 llaves de combinación, 8 puertas, 12 cajones 443x60x97 cms.</v>
          </cell>
          <cell r="O953" t="str">
            <v>MUEBLES DE COCINA</v>
          </cell>
          <cell r="P953">
            <v>35000</v>
          </cell>
          <cell r="T953" t="str">
            <v>Bueno</v>
          </cell>
          <cell r="U953" t="str">
            <v>N/T</v>
          </cell>
        </row>
        <row r="954">
          <cell r="J954" t="str">
            <v>42-04-06-00-0946</v>
          </cell>
          <cell r="K954" t="str">
            <v>42-2981</v>
          </cell>
          <cell r="L954" t="str">
            <v>42-04-06-00-0946</v>
          </cell>
          <cell r="M954" t="str">
            <v>Mueble melamina blanco adosado pared con 10 puertas 443x31x60 cms.</v>
          </cell>
          <cell r="O954" t="str">
            <v>REPISA</v>
          </cell>
          <cell r="P954">
            <v>35000</v>
          </cell>
          <cell r="T954" t="str">
            <v>Bueno</v>
          </cell>
          <cell r="U954" t="str">
            <v>N/T</v>
          </cell>
        </row>
        <row r="955">
          <cell r="J955" t="str">
            <v>42-04-07-00-0947</v>
          </cell>
          <cell r="K955" t="str">
            <v>42-2590</v>
          </cell>
          <cell r="L955" t="str">
            <v>42-04-07-00-0947</v>
          </cell>
          <cell r="M955" t="str">
            <v>Percha madera con 3 ganchos 73  cms.</v>
          </cell>
          <cell r="O955" t="str">
            <v>OTROS</v>
          </cell>
          <cell r="P955">
            <v>30000</v>
          </cell>
          <cell r="T955" t="str">
            <v>Bueno</v>
          </cell>
          <cell r="U955" t="str">
            <v>N/T</v>
          </cell>
        </row>
        <row r="956">
          <cell r="J956" t="str">
            <v>42-04-02-00-0948</v>
          </cell>
          <cell r="K956" t="str">
            <v>42-2010</v>
          </cell>
          <cell r="L956" t="str">
            <v>42-04-02-00-0948</v>
          </cell>
          <cell r="M956" t="str">
            <v>Silla Ergonometrica color azul, 5 ruedas ( MEL )</v>
          </cell>
          <cell r="O956" t="str">
            <v>SILLAS</v>
          </cell>
          <cell r="P956">
            <v>42500</v>
          </cell>
          <cell r="T956" t="str">
            <v>Bueno</v>
          </cell>
          <cell r="U956" t="str">
            <v>N/T</v>
          </cell>
        </row>
        <row r="957">
          <cell r="J957" t="str">
            <v>42-05-02-01-0949</v>
          </cell>
          <cell r="K957" t="str">
            <v>42-669</v>
          </cell>
          <cell r="L957" t="str">
            <v>42-05-02-01-0949</v>
          </cell>
          <cell r="M957" t="str">
            <v>Escabel mixto 2 peldaños, negro</v>
          </cell>
          <cell r="O957" t="str">
            <v>EQUIPOS CLINICOS</v>
          </cell>
          <cell r="P957">
            <v>17850</v>
          </cell>
          <cell r="T957" t="str">
            <v>Bueno</v>
          </cell>
          <cell r="U957" t="str">
            <v>N/T</v>
          </cell>
        </row>
        <row r="958">
          <cell r="J958" t="str">
            <v>42-05-02-01-0950</v>
          </cell>
          <cell r="K958" t="str">
            <v>42-2971</v>
          </cell>
          <cell r="L958" t="str">
            <v>42-05-02-01-0950</v>
          </cell>
          <cell r="M958" t="str">
            <v>Escabel mixto 2 peldaños plomo/negro</v>
          </cell>
          <cell r="O958" t="str">
            <v>EQUIPOS CLINICOS</v>
          </cell>
          <cell r="P958">
            <v>17850</v>
          </cell>
          <cell r="T958" t="str">
            <v>Bueno</v>
          </cell>
          <cell r="U958" t="str">
            <v>N/T</v>
          </cell>
        </row>
        <row r="959">
          <cell r="J959" t="str">
            <v>42-05-02-05-0951</v>
          </cell>
          <cell r="K959" t="str">
            <v>42-110</v>
          </cell>
          <cell r="L959" t="str">
            <v>42-05-02-05-0951</v>
          </cell>
          <cell r="M959" t="str">
            <v>Extintor Dioxido de Carbono 4 Kgs.</v>
          </cell>
          <cell r="O959" t="str">
            <v>EQUIPOS DE SEGURIDAD</v>
          </cell>
          <cell r="P959">
            <v>25000</v>
          </cell>
          <cell r="T959" t="str">
            <v>Bueno</v>
          </cell>
          <cell r="U959" t="str">
            <v>N/T</v>
          </cell>
        </row>
        <row r="960">
          <cell r="J960" t="str">
            <v>42-04-07-00-0952</v>
          </cell>
          <cell r="K960" t="str">
            <v>42-2985</v>
          </cell>
          <cell r="L960" t="str">
            <v>42-04-07-00-0952</v>
          </cell>
          <cell r="M960" t="str">
            <v>Dispensador de jabón</v>
          </cell>
          <cell r="O960" t="str">
            <v>OTROS</v>
          </cell>
          <cell r="P960">
            <v>17000</v>
          </cell>
          <cell r="T960" t="str">
            <v>Bueno</v>
          </cell>
          <cell r="U960" t="str">
            <v>N/T</v>
          </cell>
        </row>
        <row r="961">
          <cell r="J961" t="str">
            <v>42-04-07-00-0953</v>
          </cell>
          <cell r="K961" t="str">
            <v>42-3264</v>
          </cell>
          <cell r="L961" t="str">
            <v>42-04-07-00-0953</v>
          </cell>
          <cell r="M961" t="str">
            <v>Dispensador de jabón marca Johnson</v>
          </cell>
          <cell r="O961" t="str">
            <v>OTROS</v>
          </cell>
          <cell r="P961">
            <v>17000</v>
          </cell>
          <cell r="T961" t="str">
            <v>Bueno</v>
          </cell>
          <cell r="U961" t="str">
            <v>N/T</v>
          </cell>
        </row>
        <row r="962">
          <cell r="J962" t="str">
            <v>42-05-01-01-0954</v>
          </cell>
          <cell r="K962" t="str">
            <v>42-3459</v>
          </cell>
          <cell r="L962" t="str">
            <v>42-05-01-01-0954</v>
          </cell>
          <cell r="M962" t="str">
            <v>Citófono/ teléfono marca Nortel Network, Modelo 7000</v>
          </cell>
          <cell r="O962" t="str">
            <v>EQUIPO DE OFICINA</v>
          </cell>
          <cell r="P962">
            <v>36000</v>
          </cell>
          <cell r="T962" t="str">
            <v>Bueno</v>
          </cell>
          <cell r="U962" t="str">
            <v>Nortel Network</v>
          </cell>
        </row>
        <row r="963">
          <cell r="J963" t="str">
            <v>42-04-01-00-0955</v>
          </cell>
          <cell r="K963" t="str">
            <v>42-2978</v>
          </cell>
          <cell r="L963" t="str">
            <v>42-04-01-00-0955</v>
          </cell>
          <cell r="M963" t="str">
            <v>Mesa/Bandeja acceso lateral, ac./ inox. con pedestal metálico 4 ruedas</v>
          </cell>
          <cell r="O963" t="str">
            <v>MESAS</v>
          </cell>
          <cell r="P963">
            <v>35152</v>
          </cell>
          <cell r="T963" t="str">
            <v>Bueno</v>
          </cell>
          <cell r="U963" t="str">
            <v>N/T</v>
          </cell>
        </row>
        <row r="964">
          <cell r="J964" t="str">
            <v>42-05-02-01-0956</v>
          </cell>
          <cell r="K964" t="str">
            <v>42-1037</v>
          </cell>
          <cell r="L964" t="str">
            <v>42-05-02-01-0956</v>
          </cell>
          <cell r="M964" t="str">
            <v>Camilla metálica fija blanca de 181x61 cms. con colchoneta de tevinil café</v>
          </cell>
          <cell r="O964" t="str">
            <v>EQUIPOS CLINICOS</v>
          </cell>
          <cell r="P964">
            <v>86545</v>
          </cell>
          <cell r="T964" t="str">
            <v>Bueno</v>
          </cell>
          <cell r="U964" t="str">
            <v>N/T</v>
          </cell>
        </row>
        <row r="965">
          <cell r="J965" t="str">
            <v>42-05-02-01-0957</v>
          </cell>
          <cell r="K965" t="str">
            <v>42-2972</v>
          </cell>
          <cell r="L965" t="str">
            <v>42-05-02-01-0957</v>
          </cell>
          <cell r="M965" t="str">
            <v>Camilla base metálica, cabecera regulable en altura con tevinil color plomo</v>
          </cell>
          <cell r="O965" t="str">
            <v>EQUIPOS CLINICOS</v>
          </cell>
          <cell r="P965">
            <v>86545</v>
          </cell>
          <cell r="T965" t="str">
            <v>Bueno</v>
          </cell>
          <cell r="U965" t="str">
            <v>N/T</v>
          </cell>
        </row>
        <row r="966">
          <cell r="J966" t="str">
            <v>42-05-02-01-0958</v>
          </cell>
          <cell r="K966" t="str">
            <v>42-2975</v>
          </cell>
          <cell r="L966" t="str">
            <v>42-05-02-01-0958</v>
          </cell>
          <cell r="M966" t="str">
            <v>Carro de curaciones, ac./ inoxidable, 4 ruedas, 2 bandejas 57x41x82 cms.</v>
          </cell>
          <cell r="O966" t="str">
            <v>EQUIPOS CLINICOS</v>
          </cell>
          <cell r="P966">
            <v>58952</v>
          </cell>
          <cell r="T966" t="str">
            <v>Bueno</v>
          </cell>
          <cell r="U966" t="str">
            <v>N/T</v>
          </cell>
        </row>
        <row r="967">
          <cell r="J967" t="str">
            <v>42-05-02-01-0959</v>
          </cell>
          <cell r="K967" t="str">
            <v>42-2976</v>
          </cell>
          <cell r="L967" t="str">
            <v>42-05-02-01-0959</v>
          </cell>
          <cell r="M967" t="str">
            <v>Carro porta oxígeno metálico con cilindro oxigeno 0,9 mts3 , con manometro y humidificador Nº carro 071089109</v>
          </cell>
          <cell r="O967" t="str">
            <v>EQUIPOS CLINICOS</v>
          </cell>
          <cell r="P967">
            <v>58952</v>
          </cell>
          <cell r="T967" t="str">
            <v>Bueno</v>
          </cell>
          <cell r="U967" t="str">
            <v>N/T</v>
          </cell>
        </row>
        <row r="968">
          <cell r="J968" t="str">
            <v>42-05-02-02-0960</v>
          </cell>
          <cell r="K968" t="str">
            <v>42-2586</v>
          </cell>
          <cell r="L968" t="str">
            <v>42-05-02-02-0960</v>
          </cell>
          <cell r="M968" t="str">
            <v>Lavatorio acero inox. de 32 cms. de radio x 14,5 de fdo.</v>
          </cell>
          <cell r="O968" t="str">
            <v>EQUIPOS DE COCINA</v>
          </cell>
          <cell r="P968">
            <v>25000</v>
          </cell>
          <cell r="T968" t="str">
            <v>Bueno</v>
          </cell>
          <cell r="U968" t="str">
            <v>N/T</v>
          </cell>
        </row>
        <row r="969">
          <cell r="J969" t="str">
            <v>42-04-07-00-0961</v>
          </cell>
          <cell r="K969" t="str">
            <v>42-2974</v>
          </cell>
          <cell r="L969" t="str">
            <v>42-04-07-00-0961</v>
          </cell>
          <cell r="M969" t="str">
            <v>Piso metálico con 4 ruedas tevinil color plomo</v>
          </cell>
          <cell r="O969" t="str">
            <v>OTROS</v>
          </cell>
          <cell r="P969">
            <v>25490</v>
          </cell>
          <cell r="T969" t="str">
            <v>Bueno</v>
          </cell>
          <cell r="U969" t="str">
            <v>N/T</v>
          </cell>
        </row>
        <row r="970">
          <cell r="J970" t="str">
            <v>42-05-02-01-0962</v>
          </cell>
          <cell r="K970" t="str">
            <v>42-2986</v>
          </cell>
          <cell r="L970" t="str">
            <v>42-05-02-01-0962</v>
          </cell>
          <cell r="M970" t="str">
            <v>Tambor acero inoxidable con tapa 17,5x13 cms. diametro</v>
          </cell>
          <cell r="N970">
            <v>1</v>
          </cell>
          <cell r="O970" t="str">
            <v>EQUIPOS CLINICOS</v>
          </cell>
          <cell r="P970">
            <v>30000</v>
          </cell>
          <cell r="T970" t="str">
            <v>Bueno</v>
          </cell>
          <cell r="U970" t="str">
            <v>N/T</v>
          </cell>
        </row>
        <row r="971">
          <cell r="J971" t="str">
            <v>42-05-02-01-0963</v>
          </cell>
          <cell r="K971" t="str">
            <v>42-2987</v>
          </cell>
          <cell r="L971" t="str">
            <v>42-05-02-01-0963</v>
          </cell>
          <cell r="M971" t="str">
            <v>Tambor acero inoxidable con tapa 17,5x13 cms. diametro</v>
          </cell>
          <cell r="N971">
            <v>1</v>
          </cell>
          <cell r="O971" t="str">
            <v>EQUIPOS CLINICOS</v>
          </cell>
          <cell r="P971">
            <v>30000</v>
          </cell>
          <cell r="T971" t="str">
            <v>Bueno</v>
          </cell>
          <cell r="U971" t="str">
            <v>N/T</v>
          </cell>
        </row>
        <row r="972">
          <cell r="J972" t="str">
            <v>42-05-02-01-0964</v>
          </cell>
          <cell r="K972" t="str">
            <v>42-3527</v>
          </cell>
          <cell r="L972" t="str">
            <v>42-05-02-01-0964</v>
          </cell>
          <cell r="M972" t="str">
            <v>Electrocardiógrafo</v>
          </cell>
          <cell r="O972" t="str">
            <v>EQUIPOS CLINICOS</v>
          </cell>
          <cell r="P972">
            <v>1190000</v>
          </cell>
          <cell r="T972" t="str">
            <v>Bueno</v>
          </cell>
          <cell r="U972" t="str">
            <v>Spacelabs Healthcare</v>
          </cell>
        </row>
        <row r="973">
          <cell r="J973" t="str">
            <v>42-05-01-01-0965</v>
          </cell>
          <cell r="K973" t="str">
            <v>42-2479</v>
          </cell>
          <cell r="L973" t="str">
            <v>42-05-01-01-0965</v>
          </cell>
          <cell r="M973" t="str">
            <v>Radio CD marca RCA Mod. RCD 002</v>
          </cell>
          <cell r="O973" t="str">
            <v>EQUIPO DE OFICINA</v>
          </cell>
          <cell r="P973">
            <v>53710</v>
          </cell>
          <cell r="T973" t="str">
            <v>Bueno</v>
          </cell>
          <cell r="U973" t="str">
            <v>Rcd</v>
          </cell>
        </row>
        <row r="974">
          <cell r="J974" t="str">
            <v>42-05-01-01-0966</v>
          </cell>
          <cell r="K974" t="str">
            <v>42-2161</v>
          </cell>
          <cell r="L974" t="str">
            <v>42-05-01-01-0966</v>
          </cell>
          <cell r="M974" t="str">
            <v>Reloj crono termostato HP 510</v>
          </cell>
          <cell r="O974" t="str">
            <v>EQUIPO DE OFICINA</v>
          </cell>
          <cell r="P974">
            <v>30000</v>
          </cell>
          <cell r="T974" t="str">
            <v>Bueno</v>
          </cell>
          <cell r="U974" t="str">
            <v>Hp 510</v>
          </cell>
        </row>
        <row r="975">
          <cell r="J975" t="str">
            <v>42-05-02-01-0967</v>
          </cell>
          <cell r="K975" t="str">
            <v>42-2470</v>
          </cell>
          <cell r="L975" t="str">
            <v>42-05-02-01-0967</v>
          </cell>
          <cell r="M975" t="str">
            <v>Esfingomanometro con pedestal 5 ruedas marca Trimline</v>
          </cell>
          <cell r="O975" t="str">
            <v>EQUIPOS CLINICOS</v>
          </cell>
          <cell r="P975">
            <v>70000</v>
          </cell>
          <cell r="T975" t="str">
            <v>Bueno</v>
          </cell>
          <cell r="U975" t="str">
            <v>Trimline</v>
          </cell>
        </row>
        <row r="976">
          <cell r="J976" t="str">
            <v>42-04-03-00-0968</v>
          </cell>
          <cell r="K976" t="str">
            <v>42-3352</v>
          </cell>
          <cell r="L976" t="str">
            <v>42-04-03-00-0968</v>
          </cell>
          <cell r="M976" t="str">
            <v>Escritorio computación masisa enchapada euccaliptus, 3 cajones 130x70x73 cms.</v>
          </cell>
          <cell r="O976" t="str">
            <v>ESCRITORIOS</v>
          </cell>
          <cell r="P976">
            <v>83300</v>
          </cell>
          <cell r="T976" t="str">
            <v>Bueno</v>
          </cell>
          <cell r="U976" t="str">
            <v>N/T</v>
          </cell>
        </row>
        <row r="977">
          <cell r="J977" t="str">
            <v>42-04-06-00-0969</v>
          </cell>
          <cell r="K977" t="str">
            <v>42-2163</v>
          </cell>
          <cell r="L977" t="str">
            <v>42-04-06-00-0969</v>
          </cell>
          <cell r="M977" t="str">
            <v xml:space="preserve">Mueble melamina blanco adherido a la pared con 5 puertas, 2 cajones, </v>
          </cell>
          <cell r="O977" t="str">
            <v>REPISA</v>
          </cell>
          <cell r="P977">
            <v>95000</v>
          </cell>
          <cell r="T977" t="str">
            <v>Bueno</v>
          </cell>
          <cell r="U977" t="str">
            <v>N/T</v>
          </cell>
        </row>
        <row r="978">
          <cell r="J978" t="str">
            <v>42-04-05-00-0970</v>
          </cell>
          <cell r="K978" t="str">
            <v>42-3353</v>
          </cell>
          <cell r="L978" t="str">
            <v>42-04-05-00-0970</v>
          </cell>
          <cell r="M978" t="str">
            <v>Kardex masisa con melamina color cerezo, 3 cajones 48x60x91 cms.</v>
          </cell>
          <cell r="O978" t="str">
            <v>KARDEX</v>
          </cell>
          <cell r="P978">
            <v>149671</v>
          </cell>
          <cell r="T978" t="str">
            <v>Bueno</v>
          </cell>
          <cell r="U978" t="str">
            <v>N/T</v>
          </cell>
        </row>
        <row r="979">
          <cell r="J979" t="str">
            <v>42-04-05-00-0971</v>
          </cell>
          <cell r="K979" t="str">
            <v>42-3354</v>
          </cell>
          <cell r="L979" t="str">
            <v>42-04-05-00-0971</v>
          </cell>
          <cell r="M979" t="str">
            <v>Kardex metálico 4 cajones color plomo 46x71x134 cms</v>
          </cell>
          <cell r="O979" t="str">
            <v>KARDEX</v>
          </cell>
          <cell r="P979">
            <v>150</v>
          </cell>
          <cell r="T979" t="str">
            <v>Bueno</v>
          </cell>
          <cell r="U979" t="str">
            <v>N/T</v>
          </cell>
        </row>
        <row r="980">
          <cell r="J980" t="str">
            <v>42-04-05-00-0972</v>
          </cell>
          <cell r="K980" t="str">
            <v>42-346</v>
          </cell>
          <cell r="L980" t="str">
            <v>42-04-05-00-0972</v>
          </cell>
          <cell r="M980" t="str">
            <v>Kardex metálico marca Mademsa 4 gavetas</v>
          </cell>
          <cell r="O980" t="str">
            <v>KARDEX</v>
          </cell>
          <cell r="P980">
            <v>150000</v>
          </cell>
          <cell r="T980" t="str">
            <v>Bueno</v>
          </cell>
          <cell r="U980" t="str">
            <v>N/T</v>
          </cell>
        </row>
        <row r="981">
          <cell r="J981" t="str">
            <v>42-04-02-00-0973</v>
          </cell>
          <cell r="K981" t="str">
            <v>42-2699 B</v>
          </cell>
          <cell r="L981" t="str">
            <v>42-04-02-00-0973</v>
          </cell>
          <cell r="M981" t="str">
            <v>Silla giratoria regulable con piston de aire color azul</v>
          </cell>
          <cell r="O981" t="str">
            <v>SILLAS</v>
          </cell>
          <cell r="P981">
            <v>42500</v>
          </cell>
          <cell r="T981" t="str">
            <v>Bueno</v>
          </cell>
          <cell r="U981" t="str">
            <v>N/T</v>
          </cell>
        </row>
        <row r="982">
          <cell r="J982" t="str">
            <v>42-04-07-00-0974</v>
          </cell>
          <cell r="K982" t="str">
            <v>42-2417</v>
          </cell>
          <cell r="L982" t="str">
            <v>42-04-07-00-0974</v>
          </cell>
          <cell r="M982" t="str">
            <v>Mural marco de madera con género color azul de 100x52 cms.</v>
          </cell>
          <cell r="O982" t="str">
            <v>OTROS</v>
          </cell>
          <cell r="P982">
            <v>129350</v>
          </cell>
          <cell r="T982" t="str">
            <v>Bueno</v>
          </cell>
          <cell r="U982" t="str">
            <v>N/T</v>
          </cell>
        </row>
        <row r="983">
          <cell r="J983" t="str">
            <v>42-05-02-01-0975</v>
          </cell>
          <cell r="K983" t="str">
            <v>42-3490</v>
          </cell>
          <cell r="L983" t="str">
            <v>42-05-02-01-0975</v>
          </cell>
          <cell r="M983" t="str">
            <v>Esfignemanometro mastermed color azul ref. 70280 S/N 39154</v>
          </cell>
          <cell r="O983" t="str">
            <v>EQUIPOS CLINICOS</v>
          </cell>
          <cell r="P983">
            <v>130000</v>
          </cell>
          <cell r="T983" t="str">
            <v>Bueno</v>
          </cell>
          <cell r="U983" t="str">
            <v>N/T</v>
          </cell>
        </row>
        <row r="984">
          <cell r="J984" t="str">
            <v>42-05-02-01-0976</v>
          </cell>
          <cell r="K984" t="str">
            <v>42-266</v>
          </cell>
          <cell r="L984" t="str">
            <v>42-05-02-01-0976</v>
          </cell>
          <cell r="M984" t="str">
            <v>Balanza para adulto capacidad 140 Kg marca  Detecto</v>
          </cell>
          <cell r="O984" t="str">
            <v>EQUIPOS CLINICOS</v>
          </cell>
          <cell r="P984">
            <v>165648</v>
          </cell>
          <cell r="T984" t="str">
            <v>Bueno</v>
          </cell>
          <cell r="U984" t="str">
            <v>N/T</v>
          </cell>
        </row>
        <row r="985">
          <cell r="J985" t="str">
            <v>42-05-02-01-0977</v>
          </cell>
          <cell r="K985" t="str">
            <v>42-3403</v>
          </cell>
          <cell r="L985" t="str">
            <v>42-05-02-01-0977</v>
          </cell>
          <cell r="M985" t="str">
            <v>Pesa pediatrica marca seca cap. 16 kgs. Mod 725 1021009 S/N 2725254092388</v>
          </cell>
          <cell r="O985" t="str">
            <v>EQUIPOS CLINICOS</v>
          </cell>
          <cell r="P985">
            <v>169546</v>
          </cell>
          <cell r="T985" t="str">
            <v>Bueno</v>
          </cell>
          <cell r="U985" t="str">
            <v>N/T</v>
          </cell>
        </row>
        <row r="986">
          <cell r="J986" t="str">
            <v>42-05-01-01-0978</v>
          </cell>
          <cell r="K986" t="str">
            <v>42-1973</v>
          </cell>
          <cell r="L986" t="str">
            <v>42-05-01-01-0978</v>
          </cell>
          <cell r="M986" t="str">
            <v>Citófono/ teléfono marca Nortel Network, Modelo 7000</v>
          </cell>
          <cell r="O986" t="str">
            <v>EQUIPO DE OFICINA</v>
          </cell>
          <cell r="P986">
            <v>36000</v>
          </cell>
          <cell r="T986" t="str">
            <v>Bueno</v>
          </cell>
          <cell r="U986" t="str">
            <v>Nortel Network</v>
          </cell>
        </row>
        <row r="987">
          <cell r="J987" t="str">
            <v>42-03-00-00-0979</v>
          </cell>
          <cell r="K987" t="str">
            <v>42-1875</v>
          </cell>
          <cell r="L987" t="str">
            <v>42-03-00-00-0979</v>
          </cell>
          <cell r="M987" t="str">
            <v>Furgon marca Hyundai H-1 año 2010, Motor Dabha001745 Patente CR-KZ 73</v>
          </cell>
          <cell r="O987" t="str">
            <v>VEHICULOS</v>
          </cell>
          <cell r="P987">
            <v>11500000</v>
          </cell>
          <cell r="T987" t="str">
            <v>Bueno</v>
          </cell>
          <cell r="U987" t="str">
            <v>Hyndai</v>
          </cell>
        </row>
        <row r="988">
          <cell r="J988" t="str">
            <v>42-03-02-00-0980</v>
          </cell>
          <cell r="K988" t="str">
            <v>42-1876</v>
          </cell>
          <cell r="L988" t="str">
            <v>42-03-02-00-0980</v>
          </cell>
          <cell r="M988" t="str">
            <v>Radio  Motorola  Modelo  Pro  5100</v>
          </cell>
          <cell r="O988" t="str">
            <v>EQUIPOS DE VEHICULO</v>
          </cell>
          <cell r="P988">
            <v>302606</v>
          </cell>
          <cell r="T988" t="str">
            <v>Bueno</v>
          </cell>
          <cell r="U988" t="str">
            <v>Motorola</v>
          </cell>
        </row>
        <row r="989">
          <cell r="J989" t="str">
            <v>42-05-02-05-0981</v>
          </cell>
          <cell r="K989" t="str">
            <v>42-3502</v>
          </cell>
          <cell r="L989" t="str">
            <v>42-05-02-05-0981</v>
          </cell>
          <cell r="M989" t="str">
            <v>Extintor incendio tipo ABC 1 kgs.</v>
          </cell>
          <cell r="O989" t="str">
            <v>EQUIPOS DE SEGURIDAD</v>
          </cell>
          <cell r="P989">
            <v>25000</v>
          </cell>
          <cell r="T989" t="str">
            <v>Bueno</v>
          </cell>
          <cell r="U989" t="str">
            <v>N/T</v>
          </cell>
        </row>
        <row r="990">
          <cell r="J990" t="str">
            <v>42-05-02-01-0982</v>
          </cell>
          <cell r="K990" t="str">
            <v>42-2763</v>
          </cell>
          <cell r="L990" t="str">
            <v>42-05-02-01-0982</v>
          </cell>
          <cell r="M990" t="str">
            <v>Esfingomanómetro digital marca Microlife Mod. BP3BT0-H S/N° 37600427</v>
          </cell>
          <cell r="O990" t="str">
            <v>EQUIPOS CLINICOS</v>
          </cell>
          <cell r="P990">
            <v>49000</v>
          </cell>
          <cell r="T990" t="str">
            <v>Bueno</v>
          </cell>
          <cell r="U990" t="str">
            <v>Microlife</v>
          </cell>
        </row>
        <row r="991">
          <cell r="J991" t="str">
            <v>42-05-02-01-0983</v>
          </cell>
          <cell r="K991" t="str">
            <v>42-2764</v>
          </cell>
          <cell r="L991" t="str">
            <v>42-05-02-01-0983</v>
          </cell>
          <cell r="M991" t="str">
            <v>Esfingomanómetro digital marca Microlife Mod. BP3BT0-H S/N° 37600051</v>
          </cell>
          <cell r="O991" t="str">
            <v>EQUIPOS CLINICOS</v>
          </cell>
          <cell r="P991">
            <v>49000</v>
          </cell>
          <cell r="T991" t="str">
            <v>Bueno</v>
          </cell>
          <cell r="U991" t="str">
            <v>Microlife</v>
          </cell>
        </row>
        <row r="992">
          <cell r="J992" t="str">
            <v>42-05-02-01-0984</v>
          </cell>
          <cell r="K992" t="str">
            <v>42-2760</v>
          </cell>
          <cell r="L992" t="str">
            <v>42-05-02-01-0984</v>
          </cell>
          <cell r="M992" t="str">
            <v>Flujómetros marca Mini Wright</v>
          </cell>
          <cell r="O992" t="str">
            <v>EQUIPOS CLINICOS</v>
          </cell>
          <cell r="P992">
            <v>30000</v>
          </cell>
          <cell r="T992" t="str">
            <v>Bueno</v>
          </cell>
          <cell r="U992" t="str">
            <v>Mini wright</v>
          </cell>
        </row>
        <row r="993">
          <cell r="J993" t="str">
            <v>42-05-02-01-0985</v>
          </cell>
          <cell r="K993" t="str">
            <v>42-2761</v>
          </cell>
          <cell r="L993" t="str">
            <v>42-05-02-01-0985</v>
          </cell>
          <cell r="M993" t="str">
            <v>Flujómetros marca Mini Wright</v>
          </cell>
          <cell r="O993" t="str">
            <v>EQUIPOS CLINICOS</v>
          </cell>
          <cell r="P993">
            <v>30000</v>
          </cell>
          <cell r="T993" t="str">
            <v>Bueno</v>
          </cell>
          <cell r="U993" t="str">
            <v>Mini wright</v>
          </cell>
        </row>
        <row r="994">
          <cell r="J994" t="str">
            <v>42-05-02-01-0986</v>
          </cell>
          <cell r="K994" t="str">
            <v>42-2941</v>
          </cell>
          <cell r="L994" t="str">
            <v>42-05-02-01-0986</v>
          </cell>
          <cell r="M994" t="str">
            <v>Flujómetros marca Mini Wright</v>
          </cell>
          <cell r="O994" t="str">
            <v>EQUIPOS CLINICOS</v>
          </cell>
          <cell r="P994">
            <v>30000</v>
          </cell>
          <cell r="T994" t="str">
            <v>Bueno</v>
          </cell>
          <cell r="U994" t="str">
            <v>Mini wright</v>
          </cell>
        </row>
        <row r="995">
          <cell r="J995" t="str">
            <v>42-05-02-01-0987</v>
          </cell>
          <cell r="K995" t="str">
            <v>42-2942</v>
          </cell>
          <cell r="L995" t="str">
            <v>42-05-02-01-0987</v>
          </cell>
          <cell r="M995" t="str">
            <v>Flujómetros marca Mini Wright</v>
          </cell>
          <cell r="O995" t="str">
            <v>EQUIPOS CLINICOS</v>
          </cell>
          <cell r="P995">
            <v>30000</v>
          </cell>
          <cell r="T995" t="str">
            <v>Bueno</v>
          </cell>
          <cell r="U995" t="str">
            <v>Mini wright</v>
          </cell>
        </row>
        <row r="996">
          <cell r="J996" t="str">
            <v>42-05-02-01-0988</v>
          </cell>
          <cell r="K996" t="str">
            <v>42-2943</v>
          </cell>
          <cell r="L996" t="str">
            <v>42-05-02-01-0988</v>
          </cell>
          <cell r="M996" t="str">
            <v>Flujómetros marca Mini Wright</v>
          </cell>
          <cell r="O996" t="str">
            <v>EQUIPOS CLINICOS</v>
          </cell>
          <cell r="P996">
            <v>30000</v>
          </cell>
          <cell r="T996" t="str">
            <v>Bueno</v>
          </cell>
          <cell r="U996" t="str">
            <v>Mini wright</v>
          </cell>
        </row>
        <row r="997">
          <cell r="J997" t="str">
            <v>42-05-02-01-0989</v>
          </cell>
          <cell r="K997" t="str">
            <v>42-3267</v>
          </cell>
          <cell r="L997" t="str">
            <v>42-05-02-01-0989</v>
          </cell>
          <cell r="M997" t="str">
            <v>Flujómetro Baxter Mod. The peak</v>
          </cell>
          <cell r="O997" t="str">
            <v>EQUIPOS CLINICOS</v>
          </cell>
          <cell r="P997">
            <v>30000</v>
          </cell>
          <cell r="T997" t="str">
            <v>Bueno</v>
          </cell>
          <cell r="U997" t="str">
            <v>Baxter</v>
          </cell>
        </row>
        <row r="998">
          <cell r="J998" t="str">
            <v>42-05-02-01-0990</v>
          </cell>
          <cell r="K998" t="str">
            <v>42-2319</v>
          </cell>
          <cell r="L998" t="str">
            <v>42-05-02-01-0990</v>
          </cell>
          <cell r="M998" t="str">
            <v>Oximetro de pulso portatil marca Ohmeda Tuffsat modelo 6051-0000-160 S/Nº FCB06230093SA</v>
          </cell>
          <cell r="O998" t="str">
            <v>EQUIPOS CLINICOS</v>
          </cell>
          <cell r="P998">
            <v>189567</v>
          </cell>
          <cell r="T998" t="str">
            <v>Bueno</v>
          </cell>
          <cell r="U998" t="str">
            <v>Ohmeda</v>
          </cell>
        </row>
        <row r="999">
          <cell r="J999" t="str">
            <v>42-05-02-01-0991</v>
          </cell>
          <cell r="K999" t="str">
            <v>42-2887</v>
          </cell>
          <cell r="L999" t="str">
            <v>42-05-02-01-0991</v>
          </cell>
          <cell r="M999" t="str">
            <v>Pimometro marca Smiths</v>
          </cell>
          <cell r="O999" t="str">
            <v>EQUIPOS CLINICOS</v>
          </cell>
          <cell r="P999">
            <v>40000</v>
          </cell>
          <cell r="T999" t="str">
            <v>Bueno</v>
          </cell>
          <cell r="U999" t="str">
            <v>Smiths</v>
          </cell>
        </row>
        <row r="1000">
          <cell r="J1000" t="str">
            <v>42-05-02-01-0992</v>
          </cell>
          <cell r="K1000" t="str">
            <v>42-2765</v>
          </cell>
          <cell r="L1000" t="str">
            <v>42-05-02-01-0992</v>
          </cell>
          <cell r="M1000" t="str">
            <v>Pimometro marca Smiths</v>
          </cell>
          <cell r="O1000" t="str">
            <v>EQUIPOS CLINICOS</v>
          </cell>
          <cell r="P1000">
            <v>40000</v>
          </cell>
          <cell r="T1000" t="str">
            <v>Bueno</v>
          </cell>
          <cell r="U1000" t="str">
            <v>Smiths</v>
          </cell>
        </row>
        <row r="1001">
          <cell r="J1001" t="str">
            <v>42-05-02-01-0993</v>
          </cell>
          <cell r="K1001" t="str">
            <v>42-3266</v>
          </cell>
          <cell r="L1001" t="str">
            <v>42-05-02-01-0993</v>
          </cell>
          <cell r="M1001" t="str">
            <v>Espirómetro marca Microlab S/Nº 45377</v>
          </cell>
          <cell r="O1001" t="str">
            <v>EQUIPOS CLINICOS</v>
          </cell>
          <cell r="P1001">
            <v>55000</v>
          </cell>
          <cell r="T1001" t="str">
            <v>Bueno</v>
          </cell>
          <cell r="U1001" t="str">
            <v>Microlab</v>
          </cell>
        </row>
        <row r="1002">
          <cell r="J1002" t="str">
            <v>42-05-02-01-0994</v>
          </cell>
          <cell r="K1002" t="str">
            <v>42-3293</v>
          </cell>
          <cell r="L1002" t="str">
            <v>42-05-02-01-0994</v>
          </cell>
          <cell r="M1002" t="str">
            <v>Manómetro de oxígeno marca Victor Medical con humidificador</v>
          </cell>
          <cell r="O1002" t="str">
            <v>EQUIPOS CLINICOS</v>
          </cell>
          <cell r="P1002">
            <v>40000</v>
          </cell>
          <cell r="T1002" t="str">
            <v>Bueno</v>
          </cell>
          <cell r="U1002" t="str">
            <v>Victor Medical</v>
          </cell>
        </row>
        <row r="1003">
          <cell r="J1003" t="str">
            <v>42-04-07-00-0995</v>
          </cell>
          <cell r="K1003" t="str">
            <v>42-2938</v>
          </cell>
          <cell r="L1003" t="str">
            <v>42-04-07-00-0995</v>
          </cell>
          <cell r="M1003" t="str">
            <v>Bergere Eco/Cuero regulable color negro</v>
          </cell>
          <cell r="O1003" t="str">
            <v>OTROS</v>
          </cell>
          <cell r="P1003">
            <v>50000</v>
          </cell>
          <cell r="T1003" t="str">
            <v>Bueno</v>
          </cell>
          <cell r="U1003" t="str">
            <v>N/T</v>
          </cell>
        </row>
        <row r="1004">
          <cell r="J1004" t="str">
            <v>42-04-03-00-0996</v>
          </cell>
          <cell r="K1004" t="str">
            <v>42-42</v>
          </cell>
          <cell r="L1004" t="str">
            <v>42-04-03-00-0996</v>
          </cell>
          <cell r="M1004" t="str">
            <v xml:space="preserve">Escritorio madera barniz natural 2 cajones 151x94x80 cms. </v>
          </cell>
          <cell r="O1004" t="str">
            <v>ESCRITORIOS</v>
          </cell>
          <cell r="P1004">
            <v>89000</v>
          </cell>
          <cell r="T1004" t="str">
            <v>Bueno</v>
          </cell>
          <cell r="U1004" t="str">
            <v>N/T</v>
          </cell>
        </row>
        <row r="1005">
          <cell r="J1005" t="str">
            <v>42-04-06-00-0997</v>
          </cell>
          <cell r="K1005" t="str">
            <v>42-214</v>
          </cell>
          <cell r="L1005" t="str">
            <v>42-04-06-00-0997</v>
          </cell>
          <cell r="M1005" t="str">
            <v>Mueble vitrina 4 repisas, 2 puertas 100x32x177 cms.</v>
          </cell>
          <cell r="O1005" t="str">
            <v>REPISA</v>
          </cell>
          <cell r="P1005">
            <v>145215</v>
          </cell>
          <cell r="T1005" t="str">
            <v>Bueno</v>
          </cell>
          <cell r="U1005" t="str">
            <v>N/T</v>
          </cell>
        </row>
        <row r="1006">
          <cell r="J1006" t="str">
            <v>42-04-07-00-0998</v>
          </cell>
          <cell r="K1006" t="str">
            <v>42-2367</v>
          </cell>
          <cell r="L1006" t="str">
            <v>42-04-07-00-0998</v>
          </cell>
          <cell r="M1006" t="str">
            <v>Velador madera con 1 puerta color blanco</v>
          </cell>
          <cell r="O1006" t="str">
            <v>OTROS</v>
          </cell>
          <cell r="P1006">
            <v>429895</v>
          </cell>
          <cell r="T1006" t="str">
            <v>Bueno</v>
          </cell>
          <cell r="U1006" t="str">
            <v>N/T</v>
          </cell>
        </row>
        <row r="1007">
          <cell r="J1007" t="str">
            <v>42-04-02-00-0999</v>
          </cell>
          <cell r="K1007" t="str">
            <v>42-914</v>
          </cell>
          <cell r="L1007" t="str">
            <v>42-04-02-00-0999</v>
          </cell>
          <cell r="M1007" t="str">
            <v>Silla mixta asiento y respaldo en formalita café claro</v>
          </cell>
          <cell r="O1007" t="str">
            <v>SILLAS</v>
          </cell>
          <cell r="P1007">
            <v>6902</v>
          </cell>
          <cell r="T1007" t="str">
            <v>Bueno</v>
          </cell>
          <cell r="U1007" t="str">
            <v>N/T</v>
          </cell>
        </row>
        <row r="1008">
          <cell r="J1008" t="str">
            <v>42-04-02-00-1000</v>
          </cell>
          <cell r="K1008" t="str">
            <v>42-2646</v>
          </cell>
          <cell r="L1008" t="str">
            <v>42-04-02-00-1000</v>
          </cell>
          <cell r="M1008" t="str">
            <v>Silla computación con apoya brazos 5 ruedas color burdeo</v>
          </cell>
          <cell r="O1008" t="str">
            <v>SILLAS</v>
          </cell>
          <cell r="P1008">
            <v>42500</v>
          </cell>
          <cell r="T1008" t="str">
            <v>Bueno</v>
          </cell>
          <cell r="U1008" t="str">
            <v>N/T</v>
          </cell>
        </row>
        <row r="1009">
          <cell r="J1009" t="str">
            <v>42-05-02-01-1001</v>
          </cell>
          <cell r="K1009" t="str">
            <v>42-2936</v>
          </cell>
          <cell r="L1009" t="str">
            <v>42-05-02-01-1001</v>
          </cell>
          <cell r="M1009" t="str">
            <v>Camilla base metálica cabecera regulable en altura color plomo</v>
          </cell>
          <cell r="O1009" t="str">
            <v>EQUIPOS CLINICOS</v>
          </cell>
          <cell r="P1009">
            <v>110500</v>
          </cell>
          <cell r="T1009" t="str">
            <v>Bueno</v>
          </cell>
          <cell r="U1009" t="str">
            <v>N/T</v>
          </cell>
        </row>
        <row r="1010">
          <cell r="J1010" t="str">
            <v>42-05-02-01-1002</v>
          </cell>
          <cell r="K1010" t="str">
            <v>42-2937</v>
          </cell>
          <cell r="L1010" t="str">
            <v>42-05-02-01-1002</v>
          </cell>
          <cell r="M1010" t="str">
            <v>Escabel mixto color plomo/negro</v>
          </cell>
          <cell r="O1010" t="str">
            <v>EQUIPOS CLINICOS</v>
          </cell>
          <cell r="P1010">
            <v>17850</v>
          </cell>
          <cell r="T1010" t="str">
            <v>Bueno</v>
          </cell>
          <cell r="U1010" t="str">
            <v>N/T</v>
          </cell>
        </row>
        <row r="1011">
          <cell r="J1011" t="str">
            <v>42-05-01-01-1003</v>
          </cell>
          <cell r="K1011" t="str">
            <v>42-3497</v>
          </cell>
          <cell r="L1011" t="str">
            <v>42-05-01-01-1003</v>
          </cell>
          <cell r="M1011" t="str">
            <v>Citófono/ teléfono marca Nortel Network, Modelo 7000</v>
          </cell>
          <cell r="O1011" t="str">
            <v>EQUIPO DE OFICINA</v>
          </cell>
          <cell r="P1011">
            <v>36000</v>
          </cell>
          <cell r="T1011" t="str">
            <v>Bueno</v>
          </cell>
          <cell r="U1011" t="str">
            <v>Nortel Network</v>
          </cell>
        </row>
        <row r="1012">
          <cell r="J1012" t="str">
            <v>42-05-02-01-1004</v>
          </cell>
          <cell r="K1012" t="str">
            <v>42-2318</v>
          </cell>
          <cell r="L1012" t="str">
            <v>42-05-02-01-1004</v>
          </cell>
          <cell r="M1012" t="str">
            <v>Flujómetros marca Mini Wright</v>
          </cell>
          <cell r="O1012" t="str">
            <v>EQUIPOS CLINICOS</v>
          </cell>
          <cell r="P1012">
            <v>30000</v>
          </cell>
          <cell r="T1012" t="str">
            <v>Bueno</v>
          </cell>
          <cell r="U1012" t="str">
            <v>Mini Wright</v>
          </cell>
        </row>
        <row r="1013">
          <cell r="J1013" t="str">
            <v>42-05-02-01-1005</v>
          </cell>
          <cell r="K1013" t="str">
            <v>42-2758</v>
          </cell>
          <cell r="L1013" t="str">
            <v>42-05-02-01-1005</v>
          </cell>
          <cell r="M1013" t="str">
            <v>Flujómetros marca Mini Wright</v>
          </cell>
          <cell r="O1013" t="str">
            <v>EQUIPOS CLINICOS</v>
          </cell>
          <cell r="P1013">
            <v>30000</v>
          </cell>
          <cell r="T1013" t="str">
            <v>Bueno</v>
          </cell>
          <cell r="U1013" t="str">
            <v>Mini Wright</v>
          </cell>
        </row>
        <row r="1014">
          <cell r="J1014" t="str">
            <v>42-05-02-01-1006</v>
          </cell>
          <cell r="K1014" t="str">
            <v>42-2762</v>
          </cell>
          <cell r="L1014" t="str">
            <v>42-05-02-01-1006</v>
          </cell>
          <cell r="M1014" t="str">
            <v>Oximetro de pulso portatil marca Ohmeda Tuffsat modelo 6051-0000-160 S/Nº FCB07170004SA</v>
          </cell>
          <cell r="O1014" t="str">
            <v>EQUIPOS CLINICOS</v>
          </cell>
          <cell r="P1014">
            <v>189567</v>
          </cell>
          <cell r="T1014" t="str">
            <v>Bueno</v>
          </cell>
          <cell r="U1014" t="str">
            <v>Ohmeda</v>
          </cell>
        </row>
        <row r="1015">
          <cell r="J1015" t="str">
            <v>42-05-02-01-1007</v>
          </cell>
          <cell r="K1015" t="str">
            <v>42-3396</v>
          </cell>
          <cell r="L1015" t="str">
            <v>42-05-02-01-1007</v>
          </cell>
          <cell r="M1015" t="str">
            <v>Manómetro con humidificador Indura Lifecare</v>
          </cell>
          <cell r="O1015" t="str">
            <v>EQUIPOS CLINICOS</v>
          </cell>
          <cell r="P1015">
            <v>40000</v>
          </cell>
          <cell r="T1015" t="str">
            <v>Bueno</v>
          </cell>
          <cell r="U1015" t="str">
            <v>N/T</v>
          </cell>
        </row>
        <row r="1016">
          <cell r="J1016" t="str">
            <v>42-05-02-01-1008</v>
          </cell>
          <cell r="K1016" t="str">
            <v>42-2934</v>
          </cell>
          <cell r="L1016" t="str">
            <v>42-05-02-01-1008</v>
          </cell>
          <cell r="M1016" t="str">
            <v>Cuna metálica color plomo</v>
          </cell>
          <cell r="O1016" t="str">
            <v>EQUIPOS CLINICOS</v>
          </cell>
          <cell r="P1016">
            <v>86456</v>
          </cell>
          <cell r="T1016" t="str">
            <v>Bueno</v>
          </cell>
          <cell r="U1016" t="str">
            <v>N/T</v>
          </cell>
        </row>
        <row r="1017">
          <cell r="J1017" t="str">
            <v>42-04-07-00-1009</v>
          </cell>
          <cell r="K1017" t="str">
            <v>42-2320</v>
          </cell>
          <cell r="L1017" t="str">
            <v>42-04-07-00-1009</v>
          </cell>
          <cell r="M1017" t="str">
            <v>Dispensador de jabón marca Johnson</v>
          </cell>
          <cell r="O1017" t="str">
            <v>OTROS</v>
          </cell>
          <cell r="P1017">
            <v>17000</v>
          </cell>
          <cell r="T1017" t="str">
            <v>Bueno</v>
          </cell>
          <cell r="U1017" t="str">
            <v>N/T</v>
          </cell>
        </row>
        <row r="1018">
          <cell r="J1018" t="str">
            <v>42-05-02-01-1010</v>
          </cell>
          <cell r="K1018" t="str">
            <v>42-2321</v>
          </cell>
          <cell r="L1018" t="str">
            <v>42-05-02-01-1010</v>
          </cell>
          <cell r="M1018" t="str">
            <v>Escabel mixto color plomo/negro</v>
          </cell>
          <cell r="O1018" t="str">
            <v>EQUIPOS CLINICOS</v>
          </cell>
          <cell r="P1018">
            <v>17500</v>
          </cell>
          <cell r="T1018" t="str">
            <v>Bueno</v>
          </cell>
          <cell r="U1018" t="str">
            <v>N/T</v>
          </cell>
        </row>
        <row r="1019">
          <cell r="J1019" t="str">
            <v>42-04-03-00-1011</v>
          </cell>
          <cell r="K1019" t="str">
            <v>42-2933</v>
          </cell>
          <cell r="L1019" t="str">
            <v>42-04-03-00-1011</v>
          </cell>
          <cell r="M1019" t="str">
            <v>Escritorio computación 1 bandeja, 1 cajón c/llave, 1 compartimento color cerezo 111x56x75 cms.</v>
          </cell>
          <cell r="O1019" t="str">
            <v>ESCRITORIOS</v>
          </cell>
          <cell r="P1019">
            <v>89000</v>
          </cell>
          <cell r="T1019" t="str">
            <v>Bueno</v>
          </cell>
          <cell r="U1019" t="str">
            <v>N/T</v>
          </cell>
        </row>
        <row r="1020">
          <cell r="J1020" t="str">
            <v>42-04-07-00-1012</v>
          </cell>
          <cell r="K1020" t="str">
            <v>42-2323</v>
          </cell>
          <cell r="L1020" t="str">
            <v>42-04-07-00-1012</v>
          </cell>
          <cell r="M1020" t="str">
            <v>Lavamanos con pedestal, 1 monomando</v>
          </cell>
          <cell r="O1020" t="str">
            <v>OTROS</v>
          </cell>
          <cell r="P1020">
            <v>178560</v>
          </cell>
          <cell r="T1020" t="str">
            <v>Bueno</v>
          </cell>
          <cell r="U1020" t="str">
            <v>N/T</v>
          </cell>
        </row>
        <row r="1021">
          <cell r="J1021" t="str">
            <v>42-04-06-00-1013</v>
          </cell>
          <cell r="K1021" t="str">
            <v>42-2324</v>
          </cell>
          <cell r="L1021" t="str">
            <v>42-04-06-00-1013</v>
          </cell>
          <cell r="M1021" t="str">
            <v>Mueble melamina blanca c/ ruedas, 1 cajón, 1 compartimento</v>
          </cell>
          <cell r="O1021" t="str">
            <v>REPISA</v>
          </cell>
          <cell r="P1021">
            <v>78595</v>
          </cell>
          <cell r="T1021" t="str">
            <v>Bueno</v>
          </cell>
          <cell r="U1021" t="str">
            <v>N/T</v>
          </cell>
        </row>
        <row r="1022">
          <cell r="J1022" t="str">
            <v>42-04-06-00-1014</v>
          </cell>
          <cell r="K1022" t="str">
            <v>42-2325</v>
          </cell>
          <cell r="L1022" t="str">
            <v>42-04-06-00-1014</v>
          </cell>
          <cell r="M1022" t="str">
            <v>Mueble melamina blanca, 2 puertas, 1 compartimento</v>
          </cell>
          <cell r="O1022" t="str">
            <v>REPISA</v>
          </cell>
          <cell r="P1022">
            <v>103545</v>
          </cell>
          <cell r="T1022" t="str">
            <v>Bueno</v>
          </cell>
          <cell r="U1022" t="str">
            <v>N/T</v>
          </cell>
        </row>
        <row r="1023">
          <cell r="J1023" t="str">
            <v>42-04-02-00-1015</v>
          </cell>
          <cell r="K1023" t="str">
            <v>42-2326 B</v>
          </cell>
          <cell r="L1023" t="str">
            <v>42-04-02-00-1015</v>
          </cell>
          <cell r="M1023" t="str">
            <v>Silla Ergonometrica color azul, 5 ruedas ( MEL )</v>
          </cell>
          <cell r="O1023" t="str">
            <v>SILLAS</v>
          </cell>
          <cell r="P1023">
            <v>42500</v>
          </cell>
          <cell r="T1023" t="str">
            <v>Bueno</v>
          </cell>
          <cell r="U1023" t="str">
            <v>N/T</v>
          </cell>
        </row>
        <row r="1024">
          <cell r="J1024" t="str">
            <v>42-04-02-00-1016</v>
          </cell>
          <cell r="K1024" t="str">
            <v>42-402</v>
          </cell>
          <cell r="L1024" t="str">
            <v>42-04-02-00-1016</v>
          </cell>
          <cell r="M1024" t="str">
            <v>Silla mixta</v>
          </cell>
          <cell r="O1024" t="str">
            <v>SILLAS</v>
          </cell>
          <cell r="P1024">
            <v>42568</v>
          </cell>
          <cell r="T1024" t="str">
            <v>Bueno</v>
          </cell>
          <cell r="U1024" t="str">
            <v>N/T</v>
          </cell>
        </row>
        <row r="1025">
          <cell r="J1025" t="str">
            <v>42-04-07-00-1017</v>
          </cell>
          <cell r="K1025" t="str">
            <v>42-2366</v>
          </cell>
          <cell r="L1025" t="str">
            <v>42-04-07-00-1017</v>
          </cell>
          <cell r="M1025" t="str">
            <v>Cajón de madera blanco para guardar ropa</v>
          </cell>
          <cell r="O1025" t="str">
            <v>OTROS</v>
          </cell>
          <cell r="P1025">
            <v>50000</v>
          </cell>
          <cell r="T1025" t="str">
            <v>Bueno</v>
          </cell>
          <cell r="U1025" t="str">
            <v>N/T</v>
          </cell>
        </row>
        <row r="1026">
          <cell r="J1026" t="str">
            <v>42-05-02-01-1018</v>
          </cell>
          <cell r="K1026" t="str">
            <v>42-2328</v>
          </cell>
          <cell r="L1026" t="str">
            <v>42-05-02-01-1018</v>
          </cell>
          <cell r="M1026" t="str">
            <v>Camilla base metálica, cabecera regulable en altura color plomo</v>
          </cell>
          <cell r="O1026" t="str">
            <v>EQUIPOS CLINICOS</v>
          </cell>
          <cell r="P1026">
            <v>110500</v>
          </cell>
          <cell r="T1026" t="str">
            <v>Bueno</v>
          </cell>
          <cell r="U1026" t="str">
            <v>N/T</v>
          </cell>
        </row>
        <row r="1027">
          <cell r="J1027" t="str">
            <v>42-05-01-01-1019</v>
          </cell>
          <cell r="K1027" t="str">
            <v>42-3498</v>
          </cell>
          <cell r="L1027" t="str">
            <v>42-05-01-01-1019</v>
          </cell>
          <cell r="M1027" t="str">
            <v>Citófono/ teléfono marca Nortel Network, Modelo 7000</v>
          </cell>
          <cell r="O1027" t="str">
            <v>EQUIPO DE OFICINA</v>
          </cell>
          <cell r="P1027">
            <v>36000</v>
          </cell>
          <cell r="T1027" t="str">
            <v>Bueno</v>
          </cell>
          <cell r="U1027" t="str">
            <v>Nortel Network</v>
          </cell>
        </row>
        <row r="1028">
          <cell r="J1028" t="str">
            <v>42-05-01-01-1020</v>
          </cell>
          <cell r="K1028" t="str">
            <v>42-568</v>
          </cell>
          <cell r="L1028" t="str">
            <v>42-05-01-01-1020</v>
          </cell>
          <cell r="M1028" t="str">
            <v>Calculadora marca Aurora ML Manual</v>
          </cell>
          <cell r="O1028" t="str">
            <v>EQUIPO DE OFICINA</v>
          </cell>
          <cell r="P1028">
            <v>8900</v>
          </cell>
          <cell r="T1028" t="str">
            <v>Bueno</v>
          </cell>
          <cell r="U1028" t="str">
            <v>Aurora</v>
          </cell>
        </row>
        <row r="1029">
          <cell r="J1029" t="str">
            <v>42-05-01-01-1021</v>
          </cell>
          <cell r="K1029" t="str">
            <v>42-1913</v>
          </cell>
          <cell r="L1029" t="str">
            <v>42-05-01-01-1021</v>
          </cell>
          <cell r="M1029" t="str">
            <v xml:space="preserve">Radio CD marca IRT Mod. RCD 1110 S/Nº 4249980                                                </v>
          </cell>
          <cell r="O1029" t="str">
            <v>EQUIPO DE OFICINA</v>
          </cell>
          <cell r="P1029">
            <v>53710</v>
          </cell>
          <cell r="T1029" t="str">
            <v>Bueno</v>
          </cell>
          <cell r="U1029" t="str">
            <v>RCD</v>
          </cell>
        </row>
        <row r="1030">
          <cell r="J1030" t="str">
            <v>42-05-01-01-1022</v>
          </cell>
          <cell r="K1030" t="str">
            <v>42-2619</v>
          </cell>
          <cell r="L1030" t="str">
            <v>42-05-01-01-1022</v>
          </cell>
          <cell r="M1030" t="str">
            <v>Calefactor eléctrico 2 barras marca Somela Mod. Radiant</v>
          </cell>
          <cell r="O1030" t="str">
            <v>EQUIPO DE OFICINA</v>
          </cell>
          <cell r="P1030">
            <v>50000</v>
          </cell>
          <cell r="T1030" t="str">
            <v>Regular</v>
          </cell>
          <cell r="U1030" t="str">
            <v>Somela</v>
          </cell>
        </row>
        <row r="1031">
          <cell r="J1031" t="str">
            <v>42-04-03-00-1023</v>
          </cell>
          <cell r="K1031" t="str">
            <v>42-257</v>
          </cell>
          <cell r="L1031" t="str">
            <v>42-04-03-00-1023</v>
          </cell>
          <cell r="M1031" t="str">
            <v>Escritorio mixto 2 cajones, barniz natural de 120x75x80 cms.</v>
          </cell>
          <cell r="O1031" t="str">
            <v>ESCRITORIOS</v>
          </cell>
          <cell r="P1031">
            <v>40000</v>
          </cell>
          <cell r="T1031" t="str">
            <v>Bueno</v>
          </cell>
          <cell r="U1031" t="str">
            <v>N/T</v>
          </cell>
        </row>
        <row r="1032">
          <cell r="J1032" t="str">
            <v>42-04-07-00-1024</v>
          </cell>
          <cell r="K1032" t="str">
            <v>42-409</v>
          </cell>
          <cell r="L1032" t="str">
            <v>42-04-07-00-1024</v>
          </cell>
          <cell r="M1032" t="str">
            <v>Porta papelero metálico con pedal y tapa</v>
          </cell>
          <cell r="O1032" t="str">
            <v>OTROS</v>
          </cell>
          <cell r="P1032">
            <v>5000</v>
          </cell>
          <cell r="T1032" t="str">
            <v>Bueno</v>
          </cell>
          <cell r="U1032" t="str">
            <v>N/T</v>
          </cell>
        </row>
        <row r="1033">
          <cell r="J1033" t="str">
            <v>42-04-04-00-1025</v>
          </cell>
          <cell r="K1033" t="str">
            <v>42-2620</v>
          </cell>
          <cell r="L1033" t="str">
            <v>42-04-04-00-1025</v>
          </cell>
          <cell r="M1033" t="str">
            <v>Mueble mel. blanco 1 puerta 1 lavamanos c/llave combinación 100x50x90</v>
          </cell>
          <cell r="O1033" t="str">
            <v>MUEBLES DE COCINA</v>
          </cell>
          <cell r="P1033">
            <v>105300</v>
          </cell>
          <cell r="T1033" t="str">
            <v>Bueno</v>
          </cell>
          <cell r="U1033" t="str">
            <v>N/T</v>
          </cell>
        </row>
        <row r="1034">
          <cell r="J1034" t="str">
            <v>42-04-02-00-1026</v>
          </cell>
          <cell r="K1034" t="str">
            <v>42-2005</v>
          </cell>
          <cell r="L1034" t="str">
            <v>42-04-02-00-1026</v>
          </cell>
          <cell r="M1034" t="str">
            <v>Silla Ergonometrica color azul, 5 ruedas ( MEL )</v>
          </cell>
          <cell r="O1034" t="str">
            <v>SILLAS</v>
          </cell>
          <cell r="P1034">
            <v>42500</v>
          </cell>
          <cell r="T1034" t="str">
            <v>Bueno</v>
          </cell>
          <cell r="U1034" t="str">
            <v>N/T</v>
          </cell>
        </row>
        <row r="1035">
          <cell r="J1035" t="str">
            <v>42-04-06-00-1027</v>
          </cell>
          <cell r="K1035" t="str">
            <v>42-2621</v>
          </cell>
          <cell r="L1035" t="str">
            <v>42-04-06-00-1027</v>
          </cell>
          <cell r="M1035" t="str">
            <v>Repisa melamina blanco con soportes metálicos 125x30 cms.</v>
          </cell>
          <cell r="O1035" t="str">
            <v>REPISA</v>
          </cell>
          <cell r="P1035">
            <v>50000</v>
          </cell>
          <cell r="T1035" t="str">
            <v>Bueno</v>
          </cell>
          <cell r="U1035" t="str">
            <v>N/T</v>
          </cell>
        </row>
        <row r="1036">
          <cell r="J1036" t="str">
            <v>42-04-06-00-1028</v>
          </cell>
          <cell r="K1036" t="str">
            <v>42-2622</v>
          </cell>
          <cell r="L1036" t="str">
            <v>42-04-06-00-1028</v>
          </cell>
          <cell r="M1036" t="str">
            <v>Repisa melamina blanco con soportes metálicos 125x30 cms.</v>
          </cell>
          <cell r="O1036" t="str">
            <v>REPISA</v>
          </cell>
          <cell r="P1036">
            <v>50000</v>
          </cell>
          <cell r="T1036" t="str">
            <v>Bueno</v>
          </cell>
          <cell r="U1036" t="str">
            <v>N/T</v>
          </cell>
        </row>
        <row r="1037">
          <cell r="J1037" t="str">
            <v>42-04-06-00-1029</v>
          </cell>
          <cell r="K1037" t="str">
            <v>42-2623</v>
          </cell>
          <cell r="L1037" t="str">
            <v>42-04-06-00-1029</v>
          </cell>
          <cell r="M1037" t="str">
            <v>Repisa melamina blanco con soportes metálicos 125x30 cms.</v>
          </cell>
          <cell r="O1037" t="str">
            <v>REPISA</v>
          </cell>
          <cell r="P1037">
            <v>50000</v>
          </cell>
          <cell r="T1037" t="str">
            <v>Bueno</v>
          </cell>
          <cell r="U1037" t="str">
            <v>N/T</v>
          </cell>
        </row>
        <row r="1038">
          <cell r="J1038" t="str">
            <v>42-04-06-00-1030</v>
          </cell>
          <cell r="K1038" t="str">
            <v>42-2624</v>
          </cell>
          <cell r="L1038" t="str">
            <v>42-04-06-00-1030</v>
          </cell>
          <cell r="M1038" t="str">
            <v>Repisa melamina blanco con soportes metálicos 125x30 cms.</v>
          </cell>
          <cell r="O1038" t="str">
            <v>REPISA</v>
          </cell>
          <cell r="P1038">
            <v>50000</v>
          </cell>
          <cell r="T1038" t="str">
            <v>Bueno</v>
          </cell>
          <cell r="U1038" t="str">
            <v>N/T</v>
          </cell>
        </row>
        <row r="1039">
          <cell r="J1039" t="str">
            <v>42-04-06-00-1031</v>
          </cell>
          <cell r="K1039" t="str">
            <v>42-2625</v>
          </cell>
          <cell r="L1039" t="str">
            <v>42-04-06-00-1031</v>
          </cell>
          <cell r="M1039" t="str">
            <v>Repisa melamina blanco con soportes metálicos 125x30 cms.</v>
          </cell>
          <cell r="O1039" t="str">
            <v>REPISA</v>
          </cell>
          <cell r="P1039">
            <v>50000</v>
          </cell>
          <cell r="T1039" t="str">
            <v>Bueno</v>
          </cell>
          <cell r="U1039" t="str">
            <v>N/T</v>
          </cell>
        </row>
        <row r="1040">
          <cell r="J1040" t="str">
            <v>42-04-06-00-1032</v>
          </cell>
          <cell r="K1040" t="str">
            <v>42-2627</v>
          </cell>
          <cell r="L1040" t="str">
            <v>42-04-06-00-1032</v>
          </cell>
          <cell r="M1040" t="str">
            <v>Repisa melamina blanco con soportes metálicos 125x30 cms.</v>
          </cell>
          <cell r="O1040" t="str">
            <v>REPISA</v>
          </cell>
          <cell r="P1040">
            <v>50000</v>
          </cell>
          <cell r="T1040" t="str">
            <v>Bueno</v>
          </cell>
          <cell r="U1040" t="str">
            <v>N/T</v>
          </cell>
        </row>
        <row r="1041">
          <cell r="J1041" t="str">
            <v>42-04-06-00-1033</v>
          </cell>
          <cell r="K1041" t="str">
            <v>42-2628</v>
          </cell>
          <cell r="L1041" t="str">
            <v>42-04-06-00-1033</v>
          </cell>
          <cell r="M1041" t="str">
            <v>Repisa melamina blanco con soportes metálicos 125x30 cms.</v>
          </cell>
          <cell r="O1041" t="str">
            <v>REPISA</v>
          </cell>
          <cell r="P1041">
            <v>50000</v>
          </cell>
          <cell r="T1041" t="str">
            <v>Bueno</v>
          </cell>
          <cell r="U1041" t="str">
            <v>N/T</v>
          </cell>
        </row>
        <row r="1042">
          <cell r="J1042" t="str">
            <v>42-04-07-00-1034</v>
          </cell>
          <cell r="K1042" t="str">
            <v>42-2945</v>
          </cell>
          <cell r="L1042" t="str">
            <v>42-04-07-00-1034</v>
          </cell>
          <cell r="M1042" t="str">
            <v>Dispensador de jabón</v>
          </cell>
          <cell r="O1042" t="str">
            <v>OTROS</v>
          </cell>
          <cell r="P1042">
            <v>17000</v>
          </cell>
          <cell r="T1042" t="str">
            <v>Bueno</v>
          </cell>
          <cell r="U1042" t="str">
            <v>N/T</v>
          </cell>
        </row>
        <row r="1043">
          <cell r="J1043" t="str">
            <v>42-06-01-00-1035</v>
          </cell>
          <cell r="K1043" t="str">
            <v>42-1919</v>
          </cell>
          <cell r="L1043" t="str">
            <v>42-06-01-00-1035</v>
          </cell>
          <cell r="M1043" t="str">
            <v>Computador Aopen</v>
          </cell>
          <cell r="O1043" t="str">
            <v>EQUIPOS COMPUTACIONALES Y PERIFÉRICOS</v>
          </cell>
          <cell r="P1043">
            <v>340000</v>
          </cell>
          <cell r="T1043" t="str">
            <v>Bueno</v>
          </cell>
          <cell r="U1043" t="str">
            <v>Aopen</v>
          </cell>
        </row>
        <row r="1044">
          <cell r="J1044" t="str">
            <v>42-06-01-00-1036</v>
          </cell>
          <cell r="K1044" t="str">
            <v>42-1920</v>
          </cell>
          <cell r="L1044" t="str">
            <v>42-06-01-00-1036</v>
          </cell>
          <cell r="M1044" t="str">
            <v>Monitor Philips 15" Mod. Nº 105S59</v>
          </cell>
          <cell r="O1044" t="str">
            <v>EQUIPOS COMPUTACIONALES Y PERIFÉRICOS</v>
          </cell>
          <cell r="P1044">
            <v>14000</v>
          </cell>
          <cell r="T1044" t="str">
            <v>Bueno</v>
          </cell>
          <cell r="U1044" t="str">
            <v>Philips</v>
          </cell>
        </row>
        <row r="1045">
          <cell r="J1045" t="str">
            <v>42-06-01-00-1037</v>
          </cell>
          <cell r="K1045" t="str">
            <v>42-2551</v>
          </cell>
          <cell r="L1045" t="str">
            <v>42-06-01-00-1037</v>
          </cell>
          <cell r="M1045" t="str">
            <v>Teclado Aopen Mod. KB 821 S/Nº 329001718</v>
          </cell>
          <cell r="O1045" t="str">
            <v>EQUIPOS COMPUTACIONALES Y PERIFÉRICOS</v>
          </cell>
          <cell r="P1045">
            <v>4000</v>
          </cell>
          <cell r="T1045" t="str">
            <v>Bueno</v>
          </cell>
          <cell r="U1045" t="str">
            <v>Aopen</v>
          </cell>
        </row>
        <row r="1046">
          <cell r="J1046" t="str">
            <v>42-06-01-00-1038</v>
          </cell>
          <cell r="K1046" t="str">
            <v>42-2552</v>
          </cell>
          <cell r="L1046" t="str">
            <v>42-06-01-00-1038</v>
          </cell>
          <cell r="M1046" t="str">
            <v>Mouse Aopen Mod. W30 S/Nº 329001634</v>
          </cell>
          <cell r="O1046" t="str">
            <v>EQUIPOS COMPUTACIONALES Y PERIFÉRICOS</v>
          </cell>
          <cell r="P1046">
            <v>3000</v>
          </cell>
          <cell r="T1046" t="str">
            <v>Bueno</v>
          </cell>
          <cell r="U1046" t="str">
            <v>Aopen</v>
          </cell>
        </row>
        <row r="1047">
          <cell r="J1047" t="str">
            <v>42-05-02-07-1039</v>
          </cell>
          <cell r="K1047" t="str">
            <v>42-2553</v>
          </cell>
          <cell r="L1047" t="str">
            <v>42-05-02-07-1039</v>
          </cell>
          <cell r="M1047" t="str">
            <v>Parlantes Aopen Mod. Nº MS621 S/Nº 329001030CM1</v>
          </cell>
          <cell r="O1047" t="str">
            <v>EQUIPOS DE AUDIO</v>
          </cell>
          <cell r="P1047">
            <v>18000</v>
          </cell>
          <cell r="T1047" t="str">
            <v>Bueno</v>
          </cell>
          <cell r="U1047" t="str">
            <v>Aopen</v>
          </cell>
        </row>
        <row r="1048">
          <cell r="J1048" t="str">
            <v>42-06-01-00-1040</v>
          </cell>
          <cell r="K1048" t="str">
            <v>42-2554</v>
          </cell>
          <cell r="L1048" t="str">
            <v>42-06-01-00-1040</v>
          </cell>
          <cell r="M1048" t="str">
            <v>Protector de pantalla</v>
          </cell>
          <cell r="O1048" t="str">
            <v>EQUIPOS COMPUTACIONALES Y PERIFÉRICOS</v>
          </cell>
          <cell r="P1048">
            <v>20000</v>
          </cell>
          <cell r="T1048" t="str">
            <v>Bueno</v>
          </cell>
          <cell r="U1048" t="str">
            <v>B</v>
          </cell>
        </row>
        <row r="1049">
          <cell r="J1049" t="str">
            <v>42-06-01-00-1041</v>
          </cell>
          <cell r="K1049" t="str">
            <v>42-2555</v>
          </cell>
          <cell r="L1049" t="str">
            <v>42-06-01-00-1041</v>
          </cell>
          <cell r="M1049" t="str">
            <v>Impresora Epson Stylus C45 Mod. B161B S/Nº FY6Y468119</v>
          </cell>
          <cell r="O1049" t="str">
            <v>EQUIPOS COMPUTACIONALES Y PERIFÉRICOS</v>
          </cell>
          <cell r="P1049">
            <v>68802</v>
          </cell>
          <cell r="T1049" t="str">
            <v>Bueno</v>
          </cell>
          <cell r="U1049" t="str">
            <v>Epson</v>
          </cell>
        </row>
        <row r="1050">
          <cell r="J1050" t="str">
            <v>42-05-01-01-1042</v>
          </cell>
          <cell r="K1050" t="str">
            <v>42-2046</v>
          </cell>
          <cell r="L1050" t="str">
            <v>42-05-01-01-1042</v>
          </cell>
          <cell r="M1050" t="str">
            <v>Radio CD / MP3 marca Recco Mod. RRCSWM5 S/Nº 0049-0411-00045</v>
          </cell>
          <cell r="O1050" t="str">
            <v>EQUIPO DE OFICINA</v>
          </cell>
          <cell r="P1050">
            <v>53710</v>
          </cell>
          <cell r="T1050" t="str">
            <v>Bueno</v>
          </cell>
          <cell r="U1050" t="str">
            <v>Recco</v>
          </cell>
        </row>
        <row r="1051">
          <cell r="J1051" t="str">
            <v>42-05-01-01-1043</v>
          </cell>
          <cell r="K1051" t="str">
            <v>42-2047</v>
          </cell>
          <cell r="L1051" t="str">
            <v>42-05-01-01-1043</v>
          </cell>
          <cell r="M1051" t="str">
            <v>Calculadora marca Aurora Mod. DT 393</v>
          </cell>
          <cell r="O1051" t="str">
            <v>EQUIPO DE OFICINA</v>
          </cell>
          <cell r="P1051">
            <v>4000</v>
          </cell>
          <cell r="T1051" t="str">
            <v>Regular</v>
          </cell>
          <cell r="U1051" t="str">
            <v>Aurora</v>
          </cell>
        </row>
        <row r="1052">
          <cell r="J1052" t="str">
            <v>42-05-01-01-1044</v>
          </cell>
          <cell r="K1052" t="str">
            <v>42-3269</v>
          </cell>
          <cell r="L1052" t="str">
            <v>42-05-01-01-1044</v>
          </cell>
          <cell r="M1052" t="str">
            <v>Calculadora Casio Mod. MS-20TV 12 digitos</v>
          </cell>
          <cell r="O1052" t="str">
            <v>EQUIPO DE OFICINA</v>
          </cell>
          <cell r="P1052">
            <v>5000</v>
          </cell>
          <cell r="T1052" t="str">
            <v>Bueno</v>
          </cell>
          <cell r="U1052" t="str">
            <v>Casio</v>
          </cell>
        </row>
        <row r="1053">
          <cell r="J1053" t="str">
            <v>42-05-01-01-1045</v>
          </cell>
          <cell r="K1053" t="str">
            <v>42-1500</v>
          </cell>
          <cell r="L1053" t="str">
            <v>42-05-01-01-1045</v>
          </cell>
          <cell r="M1053" t="str">
            <v>Ventilador de Pedestal marca Reming</v>
          </cell>
          <cell r="O1053" t="str">
            <v>EQUIPO DE OFICINA</v>
          </cell>
          <cell r="P1053">
            <v>30000</v>
          </cell>
          <cell r="T1053" t="str">
            <v>Bueno</v>
          </cell>
          <cell r="U1053" t="str">
            <v>Reming</v>
          </cell>
        </row>
        <row r="1054">
          <cell r="J1054" t="str">
            <v>42-05-01-01-1046</v>
          </cell>
          <cell r="K1054" t="str">
            <v>42-1617</v>
          </cell>
          <cell r="L1054" t="str">
            <v>42-05-01-01-1046</v>
          </cell>
          <cell r="M1054" t="str">
            <v>Reloj mural marca Beltz, dorado y negro</v>
          </cell>
          <cell r="N1054">
            <v>1</v>
          </cell>
          <cell r="O1054" t="str">
            <v>EQUIPO DE OFICINA</v>
          </cell>
          <cell r="P1054">
            <v>5000</v>
          </cell>
          <cell r="T1054" t="str">
            <v>Bueno</v>
          </cell>
          <cell r="U1054" t="str">
            <v>Beltz</v>
          </cell>
        </row>
        <row r="1055">
          <cell r="J1055" t="str">
            <v>42-05-01-01-1047</v>
          </cell>
          <cell r="K1055" t="str">
            <v>42-1026B</v>
          </cell>
          <cell r="L1055" t="str">
            <v>42-05-01-01-1047</v>
          </cell>
          <cell r="M1055" t="str">
            <v>Estufa salamandra a leña</v>
          </cell>
          <cell r="O1055" t="str">
            <v>EQUIPO DE OFICINA</v>
          </cell>
          <cell r="P1055">
            <v>103200</v>
          </cell>
          <cell r="T1055" t="str">
            <v>Bueno</v>
          </cell>
          <cell r="U1055" t="str">
            <v>R</v>
          </cell>
        </row>
        <row r="1056">
          <cell r="J1056" t="str">
            <v>42-04-03-00-1048</v>
          </cell>
          <cell r="K1056" t="str">
            <v>42-2048</v>
          </cell>
          <cell r="L1056" t="str">
            <v>42-04-03-00-1048</v>
          </cell>
          <cell r="M1056" t="str">
            <v>Escritorio computacion, 1 cajón, 1 compartimento color eucaliptus</v>
          </cell>
          <cell r="O1056" t="str">
            <v>ESCRITORIOS</v>
          </cell>
          <cell r="P1056">
            <v>89000</v>
          </cell>
          <cell r="T1056" t="str">
            <v>Bueno</v>
          </cell>
          <cell r="U1056" t="str">
            <v>B</v>
          </cell>
        </row>
        <row r="1057">
          <cell r="J1057" t="str">
            <v>42-04-06-00-1049</v>
          </cell>
          <cell r="K1057" t="str">
            <v>42-571</v>
          </cell>
          <cell r="L1057" t="str">
            <v>42-04-06-00-1049</v>
          </cell>
          <cell r="M1057" t="str">
            <v>Mueble de madera color cafe de 8 puertas de 195x40x100 cms.</v>
          </cell>
          <cell r="O1057" t="str">
            <v>REPISA</v>
          </cell>
          <cell r="P1057">
            <v>98000</v>
          </cell>
          <cell r="T1057" t="str">
            <v>Bueno</v>
          </cell>
          <cell r="U1057" t="str">
            <v>B</v>
          </cell>
        </row>
        <row r="1058">
          <cell r="J1058" t="str">
            <v>42-04-03-00-1050</v>
          </cell>
          <cell r="K1058" t="str">
            <v>42-572</v>
          </cell>
          <cell r="L1058" t="str">
            <v>42-04-03-00-1050</v>
          </cell>
          <cell r="M1058" t="str">
            <v>Escritorio de madera, 4 cajones de 184x70x92 cms.</v>
          </cell>
          <cell r="O1058" t="str">
            <v>ESCRITORIOS</v>
          </cell>
          <cell r="P1058">
            <v>95000</v>
          </cell>
          <cell r="T1058" t="str">
            <v>Bueno</v>
          </cell>
          <cell r="U1058" t="str">
            <v>B</v>
          </cell>
        </row>
        <row r="1059">
          <cell r="J1059" t="str">
            <v>42-04-01-00-1051</v>
          </cell>
          <cell r="K1059" t="str">
            <v>42-575</v>
          </cell>
          <cell r="L1059" t="str">
            <v>42-04-01-00-1051</v>
          </cell>
          <cell r="M1059" t="str">
            <v>Mesón estructura metálica cubierta de madera  de 180x76x70 cms.</v>
          </cell>
          <cell r="O1059" t="str">
            <v>MESAS</v>
          </cell>
          <cell r="P1059">
            <v>230000</v>
          </cell>
          <cell r="T1059" t="str">
            <v>Bueno</v>
          </cell>
          <cell r="U1059" t="str">
            <v>B</v>
          </cell>
        </row>
        <row r="1060">
          <cell r="J1060" t="str">
            <v>42-04-01-00-1052</v>
          </cell>
          <cell r="K1060" t="str">
            <v>42-959</v>
          </cell>
          <cell r="L1060" t="str">
            <v>42-04-01-00-1052</v>
          </cell>
          <cell r="M1060" t="str">
            <v>Mesa metálica 3 compartimentos color blanca</v>
          </cell>
          <cell r="O1060" t="str">
            <v>MESAS</v>
          </cell>
          <cell r="P1060">
            <v>105000</v>
          </cell>
          <cell r="T1060" t="str">
            <v>Bueno</v>
          </cell>
          <cell r="U1060" t="str">
            <v>B</v>
          </cell>
        </row>
        <row r="1061">
          <cell r="J1061" t="str">
            <v>42-04-06-00-1053</v>
          </cell>
          <cell r="K1061" t="str">
            <v>42-3197</v>
          </cell>
          <cell r="L1061" t="str">
            <v>42-04-06-00-1053</v>
          </cell>
          <cell r="M1061" t="str">
            <v>Mueble masisa enchapada 6 puertas correderas color barniz natural 230x50x190 cms.</v>
          </cell>
          <cell r="O1061" t="str">
            <v>REPISA</v>
          </cell>
          <cell r="P1061">
            <v>89000</v>
          </cell>
          <cell r="T1061" t="str">
            <v>Bueno</v>
          </cell>
        </row>
        <row r="1062">
          <cell r="J1062" t="str">
            <v>42-04-06-00-1054</v>
          </cell>
          <cell r="K1062" t="str">
            <v>42-580</v>
          </cell>
          <cell r="L1062" t="str">
            <v>42-04-06-00-1054</v>
          </cell>
          <cell r="M1062" t="str">
            <v>Repisa de fierro negro 5 compartimentos</v>
          </cell>
          <cell r="O1062" t="str">
            <v>REPISA</v>
          </cell>
          <cell r="P1062">
            <v>50000</v>
          </cell>
          <cell r="T1062" t="str">
            <v>Bueno</v>
          </cell>
          <cell r="U1062" t="str">
            <v>B</v>
          </cell>
        </row>
        <row r="1063">
          <cell r="J1063" t="str">
            <v>42-04-06-00-1055</v>
          </cell>
          <cell r="K1063" t="str">
            <v>42-2049</v>
          </cell>
          <cell r="L1063" t="str">
            <v>42-04-06-00-1055</v>
          </cell>
          <cell r="M1063" t="str">
            <v>Repisa metálica 4 compartimentos color café</v>
          </cell>
          <cell r="O1063" t="str">
            <v>REPISA</v>
          </cell>
          <cell r="P1063">
            <v>87900</v>
          </cell>
          <cell r="T1063" t="str">
            <v>Bueno</v>
          </cell>
          <cell r="U1063" t="str">
            <v>B</v>
          </cell>
        </row>
        <row r="1064">
          <cell r="J1064" t="str">
            <v>42-04-06-00-1056</v>
          </cell>
          <cell r="K1064" t="str">
            <v>42-2050</v>
          </cell>
          <cell r="L1064" t="str">
            <v>42-04-06-00-1056</v>
          </cell>
          <cell r="M1064" t="str">
            <v>Repisa 2 compartimentos 50x40x20 cms. color blanca</v>
          </cell>
          <cell r="O1064" t="str">
            <v>REPISA</v>
          </cell>
          <cell r="P1064">
            <v>70000</v>
          </cell>
          <cell r="T1064" t="str">
            <v>Bueno</v>
          </cell>
          <cell r="U1064" t="str">
            <v>B</v>
          </cell>
        </row>
        <row r="1065">
          <cell r="J1065" t="str">
            <v>42-04-06-00-1057</v>
          </cell>
          <cell r="K1065" t="str">
            <v>42-957</v>
          </cell>
          <cell r="L1065" t="str">
            <v>42-04-06-00-1057</v>
          </cell>
          <cell r="M1065" t="str">
            <v>Vitrina metálica con puerta de vidrio 4 compartimentos color blanca grande</v>
          </cell>
          <cell r="O1065" t="str">
            <v>REPISA</v>
          </cell>
          <cell r="P1065">
            <v>145214</v>
          </cell>
          <cell r="T1065" t="str">
            <v>Bueno</v>
          </cell>
          <cell r="U1065" t="str">
            <v>B</v>
          </cell>
        </row>
        <row r="1066">
          <cell r="J1066" t="str">
            <v>42-04-06-00-1058</v>
          </cell>
          <cell r="K1066" t="str">
            <v>42-958</v>
          </cell>
          <cell r="L1066" t="str">
            <v>42-04-06-00-1058</v>
          </cell>
          <cell r="M1066" t="str">
            <v>Vitrina metálica con puerta de vidrio 3 compart. color blanca mediana</v>
          </cell>
          <cell r="O1066" t="str">
            <v>REPISA</v>
          </cell>
          <cell r="P1066">
            <v>145214</v>
          </cell>
          <cell r="T1066" t="str">
            <v>Bueno</v>
          </cell>
          <cell r="U1066" t="str">
            <v>B</v>
          </cell>
        </row>
        <row r="1067">
          <cell r="J1067" t="str">
            <v>42-04-03-00-1059</v>
          </cell>
          <cell r="K1067" t="str">
            <v>42-1921</v>
          </cell>
          <cell r="L1067" t="str">
            <v>42-04-03-00-1059</v>
          </cell>
          <cell r="M1067" t="str">
            <v xml:space="preserve">Escritorio mixto 1 cajón color barniz </v>
          </cell>
          <cell r="O1067" t="str">
            <v>ESCRITORIOS</v>
          </cell>
          <cell r="P1067">
            <v>79800</v>
          </cell>
          <cell r="T1067" t="str">
            <v>Bueno</v>
          </cell>
          <cell r="U1067" t="str">
            <v>B</v>
          </cell>
        </row>
        <row r="1068">
          <cell r="J1068" t="str">
            <v>42-04-03-00-1060</v>
          </cell>
          <cell r="K1068" t="str">
            <v>42-893B</v>
          </cell>
          <cell r="L1068" t="str">
            <v>42-04-03-00-1060</v>
          </cell>
          <cell r="M1068" t="str">
            <v>Escritorio mixto barniz natural de 120x74x79 cms, 2 cajones</v>
          </cell>
          <cell r="O1068" t="str">
            <v>ESCRITORIOS</v>
          </cell>
          <cell r="P1068">
            <v>89000</v>
          </cell>
          <cell r="T1068" t="str">
            <v>Bueno</v>
          </cell>
          <cell r="U1068" t="str">
            <v>B</v>
          </cell>
        </row>
        <row r="1069">
          <cell r="J1069" t="str">
            <v>42-04-07-00-1061</v>
          </cell>
          <cell r="K1069" t="str">
            <v>42-573</v>
          </cell>
          <cell r="L1069" t="str">
            <v>42-04-07-00-1061</v>
          </cell>
          <cell r="M1069" t="str">
            <v>Sillón metálico color blanco</v>
          </cell>
          <cell r="O1069" t="str">
            <v>OTROS</v>
          </cell>
          <cell r="P1069">
            <v>4000</v>
          </cell>
          <cell r="T1069" t="str">
            <v>Bueno</v>
          </cell>
          <cell r="U1069" t="str">
            <v>B</v>
          </cell>
        </row>
        <row r="1070">
          <cell r="J1070" t="str">
            <v>42-04-02-00-1062</v>
          </cell>
          <cell r="K1070" t="str">
            <v>42-577</v>
          </cell>
          <cell r="L1070" t="str">
            <v>42-04-02-00-1062</v>
          </cell>
          <cell r="M1070" t="str">
            <v>Silla mixta color barniz natural</v>
          </cell>
          <cell r="O1070" t="str">
            <v>SILLAS</v>
          </cell>
          <cell r="P1070">
            <v>4000</v>
          </cell>
          <cell r="T1070" t="str">
            <v>Bueno</v>
          </cell>
          <cell r="U1070" t="str">
            <v>B</v>
          </cell>
        </row>
        <row r="1071">
          <cell r="J1071" t="str">
            <v>42-04-02-00-1063</v>
          </cell>
          <cell r="K1071" t="str">
            <v>42-1235</v>
          </cell>
          <cell r="L1071" t="str">
            <v>42-04-02-00-1063</v>
          </cell>
          <cell r="M1071" t="str">
            <v>Silla computacional G lif, 5 ruedas color plomo</v>
          </cell>
          <cell r="O1071" t="str">
            <v>SILLAS</v>
          </cell>
          <cell r="P1071">
            <v>42500</v>
          </cell>
          <cell r="T1071" t="str">
            <v>Bueno</v>
          </cell>
          <cell r="U1071" t="str">
            <v>B</v>
          </cell>
        </row>
        <row r="1072">
          <cell r="J1072" t="str">
            <v>42-04-02-00-1064</v>
          </cell>
          <cell r="K1072" t="str">
            <v>42-1916</v>
          </cell>
          <cell r="L1072" t="str">
            <v>42-04-02-00-1064</v>
          </cell>
          <cell r="M1072" t="str">
            <v>Silla computación 5 ruedas color burdeo</v>
          </cell>
          <cell r="O1072" t="str">
            <v>SILLAS</v>
          </cell>
          <cell r="P1072">
            <v>42500</v>
          </cell>
          <cell r="T1072" t="str">
            <v>Bueno</v>
          </cell>
          <cell r="U1072" t="str">
            <v>B</v>
          </cell>
        </row>
        <row r="1073">
          <cell r="J1073" t="str">
            <v>42-04-05-00-1065</v>
          </cell>
          <cell r="K1073" t="str">
            <v>42-576</v>
          </cell>
          <cell r="L1073" t="str">
            <v>42-04-05-00-1065</v>
          </cell>
          <cell r="M1073" t="str">
            <v>Kardex metálico, 2 cajones marca IRS EAT de 46x71x68 cms.</v>
          </cell>
          <cell r="O1073" t="str">
            <v>KARDEX</v>
          </cell>
          <cell r="P1073">
            <v>98000</v>
          </cell>
          <cell r="T1073" t="str">
            <v>Bueno</v>
          </cell>
          <cell r="U1073" t="str">
            <v>B</v>
          </cell>
        </row>
        <row r="1074">
          <cell r="J1074" t="str">
            <v>42-04-07-00-1066</v>
          </cell>
          <cell r="K1074" t="str">
            <v>42-581</v>
          </cell>
          <cell r="L1074" t="str">
            <v>42-04-07-00-1066</v>
          </cell>
          <cell r="M1074" t="str">
            <v>Loker metálico color café</v>
          </cell>
          <cell r="O1074" t="str">
            <v>OTROS</v>
          </cell>
          <cell r="P1074">
            <v>71500</v>
          </cell>
          <cell r="T1074" t="str">
            <v>Bueno</v>
          </cell>
          <cell r="U1074" t="str">
            <v>B</v>
          </cell>
        </row>
        <row r="1075">
          <cell r="J1075" t="str">
            <v>42-05-02-01-1067</v>
          </cell>
          <cell r="K1075" t="str">
            <v>42-582B</v>
          </cell>
          <cell r="L1075" t="str">
            <v>42-05-02-01-1067</v>
          </cell>
          <cell r="M1075" t="str">
            <v>Escabel mixto 2 peldaños color negro</v>
          </cell>
          <cell r="O1075" t="str">
            <v>EQUIPOS CLINICOS</v>
          </cell>
          <cell r="P1075">
            <v>17850</v>
          </cell>
          <cell r="T1075" t="str">
            <v>Bueno</v>
          </cell>
          <cell r="U1075" t="str">
            <v>N/T</v>
          </cell>
        </row>
        <row r="1076">
          <cell r="J1076" t="str">
            <v>42-05-01-01-1068</v>
          </cell>
          <cell r="K1076" t="str">
            <v>42-501</v>
          </cell>
          <cell r="L1076" t="str">
            <v>42-05-01-01-1068</v>
          </cell>
          <cell r="M1076" t="str">
            <v>Corchetera marca Torre color negro</v>
          </cell>
          <cell r="O1076" t="str">
            <v>EQUIPO DE OFICINA</v>
          </cell>
          <cell r="P1076">
            <v>3500</v>
          </cell>
          <cell r="T1076" t="str">
            <v>Bueno</v>
          </cell>
          <cell r="U1076" t="str">
            <v>Torre</v>
          </cell>
        </row>
        <row r="1077">
          <cell r="J1077" t="str">
            <v>42-05-01-01-1069</v>
          </cell>
          <cell r="K1077" t="str">
            <v>42-574</v>
          </cell>
          <cell r="L1077" t="str">
            <v>42-05-01-01-1069</v>
          </cell>
          <cell r="M1077" t="str">
            <v>Perforador extrafuerte color gris</v>
          </cell>
          <cell r="O1077" t="str">
            <v>EQUIPO DE OFICINA</v>
          </cell>
          <cell r="P1077">
            <v>3000</v>
          </cell>
          <cell r="T1077" t="str">
            <v>Bueno</v>
          </cell>
          <cell r="U1077" t="str">
            <v>B</v>
          </cell>
        </row>
        <row r="1078">
          <cell r="J1078" t="str">
            <v>42-05-02-05-1070</v>
          </cell>
          <cell r="K1078" t="str">
            <v>42-578</v>
          </cell>
          <cell r="L1078" t="str">
            <v>42-05-02-05-1070</v>
          </cell>
          <cell r="M1078" t="str">
            <v>Extintor incendio tipo ABC 6 Kgs.</v>
          </cell>
          <cell r="O1078" t="str">
            <v>EQUIPOS DE SEGURIDAD</v>
          </cell>
          <cell r="P1078">
            <v>28900</v>
          </cell>
          <cell r="T1078" t="str">
            <v>Bueno</v>
          </cell>
          <cell r="U1078" t="str">
            <v>B</v>
          </cell>
        </row>
        <row r="1079">
          <cell r="J1079" t="str">
            <v>42-05-01-01-1071</v>
          </cell>
          <cell r="K1079" t="str">
            <v>42-1949</v>
          </cell>
          <cell r="L1079" t="str">
            <v>42-05-01-01-1071</v>
          </cell>
          <cell r="M1079" t="str">
            <v>Citófono/ teléfono marca Nortel Network, Modelo 7000</v>
          </cell>
          <cell r="O1079" t="str">
            <v>EQUIPO DE OFICINA</v>
          </cell>
          <cell r="P1079">
            <v>36000</v>
          </cell>
          <cell r="T1079" t="str">
            <v>Bueno</v>
          </cell>
          <cell r="U1079" t="str">
            <v>Nortel Network</v>
          </cell>
        </row>
        <row r="1080">
          <cell r="J1080" t="str">
            <v>42-05-02-01-1072</v>
          </cell>
          <cell r="K1080" t="str">
            <v>42-1917</v>
          </cell>
          <cell r="L1080" t="str">
            <v>42-05-02-01-1072</v>
          </cell>
          <cell r="M1080" t="str">
            <v>Pesa digital Eco-30 color negro cap. 30 Kgs.</v>
          </cell>
          <cell r="N1080">
            <v>1</v>
          </cell>
          <cell r="O1080" t="str">
            <v>EQUIPOS CLINICOS</v>
          </cell>
          <cell r="P1080">
            <v>40000</v>
          </cell>
          <cell r="T1080" t="str">
            <v>Bueno</v>
          </cell>
          <cell r="U1080" t="str">
            <v>Eco-30</v>
          </cell>
        </row>
        <row r="1081">
          <cell r="J1081" t="str">
            <v>42-04-06-00-1073</v>
          </cell>
          <cell r="K1081" t="str">
            <v>42-1143</v>
          </cell>
          <cell r="L1081" t="str">
            <v>42-04-06-00-1073</v>
          </cell>
          <cell r="M1081" t="str">
            <v>Mueble madera 1 puerta c/4 compartimentos color blanco 122x71x85</v>
          </cell>
          <cell r="O1081" t="str">
            <v>REPISA</v>
          </cell>
          <cell r="P1081">
            <v>70000</v>
          </cell>
          <cell r="U1081" t="str">
            <v>B</v>
          </cell>
        </row>
        <row r="1082">
          <cell r="J1082" t="str">
            <v>42-05-02-01-1074</v>
          </cell>
          <cell r="K1082" t="str">
            <v>42-2165</v>
          </cell>
          <cell r="L1082" t="str">
            <v>42-05-02-01-1074</v>
          </cell>
          <cell r="M1082" t="str">
            <v>Carro mixto de madera 4 ruedas de goma con un tirador</v>
          </cell>
          <cell r="O1082" t="str">
            <v>EQUIPOS CLINICOS</v>
          </cell>
          <cell r="P1082">
            <v>89000</v>
          </cell>
          <cell r="U1082" t="str">
            <v>B</v>
          </cell>
        </row>
        <row r="1083">
          <cell r="J1083" t="str">
            <v>42-05-02-05-1075</v>
          </cell>
          <cell r="K1083" t="str">
            <v>42-2557</v>
          </cell>
          <cell r="L1083" t="str">
            <v>42-05-02-05-1075</v>
          </cell>
          <cell r="M1083" t="str">
            <v>Extintor</v>
          </cell>
          <cell r="O1083" t="str">
            <v>EQUIPOS DE SEGURIDAD</v>
          </cell>
          <cell r="P1083">
            <v>26900</v>
          </cell>
          <cell r="U1083" t="str">
            <v>B</v>
          </cell>
        </row>
        <row r="1084">
          <cell r="J1084" t="str">
            <v>42-05-02-01-1076</v>
          </cell>
          <cell r="K1084" t="str">
            <v>42-582</v>
          </cell>
          <cell r="L1084" t="str">
            <v>42-05-02-01-1076</v>
          </cell>
          <cell r="M1084" t="str">
            <v>Pesa marca Ispana 55-136 Mod. BH 15</v>
          </cell>
          <cell r="N1084">
            <v>1</v>
          </cell>
          <cell r="O1084" t="str">
            <v>EQUIPOS CLINICOS</v>
          </cell>
          <cell r="P1084">
            <v>165000</v>
          </cell>
          <cell r="U1084" t="str">
            <v>R</v>
          </cell>
        </row>
        <row r="1085">
          <cell r="J1085" t="str">
            <v>42-05-01-01-1077</v>
          </cell>
          <cell r="K1085" t="str">
            <v>42-592</v>
          </cell>
          <cell r="L1085" t="str">
            <v>42-05-01-01-1077</v>
          </cell>
          <cell r="M1085" t="str">
            <v>Extractor de aire marca Aerolite</v>
          </cell>
          <cell r="O1085" t="str">
            <v>EQUIPO DE OFICINA</v>
          </cell>
          <cell r="P1085">
            <v>25000</v>
          </cell>
          <cell r="T1085" t="str">
            <v>Bueno</v>
          </cell>
          <cell r="U1085" t="str">
            <v>Aerolite</v>
          </cell>
        </row>
        <row r="1086">
          <cell r="J1086" t="str">
            <v>42-04-04-00-1078</v>
          </cell>
          <cell r="K1086" t="str">
            <v>42-1288</v>
          </cell>
          <cell r="L1086" t="str">
            <v>42-04-04-00-1078</v>
          </cell>
          <cell r="M1086" t="str">
            <v>Campana extractora de aire marca Fensa FX60-3</v>
          </cell>
          <cell r="O1086" t="str">
            <v>MUEBLES DE COCINA</v>
          </cell>
          <cell r="P1086">
            <v>392700</v>
          </cell>
          <cell r="T1086" t="str">
            <v>Bueno</v>
          </cell>
          <cell r="U1086" t="str">
            <v>Fensa</v>
          </cell>
        </row>
        <row r="1087">
          <cell r="J1087" t="str">
            <v>42-05-02-02-1079</v>
          </cell>
          <cell r="K1087" t="str">
            <v>42-1287</v>
          </cell>
          <cell r="L1087" t="str">
            <v>42-05-02-02-1079</v>
          </cell>
          <cell r="M1087" t="str">
            <v>Cocina a gas marca Fensa FCC-1450</v>
          </cell>
          <cell r="O1087" t="str">
            <v>EQUIPOS DE COCINA</v>
          </cell>
          <cell r="P1087">
            <v>128520</v>
          </cell>
          <cell r="T1087" t="str">
            <v>Bueno</v>
          </cell>
          <cell r="U1087" t="str">
            <v>Fensa</v>
          </cell>
        </row>
        <row r="1088">
          <cell r="J1088" t="str">
            <v>42-05-01-01-1080</v>
          </cell>
          <cell r="K1088" t="str">
            <v>42-584</v>
          </cell>
          <cell r="L1088" t="str">
            <v>42-05-01-01-1080</v>
          </cell>
          <cell r="M1088" t="str">
            <v>Refrigerador Fensa, 7 pies</v>
          </cell>
          <cell r="O1088" t="str">
            <v>EQUIPO DE OFICINA</v>
          </cell>
          <cell r="P1088">
            <v>238559</v>
          </cell>
          <cell r="T1088" t="str">
            <v>Bueno</v>
          </cell>
          <cell r="U1088" t="str">
            <v>Fensa</v>
          </cell>
        </row>
        <row r="1089">
          <cell r="J1089" t="str">
            <v>42-05-02-01-1081</v>
          </cell>
          <cell r="K1089" t="str">
            <v>42-2888</v>
          </cell>
          <cell r="L1089" t="str">
            <v>42-05-02-01-1081</v>
          </cell>
          <cell r="M1089" t="str">
            <v>Esterilizador marca LAB Line LCO Ven</v>
          </cell>
          <cell r="O1089" t="str">
            <v>EQUIPOS CLINICOS</v>
          </cell>
          <cell r="P1089">
            <v>118198</v>
          </cell>
          <cell r="T1089" t="str">
            <v>Bueno</v>
          </cell>
          <cell r="U1089" t="str">
            <v>Lab Line</v>
          </cell>
        </row>
        <row r="1090">
          <cell r="J1090" t="str">
            <v>42-05-02-01-1082</v>
          </cell>
          <cell r="K1090">
            <v>42585</v>
          </cell>
          <cell r="L1090" t="str">
            <v>42-05-02-01-1082</v>
          </cell>
          <cell r="M1090" t="str">
            <v>Pupinel para esterilizar mamaderas en acero inox. 50x30x40 cms.</v>
          </cell>
          <cell r="O1090" t="str">
            <v>EQUIPOS CLINICOS</v>
          </cell>
          <cell r="P1090">
            <v>123512</v>
          </cell>
          <cell r="T1090" t="str">
            <v>Bueno</v>
          </cell>
          <cell r="U1090" t="str">
            <v>N/T</v>
          </cell>
        </row>
        <row r="1091">
          <cell r="J1091" t="str">
            <v>42-04-02-00-1083</v>
          </cell>
          <cell r="K1091" t="str">
            <v>42-586</v>
          </cell>
          <cell r="L1091" t="str">
            <v>42-04-02-00-1083</v>
          </cell>
          <cell r="M1091" t="str">
            <v>Silla mixta color beige</v>
          </cell>
          <cell r="O1091" t="str">
            <v>SILLAS</v>
          </cell>
          <cell r="P1091">
            <v>6902</v>
          </cell>
          <cell r="T1091" t="str">
            <v>Bueno</v>
          </cell>
          <cell r="U1091" t="str">
            <v>N/T</v>
          </cell>
        </row>
        <row r="1092">
          <cell r="J1092" t="str">
            <v>42-04-02-00-1084</v>
          </cell>
          <cell r="K1092" t="str">
            <v>42-1612</v>
          </cell>
          <cell r="L1092" t="str">
            <v>42-04-02-00-1084</v>
          </cell>
          <cell r="M1092" t="str">
            <v>Silla computación con apoya brazos 5 ruedas color azul</v>
          </cell>
          <cell r="O1092" t="str">
            <v>SILLAS</v>
          </cell>
          <cell r="P1092">
            <v>42500</v>
          </cell>
          <cell r="T1092" t="str">
            <v>Bueno</v>
          </cell>
          <cell r="U1092" t="str">
            <v>N/T</v>
          </cell>
        </row>
        <row r="1093">
          <cell r="J1093" t="str">
            <v>42-04-04-00-1085</v>
          </cell>
          <cell r="K1093" t="str">
            <v>42-589</v>
          </cell>
          <cell r="L1093" t="str">
            <v>42-04-04-00-1085</v>
          </cell>
          <cell r="M1093" t="str">
            <v xml:space="preserve">Mueble de macisa blanco con 5 puertas con lavaplatos acero inox. Con llave de combinación </v>
          </cell>
          <cell r="O1093" t="str">
            <v>MUEBLES DE COCINA</v>
          </cell>
          <cell r="P1093">
            <v>89000</v>
          </cell>
          <cell r="T1093" t="str">
            <v>Bueno</v>
          </cell>
          <cell r="U1093" t="str">
            <v>N/T</v>
          </cell>
        </row>
        <row r="1094">
          <cell r="J1094" t="str">
            <v>42-04-06-00-1086</v>
          </cell>
          <cell r="K1094" t="str">
            <v>42-589B</v>
          </cell>
          <cell r="L1094" t="str">
            <v>42-04-06-00-1086</v>
          </cell>
          <cell r="M1094" t="str">
            <v>Mueble mural de macisa blanco 6 puertas</v>
          </cell>
          <cell r="O1094" t="str">
            <v>REPISA</v>
          </cell>
          <cell r="P1094">
            <v>425500</v>
          </cell>
          <cell r="T1094" t="str">
            <v>Bueno</v>
          </cell>
          <cell r="U1094" t="str">
            <v>N/T</v>
          </cell>
        </row>
        <row r="1095">
          <cell r="J1095" t="str">
            <v>42-04-04-00-1087</v>
          </cell>
          <cell r="K1095" t="str">
            <v>42-590</v>
          </cell>
          <cell r="L1095" t="str">
            <v>42-04-04-00-1087</v>
          </cell>
          <cell r="M1095" t="str">
            <v>Mueble de macisa blanco 5 puertas con lavaplatos acero inox. marca Fensa con llave de combinación</v>
          </cell>
          <cell r="O1095" t="str">
            <v>MUEBLES DE COCINA</v>
          </cell>
          <cell r="P1095">
            <v>79000</v>
          </cell>
          <cell r="T1095" t="str">
            <v>Bueno</v>
          </cell>
          <cell r="U1095" t="str">
            <v>N/T</v>
          </cell>
        </row>
        <row r="1096">
          <cell r="J1096" t="str">
            <v>42-05-02-01-1088</v>
          </cell>
          <cell r="K1096" t="str">
            <v>42-587</v>
          </cell>
          <cell r="L1096" t="str">
            <v>42-05-02-01-1088</v>
          </cell>
          <cell r="M1096" t="str">
            <v>Carro de curaciones de acero inoxidable</v>
          </cell>
          <cell r="O1096" t="str">
            <v>EQUIPOS CLINICOS</v>
          </cell>
          <cell r="P1096">
            <v>95648</v>
          </cell>
          <cell r="T1096" t="str">
            <v>Bueno</v>
          </cell>
          <cell r="U1096" t="str">
            <v>N/T</v>
          </cell>
        </row>
        <row r="1097">
          <cell r="J1097" t="str">
            <v>42-04-01-00-1089</v>
          </cell>
          <cell r="K1097" t="str">
            <v>42-588</v>
          </cell>
          <cell r="L1097" t="str">
            <v>42-04-01-00-1089</v>
          </cell>
          <cell r="M1097" t="str">
            <v>Mesa para instrumental metálica color blanco</v>
          </cell>
          <cell r="O1097" t="str">
            <v>MESAS</v>
          </cell>
          <cell r="P1097">
            <v>68110</v>
          </cell>
          <cell r="T1097" t="str">
            <v>Bueno</v>
          </cell>
          <cell r="U1097" t="str">
            <v>N/T</v>
          </cell>
        </row>
        <row r="1098">
          <cell r="J1098" t="str">
            <v>42-05-02-01-1090</v>
          </cell>
          <cell r="K1098" t="str">
            <v>42-2051</v>
          </cell>
          <cell r="L1098" t="str">
            <v>42-05-02-01-1090</v>
          </cell>
          <cell r="M1098" t="str">
            <v>Pesa digital marca Bozzo Mod. ECO 30</v>
          </cell>
          <cell r="O1098" t="str">
            <v>EQUIPOS CLINICOS</v>
          </cell>
          <cell r="P1098">
            <v>80000</v>
          </cell>
          <cell r="T1098" t="str">
            <v>Bueno</v>
          </cell>
          <cell r="U1098" t="str">
            <v>Bozzo</v>
          </cell>
        </row>
        <row r="1099">
          <cell r="J1099" t="str">
            <v>42-04-07-00-1091</v>
          </cell>
          <cell r="K1099" t="str">
            <v>42-583</v>
          </cell>
          <cell r="L1099" t="str">
            <v>42-04-07-00-1091</v>
          </cell>
          <cell r="M1099" t="str">
            <v>Pesa capacidad 5 Kgs.</v>
          </cell>
          <cell r="N1099">
            <v>1</v>
          </cell>
          <cell r="O1099" t="str">
            <v>OTROS</v>
          </cell>
          <cell r="P1099">
            <v>90000</v>
          </cell>
          <cell r="T1099" t="str">
            <v>Bueno</v>
          </cell>
          <cell r="U1099" t="str">
            <v>N/T</v>
          </cell>
        </row>
        <row r="1100">
          <cell r="J1100" t="str">
            <v>42-05-01-01-1092</v>
          </cell>
          <cell r="K1100" t="str">
            <v>42-1805</v>
          </cell>
          <cell r="L1100" t="str">
            <v>42-05-01-01-1092</v>
          </cell>
          <cell r="M1100" t="str">
            <v>Televisor Phillips 14" HC054059</v>
          </cell>
          <cell r="O1100" t="str">
            <v>EQUIPO DE OFICINA</v>
          </cell>
          <cell r="P1100">
            <v>87000</v>
          </cell>
          <cell r="T1100" t="str">
            <v>Bueno</v>
          </cell>
          <cell r="U1100" t="str">
            <v>Phillips.</v>
          </cell>
        </row>
        <row r="1101">
          <cell r="J1101" t="str">
            <v>42-06-01-00-1093</v>
          </cell>
          <cell r="K1101" t="str">
            <v>42-1874</v>
          </cell>
          <cell r="L1101" t="str">
            <v>42-06-01-00-1093</v>
          </cell>
          <cell r="M1101" t="str">
            <v>Computador Intel P4</v>
          </cell>
          <cell r="O1101" t="str">
            <v>EQUIPOS COMPUTACIONALES Y PERIFÉRICOS</v>
          </cell>
          <cell r="P1101">
            <v>250000</v>
          </cell>
          <cell r="T1101" t="str">
            <v>Bueno</v>
          </cell>
          <cell r="U1101" t="str">
            <v>Intel</v>
          </cell>
        </row>
        <row r="1102">
          <cell r="J1102" t="str">
            <v>42-06-01-00-1094</v>
          </cell>
          <cell r="K1102" t="str">
            <v>42-2463</v>
          </cell>
          <cell r="L1102" t="str">
            <v>42-06-01-00-1094</v>
          </cell>
          <cell r="M1102" t="str">
            <v>Monitor Samsung Mod. Sync Master 591s LB 15HMBY307541F</v>
          </cell>
          <cell r="O1102" t="str">
            <v>EQUIPOS COMPUTACIONALES Y PERIFÉRICOS</v>
          </cell>
          <cell r="P1102">
            <v>14000</v>
          </cell>
          <cell r="T1102" t="str">
            <v>Bueno</v>
          </cell>
          <cell r="U1102" t="str">
            <v>Samsung</v>
          </cell>
        </row>
        <row r="1103">
          <cell r="J1103" t="str">
            <v>42-06-01-00-1095</v>
          </cell>
          <cell r="K1103" t="str">
            <v>42-2464</v>
          </cell>
          <cell r="L1103" t="str">
            <v>42-06-01-00-1095</v>
          </cell>
          <cell r="M1103" t="str">
            <v>Teclado Aopen S/N° 50424536</v>
          </cell>
          <cell r="O1103" t="str">
            <v>EQUIPOS COMPUTACIONALES Y PERIFÉRICOS</v>
          </cell>
          <cell r="P1103">
            <v>4000</v>
          </cell>
          <cell r="T1103" t="str">
            <v>Bueno</v>
          </cell>
          <cell r="U1103" t="str">
            <v>Aopen</v>
          </cell>
        </row>
        <row r="1104">
          <cell r="J1104" t="str">
            <v>42-06-01-00-1096</v>
          </cell>
          <cell r="K1104" t="str">
            <v>42-3179</v>
          </cell>
          <cell r="L1104" t="str">
            <v>42-06-01-00-1096</v>
          </cell>
          <cell r="M1104" t="str">
            <v>Mouse optico HQ</v>
          </cell>
          <cell r="O1104" t="str">
            <v>EQUIPOS COMPUTACIONALES Y PERIFÉRICOS</v>
          </cell>
          <cell r="P1104">
            <v>3000</v>
          </cell>
          <cell r="T1104" t="str">
            <v>Bueno</v>
          </cell>
          <cell r="U1104" t="str">
            <v>Optico</v>
          </cell>
        </row>
        <row r="1105">
          <cell r="J1105" t="str">
            <v>42-05-01-01-1097</v>
          </cell>
          <cell r="K1105" t="str">
            <v>42-3386</v>
          </cell>
          <cell r="L1105" t="str">
            <v>42-05-01-01-1097</v>
          </cell>
          <cell r="M1105" t="str">
            <v>Calefactor Somela Mod. 2010 S/Nº 02-97</v>
          </cell>
          <cell r="O1105" t="str">
            <v>EQUIPO DE OFICINA</v>
          </cell>
          <cell r="P1105">
            <v>30000</v>
          </cell>
          <cell r="T1105" t="str">
            <v>Bueno</v>
          </cell>
          <cell r="U1105" t="str">
            <v>Somela</v>
          </cell>
        </row>
        <row r="1106">
          <cell r="J1106" t="str">
            <v>42-04-07-00-1098</v>
          </cell>
          <cell r="K1106" t="str">
            <v>42-1814</v>
          </cell>
          <cell r="L1106" t="str">
            <v>42-04-07-00-1098</v>
          </cell>
          <cell r="M1106" t="str">
            <v>Bergere en cuerina color negro con apoya brazos madera color natural</v>
          </cell>
          <cell r="O1106" t="str">
            <v>OTROS</v>
          </cell>
          <cell r="P1106">
            <v>244912</v>
          </cell>
          <cell r="T1106" t="str">
            <v>Bueno</v>
          </cell>
          <cell r="U1106" t="str">
            <v>B</v>
          </cell>
        </row>
        <row r="1107">
          <cell r="J1107" t="str">
            <v>42-04-07-00-1099</v>
          </cell>
          <cell r="K1107" t="str">
            <v>42-1675</v>
          </cell>
          <cell r="L1107" t="str">
            <v>42-04-07-00-1099</v>
          </cell>
          <cell r="M1107" t="str">
            <v>Diván cama 1 1/2 plaza en pino oregón, 5 cajones con llave</v>
          </cell>
          <cell r="O1107" t="str">
            <v>OTROS</v>
          </cell>
          <cell r="P1107">
            <v>150000</v>
          </cell>
          <cell r="T1107" t="str">
            <v>Bueno</v>
          </cell>
          <cell r="U1107" t="str">
            <v>Divan</v>
          </cell>
        </row>
        <row r="1108">
          <cell r="J1108" t="str">
            <v>42-04-03-00-1100</v>
          </cell>
          <cell r="K1108" t="str">
            <v>42-3383</v>
          </cell>
          <cell r="L1108" t="str">
            <v>42-04-03-00-1100</v>
          </cell>
          <cell r="M1108" t="str">
            <v>Escritorio madera 2 cajones</v>
          </cell>
          <cell r="O1108" t="str">
            <v>ESCRITORIOS</v>
          </cell>
          <cell r="P1108">
            <v>70500</v>
          </cell>
          <cell r="T1108" t="str">
            <v>Bueno</v>
          </cell>
          <cell r="U1108" t="str">
            <v>N/T</v>
          </cell>
        </row>
        <row r="1109">
          <cell r="J1109" t="str">
            <v>42-04-03-00-1101</v>
          </cell>
          <cell r="K1109" t="str">
            <v>42-601</v>
          </cell>
          <cell r="L1109" t="str">
            <v>42-04-03-00-1101</v>
          </cell>
          <cell r="M1109" t="str">
            <v>Escritorio madera con 1 cajon y 1 compartimiento</v>
          </cell>
          <cell r="O1109" t="str">
            <v>ESCRITORIOS</v>
          </cell>
          <cell r="P1109">
            <v>90000</v>
          </cell>
          <cell r="T1109" t="str">
            <v>Bueno</v>
          </cell>
          <cell r="U1109" t="str">
            <v>N/T</v>
          </cell>
        </row>
        <row r="1110">
          <cell r="J1110" t="str">
            <v>42-04-06-00-1102</v>
          </cell>
          <cell r="K1110" t="str">
            <v>42-3384</v>
          </cell>
          <cell r="L1110" t="str">
            <v>42-04-06-00-1102</v>
          </cell>
          <cell r="M1110" t="str">
            <v>Repisa masisa enchapada eucaliptus, 2 compartimentos</v>
          </cell>
          <cell r="O1110" t="str">
            <v>REPISA</v>
          </cell>
          <cell r="P1110">
            <v>85161</v>
          </cell>
          <cell r="T1110" t="str">
            <v>Bueno</v>
          </cell>
          <cell r="U1110" t="str">
            <v>N/T</v>
          </cell>
        </row>
        <row r="1111">
          <cell r="J1111" t="str">
            <v>42-04-02-00-1103</v>
          </cell>
          <cell r="K1111" t="str">
            <v>42-3385</v>
          </cell>
          <cell r="L1111" t="str">
            <v>42-04-02-00-1103</v>
          </cell>
          <cell r="M1111" t="str">
            <v>Silla computación, 5 ruedas color GRIS</v>
          </cell>
          <cell r="O1111" t="str">
            <v>SILLAS</v>
          </cell>
          <cell r="P1111">
            <v>42564</v>
          </cell>
          <cell r="T1111" t="str">
            <v>Bueno</v>
          </cell>
          <cell r="U1111" t="str">
            <v>N/T</v>
          </cell>
        </row>
        <row r="1112">
          <cell r="J1112" t="str">
            <v>42-04-07-00-1104</v>
          </cell>
          <cell r="K1112" t="str">
            <v>42-1678</v>
          </cell>
          <cell r="L1112" t="str">
            <v>42-04-07-00-1104</v>
          </cell>
          <cell r="M1112" t="str">
            <v>Velador de madera 40x30x55 cms</v>
          </cell>
          <cell r="O1112" t="str">
            <v>OTROS</v>
          </cell>
          <cell r="P1112">
            <v>20895</v>
          </cell>
          <cell r="T1112" t="str">
            <v>Bueno</v>
          </cell>
          <cell r="U1112" t="str">
            <v>N/T</v>
          </cell>
        </row>
        <row r="1113">
          <cell r="J1113" t="str">
            <v>42-04-07-00-1105</v>
          </cell>
          <cell r="K1113" t="str">
            <v>42-602</v>
          </cell>
          <cell r="L1113" t="str">
            <v>42-04-07-00-1105</v>
          </cell>
          <cell r="M1113" t="str">
            <v>Velador metálico cubierta de formalita, 1 cajón, 1 puerta de 40x90x50 cms.</v>
          </cell>
          <cell r="O1113" t="str">
            <v>OTROS</v>
          </cell>
          <cell r="P1113">
            <v>24895</v>
          </cell>
          <cell r="T1113" t="str">
            <v>Bueno</v>
          </cell>
          <cell r="U1113" t="str">
            <v>N/T</v>
          </cell>
        </row>
        <row r="1114">
          <cell r="J1114" t="str">
            <v>42-04-07-00-1106</v>
          </cell>
          <cell r="K1114" t="str">
            <v>42-2739</v>
          </cell>
          <cell r="L1114" t="str">
            <v>42-04-07-00-1106</v>
          </cell>
          <cell r="M1114" t="str">
            <v>Caja para guardar llaves, 12 ganchos con puerta de vidrio</v>
          </cell>
          <cell r="O1114" t="str">
            <v>OTROS</v>
          </cell>
          <cell r="P1114">
            <v>15000</v>
          </cell>
          <cell r="T1114" t="str">
            <v>Bueno</v>
          </cell>
          <cell r="U1114" t="str">
            <v>N/T</v>
          </cell>
        </row>
        <row r="1115">
          <cell r="J1115" t="str">
            <v>42-04-07-00-1107</v>
          </cell>
          <cell r="K1115" t="str">
            <v>42-2737</v>
          </cell>
          <cell r="L1115" t="str">
            <v>42-04-07-00-1107</v>
          </cell>
          <cell r="M1115" t="str">
            <v>Mural plumavit con marco madera</v>
          </cell>
          <cell r="O1115" t="str">
            <v>OTROS</v>
          </cell>
          <cell r="P1115">
            <v>25360</v>
          </cell>
          <cell r="T1115" t="str">
            <v>Bueno</v>
          </cell>
          <cell r="U1115" t="str">
            <v>N/T</v>
          </cell>
        </row>
        <row r="1116">
          <cell r="J1116" t="str">
            <v>42-05-02-03-1108</v>
          </cell>
          <cell r="K1116" t="str">
            <v>42-2744</v>
          </cell>
          <cell r="L1116" t="str">
            <v>42-05-02-03-1108</v>
          </cell>
          <cell r="M1116" t="str">
            <v>Radio comunicación Motorola Pro 3150 Mod. LAH34KDC9AA1AN 422TAUJ714S/Nª 422TAUJ714</v>
          </cell>
          <cell r="O1116" t="str">
            <v>EQUIPOS DE COMUNICACIÓN</v>
          </cell>
          <cell r="P1116">
            <v>107100</v>
          </cell>
          <cell r="T1116" t="str">
            <v>Bueno</v>
          </cell>
          <cell r="U1116" t="str">
            <v>Motorola</v>
          </cell>
        </row>
        <row r="1117">
          <cell r="J1117" t="str">
            <v>42-05-02-03-1109</v>
          </cell>
          <cell r="K1117" t="str">
            <v>42-3212</v>
          </cell>
          <cell r="L1117" t="str">
            <v>42-05-02-03-1109</v>
          </cell>
          <cell r="M1117" t="str">
            <v>Cargador de pilas Motorola Mod. PMTN4034A S/N 0196PDH10</v>
          </cell>
          <cell r="O1117" t="str">
            <v>EQUIPOS DE COMUNICACIÓN</v>
          </cell>
          <cell r="P1117">
            <v>120000</v>
          </cell>
          <cell r="T1117" t="str">
            <v>Bueno</v>
          </cell>
          <cell r="U1117" t="str">
            <v>Motorola</v>
          </cell>
        </row>
        <row r="1118">
          <cell r="J1118" t="str">
            <v>42-04-02-00-1110</v>
          </cell>
          <cell r="K1118" t="str">
            <v>42-2570</v>
          </cell>
          <cell r="L1118" t="str">
            <v>42-04-02-00-1110</v>
          </cell>
          <cell r="M1118" t="str">
            <v>Silla mixta</v>
          </cell>
          <cell r="O1118" t="str">
            <v>SILLAS</v>
          </cell>
          <cell r="P1118">
            <v>6902</v>
          </cell>
          <cell r="T1118" t="str">
            <v>Bueno</v>
          </cell>
          <cell r="U1118" t="str">
            <v>N/T</v>
          </cell>
        </row>
        <row r="1119">
          <cell r="J1119" t="str">
            <v>42-04-04-00-1111</v>
          </cell>
          <cell r="K1119" t="str">
            <v>42-2332</v>
          </cell>
          <cell r="L1119" t="str">
            <v>42-04-04-00-1111</v>
          </cell>
          <cell r="M1119" t="str">
            <v>Mueble melamina blanco c/ lavamanos Fanaloza c/ llave combinación, 3 puertas</v>
          </cell>
          <cell r="O1119" t="str">
            <v>MUEBLES DE COCINA</v>
          </cell>
          <cell r="P1119">
            <v>89000</v>
          </cell>
          <cell r="T1119" t="str">
            <v>Bueno</v>
          </cell>
          <cell r="U1119" t="str">
            <v>N/T</v>
          </cell>
        </row>
        <row r="1120">
          <cell r="J1120" t="str">
            <v>42-04-06-00-1112</v>
          </cell>
          <cell r="K1120" t="str">
            <v>42-2335</v>
          </cell>
          <cell r="L1120" t="str">
            <v>42-04-06-00-1112</v>
          </cell>
          <cell r="M1120" t="str">
            <v>Repisa masisa con soportes metálicos, 1 compartimento 140 x 35 cms.</v>
          </cell>
          <cell r="O1120" t="str">
            <v>REPISA</v>
          </cell>
          <cell r="P1120">
            <v>40000</v>
          </cell>
          <cell r="T1120" t="str">
            <v>Bueno</v>
          </cell>
          <cell r="U1120" t="str">
            <v>N/T</v>
          </cell>
        </row>
        <row r="1121">
          <cell r="J1121" t="str">
            <v>42-04-06-00-1113</v>
          </cell>
          <cell r="K1121" t="str">
            <v>42-2336</v>
          </cell>
          <cell r="L1121" t="str">
            <v>42-04-06-00-1113</v>
          </cell>
          <cell r="M1121" t="str">
            <v>Repisa metálica c/ melamina blanca c/ 4 compartimentos 252x112x200 cm.</v>
          </cell>
          <cell r="O1121" t="str">
            <v>REPISA</v>
          </cell>
          <cell r="P1121">
            <v>79000</v>
          </cell>
          <cell r="T1121" t="str">
            <v>Bueno</v>
          </cell>
          <cell r="U1121" t="str">
            <v>N/T</v>
          </cell>
        </row>
        <row r="1122">
          <cell r="J1122" t="str">
            <v>42-04-06-00-1114</v>
          </cell>
          <cell r="K1122" t="str">
            <v>42-2889</v>
          </cell>
          <cell r="L1122" t="str">
            <v>42-04-06-00-1114</v>
          </cell>
          <cell r="M1122" t="str">
            <v>Repisa melamina blanca con soportes metálicos 250x40 cms.</v>
          </cell>
          <cell r="O1122" t="str">
            <v>REPISA</v>
          </cell>
          <cell r="P1122">
            <v>43445</v>
          </cell>
          <cell r="T1122" t="str">
            <v>Bueno</v>
          </cell>
          <cell r="U1122" t="str">
            <v>N/T</v>
          </cell>
        </row>
        <row r="1123">
          <cell r="J1123" t="str">
            <v>42-04-06-00-1115</v>
          </cell>
          <cell r="K1123" t="str">
            <v>42-2571</v>
          </cell>
          <cell r="L1123" t="str">
            <v>42-04-06-00-1115</v>
          </cell>
          <cell r="M1123" t="str">
            <v>Repisa melamina blanca con soportes metálicos 250x40 cms.</v>
          </cell>
          <cell r="O1123" t="str">
            <v>REPISA</v>
          </cell>
          <cell r="P1123">
            <v>43445</v>
          </cell>
          <cell r="T1123" t="str">
            <v>Bueno</v>
          </cell>
          <cell r="U1123" t="str">
            <v>N/T</v>
          </cell>
        </row>
        <row r="1124">
          <cell r="J1124" t="str">
            <v>42-04-06-00-1116</v>
          </cell>
          <cell r="K1124" t="str">
            <v>42-2572</v>
          </cell>
          <cell r="L1124" t="str">
            <v>42-04-06-00-1116</v>
          </cell>
          <cell r="M1124" t="str">
            <v>Repisa melamina blanca con soportes metálicos 250x40 cms.</v>
          </cell>
          <cell r="O1124" t="str">
            <v>REPISA</v>
          </cell>
          <cell r="P1124">
            <v>43445</v>
          </cell>
          <cell r="T1124" t="str">
            <v>Bueno</v>
          </cell>
          <cell r="U1124" t="str">
            <v>N/T</v>
          </cell>
        </row>
        <row r="1125">
          <cell r="J1125" t="str">
            <v>42-04-06-00-1117</v>
          </cell>
          <cell r="K1125" t="str">
            <v>42-2574</v>
          </cell>
          <cell r="L1125" t="str">
            <v>42-04-06-00-1117</v>
          </cell>
          <cell r="M1125" t="str">
            <v>Repisa melamina blanca con soportes metálicos 250x30 cms.</v>
          </cell>
          <cell r="O1125" t="str">
            <v>REPISA</v>
          </cell>
          <cell r="P1125">
            <v>43445</v>
          </cell>
          <cell r="T1125" t="str">
            <v>Bueno</v>
          </cell>
          <cell r="U1125" t="str">
            <v>N/T</v>
          </cell>
        </row>
        <row r="1126">
          <cell r="J1126" t="str">
            <v>42-04-06-00-1118</v>
          </cell>
          <cell r="K1126" t="str">
            <v>42-2576</v>
          </cell>
          <cell r="L1126" t="str">
            <v>42-04-06-00-1118</v>
          </cell>
          <cell r="M1126" t="str">
            <v>Repisa melamina blanca con soportes metálicos 250x30 cms.</v>
          </cell>
          <cell r="O1126" t="str">
            <v>REPISA</v>
          </cell>
          <cell r="P1126">
            <v>43445</v>
          </cell>
          <cell r="T1126" t="str">
            <v>Bueno</v>
          </cell>
          <cell r="U1126" t="str">
            <v>N/T</v>
          </cell>
        </row>
        <row r="1127">
          <cell r="J1127" t="str">
            <v>42-04-06-00-1119</v>
          </cell>
          <cell r="K1127" t="str">
            <v>42-2577</v>
          </cell>
          <cell r="L1127" t="str">
            <v>42-04-06-00-1119</v>
          </cell>
          <cell r="M1127" t="str">
            <v>Repisa melamina blanca con soportes metálicos 250x30 cms.</v>
          </cell>
          <cell r="O1127" t="str">
            <v>REPISA</v>
          </cell>
          <cell r="P1127">
            <v>43445</v>
          </cell>
          <cell r="T1127" t="str">
            <v>Bueno</v>
          </cell>
          <cell r="U1127" t="str">
            <v>N/T</v>
          </cell>
        </row>
        <row r="1128">
          <cell r="J1128" t="str">
            <v>42-04-06-00-1120</v>
          </cell>
          <cell r="K1128" t="str">
            <v>42-2578</v>
          </cell>
          <cell r="L1128" t="str">
            <v>42-04-06-00-1120</v>
          </cell>
          <cell r="M1128" t="str">
            <v>Repisa melamina blanca con soportes metálicos 250x30 cms.</v>
          </cell>
          <cell r="O1128" t="str">
            <v>REPISA</v>
          </cell>
          <cell r="P1128">
            <v>43445</v>
          </cell>
          <cell r="T1128" t="str">
            <v>Bueno</v>
          </cell>
          <cell r="U1128" t="str">
            <v>N/T</v>
          </cell>
        </row>
        <row r="1129">
          <cell r="J1129" t="str">
            <v>42-04-06-00-1121</v>
          </cell>
          <cell r="K1129" t="str">
            <v>42-2579</v>
          </cell>
          <cell r="L1129" t="str">
            <v>42-04-06-00-1121</v>
          </cell>
          <cell r="M1129" t="str">
            <v>Repisa melamina blanca con soportes metálicos 250x30 cms.</v>
          </cell>
          <cell r="O1129" t="str">
            <v>REPISA</v>
          </cell>
          <cell r="P1129">
            <v>43445</v>
          </cell>
          <cell r="T1129" t="str">
            <v>Bueno</v>
          </cell>
          <cell r="U1129" t="str">
            <v>N/T</v>
          </cell>
        </row>
        <row r="1130">
          <cell r="J1130" t="str">
            <v>42-04-06-00-1122</v>
          </cell>
          <cell r="K1130" t="str">
            <v>42-2580</v>
          </cell>
          <cell r="L1130" t="str">
            <v>42-04-06-00-1122</v>
          </cell>
          <cell r="M1130" t="str">
            <v>Repisa melamina blanca con soportes metálicos 250x30 cms.</v>
          </cell>
          <cell r="O1130" t="str">
            <v>REPISA</v>
          </cell>
          <cell r="P1130">
            <v>43445</v>
          </cell>
          <cell r="T1130" t="str">
            <v>Bueno</v>
          </cell>
          <cell r="U1130" t="str">
            <v>N/T</v>
          </cell>
        </row>
        <row r="1131">
          <cell r="J1131" t="str">
            <v>42-04-06-00-1123</v>
          </cell>
          <cell r="K1131" t="str">
            <v>42-2581</v>
          </cell>
          <cell r="L1131" t="str">
            <v>42-04-06-00-1123</v>
          </cell>
          <cell r="M1131" t="str">
            <v>Repisa melamina blanca con soportes metálicos 250x30 cms.</v>
          </cell>
          <cell r="O1131" t="str">
            <v>REPISA</v>
          </cell>
          <cell r="P1131">
            <v>43445</v>
          </cell>
          <cell r="T1131" t="str">
            <v>Bueno</v>
          </cell>
          <cell r="U1131" t="str">
            <v>N/T</v>
          </cell>
        </row>
        <row r="1132">
          <cell r="J1132" t="str">
            <v>42-04-06-00-1124</v>
          </cell>
          <cell r="K1132" t="str">
            <v>42-2582</v>
          </cell>
          <cell r="L1132" t="str">
            <v>42-04-06-00-1124</v>
          </cell>
          <cell r="M1132" t="str">
            <v>Repisa melamina blanca con soportes metálicos 250x30 cms.</v>
          </cell>
          <cell r="O1132" t="str">
            <v>REPISA</v>
          </cell>
          <cell r="P1132">
            <v>43445</v>
          </cell>
          <cell r="T1132" t="str">
            <v>Bueno</v>
          </cell>
          <cell r="U1132" t="str">
            <v>N/T</v>
          </cell>
        </row>
        <row r="1133">
          <cell r="J1133" t="str">
            <v>42-04-06-00-1125</v>
          </cell>
          <cell r="K1133" t="str">
            <v>42-2583</v>
          </cell>
          <cell r="L1133" t="str">
            <v>42-04-06-00-1125</v>
          </cell>
          <cell r="M1133" t="str">
            <v>Repisa melamina blanca con soportes metálicos 250x30 cms.</v>
          </cell>
          <cell r="O1133" t="str">
            <v>REPISA</v>
          </cell>
          <cell r="P1133">
            <v>43445</v>
          </cell>
          <cell r="T1133" t="str">
            <v>Bueno</v>
          </cell>
          <cell r="U1133" t="str">
            <v>N/T</v>
          </cell>
        </row>
        <row r="1134">
          <cell r="J1134" t="str">
            <v>42-04-06-00-1126</v>
          </cell>
          <cell r="K1134" t="str">
            <v>42-2584</v>
          </cell>
          <cell r="L1134" t="str">
            <v>42-04-06-00-1126</v>
          </cell>
          <cell r="M1134" t="str">
            <v>Repisa melamina blanca con soportes metálicos 250x30 cms.</v>
          </cell>
          <cell r="O1134" t="str">
            <v>REPISA</v>
          </cell>
          <cell r="P1134">
            <v>43445</v>
          </cell>
          <cell r="T1134" t="str">
            <v>Bueno</v>
          </cell>
          <cell r="U1134" t="str">
            <v>N/T</v>
          </cell>
        </row>
        <row r="1135">
          <cell r="J1135" t="str">
            <v>42-04-06-00-1127</v>
          </cell>
          <cell r="K1135" t="str">
            <v>42-2337</v>
          </cell>
          <cell r="L1135" t="str">
            <v>42-04-06-00-1127</v>
          </cell>
          <cell r="M1135" t="str">
            <v>Repisa madera c/ soportes metálicos, 4 compartimentos 232x71 cms.</v>
          </cell>
          <cell r="O1135" t="str">
            <v>REPISA</v>
          </cell>
          <cell r="P1135">
            <v>47200</v>
          </cell>
          <cell r="T1135" t="str">
            <v>Bueno</v>
          </cell>
          <cell r="U1135" t="str">
            <v>N/T</v>
          </cell>
        </row>
        <row r="1136">
          <cell r="J1136" t="str">
            <v>42-04-06-00-1128</v>
          </cell>
          <cell r="K1136" t="str">
            <v>42-1812</v>
          </cell>
          <cell r="L1136" t="str">
            <v>42-04-06-00-1128</v>
          </cell>
          <cell r="M1136" t="str">
            <v>Mueble melamina blanco con 10 cajones, 5 puertas.</v>
          </cell>
          <cell r="O1136" t="str">
            <v>REPISA</v>
          </cell>
          <cell r="P1136">
            <v>35000</v>
          </cell>
          <cell r="T1136" t="str">
            <v>Bueno</v>
          </cell>
          <cell r="U1136" t="str">
            <v>N/T</v>
          </cell>
        </row>
        <row r="1137">
          <cell r="J1137" t="str">
            <v>42-04-03-00-1129</v>
          </cell>
          <cell r="K1137" t="str">
            <v>42-212</v>
          </cell>
          <cell r="L1137" t="str">
            <v>42-04-03-00-1129</v>
          </cell>
          <cell r="M1137" t="str">
            <v>Comoda escritorio 5 cajones barniz natural 76x45x115 cms.</v>
          </cell>
          <cell r="O1137" t="str">
            <v>ESCRITORIOS</v>
          </cell>
          <cell r="P1137">
            <v>68975</v>
          </cell>
          <cell r="T1137" t="str">
            <v>Bueno</v>
          </cell>
          <cell r="U1137" t="str">
            <v>N/T</v>
          </cell>
        </row>
        <row r="1138">
          <cell r="J1138" t="str">
            <v>42-05-01-01-1130</v>
          </cell>
          <cell r="K1138" t="str">
            <v>42-1950</v>
          </cell>
          <cell r="L1138" t="str">
            <v>42-05-01-01-1130</v>
          </cell>
          <cell r="M1138" t="str">
            <v>Citófono/ teléfono marca Nortel Network, Modelo 7000</v>
          </cell>
          <cell r="O1138" t="str">
            <v>EQUIPO DE OFICINA</v>
          </cell>
          <cell r="P1138">
            <v>36000</v>
          </cell>
          <cell r="T1138" t="str">
            <v>Bueno</v>
          </cell>
          <cell r="U1138" t="str">
            <v>N/T</v>
          </cell>
        </row>
        <row r="1139">
          <cell r="J1139" t="str">
            <v>42-05-01-01-1131</v>
          </cell>
          <cell r="K1139" t="str">
            <v>42-2344</v>
          </cell>
          <cell r="L1139" t="str">
            <v>42-05-01-01-1131</v>
          </cell>
          <cell r="M1139" t="str">
            <v>Radio CD marca Recco modelo RRC158CB</v>
          </cell>
          <cell r="O1139" t="str">
            <v>EQUIPO DE OFICINA</v>
          </cell>
          <cell r="P1139">
            <v>57310</v>
          </cell>
          <cell r="T1139" t="str">
            <v>Bueno</v>
          </cell>
          <cell r="U1139" t="str">
            <v>Recco</v>
          </cell>
        </row>
        <row r="1140">
          <cell r="J1140" t="str">
            <v>42-04-06-00-1132</v>
          </cell>
          <cell r="K1140" t="str">
            <v>42-3350</v>
          </cell>
          <cell r="L1140" t="str">
            <v>42-04-06-00-1132</v>
          </cell>
          <cell r="M1140" t="str">
            <v>Mueble de madera 5 cajones 1 tapa 75x44x114</v>
          </cell>
          <cell r="O1140" t="str">
            <v>REPISA</v>
          </cell>
          <cell r="P1140">
            <v>45000</v>
          </cell>
          <cell r="T1140" t="str">
            <v>Bueno</v>
          </cell>
          <cell r="U1140" t="str">
            <v>N/T</v>
          </cell>
        </row>
        <row r="1141">
          <cell r="J1141" t="str">
            <v>42-04-03-00-1133</v>
          </cell>
          <cell r="K1141" t="str">
            <v>42-3359</v>
          </cell>
          <cell r="L1141" t="str">
            <v>42-04-03-00-1133</v>
          </cell>
          <cell r="M1141" t="str">
            <v>Mueble computador, masisa enchapada eucaliptus, 1 bandeja, 1 cajón, 1 compartimento 120x65x75 cms.</v>
          </cell>
          <cell r="O1141" t="str">
            <v>ESCRITORIOS</v>
          </cell>
          <cell r="P1141">
            <v>89000</v>
          </cell>
          <cell r="T1141" t="str">
            <v>Bueno</v>
          </cell>
          <cell r="U1141" t="str">
            <v>N/T</v>
          </cell>
        </row>
        <row r="1142">
          <cell r="J1142" t="str">
            <v>42-05-02-01-1134</v>
          </cell>
          <cell r="K1142" t="str">
            <v>42-3407</v>
          </cell>
          <cell r="L1142" t="str">
            <v>42-05-02-01-1134</v>
          </cell>
          <cell r="M1142" t="str">
            <v>Test roschach manual interpretacion y laminas</v>
          </cell>
          <cell r="O1142" t="str">
            <v>EQUIPOS CLINICOS</v>
          </cell>
          <cell r="P1142">
            <v>260000</v>
          </cell>
          <cell r="T1142" t="str">
            <v>Bueno</v>
          </cell>
          <cell r="U1142" t="str">
            <v>N/T</v>
          </cell>
        </row>
        <row r="1143">
          <cell r="J1143" t="str">
            <v>42-04-02-00-1135</v>
          </cell>
          <cell r="K1143" t="str">
            <v>42-2003</v>
          </cell>
          <cell r="L1143" t="str">
            <v>42-04-02-00-1135</v>
          </cell>
          <cell r="M1143" t="str">
            <v>Silla Ergonometrica color azul, 5 ruedas ( MEL )</v>
          </cell>
          <cell r="O1143" t="str">
            <v>SILLAS</v>
          </cell>
          <cell r="P1143">
            <v>42400</v>
          </cell>
          <cell r="T1143" t="str">
            <v>Bueno</v>
          </cell>
          <cell r="U1143" t="str">
            <v>N/T</v>
          </cell>
        </row>
        <row r="1144">
          <cell r="J1144" t="str">
            <v>42-04-02-00-1136</v>
          </cell>
          <cell r="K1144" t="str">
            <v>42-1338</v>
          </cell>
          <cell r="L1144" t="str">
            <v>42-04-02-00-1136</v>
          </cell>
          <cell r="M1144" t="str">
            <v>Silla mixta asiento y respaldo en formalita café claro</v>
          </cell>
          <cell r="O1144" t="str">
            <v>SILLAS</v>
          </cell>
          <cell r="P1144">
            <v>6095</v>
          </cell>
          <cell r="T1144" t="str">
            <v>Bueno</v>
          </cell>
          <cell r="U1144" t="str">
            <v>N/T</v>
          </cell>
        </row>
        <row r="1145">
          <cell r="J1145" t="str">
            <v>42-04-02-00-1137</v>
          </cell>
          <cell r="K1145" t="str">
            <v>42-910</v>
          </cell>
          <cell r="L1145" t="str">
            <v>42-04-02-00-1137</v>
          </cell>
          <cell r="M1145" t="str">
            <v>Silla mixta asiento y respaldo en formalita café claro</v>
          </cell>
          <cell r="O1145" t="str">
            <v>SILLAS</v>
          </cell>
          <cell r="P1145">
            <v>6095</v>
          </cell>
          <cell r="T1145" t="str">
            <v>Bueno</v>
          </cell>
          <cell r="U1145" t="str">
            <v>N/T</v>
          </cell>
        </row>
        <row r="1146">
          <cell r="J1146" t="str">
            <v>42-04-02-00-1138</v>
          </cell>
          <cell r="K1146" t="str">
            <v>42-2341</v>
          </cell>
          <cell r="L1146" t="str">
            <v>42-04-02-00-1138</v>
          </cell>
          <cell r="M1146" t="str">
            <v>Silla para casino, metálica asiento y respaldo de formalita</v>
          </cell>
          <cell r="O1146" t="str">
            <v>SILLAS</v>
          </cell>
          <cell r="P1146">
            <v>6095</v>
          </cell>
          <cell r="T1146" t="str">
            <v>Bueno</v>
          </cell>
          <cell r="U1146" t="str">
            <v>N/T</v>
          </cell>
        </row>
        <row r="1147">
          <cell r="J1147" t="str">
            <v>42-04-02-00-1139</v>
          </cell>
          <cell r="K1147" t="str">
            <v>42-929</v>
          </cell>
          <cell r="L1147" t="str">
            <v>42-04-02-00-1139</v>
          </cell>
          <cell r="M1147" t="str">
            <v>Silla mixta asiento y respaldo en formalita crema</v>
          </cell>
          <cell r="O1147" t="str">
            <v>SILLAS</v>
          </cell>
          <cell r="P1147">
            <v>42500</v>
          </cell>
          <cell r="T1147" t="str">
            <v>Bueno</v>
          </cell>
          <cell r="U1147" t="str">
            <v>N/T</v>
          </cell>
        </row>
        <row r="1148">
          <cell r="J1148" t="str">
            <v>42-04-06-00-1140</v>
          </cell>
          <cell r="K1148" t="str">
            <v>42-3342</v>
          </cell>
          <cell r="L1148" t="str">
            <v>42-04-06-00-1140</v>
          </cell>
          <cell r="M1148" t="str">
            <v>Repisa masisa enchapada 3 divisiones</v>
          </cell>
          <cell r="O1148" t="str">
            <v>REPISA</v>
          </cell>
          <cell r="P1148">
            <v>35000</v>
          </cell>
          <cell r="T1148" t="str">
            <v>Bueno</v>
          </cell>
          <cell r="U1148" t="str">
            <v>N/T</v>
          </cell>
        </row>
        <row r="1149">
          <cell r="J1149" t="str">
            <v>42-05-01-01-1141</v>
          </cell>
          <cell r="K1149" t="str">
            <v>42-1970</v>
          </cell>
          <cell r="L1149" t="str">
            <v>42-05-01-01-1141</v>
          </cell>
          <cell r="M1149" t="str">
            <v>Citófono/ teléfono marca Nortel Network, Modelo 7000</v>
          </cell>
          <cell r="O1149" t="str">
            <v>EQUIPO DE OFICINA</v>
          </cell>
          <cell r="P1149">
            <v>36000</v>
          </cell>
          <cell r="T1149" t="str">
            <v>Bueno</v>
          </cell>
          <cell r="U1149" t="str">
            <v>Nortel Network</v>
          </cell>
        </row>
        <row r="1150">
          <cell r="J1150" t="str">
            <v>42-05-02-01-1142</v>
          </cell>
          <cell r="K1150" t="str">
            <v>42-686</v>
          </cell>
          <cell r="L1150" t="str">
            <v>42-05-02-01-1142</v>
          </cell>
          <cell r="M1150" t="str">
            <v>Camilla metálica mesa atención de parto con colchoneta color café</v>
          </cell>
          <cell r="O1150" t="str">
            <v>EQUIPOS CLINICOS</v>
          </cell>
          <cell r="P1150">
            <v>115000</v>
          </cell>
          <cell r="T1150" t="str">
            <v>Bueno</v>
          </cell>
          <cell r="U1150" t="str">
            <v>N/T</v>
          </cell>
        </row>
        <row r="1151">
          <cell r="J1151" t="str">
            <v>42-04-06-00-1143</v>
          </cell>
          <cell r="K1151" t="str">
            <v>42-688</v>
          </cell>
          <cell r="L1151" t="str">
            <v>42-04-06-00-1143</v>
          </cell>
          <cell r="M1151" t="str">
            <v>Vitrina metálica con 2 puertas de vidrio</v>
          </cell>
          <cell r="O1151" t="str">
            <v>REPISA</v>
          </cell>
          <cell r="P1151">
            <v>80000</v>
          </cell>
          <cell r="T1151" t="str">
            <v>Bueno</v>
          </cell>
          <cell r="U1151" t="str">
            <v>N/T</v>
          </cell>
        </row>
        <row r="1152">
          <cell r="J1152" t="str">
            <v>42-05-02-01-1144</v>
          </cell>
          <cell r="K1152" t="str">
            <v>42-689</v>
          </cell>
          <cell r="L1152" t="str">
            <v>42-05-02-01-1144</v>
          </cell>
          <cell r="M1152" t="str">
            <v>Mesa ac/inox., 4 ruedas, colchoneta café</v>
          </cell>
          <cell r="O1152" t="str">
            <v>EQUIPOS CLINICOS</v>
          </cell>
          <cell r="P1152">
            <v>120000</v>
          </cell>
          <cell r="T1152" t="str">
            <v>Bueno</v>
          </cell>
          <cell r="U1152" t="str">
            <v>N/T</v>
          </cell>
        </row>
        <row r="1153">
          <cell r="J1153" t="str">
            <v>42-04-07-00-1145</v>
          </cell>
          <cell r="K1153" t="str">
            <v>42-690</v>
          </cell>
          <cell r="L1153" t="str">
            <v>42-04-07-00-1145</v>
          </cell>
          <cell r="M1153" t="str">
            <v>Carro metálico acero inoxidable, 2 repisas, 4 ruedas</v>
          </cell>
          <cell r="O1153" t="str">
            <v>OTROS</v>
          </cell>
          <cell r="P1153">
            <v>24900</v>
          </cell>
          <cell r="T1153" t="str">
            <v>Bueno</v>
          </cell>
          <cell r="U1153" t="str">
            <v>N/T</v>
          </cell>
        </row>
        <row r="1154">
          <cell r="J1154" t="str">
            <v>42-04-07-00-1146</v>
          </cell>
          <cell r="K1154" t="str">
            <v>42-2670</v>
          </cell>
          <cell r="L1154" t="str">
            <v>42-04-07-00-1146</v>
          </cell>
          <cell r="M1154" t="str">
            <v>Sillón madera pino oregón parto natural</v>
          </cell>
          <cell r="O1154" t="str">
            <v>OTROS</v>
          </cell>
          <cell r="P1154">
            <v>150000</v>
          </cell>
          <cell r="T1154" t="str">
            <v>Bueno</v>
          </cell>
          <cell r="U1154" t="str">
            <v>N/T</v>
          </cell>
        </row>
        <row r="1155">
          <cell r="J1155" t="str">
            <v>42-04-07-00-1147</v>
          </cell>
          <cell r="K1155" t="str">
            <v>42-691</v>
          </cell>
          <cell r="L1155" t="str">
            <v>42-04-07-00-1147</v>
          </cell>
          <cell r="M1155" t="str">
            <v>Piso giratorio metálico con asiento de tevinil café</v>
          </cell>
          <cell r="O1155" t="str">
            <v>OTROS</v>
          </cell>
          <cell r="P1155">
            <v>7900</v>
          </cell>
          <cell r="T1155" t="str">
            <v>Bueno</v>
          </cell>
          <cell r="U1155" t="str">
            <v>N/T</v>
          </cell>
        </row>
        <row r="1156">
          <cell r="J1156" t="str">
            <v>42-05-02-01-1148</v>
          </cell>
          <cell r="K1156" t="str">
            <v>42-692</v>
          </cell>
          <cell r="L1156" t="str">
            <v>42-05-02-01-1148</v>
          </cell>
          <cell r="M1156" t="str">
            <v>Escabel mixto con peldaños blancos</v>
          </cell>
          <cell r="O1156" t="str">
            <v>EQUIPOS CLINICOS</v>
          </cell>
          <cell r="P1156">
            <v>14280</v>
          </cell>
          <cell r="T1156" t="str">
            <v>Bueno</v>
          </cell>
          <cell r="U1156" t="str">
            <v>N/T</v>
          </cell>
        </row>
        <row r="1157">
          <cell r="J1157" t="str">
            <v>42-04-07-00-1149</v>
          </cell>
          <cell r="K1157" t="str">
            <v>42-693</v>
          </cell>
          <cell r="L1157" t="str">
            <v>42-04-07-00-1149</v>
          </cell>
          <cell r="M1157" t="str">
            <v>Basurero con pedal acero inoxidable</v>
          </cell>
          <cell r="O1157" t="str">
            <v>OTROS</v>
          </cell>
          <cell r="P1157">
            <v>3500</v>
          </cell>
          <cell r="T1157" t="str">
            <v>Bueno</v>
          </cell>
          <cell r="U1157" t="str">
            <v>N/T</v>
          </cell>
        </row>
        <row r="1158">
          <cell r="J1158" t="str">
            <v>42-05-02-01-1150</v>
          </cell>
          <cell r="K1158" t="str">
            <v>42-694</v>
          </cell>
          <cell r="L1158" t="str">
            <v>42-05-02-01-1150</v>
          </cell>
          <cell r="M1158" t="str">
            <v>Podómetro de madera</v>
          </cell>
          <cell r="O1158" t="str">
            <v>EQUIPOS CLINICOS</v>
          </cell>
          <cell r="P1158">
            <v>19000</v>
          </cell>
          <cell r="T1158" t="str">
            <v>Bueno</v>
          </cell>
          <cell r="U1158" t="str">
            <v>N/T</v>
          </cell>
        </row>
        <row r="1159">
          <cell r="J1159" t="str">
            <v>42-05-02-01-1151</v>
          </cell>
          <cell r="K1159" t="str">
            <v>42-695</v>
          </cell>
          <cell r="L1159" t="str">
            <v>42-05-02-01-1151</v>
          </cell>
          <cell r="M1159" t="str">
            <v>Balanza de 30 libras marca Detecto</v>
          </cell>
          <cell r="O1159" t="str">
            <v>EQUIPOS CLINICOS</v>
          </cell>
          <cell r="P1159">
            <v>40000</v>
          </cell>
          <cell r="T1159" t="str">
            <v>Bueno</v>
          </cell>
          <cell r="U1159" t="str">
            <v>N/T</v>
          </cell>
        </row>
        <row r="1160">
          <cell r="J1160" t="str">
            <v>42-05-02-01-1152</v>
          </cell>
          <cell r="K1160" t="str">
            <v>42-3446</v>
          </cell>
          <cell r="L1160" t="str">
            <v>42-05-02-01-1152</v>
          </cell>
          <cell r="M1160" t="str">
            <v>Eco doppler fetal portatil marca jumper mod. Jpd-100 A  S/N 7633100A0 mas cargador de bateria</v>
          </cell>
          <cell r="O1160" t="str">
            <v>EQUIPOS CLINICOS</v>
          </cell>
          <cell r="P1160">
            <v>60000</v>
          </cell>
          <cell r="T1160" t="str">
            <v>Bueno</v>
          </cell>
          <cell r="U1160" t="str">
            <v>Jumper</v>
          </cell>
        </row>
        <row r="1161">
          <cell r="J1161" t="str">
            <v>42-04-01-00-1153</v>
          </cell>
          <cell r="K1161" t="str">
            <v>42-696</v>
          </cell>
          <cell r="L1161" t="str">
            <v>42-04-01-00-1153</v>
          </cell>
          <cell r="M1161" t="str">
            <v>Mesa Mayo de 32x47 cms. de acero, pedestal de 4 ruedas</v>
          </cell>
          <cell r="O1161" t="str">
            <v>MESAS</v>
          </cell>
          <cell r="P1161">
            <v>54900</v>
          </cell>
          <cell r="T1161" t="str">
            <v>Bueno</v>
          </cell>
          <cell r="U1161" t="str">
            <v>N/T</v>
          </cell>
        </row>
        <row r="1162">
          <cell r="J1162" t="str">
            <v>42-05-02-01-1154</v>
          </cell>
          <cell r="K1162" t="str">
            <v>42-2671</v>
          </cell>
          <cell r="L1162" t="str">
            <v>42-05-02-01-1154</v>
          </cell>
          <cell r="M1162" t="str">
            <v>Carro metálico porta oxigeno grande color plomo</v>
          </cell>
          <cell r="O1162" t="str">
            <v>EQUIPOS CLINICOS</v>
          </cell>
          <cell r="P1162">
            <v>120000</v>
          </cell>
          <cell r="T1162" t="str">
            <v>Bueno</v>
          </cell>
          <cell r="U1162" t="str">
            <v>N/T</v>
          </cell>
        </row>
        <row r="1163">
          <cell r="J1163" t="str">
            <v>42-04-07-00-1155</v>
          </cell>
          <cell r="K1163" t="str">
            <v>42-2668</v>
          </cell>
          <cell r="L1163" t="str">
            <v>42-04-07-00-1155</v>
          </cell>
          <cell r="M1163" t="str">
            <v>Dispensador de jabón</v>
          </cell>
          <cell r="O1163" t="str">
            <v>OTROS</v>
          </cell>
          <cell r="P1163">
            <v>17000</v>
          </cell>
          <cell r="T1163" t="str">
            <v>Bueno</v>
          </cell>
          <cell r="U1163" t="str">
            <v>N/T</v>
          </cell>
        </row>
        <row r="1164">
          <cell r="J1164" t="str">
            <v>42-05-01-01-1156</v>
          </cell>
          <cell r="K1164" t="str">
            <v>42-698</v>
          </cell>
          <cell r="L1164" t="str">
            <v>42-05-01-01-1156</v>
          </cell>
          <cell r="M1164" t="str">
            <v>Reloj mural</v>
          </cell>
          <cell r="N1164">
            <v>1</v>
          </cell>
          <cell r="O1164" t="str">
            <v>EQUIPO DE OFICINA</v>
          </cell>
          <cell r="P1164">
            <v>7500</v>
          </cell>
          <cell r="T1164" t="str">
            <v>Bueno</v>
          </cell>
          <cell r="U1164" t="str">
            <v>N/T</v>
          </cell>
        </row>
        <row r="1165">
          <cell r="J1165" t="str">
            <v>42-05-02-01-1157</v>
          </cell>
          <cell r="K1165" t="str">
            <v>42-699</v>
          </cell>
          <cell r="L1165" t="str">
            <v>42-05-02-01-1157</v>
          </cell>
          <cell r="M1165" t="str">
            <v xml:space="preserve">Cuna de procedimiento para atención de recién nacido (calor radiante)  marca IRC con 4 bandejas, máquina de aspiración y administración de oxígeno </v>
          </cell>
          <cell r="O1165" t="str">
            <v>EQUIPOS CLINICOS</v>
          </cell>
          <cell r="P1165">
            <v>403648</v>
          </cell>
          <cell r="T1165" t="str">
            <v>Bueno</v>
          </cell>
          <cell r="U1165" t="str">
            <v>N/T</v>
          </cell>
        </row>
        <row r="1166">
          <cell r="J1166" t="str">
            <v>42-05-02-01-1158</v>
          </cell>
          <cell r="K1166" t="str">
            <v>42-1221</v>
          </cell>
          <cell r="L1166" t="str">
            <v>42-05-02-01-1158</v>
          </cell>
          <cell r="M1166" t="str">
            <v>Máquina de aspiración marca Medi - Pump Mod. 1132C 230V S/N° 0000371</v>
          </cell>
          <cell r="O1166" t="str">
            <v>EQUIPOS CLINICOS</v>
          </cell>
          <cell r="P1166">
            <v>130000</v>
          </cell>
          <cell r="T1166" t="str">
            <v>Bueno</v>
          </cell>
          <cell r="U1166" t="str">
            <v>Medi</v>
          </cell>
        </row>
        <row r="1167">
          <cell r="J1167" t="str">
            <v>42-05-02-01-1159</v>
          </cell>
          <cell r="K1167" t="str">
            <v>42-659</v>
          </cell>
          <cell r="L1167" t="str">
            <v>42-05-02-01-1159</v>
          </cell>
          <cell r="M1167" t="str">
            <v>Maleta azul de 50x23x25 cms. marca Rubbermaid portadora de equipo para atención al recién nacido</v>
          </cell>
          <cell r="O1167" t="str">
            <v>EQUIPOS CLINICOS</v>
          </cell>
          <cell r="P1167">
            <v>6500</v>
          </cell>
          <cell r="T1167" t="str">
            <v>Bueno</v>
          </cell>
          <cell r="U1167" t="str">
            <v>N/T</v>
          </cell>
        </row>
        <row r="1168">
          <cell r="J1168" t="str">
            <v>42-05-02-01-1160</v>
          </cell>
          <cell r="K1168" t="str">
            <v>42-2180</v>
          </cell>
          <cell r="L1168" t="str">
            <v>42-05-02-01-1160</v>
          </cell>
          <cell r="M1168" t="str">
            <v>Manómetro de oxígeno Sharp c/humidificador</v>
          </cell>
          <cell r="O1168" t="str">
            <v>EQUIPOS CLINICOS</v>
          </cell>
          <cell r="P1168">
            <v>55000</v>
          </cell>
          <cell r="T1168" t="str">
            <v>Bueno</v>
          </cell>
          <cell r="U1168" t="str">
            <v>Sharp</v>
          </cell>
        </row>
        <row r="1169">
          <cell r="J1169" t="str">
            <v>42-05-02-01-1161</v>
          </cell>
          <cell r="K1169" t="str">
            <v>42-1454</v>
          </cell>
          <cell r="L1169" t="str">
            <v>42-05-02-01-1161</v>
          </cell>
          <cell r="M1169" t="str">
            <v>Ambú neonatal marca Infant / Rescu-Bag</v>
          </cell>
          <cell r="O1169" t="str">
            <v>EQUIPOS CLINICOS</v>
          </cell>
          <cell r="P1169">
            <v>58950</v>
          </cell>
          <cell r="T1169" t="str">
            <v>Bueno</v>
          </cell>
          <cell r="U1169" t="str">
            <v>Infant</v>
          </cell>
        </row>
        <row r="1170">
          <cell r="J1170" t="str">
            <v>42-05-02-01-1162</v>
          </cell>
          <cell r="K1170" t="str">
            <v>42-2669</v>
          </cell>
          <cell r="L1170" t="str">
            <v>42-05-02-01-1162</v>
          </cell>
          <cell r="M1170" t="str">
            <v>Ambú neonatal</v>
          </cell>
          <cell r="O1170" t="str">
            <v>EQUIPOS CLINICOS</v>
          </cell>
          <cell r="P1170">
            <v>58950</v>
          </cell>
          <cell r="T1170" t="str">
            <v>Bueno</v>
          </cell>
          <cell r="U1170" t="str">
            <v>N/T</v>
          </cell>
        </row>
        <row r="1171">
          <cell r="J1171" t="str">
            <v>42-04-07-00-1163</v>
          </cell>
          <cell r="K1171" t="str">
            <v>42-697</v>
          </cell>
          <cell r="L1171" t="str">
            <v>42-04-07-00-1163</v>
          </cell>
          <cell r="M1171" t="str">
            <v>Lámpara pedestal marca Praxila</v>
          </cell>
          <cell r="N1171">
            <v>1</v>
          </cell>
          <cell r="O1171" t="str">
            <v>OTROS</v>
          </cell>
          <cell r="P1171">
            <v>3790</v>
          </cell>
          <cell r="T1171" t="str">
            <v>Bueno</v>
          </cell>
          <cell r="U1171" t="str">
            <v>Praxila</v>
          </cell>
        </row>
        <row r="1172">
          <cell r="J1172" t="str">
            <v>42-04-07-00-1164</v>
          </cell>
          <cell r="K1172" t="str">
            <v>42-2181</v>
          </cell>
          <cell r="L1172" t="str">
            <v>42-04-07-00-1164</v>
          </cell>
          <cell r="M1172" t="str">
            <v>Lámpara infrarrojo</v>
          </cell>
          <cell r="N1172">
            <v>1</v>
          </cell>
          <cell r="O1172" t="str">
            <v>OTROS</v>
          </cell>
          <cell r="P1172">
            <v>4230</v>
          </cell>
          <cell r="T1172" t="str">
            <v>Bueno</v>
          </cell>
          <cell r="U1172" t="str">
            <v>N/T</v>
          </cell>
        </row>
        <row r="1173">
          <cell r="J1173" t="str">
            <v>42-05-02-01-1165</v>
          </cell>
          <cell r="K1173" t="str">
            <v>42-2182</v>
          </cell>
          <cell r="L1173" t="str">
            <v>42-05-02-01-1165</v>
          </cell>
          <cell r="M1173" t="str">
            <v>Laringoscopio neonatal marca Welch Allyn 68500</v>
          </cell>
          <cell r="O1173" t="str">
            <v>EQUIPOS CLINICOS</v>
          </cell>
          <cell r="P1173">
            <v>95000</v>
          </cell>
          <cell r="T1173" t="str">
            <v>Bueno</v>
          </cell>
          <cell r="U1173" t="str">
            <v>Welch</v>
          </cell>
        </row>
        <row r="1174">
          <cell r="J1174" t="str">
            <v>42-05-02-01-1166</v>
          </cell>
          <cell r="K1174" t="str">
            <v>42-2183</v>
          </cell>
          <cell r="L1174" t="str">
            <v>42-05-02-01-1166</v>
          </cell>
          <cell r="M1174" t="str">
            <v>Laringoscopio neonatal marca Gowllands</v>
          </cell>
          <cell r="O1174" t="str">
            <v>EQUIPOS CLINICOS</v>
          </cell>
          <cell r="P1174">
            <v>95000</v>
          </cell>
          <cell r="T1174" t="str">
            <v>Bueno</v>
          </cell>
          <cell r="U1174" t="str">
            <v>Gowllands</v>
          </cell>
        </row>
        <row r="1175">
          <cell r="J1175" t="str">
            <v>42-04-04-00-1167</v>
          </cell>
          <cell r="K1175" t="str">
            <v>42-2184</v>
          </cell>
          <cell r="L1175" t="str">
            <v>42-04-04-00-1167</v>
          </cell>
          <cell r="M1175" t="str">
            <v>Mueble de masisa y formalita blanco con 6 puertas, 1 lavamanos con llave de combinación</v>
          </cell>
          <cell r="O1175" t="str">
            <v>MUEBLES DE COCINA</v>
          </cell>
          <cell r="P1175">
            <v>75000</v>
          </cell>
          <cell r="T1175" t="str">
            <v>Bueno</v>
          </cell>
          <cell r="U1175" t="str">
            <v>N/T</v>
          </cell>
        </row>
        <row r="1176">
          <cell r="J1176" t="str">
            <v>42-04-07-00-1168</v>
          </cell>
          <cell r="K1176" t="str">
            <v>42-2667</v>
          </cell>
          <cell r="L1176" t="str">
            <v>42-04-07-00-1168</v>
          </cell>
          <cell r="M1176" t="str">
            <v>Espejo de 80x40 cms.</v>
          </cell>
          <cell r="O1176" t="str">
            <v>OTROS</v>
          </cell>
          <cell r="P1176">
            <v>10000</v>
          </cell>
          <cell r="T1176" t="str">
            <v>Bueno</v>
          </cell>
          <cell r="U1176" t="str">
            <v>N/T</v>
          </cell>
        </row>
        <row r="1177">
          <cell r="J1177" t="str">
            <v>42-04-07-00-1169</v>
          </cell>
          <cell r="K1177" t="str">
            <v>42-563</v>
          </cell>
          <cell r="L1177" t="str">
            <v>42-04-07-00-1169</v>
          </cell>
          <cell r="M1177" t="str">
            <v>Percha de madera de 4 ganchos</v>
          </cell>
          <cell r="O1177" t="str">
            <v>OTROS</v>
          </cell>
          <cell r="P1177">
            <v>12000</v>
          </cell>
          <cell r="T1177" t="str">
            <v>Bueno</v>
          </cell>
          <cell r="U1177" t="str">
            <v>N/T</v>
          </cell>
        </row>
        <row r="1178">
          <cell r="J1178" t="str">
            <v>42-05-02-01-1170</v>
          </cell>
          <cell r="K1178" t="str">
            <v>42-2996</v>
          </cell>
          <cell r="L1178" t="str">
            <v>42-05-02-01-1170</v>
          </cell>
          <cell r="M1178" t="str">
            <v>Catre clínico marca Hope Full</v>
          </cell>
          <cell r="O1178" t="str">
            <v>EQUIPOS CLINICOS</v>
          </cell>
          <cell r="P1178">
            <v>816340</v>
          </cell>
          <cell r="T1178" t="str">
            <v>Bueno</v>
          </cell>
          <cell r="U1178" t="str">
            <v>Hope Full</v>
          </cell>
        </row>
        <row r="1179">
          <cell r="J1179" t="str">
            <v>42-05-02-01-1171</v>
          </cell>
          <cell r="K1179" t="str">
            <v>42-2997</v>
          </cell>
          <cell r="L1179" t="str">
            <v>42-05-02-01-1171</v>
          </cell>
          <cell r="M1179" t="str">
            <v>Catre clínico marca Hope Full</v>
          </cell>
          <cell r="O1179" t="str">
            <v>EQUIPOS CLINICOS</v>
          </cell>
          <cell r="P1179">
            <v>816340</v>
          </cell>
          <cell r="T1179" t="str">
            <v>Bueno</v>
          </cell>
          <cell r="U1179" t="str">
            <v>Hope Full</v>
          </cell>
        </row>
        <row r="1180">
          <cell r="J1180" t="str">
            <v>42-05-02-01-1172</v>
          </cell>
          <cell r="K1180" t="str">
            <v>42-2998</v>
          </cell>
          <cell r="L1180" t="str">
            <v>42-05-02-01-1172</v>
          </cell>
          <cell r="M1180" t="str">
            <v>Catre clínico marca Hope Full</v>
          </cell>
          <cell r="O1180" t="str">
            <v>EQUIPOS CLINICOS</v>
          </cell>
          <cell r="P1180">
            <v>816340</v>
          </cell>
          <cell r="T1180" t="str">
            <v>Bueno</v>
          </cell>
          <cell r="U1180" t="str">
            <v>Hope Full</v>
          </cell>
        </row>
        <row r="1181">
          <cell r="J1181" t="str">
            <v>42-05-02-01-1173</v>
          </cell>
          <cell r="K1181" t="str">
            <v>42-2999</v>
          </cell>
          <cell r="L1181" t="str">
            <v>42-05-02-01-1173</v>
          </cell>
          <cell r="M1181" t="str">
            <v>Catre clínico marca Hope Full</v>
          </cell>
          <cell r="O1181" t="str">
            <v>EQUIPOS CLINICOS</v>
          </cell>
          <cell r="P1181">
            <v>816340</v>
          </cell>
          <cell r="T1181" t="str">
            <v>Bueno</v>
          </cell>
          <cell r="U1181" t="str">
            <v>Hope Full</v>
          </cell>
        </row>
        <row r="1182">
          <cell r="J1182" t="str">
            <v>42-05-02-01-1174</v>
          </cell>
          <cell r="K1182" t="str">
            <v>42-3000</v>
          </cell>
          <cell r="L1182" t="str">
            <v>42-05-02-01-1174</v>
          </cell>
          <cell r="M1182" t="str">
            <v>Catre clínico marca Hope Full</v>
          </cell>
          <cell r="O1182" t="str">
            <v>EQUIPOS CLINICOS</v>
          </cell>
          <cell r="P1182">
            <v>816340</v>
          </cell>
          <cell r="T1182" t="str">
            <v>Bueno</v>
          </cell>
          <cell r="U1182" t="str">
            <v>Hope Full</v>
          </cell>
        </row>
        <row r="1183">
          <cell r="J1183" t="str">
            <v>42-05-02-01-1175</v>
          </cell>
          <cell r="K1183" t="str">
            <v>42-3001</v>
          </cell>
          <cell r="L1183" t="str">
            <v>42-05-02-01-1175</v>
          </cell>
          <cell r="M1183" t="str">
            <v>Catre clínico marca Hope Full</v>
          </cell>
          <cell r="O1183" t="str">
            <v>EQUIPOS CLINICOS</v>
          </cell>
          <cell r="P1183">
            <v>816340</v>
          </cell>
          <cell r="T1183" t="str">
            <v>Bueno</v>
          </cell>
          <cell r="U1183" t="str">
            <v>Hope Full</v>
          </cell>
        </row>
        <row r="1184">
          <cell r="J1184" t="str">
            <v>42-04-07-00-1176</v>
          </cell>
          <cell r="K1184" t="str">
            <v>42-3002</v>
          </cell>
          <cell r="L1184" t="str">
            <v>42-04-07-00-1176</v>
          </cell>
          <cell r="M1184" t="str">
            <v>Velador metálico 1 cajón, 1 puerta masisa color café</v>
          </cell>
          <cell r="O1184" t="str">
            <v>OTROS</v>
          </cell>
          <cell r="P1184">
            <v>15000</v>
          </cell>
          <cell r="T1184" t="str">
            <v>Bueno</v>
          </cell>
          <cell r="U1184" t="str">
            <v>N/T</v>
          </cell>
        </row>
        <row r="1185">
          <cell r="J1185" t="str">
            <v>42-04-07-00-1177</v>
          </cell>
          <cell r="K1185" t="str">
            <v>42-3003</v>
          </cell>
          <cell r="L1185" t="str">
            <v>42-04-07-00-1177</v>
          </cell>
          <cell r="M1185" t="str">
            <v>Velador metálico 1 cajón, 1 puerta masisa color café</v>
          </cell>
          <cell r="O1185" t="str">
            <v>OTROS</v>
          </cell>
          <cell r="P1185">
            <v>15000</v>
          </cell>
          <cell r="T1185" t="str">
            <v>Bueno</v>
          </cell>
          <cell r="U1185" t="str">
            <v>N/T</v>
          </cell>
        </row>
        <row r="1186">
          <cell r="J1186" t="str">
            <v>42-04-07-00-1178</v>
          </cell>
          <cell r="K1186" t="str">
            <v>42-3004</v>
          </cell>
          <cell r="L1186" t="str">
            <v>42-04-07-00-1178</v>
          </cell>
          <cell r="M1186" t="str">
            <v>Velador metálico 1 cajón, 1 puerta masisa color café</v>
          </cell>
          <cell r="O1186" t="str">
            <v>OTROS</v>
          </cell>
          <cell r="P1186">
            <v>15000</v>
          </cell>
          <cell r="T1186" t="str">
            <v>Bueno</v>
          </cell>
          <cell r="U1186" t="str">
            <v>N/T</v>
          </cell>
        </row>
        <row r="1187">
          <cell r="J1187" t="str">
            <v>42-04-07-00-1179</v>
          </cell>
          <cell r="K1187" t="str">
            <v>42-3005</v>
          </cell>
          <cell r="L1187" t="str">
            <v>42-04-07-00-1179</v>
          </cell>
          <cell r="M1187" t="str">
            <v>Velador metálico 1 cajón, 1 puerta masisa color café</v>
          </cell>
          <cell r="O1187" t="str">
            <v>OTROS</v>
          </cell>
          <cell r="P1187">
            <v>15000</v>
          </cell>
          <cell r="T1187" t="str">
            <v>Bueno</v>
          </cell>
          <cell r="U1187" t="str">
            <v>N/T</v>
          </cell>
        </row>
        <row r="1188">
          <cell r="J1188" t="str">
            <v>42-04-07-00-1180</v>
          </cell>
          <cell r="K1188" t="str">
            <v>42-3006</v>
          </cell>
          <cell r="L1188" t="str">
            <v>42-04-07-00-1180</v>
          </cell>
          <cell r="M1188" t="str">
            <v>Velador metálico 1 cajón, 1 puerta masisa color café</v>
          </cell>
          <cell r="O1188" t="str">
            <v>OTROS</v>
          </cell>
          <cell r="P1188">
            <v>15000</v>
          </cell>
          <cell r="T1188" t="str">
            <v>Bueno</v>
          </cell>
          <cell r="U1188" t="str">
            <v>N/T</v>
          </cell>
        </row>
        <row r="1189">
          <cell r="J1189" t="str">
            <v>42-04-07-00-1181</v>
          </cell>
          <cell r="K1189" t="str">
            <v>42-3007</v>
          </cell>
          <cell r="L1189" t="str">
            <v>42-04-07-00-1181</v>
          </cell>
          <cell r="M1189" t="str">
            <v>Velador metálico 1 cajón, 1 puerta masisa color café</v>
          </cell>
          <cell r="O1189" t="str">
            <v>OTROS</v>
          </cell>
          <cell r="P1189">
            <v>15000</v>
          </cell>
          <cell r="T1189" t="str">
            <v>Bueno</v>
          </cell>
          <cell r="U1189" t="str">
            <v>N/T</v>
          </cell>
        </row>
        <row r="1190">
          <cell r="J1190" t="str">
            <v>42-04-01-00-1182</v>
          </cell>
          <cell r="K1190" t="str">
            <v>42-3034</v>
          </cell>
          <cell r="L1190" t="str">
            <v>42-04-01-00-1182</v>
          </cell>
          <cell r="M1190" t="str">
            <v>Mesa lateral metálica con cubierta melamina, 4 ruedas color plomo</v>
          </cell>
          <cell r="O1190" t="str">
            <v>MESAS</v>
          </cell>
          <cell r="P1190">
            <v>83003</v>
          </cell>
          <cell r="T1190" t="str">
            <v>Bueno</v>
          </cell>
          <cell r="U1190" t="str">
            <v>N/T</v>
          </cell>
        </row>
        <row r="1191">
          <cell r="J1191" t="str">
            <v>42-04-01-00-1183</v>
          </cell>
          <cell r="K1191" t="str">
            <v>42-3031</v>
          </cell>
          <cell r="L1191" t="str">
            <v>42-04-01-00-1183</v>
          </cell>
          <cell r="M1191" t="str">
            <v>Mesa lateral metálica con cubierta melamina, 4 ruedas color plomo</v>
          </cell>
          <cell r="O1191" t="str">
            <v>MESAS</v>
          </cell>
          <cell r="P1191">
            <v>83003</v>
          </cell>
          <cell r="T1191" t="str">
            <v>Bueno</v>
          </cell>
          <cell r="U1191" t="str">
            <v>N/T</v>
          </cell>
        </row>
        <row r="1192">
          <cell r="J1192" t="str">
            <v>42-04-01-00-1184</v>
          </cell>
          <cell r="K1192" t="str">
            <v>42-3010</v>
          </cell>
          <cell r="L1192" t="str">
            <v>42-04-01-00-1184</v>
          </cell>
          <cell r="M1192" t="str">
            <v>Mesa lateral metálica con cubierta melamina, 4 ruedas color plomo</v>
          </cell>
          <cell r="O1192" t="str">
            <v>MESAS</v>
          </cell>
          <cell r="P1192">
            <v>83003</v>
          </cell>
          <cell r="T1192" t="str">
            <v>Bueno</v>
          </cell>
          <cell r="U1192" t="str">
            <v>N/T</v>
          </cell>
        </row>
        <row r="1193">
          <cell r="J1193" t="str">
            <v>42-04-01-00-1185</v>
          </cell>
          <cell r="K1193" t="str">
            <v>42-3011</v>
          </cell>
          <cell r="L1193" t="str">
            <v>42-04-01-00-1185</v>
          </cell>
          <cell r="M1193" t="str">
            <v>Mesa lateral metálica con cubierta melamina, 4 ruedas color plomo</v>
          </cell>
          <cell r="O1193" t="str">
            <v>MESAS</v>
          </cell>
          <cell r="P1193">
            <v>83003</v>
          </cell>
          <cell r="T1193" t="str">
            <v>Bueno</v>
          </cell>
          <cell r="U1193" t="str">
            <v>N/T</v>
          </cell>
        </row>
        <row r="1194">
          <cell r="J1194" t="str">
            <v>42-04-01-00-1186</v>
          </cell>
          <cell r="K1194" t="str">
            <v>42-3012</v>
          </cell>
          <cell r="L1194" t="str">
            <v>42-04-01-00-1186</v>
          </cell>
          <cell r="M1194" t="str">
            <v>Mesa lateral metálica con cubierta melamina, 4 ruedas color plomo</v>
          </cell>
          <cell r="O1194" t="str">
            <v>MESAS</v>
          </cell>
          <cell r="P1194">
            <v>83003</v>
          </cell>
          <cell r="T1194" t="str">
            <v>Bueno</v>
          </cell>
          <cell r="U1194" t="str">
            <v>N/T</v>
          </cell>
        </row>
        <row r="1195">
          <cell r="J1195" t="str">
            <v>42-04-01-00-1187</v>
          </cell>
          <cell r="K1195" t="str">
            <v>42-3037</v>
          </cell>
          <cell r="L1195" t="str">
            <v>42-04-01-00-1187</v>
          </cell>
          <cell r="M1195" t="str">
            <v>Mesa lateral metálica con cubierta melamina, 4 ruedas color plomo</v>
          </cell>
          <cell r="O1195" t="str">
            <v>MESAS</v>
          </cell>
          <cell r="P1195">
            <v>83003</v>
          </cell>
          <cell r="T1195" t="str">
            <v>Bueno</v>
          </cell>
          <cell r="U1195" t="str">
            <v>N/T</v>
          </cell>
        </row>
        <row r="1196">
          <cell r="J1196" t="str">
            <v>42-05-02-01-1188</v>
          </cell>
          <cell r="K1196" t="str">
            <v>42-664</v>
          </cell>
          <cell r="L1196" t="str">
            <v>42-05-02-01-1188</v>
          </cell>
          <cell r="M1196" t="str">
            <v>Carro metálico acero inox. de curaciones con papelero, 4 ruedas, 2 compartimentos</v>
          </cell>
          <cell r="O1196" t="str">
            <v>EQUIPOS CLINICOS</v>
          </cell>
          <cell r="P1196">
            <v>24900</v>
          </cell>
          <cell r="T1196" t="str">
            <v>Bueno</v>
          </cell>
          <cell r="U1196" t="str">
            <v>N/T</v>
          </cell>
        </row>
        <row r="1197">
          <cell r="J1197" t="str">
            <v>42-05-02-01-1189</v>
          </cell>
          <cell r="K1197" t="str">
            <v>42-639</v>
          </cell>
          <cell r="L1197" t="str">
            <v>42-05-02-01-1189</v>
          </cell>
          <cell r="M1197" t="str">
            <v>Cuna metálica de recién nacido</v>
          </cell>
          <cell r="O1197" t="str">
            <v>EQUIPOS CLINICOS</v>
          </cell>
          <cell r="P1197">
            <v>403648</v>
          </cell>
          <cell r="T1197" t="str">
            <v>Bueno</v>
          </cell>
          <cell r="U1197" t="str">
            <v>N/T</v>
          </cell>
        </row>
        <row r="1198">
          <cell r="J1198" t="str">
            <v>42-05-02-01-1190</v>
          </cell>
          <cell r="K1198" t="str">
            <v>42-665</v>
          </cell>
          <cell r="L1198" t="str">
            <v>42-05-02-01-1190</v>
          </cell>
          <cell r="M1198" t="str">
            <v>Cuna metálica de recién nacido</v>
          </cell>
          <cell r="O1198" t="str">
            <v>EQUIPOS CLINICOS</v>
          </cell>
          <cell r="P1198">
            <v>403648</v>
          </cell>
          <cell r="T1198" t="str">
            <v>Bueno</v>
          </cell>
          <cell r="U1198" t="str">
            <v>N/T</v>
          </cell>
        </row>
        <row r="1199">
          <cell r="J1199" t="str">
            <v>42-05-02-01-1191</v>
          </cell>
          <cell r="K1199" t="str">
            <v>42-666</v>
          </cell>
          <cell r="L1199" t="str">
            <v>42-05-02-01-1191</v>
          </cell>
          <cell r="M1199" t="str">
            <v>Cuna metálica de recién nacido</v>
          </cell>
          <cell r="O1199" t="str">
            <v>EQUIPOS CLINICOS</v>
          </cell>
          <cell r="P1199">
            <v>403648</v>
          </cell>
          <cell r="T1199" t="str">
            <v>Bueno</v>
          </cell>
          <cell r="U1199" t="str">
            <v>N/T</v>
          </cell>
        </row>
        <row r="1200">
          <cell r="J1200" t="str">
            <v>42-05-02-01-1192</v>
          </cell>
          <cell r="K1200" t="str">
            <v>42-667</v>
          </cell>
          <cell r="L1200" t="str">
            <v>42-05-02-01-1192</v>
          </cell>
          <cell r="M1200" t="str">
            <v>Cuna metálica de recién nacido</v>
          </cell>
          <cell r="O1200" t="str">
            <v>EQUIPOS CLINICOS</v>
          </cell>
          <cell r="P1200">
            <v>403648</v>
          </cell>
          <cell r="T1200" t="str">
            <v>Bueno</v>
          </cell>
          <cell r="U1200" t="str">
            <v>N/T</v>
          </cell>
        </row>
        <row r="1201">
          <cell r="J1201" t="str">
            <v>42-05-02-01-1193</v>
          </cell>
          <cell r="K1201" t="str">
            <v>42-668</v>
          </cell>
          <cell r="L1201" t="str">
            <v>42-05-02-01-1193</v>
          </cell>
          <cell r="M1201" t="str">
            <v>Cuna metálica de recién nacido</v>
          </cell>
          <cell r="O1201" t="str">
            <v>EQUIPOS CLINICOS</v>
          </cell>
          <cell r="P1201">
            <v>403648</v>
          </cell>
          <cell r="T1201" t="str">
            <v>Bueno</v>
          </cell>
          <cell r="U1201" t="str">
            <v>N/T</v>
          </cell>
        </row>
        <row r="1202">
          <cell r="J1202" t="str">
            <v>42-05-02-01-1194</v>
          </cell>
          <cell r="K1202" t="str">
            <v>42-708</v>
          </cell>
          <cell r="L1202" t="str">
            <v>42-05-02-01-1194</v>
          </cell>
          <cell r="M1202" t="str">
            <v>Cuna metálica de recién nacido</v>
          </cell>
          <cell r="O1202" t="str">
            <v>EQUIPOS CLINICOS</v>
          </cell>
          <cell r="P1202">
            <v>403648</v>
          </cell>
          <cell r="T1202" t="str">
            <v>Bueno</v>
          </cell>
          <cell r="U1202" t="str">
            <v>N/T</v>
          </cell>
        </row>
        <row r="1203">
          <cell r="J1203" t="str">
            <v>42-04-07-00-1195</v>
          </cell>
          <cell r="K1203" t="str">
            <v>42-2676</v>
          </cell>
          <cell r="L1203" t="str">
            <v>42-04-07-00-1195</v>
          </cell>
          <cell r="M1203" t="str">
            <v>Dispensador de jabón</v>
          </cell>
          <cell r="O1203" t="str">
            <v>OTROS</v>
          </cell>
          <cell r="P1203">
            <v>17000</v>
          </cell>
          <cell r="T1203" t="str">
            <v>Bueno</v>
          </cell>
          <cell r="U1203" t="str">
            <v>N/T</v>
          </cell>
        </row>
        <row r="1204">
          <cell r="J1204" t="str">
            <v>42-05-02-01-1196</v>
          </cell>
          <cell r="K1204" t="str">
            <v>42-2186</v>
          </cell>
          <cell r="L1204" t="str">
            <v>42-05-02-01-1196</v>
          </cell>
          <cell r="M1204" t="str">
            <v>Fonendoscopio neonatal</v>
          </cell>
          <cell r="O1204" t="str">
            <v>EQUIPOS CLINICOS</v>
          </cell>
          <cell r="P1204">
            <v>4284</v>
          </cell>
          <cell r="T1204" t="str">
            <v>Bueno</v>
          </cell>
          <cell r="U1204" t="str">
            <v>N/T</v>
          </cell>
        </row>
        <row r="1205">
          <cell r="J1205" t="str">
            <v>42-06-01-00-1197</v>
          </cell>
          <cell r="K1205" t="str">
            <v>42-2993</v>
          </cell>
          <cell r="L1205" t="str">
            <v>42-06-01-00-1197</v>
          </cell>
          <cell r="M1205" t="str">
            <v>Computador Massada P4</v>
          </cell>
          <cell r="O1205" t="str">
            <v>EQUIPOS COMPUTACIONALES Y PERIFÉRICOS</v>
          </cell>
          <cell r="P1205">
            <v>140000</v>
          </cell>
          <cell r="T1205" t="str">
            <v>Bueno</v>
          </cell>
          <cell r="U1205" t="str">
            <v>Massada</v>
          </cell>
        </row>
        <row r="1206">
          <cell r="J1206" t="str">
            <v>42-06-01-00-1198</v>
          </cell>
          <cell r="K1206" t="str">
            <v>42-2994</v>
          </cell>
          <cell r="L1206" t="str">
            <v>42-06-01-00-1198</v>
          </cell>
          <cell r="M1206" t="str">
            <v>Monitor Philips Mod. 105s59 S/Nº 40A2050-813-3A</v>
          </cell>
          <cell r="O1206" t="str">
            <v>EQUIPOS COMPUTACIONALES Y PERIFÉRICOS</v>
          </cell>
          <cell r="P1206">
            <v>14000</v>
          </cell>
          <cell r="T1206" t="str">
            <v>Bueno</v>
          </cell>
          <cell r="U1206" t="str">
            <v>Philips</v>
          </cell>
        </row>
        <row r="1207">
          <cell r="J1207" t="str">
            <v>42-06-01-00-1199</v>
          </cell>
          <cell r="K1207" t="str">
            <v>42-1877</v>
          </cell>
          <cell r="L1207" t="str">
            <v>42-06-01-00-1199</v>
          </cell>
          <cell r="M1207" t="str">
            <v>Teclado Aopen S/Nº 41202554</v>
          </cell>
          <cell r="O1207" t="str">
            <v>EQUIPOS COMPUTACIONALES Y PERIFÉRICOS</v>
          </cell>
          <cell r="P1207">
            <v>4000</v>
          </cell>
          <cell r="T1207" t="str">
            <v>Bueno</v>
          </cell>
          <cell r="U1207" t="str">
            <v>Aopen</v>
          </cell>
        </row>
        <row r="1208">
          <cell r="J1208" t="str">
            <v>42-06-01-00-1200</v>
          </cell>
          <cell r="K1208" t="str">
            <v>42-2995</v>
          </cell>
          <cell r="L1208" t="str">
            <v>42-06-01-00-1200</v>
          </cell>
          <cell r="M1208" t="str">
            <v>Mouse Aopen Mod W-70 S/Nº 60801437MUPB</v>
          </cell>
          <cell r="O1208" t="str">
            <v>EQUIPOS COMPUTACIONALES Y PERIFÉRICOS</v>
          </cell>
          <cell r="P1208">
            <v>3000</v>
          </cell>
          <cell r="T1208" t="str">
            <v>Bueno</v>
          </cell>
          <cell r="U1208" t="str">
            <v>Aopen</v>
          </cell>
        </row>
        <row r="1209">
          <cell r="J1209" t="str">
            <v>42-05-01-01-1201</v>
          </cell>
          <cell r="K1209" t="str">
            <v>42-2190</v>
          </cell>
          <cell r="L1209" t="str">
            <v>42-05-01-01-1201</v>
          </cell>
          <cell r="M1209" t="str">
            <v>Radio CD marca RCA Mod. RCD 002 Cod 0532</v>
          </cell>
          <cell r="O1209" t="str">
            <v>EQUIPO DE OFICINA</v>
          </cell>
          <cell r="P1209">
            <v>56071</v>
          </cell>
          <cell r="T1209" t="str">
            <v>Bueno</v>
          </cell>
          <cell r="U1209" t="str">
            <v>RCA</v>
          </cell>
        </row>
        <row r="1210">
          <cell r="J1210" t="str">
            <v>42-05-01-01-1202</v>
          </cell>
          <cell r="K1210" t="str">
            <v>42-2191</v>
          </cell>
          <cell r="L1210" t="str">
            <v>42-05-01-01-1202</v>
          </cell>
          <cell r="M1210" t="str">
            <v>Reloj mural de madera café</v>
          </cell>
          <cell r="N1210">
            <v>1</v>
          </cell>
          <cell r="O1210" t="str">
            <v>EQUIPO DE OFICINA</v>
          </cell>
          <cell r="P1210">
            <v>7500</v>
          </cell>
          <cell r="T1210" t="str">
            <v>Bueno</v>
          </cell>
          <cell r="U1210" t="str">
            <v>N/T</v>
          </cell>
        </row>
        <row r="1211">
          <cell r="J1211" t="str">
            <v>42-04-07-00-1203</v>
          </cell>
          <cell r="K1211" t="str">
            <v>42-679</v>
          </cell>
          <cell r="L1211" t="str">
            <v>42-04-07-00-1203</v>
          </cell>
          <cell r="M1211" t="str">
            <v>Diván cama, 5 cajones madera natural</v>
          </cell>
          <cell r="O1211" t="str">
            <v>OTROS</v>
          </cell>
          <cell r="P1211">
            <v>70000</v>
          </cell>
          <cell r="T1211" t="str">
            <v>Bueno</v>
          </cell>
          <cell r="U1211" t="str">
            <v>N/T</v>
          </cell>
        </row>
        <row r="1212">
          <cell r="J1212" t="str">
            <v>42-04-02-00-1204</v>
          </cell>
          <cell r="K1212" t="str">
            <v>42-383</v>
          </cell>
          <cell r="L1212" t="str">
            <v>42-04-02-00-1204</v>
          </cell>
          <cell r="M1212" t="str">
            <v>Silla computación con 5 ruedas tevinil color crema con apoyo lumbar</v>
          </cell>
          <cell r="O1212" t="str">
            <v>SILLAS</v>
          </cell>
          <cell r="P1212">
            <v>42500</v>
          </cell>
          <cell r="T1212" t="str">
            <v>Bueno</v>
          </cell>
          <cell r="U1212" t="str">
            <v>N/T</v>
          </cell>
        </row>
        <row r="1213">
          <cell r="J1213" t="str">
            <v>42-04-01-00-1205</v>
          </cell>
          <cell r="K1213" t="str">
            <v>42-678</v>
          </cell>
          <cell r="L1213" t="str">
            <v>42-04-01-00-1205</v>
          </cell>
          <cell r="M1213" t="str">
            <v>Mesa metálica con cubierta melamina blanca 1 cajón 104x73x80 cms.</v>
          </cell>
          <cell r="O1213" t="str">
            <v>MESAS</v>
          </cell>
          <cell r="P1213">
            <v>83003</v>
          </cell>
          <cell r="T1213" t="str">
            <v>Bueno</v>
          </cell>
          <cell r="U1213" t="str">
            <v>N/T</v>
          </cell>
        </row>
        <row r="1214">
          <cell r="J1214" t="str">
            <v>42-05-01-01-1206</v>
          </cell>
          <cell r="K1214" t="str">
            <v>42-684</v>
          </cell>
          <cell r="L1214" t="str">
            <v>42-05-01-01-1206</v>
          </cell>
          <cell r="M1214" t="str">
            <v>Perforador color verde</v>
          </cell>
          <cell r="O1214" t="str">
            <v>EQUIPO DE OFICINA</v>
          </cell>
          <cell r="P1214">
            <v>5000</v>
          </cell>
          <cell r="T1214" t="str">
            <v>Bueno</v>
          </cell>
          <cell r="U1214" t="str">
            <v>N/T</v>
          </cell>
        </row>
        <row r="1215">
          <cell r="J1215" t="str">
            <v>42-05-01-01-1207</v>
          </cell>
          <cell r="K1215" t="str">
            <v>42-685</v>
          </cell>
          <cell r="L1215" t="str">
            <v>42-05-01-01-1207</v>
          </cell>
          <cell r="M1215" t="str">
            <v>Corchetera color negra</v>
          </cell>
          <cell r="O1215" t="str">
            <v>EQUIPO DE OFICINA</v>
          </cell>
          <cell r="P1215">
            <v>3500</v>
          </cell>
          <cell r="T1215" t="str">
            <v>Bueno</v>
          </cell>
          <cell r="U1215" t="str">
            <v>N/T</v>
          </cell>
        </row>
        <row r="1216">
          <cell r="J1216" t="str">
            <v>42-04-04-00-1208</v>
          </cell>
          <cell r="K1216" t="str">
            <v>42-2187</v>
          </cell>
          <cell r="L1216" t="str">
            <v>42-04-04-00-1208</v>
          </cell>
          <cell r="M1216" t="str">
            <v>Mueble formalita blanco con 13 puertas, 3 cajones, 1 lavamanos,  1 lavaplatos de acero inox. con llaves de combinación</v>
          </cell>
          <cell r="O1216" t="str">
            <v>MUEBLES DE COCINA</v>
          </cell>
          <cell r="P1216">
            <v>40000</v>
          </cell>
          <cell r="T1216" t="str">
            <v>Bueno</v>
          </cell>
          <cell r="U1216" t="str">
            <v>N/T</v>
          </cell>
        </row>
        <row r="1217">
          <cell r="J1217" t="str">
            <v>42-04-07-00-1209</v>
          </cell>
          <cell r="K1217" t="str">
            <v>42-2686</v>
          </cell>
          <cell r="L1217" t="str">
            <v>42-04-07-00-1209</v>
          </cell>
          <cell r="M1217" t="str">
            <v>Mural con marco de madera 100x50 cms.</v>
          </cell>
          <cell r="O1217" t="str">
            <v>OTROS</v>
          </cell>
          <cell r="P1217">
            <v>7200</v>
          </cell>
          <cell r="T1217" t="str">
            <v>Bueno</v>
          </cell>
          <cell r="U1217" t="str">
            <v>N/T</v>
          </cell>
        </row>
        <row r="1218">
          <cell r="J1218" t="str">
            <v>42-04-06-00-1210</v>
          </cell>
          <cell r="K1218" t="str">
            <v>42-2687</v>
          </cell>
          <cell r="L1218" t="str">
            <v>42-04-06-00-1210</v>
          </cell>
          <cell r="M1218" t="str">
            <v>Mueble melamina blanco con 15 separaciones</v>
          </cell>
          <cell r="O1218" t="str">
            <v>REPISA</v>
          </cell>
          <cell r="P1218">
            <v>39000</v>
          </cell>
          <cell r="T1218" t="str">
            <v>Bueno</v>
          </cell>
          <cell r="U1218" t="str">
            <v>N/T</v>
          </cell>
        </row>
        <row r="1219">
          <cell r="J1219" t="str">
            <v>42-04-06-00-1211</v>
          </cell>
          <cell r="K1219" t="str">
            <v>42-2688</v>
          </cell>
          <cell r="L1219" t="str">
            <v>42-04-06-00-1211</v>
          </cell>
          <cell r="M1219" t="str">
            <v>Repisa doble con soporte metal</v>
          </cell>
          <cell r="O1219" t="str">
            <v>REPISA</v>
          </cell>
          <cell r="P1219">
            <v>25300</v>
          </cell>
          <cell r="T1219" t="str">
            <v>Bueno</v>
          </cell>
          <cell r="U1219" t="str">
            <v>N/T</v>
          </cell>
        </row>
        <row r="1220">
          <cell r="J1220" t="str">
            <v>42-04-02-00-1212</v>
          </cell>
          <cell r="K1220" t="str">
            <v>42-2188</v>
          </cell>
          <cell r="L1220" t="str">
            <v>42-04-02-00-1212</v>
          </cell>
          <cell r="M1220" t="str">
            <v>Silla Ergonometrica color azul, 5 ruedas ( MEL )</v>
          </cell>
          <cell r="O1220" t="str">
            <v>SILLAS</v>
          </cell>
          <cell r="P1220">
            <v>42500</v>
          </cell>
          <cell r="T1220" t="str">
            <v>Bueno</v>
          </cell>
          <cell r="U1220" t="str">
            <v>N/T</v>
          </cell>
        </row>
        <row r="1221">
          <cell r="J1221" t="str">
            <v>42-04-02-00-1213</v>
          </cell>
          <cell r="K1221" t="str">
            <v>42-3466</v>
          </cell>
          <cell r="L1221" t="str">
            <v>42-04-02-00-1213</v>
          </cell>
          <cell r="M1221" t="str">
            <v>Silla computacion de color azul con apoyo de brazo, 5 ruedas.</v>
          </cell>
          <cell r="O1221" t="str">
            <v>SILLAS</v>
          </cell>
          <cell r="P1221">
            <v>42500</v>
          </cell>
          <cell r="T1221" t="str">
            <v>Bueno</v>
          </cell>
          <cell r="U1221" t="str">
            <v>N/T</v>
          </cell>
        </row>
        <row r="1222">
          <cell r="J1222" t="str">
            <v>42-04-06-00-1214</v>
          </cell>
          <cell r="K1222" t="str">
            <v>42-715</v>
          </cell>
          <cell r="L1222" t="str">
            <v>42-04-06-00-1214</v>
          </cell>
          <cell r="M1222" t="str">
            <v>Vitrina metálica 2 puertas de vidrio y 3 compartimentos</v>
          </cell>
          <cell r="O1222" t="str">
            <v>REPISA</v>
          </cell>
          <cell r="P1222">
            <v>61261</v>
          </cell>
          <cell r="T1222" t="str">
            <v>Bueno</v>
          </cell>
          <cell r="U1222" t="str">
            <v>SSAS</v>
          </cell>
        </row>
        <row r="1223">
          <cell r="J1223" t="str">
            <v>42-04-07-00-1215</v>
          </cell>
          <cell r="K1223" t="str">
            <v>42-2189</v>
          </cell>
          <cell r="L1223" t="str">
            <v>42-04-07-00-1215</v>
          </cell>
          <cell r="M1223" t="str">
            <v>Dispensador jabón Johnson</v>
          </cell>
          <cell r="O1223" t="str">
            <v>OTROS</v>
          </cell>
          <cell r="P1223">
            <v>17000</v>
          </cell>
          <cell r="T1223" t="str">
            <v>Bueno</v>
          </cell>
          <cell r="U1223" t="str">
            <v>SSAS</v>
          </cell>
        </row>
        <row r="1224">
          <cell r="J1224" t="str">
            <v>42-04-07-00-1216</v>
          </cell>
          <cell r="K1224" t="str">
            <v>42-2189 B</v>
          </cell>
          <cell r="L1224" t="str">
            <v>42-04-07-00-1216</v>
          </cell>
          <cell r="M1224" t="str">
            <v>Dispensador jabón Johnson</v>
          </cell>
          <cell r="O1224" t="str">
            <v>OTROS</v>
          </cell>
          <cell r="P1224">
            <v>17000</v>
          </cell>
          <cell r="T1224" t="str">
            <v>Bueno</v>
          </cell>
          <cell r="U1224" t="str">
            <v>SSAS</v>
          </cell>
        </row>
        <row r="1225">
          <cell r="J1225" t="str">
            <v>42-04-07-00-1217</v>
          </cell>
          <cell r="K1225" t="str">
            <v>42-3310</v>
          </cell>
          <cell r="L1225" t="str">
            <v>42-04-07-00-1217</v>
          </cell>
          <cell r="M1225" t="str">
            <v>Dispensador toalla Nova Pisa</v>
          </cell>
          <cell r="O1225" t="str">
            <v>OTROS</v>
          </cell>
          <cell r="P1225">
            <v>17000</v>
          </cell>
          <cell r="T1225" t="str">
            <v>Bueno</v>
          </cell>
          <cell r="U1225" t="str">
            <v>SSAS</v>
          </cell>
        </row>
        <row r="1226">
          <cell r="J1226" t="str">
            <v>42-05-01-01-1218</v>
          </cell>
          <cell r="K1226" t="str">
            <v>42-1965</v>
          </cell>
          <cell r="L1226" t="str">
            <v>42-05-01-01-1218</v>
          </cell>
          <cell r="M1226" t="str">
            <v>Citófono/ teléfono marca Nortel Network, Modelo 7000</v>
          </cell>
          <cell r="O1226" t="str">
            <v>EQUIPO DE OFICINA</v>
          </cell>
          <cell r="P1226">
            <v>36000</v>
          </cell>
          <cell r="T1226" t="str">
            <v>Bueno</v>
          </cell>
          <cell r="U1226" t="str">
            <v>Nortel Network</v>
          </cell>
        </row>
        <row r="1227">
          <cell r="J1227" t="str">
            <v>42-05-02-01-1219</v>
          </cell>
          <cell r="K1227" t="str">
            <v>42-2731</v>
          </cell>
          <cell r="L1227" t="str">
            <v>42-05-02-01-1219</v>
          </cell>
          <cell r="M1227" t="str">
            <v>Estetoscopio de Pinard plástico color negro</v>
          </cell>
          <cell r="O1227" t="str">
            <v>EQUIPOS CLINICOS</v>
          </cell>
          <cell r="P1227">
            <v>3500</v>
          </cell>
          <cell r="T1227" t="str">
            <v>Bueno</v>
          </cell>
          <cell r="U1227" t="str">
            <v>N/T</v>
          </cell>
        </row>
        <row r="1228">
          <cell r="J1228" t="str">
            <v>42-04-04-00-1220</v>
          </cell>
          <cell r="K1228" t="str">
            <v>42-2728</v>
          </cell>
          <cell r="L1228" t="str">
            <v>42-04-04-00-1220</v>
          </cell>
          <cell r="M1228" t="str">
            <v>Mueble melamina blanca adosado pared, 4 puertas correderas 240x57x82</v>
          </cell>
          <cell r="O1228" t="str">
            <v>MUEBLES DE COCINA</v>
          </cell>
          <cell r="P1228">
            <v>89900</v>
          </cell>
          <cell r="T1228" t="str">
            <v>Bueno</v>
          </cell>
          <cell r="U1228" t="str">
            <v>N/T</v>
          </cell>
        </row>
        <row r="1229">
          <cell r="J1229" t="str">
            <v>42-04-01-00-1221</v>
          </cell>
          <cell r="K1229" t="str">
            <v>42-2729</v>
          </cell>
          <cell r="L1229" t="str">
            <v>42-04-01-00-1221</v>
          </cell>
          <cell r="M1229" t="str">
            <v>Mesa mixta 1 cajón, 1 compartimento madera barniz natural 91x61x80 cms.</v>
          </cell>
          <cell r="O1229" t="str">
            <v>MESAS</v>
          </cell>
          <cell r="P1229">
            <v>50000</v>
          </cell>
          <cell r="T1229" t="str">
            <v>Bueno</v>
          </cell>
          <cell r="U1229" t="str">
            <v>N/T</v>
          </cell>
        </row>
        <row r="1230">
          <cell r="J1230" t="str">
            <v>42-04-02-00-1222</v>
          </cell>
          <cell r="K1230" t="str">
            <v>42-1401</v>
          </cell>
          <cell r="L1230" t="str">
            <v>42-04-02-00-1222</v>
          </cell>
          <cell r="M1230" t="str">
            <v>Silla giratoria 5 ruedas color azul</v>
          </cell>
          <cell r="O1230" t="str">
            <v>SILLAS</v>
          </cell>
          <cell r="P1230">
            <v>46800</v>
          </cell>
          <cell r="T1230" t="str">
            <v>Bueno</v>
          </cell>
          <cell r="U1230" t="str">
            <v>N/T</v>
          </cell>
        </row>
        <row r="1231">
          <cell r="J1231" t="str">
            <v>42-04-02-00-1223</v>
          </cell>
          <cell r="K1231" t="str">
            <v>42-1923</v>
          </cell>
          <cell r="L1231" t="str">
            <v>42-04-02-00-1223</v>
          </cell>
          <cell r="M1231" t="str">
            <v>Silla de madera banca</v>
          </cell>
          <cell r="O1231" t="str">
            <v>SILLAS</v>
          </cell>
          <cell r="P1231">
            <v>17000</v>
          </cell>
          <cell r="T1231" t="str">
            <v>Bueno</v>
          </cell>
          <cell r="U1231" t="str">
            <v>N/T</v>
          </cell>
        </row>
        <row r="1232">
          <cell r="J1232" t="str">
            <v>42-04-02-00-1224</v>
          </cell>
          <cell r="K1232" t="str">
            <v>42-3471</v>
          </cell>
          <cell r="L1232" t="str">
            <v>42-04-02-00-1224</v>
          </cell>
          <cell r="M1232" t="str">
            <v>Silla Computacion de color azul con apoyo de brazos, 5 ruedas</v>
          </cell>
          <cell r="O1232" t="str">
            <v>SILLAS</v>
          </cell>
          <cell r="P1232">
            <v>45900</v>
          </cell>
          <cell r="T1232" t="str">
            <v>Bueno</v>
          </cell>
          <cell r="U1232" t="str">
            <v>N/T</v>
          </cell>
        </row>
        <row r="1233">
          <cell r="J1233" t="str">
            <v>42-04-02-00-1225</v>
          </cell>
          <cell r="K1233" t="str">
            <v>42-3472</v>
          </cell>
          <cell r="L1233" t="str">
            <v>42-04-02-00-1225</v>
          </cell>
          <cell r="M1233" t="str">
            <v>Silla Computacion de color azul con apoyo de brazos, 5 ruedas</v>
          </cell>
          <cell r="O1233" t="str">
            <v>SILLAS</v>
          </cell>
          <cell r="P1233">
            <v>45200</v>
          </cell>
          <cell r="T1233" t="str">
            <v>Bueno</v>
          </cell>
          <cell r="U1233" t="str">
            <v>N/T</v>
          </cell>
        </row>
        <row r="1234">
          <cell r="J1234" t="str">
            <v>42-04-07-00-1226</v>
          </cell>
          <cell r="K1234" t="str">
            <v>42-691</v>
          </cell>
          <cell r="L1234" t="str">
            <v>42-04-07-00-1226</v>
          </cell>
          <cell r="M1234" t="str">
            <v>Piso metálico redondo con pergamoide color café</v>
          </cell>
          <cell r="O1234" t="str">
            <v>OTROS</v>
          </cell>
          <cell r="P1234">
            <v>17000</v>
          </cell>
          <cell r="T1234" t="str">
            <v>Bueno</v>
          </cell>
          <cell r="U1234" t="str">
            <v>N/T</v>
          </cell>
        </row>
        <row r="1235">
          <cell r="J1235" t="str">
            <v>42-04-07-00-1227</v>
          </cell>
          <cell r="K1235" t="str">
            <v>42-716</v>
          </cell>
          <cell r="L1235" t="str">
            <v>42-04-07-00-1227</v>
          </cell>
          <cell r="M1235" t="str">
            <v>Lámpara pedestal marca Skypet</v>
          </cell>
          <cell r="O1235" t="str">
            <v>OTROS</v>
          </cell>
          <cell r="P1235">
            <v>20000</v>
          </cell>
          <cell r="T1235" t="str">
            <v>Bueno</v>
          </cell>
          <cell r="U1235" t="str">
            <v>Skypet</v>
          </cell>
        </row>
        <row r="1236">
          <cell r="J1236" t="str">
            <v>42-05-02-01-1228</v>
          </cell>
          <cell r="K1236" t="str">
            <v>42-710</v>
          </cell>
          <cell r="L1236" t="str">
            <v>42-05-02-01-1228</v>
          </cell>
          <cell r="M1236" t="str">
            <v>Mesa Ginecológica color café</v>
          </cell>
          <cell r="O1236" t="str">
            <v>EQUIPOS CLINICOS</v>
          </cell>
          <cell r="P1236">
            <v>80000</v>
          </cell>
          <cell r="T1236" t="str">
            <v>Bueno</v>
          </cell>
          <cell r="U1236" t="str">
            <v>N/T</v>
          </cell>
        </row>
        <row r="1237">
          <cell r="J1237" t="str">
            <v>42-04-06-00-1229</v>
          </cell>
          <cell r="K1237" t="str">
            <v>42-2727</v>
          </cell>
          <cell r="L1237" t="str">
            <v>42-04-06-00-1229</v>
          </cell>
          <cell r="M1237" t="str">
            <v>Vitrina metálica con puerta vidrio</v>
          </cell>
          <cell r="O1237" t="str">
            <v>REPISA</v>
          </cell>
          <cell r="P1237">
            <v>61261</v>
          </cell>
          <cell r="T1237" t="str">
            <v>Bueno</v>
          </cell>
          <cell r="U1237" t="str">
            <v>SSAS</v>
          </cell>
        </row>
        <row r="1238">
          <cell r="J1238" t="str">
            <v>42-04-07-00-1230</v>
          </cell>
          <cell r="K1238" t="str">
            <v>42-2196</v>
          </cell>
          <cell r="L1238" t="str">
            <v>42-04-07-00-1230</v>
          </cell>
          <cell r="M1238" t="str">
            <v>Dispensador jabón Johnson</v>
          </cell>
          <cell r="O1238" t="str">
            <v>OTROS</v>
          </cell>
          <cell r="P1238">
            <v>17000</v>
          </cell>
          <cell r="T1238" t="str">
            <v>Bueno</v>
          </cell>
          <cell r="U1238" t="str">
            <v>Johnson</v>
          </cell>
        </row>
        <row r="1239">
          <cell r="J1239" t="str">
            <v>42-04-04-00-1231</v>
          </cell>
          <cell r="K1239" t="str">
            <v>42-2682</v>
          </cell>
          <cell r="L1239" t="str">
            <v>42-04-04-00-1231</v>
          </cell>
          <cell r="M1239" t="str">
            <v>Mueble mel. blanco, 8 puertas, 4 cajones 1 lavamanos y llave combinación</v>
          </cell>
          <cell r="O1239" t="str">
            <v>MUEBLES DE COCINA</v>
          </cell>
          <cell r="P1239">
            <v>46800</v>
          </cell>
          <cell r="T1239" t="str">
            <v>Bueno</v>
          </cell>
          <cell r="U1239" t="str">
            <v>N/T</v>
          </cell>
        </row>
        <row r="1240">
          <cell r="J1240" t="str">
            <v>42-04-01-00-1232</v>
          </cell>
          <cell r="K1240" t="str">
            <v>42-620</v>
          </cell>
          <cell r="L1240" t="str">
            <v>42-04-01-00-1232</v>
          </cell>
          <cell r="M1240" t="str">
            <v>Mesa mixta blanca para comer en cama con cubierta de formalita verde</v>
          </cell>
          <cell r="O1240" t="str">
            <v>MESAS</v>
          </cell>
          <cell r="P1240">
            <v>40000</v>
          </cell>
          <cell r="T1240" t="str">
            <v>Bueno</v>
          </cell>
          <cell r="U1240" t="str">
            <v>N/T</v>
          </cell>
        </row>
        <row r="1241">
          <cell r="J1241" t="str">
            <v>42-04-06-00-1233</v>
          </cell>
          <cell r="K1241" t="str">
            <v>42-621</v>
          </cell>
          <cell r="L1241" t="str">
            <v>42-04-06-00-1233</v>
          </cell>
          <cell r="M1241" t="str">
            <v>Vitrina metálica con 2 puertas de vidrio color blanco</v>
          </cell>
          <cell r="O1241" t="str">
            <v>REPISA</v>
          </cell>
          <cell r="P1241">
            <v>61261</v>
          </cell>
          <cell r="T1241" t="str">
            <v>Bueno</v>
          </cell>
          <cell r="U1241" t="str">
            <v>SSAS</v>
          </cell>
        </row>
        <row r="1242">
          <cell r="J1242" t="str">
            <v>42-05-02-01-1234</v>
          </cell>
          <cell r="K1242" t="str">
            <v>42-713</v>
          </cell>
          <cell r="L1242" t="str">
            <v>42-05-02-01-1234</v>
          </cell>
          <cell r="M1242" t="str">
            <v>Carro curaciones 4 ruedas, 2 compartimentos 89,5x41,5 cms.</v>
          </cell>
          <cell r="O1242" t="str">
            <v>EQUIPOS CLINICOS</v>
          </cell>
          <cell r="P1242">
            <v>25900</v>
          </cell>
          <cell r="T1242" t="str">
            <v>Bueno</v>
          </cell>
          <cell r="U1242" t="str">
            <v>N/T</v>
          </cell>
        </row>
        <row r="1243">
          <cell r="J1243" t="str">
            <v>42-05-02-01-1235</v>
          </cell>
          <cell r="K1243" t="str">
            <v>42-413</v>
          </cell>
          <cell r="L1243" t="str">
            <v>42-05-02-01-1235</v>
          </cell>
          <cell r="M1243" t="str">
            <v>Catre quirúrgico con respaldo blanco con somier</v>
          </cell>
          <cell r="O1243" t="str">
            <v>EQUIPOS CLINICOS</v>
          </cell>
          <cell r="P1243">
            <v>1140423</v>
          </cell>
          <cell r="T1243" t="str">
            <v>Bueno</v>
          </cell>
          <cell r="U1243" t="str">
            <v>SSAS</v>
          </cell>
        </row>
        <row r="1244">
          <cell r="J1244" t="str">
            <v>42-05-02-01-1236</v>
          </cell>
          <cell r="K1244" t="str">
            <v>42-3014</v>
          </cell>
          <cell r="L1244" t="str">
            <v>42-05-02-01-1236</v>
          </cell>
          <cell r="M1244" t="str">
            <v>Catre clínico metálico con respaldo color café</v>
          </cell>
          <cell r="O1244" t="str">
            <v>EQUIPOS CLINICOS</v>
          </cell>
          <cell r="P1244">
            <v>1904000</v>
          </cell>
          <cell r="T1244" t="str">
            <v>Bueno</v>
          </cell>
          <cell r="U1244" t="str">
            <v>SSAS</v>
          </cell>
        </row>
        <row r="1245">
          <cell r="J1245" t="str">
            <v>42-04-07-00-1237</v>
          </cell>
          <cell r="K1245" t="str">
            <v>42-2196</v>
          </cell>
          <cell r="L1245" t="str">
            <v>42-04-07-00-1237</v>
          </cell>
          <cell r="M1245" t="str">
            <v>Velador metálico 1 cajón, 1 puerta color blanco</v>
          </cell>
          <cell r="O1245" t="str">
            <v>OTROS</v>
          </cell>
          <cell r="P1245">
            <v>15000</v>
          </cell>
          <cell r="T1245" t="str">
            <v>Bueno</v>
          </cell>
          <cell r="U1245" t="str">
            <v>SSAS</v>
          </cell>
        </row>
        <row r="1246">
          <cell r="J1246" t="str">
            <v>42-05-02-01-1238</v>
          </cell>
          <cell r="K1246" t="str">
            <v>42-627</v>
          </cell>
          <cell r="L1246" t="str">
            <v>42-05-02-01-1238</v>
          </cell>
          <cell r="M1246" t="str">
            <v>Carro de curaciones de acero inox. 2 compartimentos</v>
          </cell>
          <cell r="O1246" t="str">
            <v>EQUIPOS CLINICOS</v>
          </cell>
          <cell r="P1246">
            <v>40000</v>
          </cell>
          <cell r="T1246" t="str">
            <v>Bueno</v>
          </cell>
          <cell r="U1246" t="str">
            <v>N/T</v>
          </cell>
        </row>
        <row r="1247">
          <cell r="J1247" t="str">
            <v>42-05-02-01-1239</v>
          </cell>
          <cell r="K1247" t="str">
            <v>42-651</v>
          </cell>
          <cell r="L1247" t="str">
            <v>42-05-02-01-1239</v>
          </cell>
          <cell r="M1247" t="str">
            <v>Pesa para adulto marca Detecto capacidad 140 Kgs.</v>
          </cell>
          <cell r="O1247" t="str">
            <v>EQUIPOS CLINICOS</v>
          </cell>
          <cell r="P1247">
            <v>45000</v>
          </cell>
          <cell r="T1247" t="str">
            <v>Bueno</v>
          </cell>
          <cell r="U1247" t="str">
            <v>Detecto</v>
          </cell>
        </row>
        <row r="1248">
          <cell r="J1248" t="str">
            <v>42-05-02-01-1240</v>
          </cell>
          <cell r="K1248" t="str">
            <v>42-2602</v>
          </cell>
          <cell r="L1248" t="str">
            <v>42-05-02-01-1240</v>
          </cell>
          <cell r="M1248" t="str">
            <v>Porta suero metálico con 3 ruedas</v>
          </cell>
          <cell r="O1248" t="str">
            <v>EQUIPOS CLINICOS</v>
          </cell>
          <cell r="P1248">
            <v>19000</v>
          </cell>
          <cell r="T1248" t="str">
            <v>Bueno</v>
          </cell>
          <cell r="U1248" t="str">
            <v>N/T</v>
          </cell>
        </row>
        <row r="1249">
          <cell r="J1249" t="str">
            <v>42-05-02-01-1241</v>
          </cell>
          <cell r="K1249" t="str">
            <v>42-2198</v>
          </cell>
          <cell r="L1249" t="str">
            <v>42-05-02-01-1241</v>
          </cell>
          <cell r="M1249" t="str">
            <v>Estetoscopio de Pinard plástico negro</v>
          </cell>
          <cell r="O1249" t="str">
            <v>EQUIPOS CLINICOS</v>
          </cell>
          <cell r="P1249">
            <v>3500</v>
          </cell>
          <cell r="T1249" t="str">
            <v>Bueno</v>
          </cell>
          <cell r="U1249" t="str">
            <v>N/T</v>
          </cell>
        </row>
        <row r="1250">
          <cell r="J1250" t="str">
            <v>42-06-01-00-1242</v>
          </cell>
          <cell r="K1250" t="str">
            <v>42-2199</v>
          </cell>
          <cell r="L1250" t="str">
            <v>42-06-01-00-1242</v>
          </cell>
          <cell r="M1250" t="str">
            <v>Monitor GE corometrics 170 series Mod. 0171 S/N° RUW04393455PA</v>
          </cell>
          <cell r="O1250" t="str">
            <v>EQUIPOS COMPUTACIONALES Y PERIFÉRICOS</v>
          </cell>
          <cell r="P1250">
            <v>578000</v>
          </cell>
          <cell r="T1250" t="str">
            <v>Bueno</v>
          </cell>
          <cell r="U1250" t="str">
            <v>N/T</v>
          </cell>
        </row>
        <row r="1251">
          <cell r="J1251" t="str">
            <v>42-05-02-01-1243</v>
          </cell>
          <cell r="K1251" t="str">
            <v>42-719</v>
          </cell>
          <cell r="L1251" t="str">
            <v>42-05-02-01-1243</v>
          </cell>
          <cell r="M1251" t="str">
            <v>Amnioscopio marca Heine HK-400</v>
          </cell>
          <cell r="O1251" t="str">
            <v>EQUIPOS CLINICOS</v>
          </cell>
          <cell r="P1251">
            <v>60000</v>
          </cell>
          <cell r="T1251" t="str">
            <v>Bueno</v>
          </cell>
          <cell r="U1251" t="str">
            <v>Heine</v>
          </cell>
        </row>
        <row r="1252">
          <cell r="J1252" t="str">
            <v>42-05-02-01-1244</v>
          </cell>
          <cell r="K1252" t="str">
            <v>42-3309</v>
          </cell>
          <cell r="L1252" t="str">
            <v>42-05-02-01-1244</v>
          </cell>
          <cell r="M1252" t="str">
            <v>Manómetro oxígeno Indura Lifecare</v>
          </cell>
          <cell r="O1252" t="str">
            <v>EQUIPOS CLINICOS</v>
          </cell>
          <cell r="P1252">
            <v>55000</v>
          </cell>
          <cell r="T1252" t="str">
            <v>Bueno</v>
          </cell>
          <cell r="U1252" t="str">
            <v>Lifecare</v>
          </cell>
        </row>
        <row r="1253">
          <cell r="J1253" t="str">
            <v>42-04-02-00-1245</v>
          </cell>
          <cell r="K1253" t="str">
            <v>42-671</v>
          </cell>
          <cell r="L1253" t="str">
            <v>42-04-02-00-1245</v>
          </cell>
          <cell r="M1253" t="str">
            <v>Silla de ruedas</v>
          </cell>
          <cell r="O1253" t="str">
            <v>SILLAS</v>
          </cell>
          <cell r="P1253">
            <v>55000</v>
          </cell>
          <cell r="T1253" t="str">
            <v>Bueno</v>
          </cell>
          <cell r="U1253" t="str">
            <v>N/T</v>
          </cell>
        </row>
        <row r="1254">
          <cell r="J1254" t="str">
            <v>42-05-02-01-1246</v>
          </cell>
          <cell r="K1254" t="str">
            <v>42-672</v>
          </cell>
          <cell r="L1254" t="str">
            <v>42-05-02-01-1246</v>
          </cell>
          <cell r="M1254" t="str">
            <v>Camilla metálica con colchoneta tevinil café</v>
          </cell>
          <cell r="O1254" t="str">
            <v>EQUIPOS CLINICOS</v>
          </cell>
          <cell r="P1254">
            <v>80000</v>
          </cell>
          <cell r="T1254" t="str">
            <v>Bueno</v>
          </cell>
          <cell r="U1254" t="str">
            <v>N/T</v>
          </cell>
        </row>
        <row r="1255">
          <cell r="J1255" t="str">
            <v>42-05-01-01-1247</v>
          </cell>
          <cell r="K1255" t="str">
            <v>42-674</v>
          </cell>
          <cell r="L1255" t="str">
            <v>42-05-01-01-1247</v>
          </cell>
          <cell r="M1255" t="str">
            <v>Pizarra magnética 60x50 cms.</v>
          </cell>
          <cell r="O1255" t="str">
            <v>EQUIPO DE OFICINA</v>
          </cell>
          <cell r="P1255">
            <v>25000</v>
          </cell>
          <cell r="T1255" t="str">
            <v>Bueno</v>
          </cell>
          <cell r="U1255" t="str">
            <v>N/T</v>
          </cell>
        </row>
        <row r="1256">
          <cell r="J1256" t="str">
            <v>42-04-07-00-1248</v>
          </cell>
          <cell r="K1256" t="str">
            <v>42-2073</v>
          </cell>
          <cell r="L1256" t="str">
            <v>42-04-07-00-1248</v>
          </cell>
          <cell r="M1256" t="str">
            <v>Basurero grande marca Omnium color plomo con tapa burdeo y ruedas</v>
          </cell>
          <cell r="O1256" t="str">
            <v>OTROS</v>
          </cell>
          <cell r="P1256">
            <v>6500</v>
          </cell>
          <cell r="T1256" t="str">
            <v>Bueno</v>
          </cell>
          <cell r="U1256" t="str">
            <v>Omnium</v>
          </cell>
        </row>
        <row r="1257">
          <cell r="J1257" t="str">
            <v>42-05-02-05-1249</v>
          </cell>
          <cell r="K1257" t="str">
            <v>42-2809</v>
          </cell>
          <cell r="L1257" t="str">
            <v>42-05-02-05-1249</v>
          </cell>
          <cell r="M1257" t="str">
            <v>Extintor incendio tipo ABC 10 kgs.</v>
          </cell>
          <cell r="O1257" t="str">
            <v>EQUIPOS DE SEGURIDAD</v>
          </cell>
          <cell r="P1257">
            <v>25000</v>
          </cell>
          <cell r="T1257" t="str">
            <v>Bueno</v>
          </cell>
          <cell r="U1257" t="str">
            <v>N/T</v>
          </cell>
        </row>
        <row r="1258">
          <cell r="J1258" t="str">
            <v>42-04-07-00-1250</v>
          </cell>
          <cell r="K1258" t="str">
            <v>42-676B</v>
          </cell>
          <cell r="L1258" t="str">
            <v>42-04-07-00-1250</v>
          </cell>
          <cell r="M1258" t="str">
            <v>Velador CIC  barniz oscuro</v>
          </cell>
          <cell r="O1258" t="str">
            <v>OTROS</v>
          </cell>
          <cell r="P1258">
            <v>37120</v>
          </cell>
          <cell r="T1258" t="str">
            <v>Bueno</v>
          </cell>
          <cell r="U1258" t="str">
            <v>N/T</v>
          </cell>
        </row>
        <row r="1259">
          <cell r="J1259" t="str">
            <v>42-04-07-00-1251</v>
          </cell>
          <cell r="K1259" t="str">
            <v>42-676C</v>
          </cell>
          <cell r="L1259" t="str">
            <v>42-04-07-00-1251</v>
          </cell>
          <cell r="M1259" t="str">
            <v>Marquesa de madera, 1 plaza</v>
          </cell>
          <cell r="O1259" t="str">
            <v>OTROS</v>
          </cell>
          <cell r="P1259">
            <v>60000</v>
          </cell>
          <cell r="T1259" t="str">
            <v>Bueno</v>
          </cell>
          <cell r="U1259" t="str">
            <v>N/T</v>
          </cell>
        </row>
        <row r="1260">
          <cell r="J1260" t="str">
            <v>42-04-07-00-1252</v>
          </cell>
          <cell r="K1260" t="str">
            <v>42-2685</v>
          </cell>
          <cell r="L1260" t="str">
            <v>42-04-07-00-1252</v>
          </cell>
          <cell r="M1260" t="str">
            <v>Lámpara de velador de madera</v>
          </cell>
          <cell r="O1260" t="str">
            <v>OTROS</v>
          </cell>
          <cell r="P1260">
            <v>8000</v>
          </cell>
          <cell r="T1260" t="str">
            <v>Bueno</v>
          </cell>
          <cell r="U1260" t="str">
            <v>N/T</v>
          </cell>
        </row>
        <row r="1261">
          <cell r="J1261" t="str">
            <v>42-04-07-00-1253</v>
          </cell>
          <cell r="K1261" t="str">
            <v>42-2200</v>
          </cell>
          <cell r="L1261" t="str">
            <v>42-04-07-00-1253</v>
          </cell>
          <cell r="M1261" t="str">
            <v>Carro para ropa sucia color plomo</v>
          </cell>
          <cell r="O1261" t="str">
            <v>OTROS</v>
          </cell>
          <cell r="P1261">
            <v>149000</v>
          </cell>
          <cell r="T1261" t="str">
            <v>Bueno</v>
          </cell>
          <cell r="U1261" t="str">
            <v>N/T</v>
          </cell>
        </row>
        <row r="1262">
          <cell r="J1262" t="str">
            <v>42-04-06-00-1254</v>
          </cell>
          <cell r="K1262" t="str">
            <v>42-2201</v>
          </cell>
          <cell r="L1262" t="str">
            <v>42-04-06-00-1254</v>
          </cell>
          <cell r="M1262" t="str">
            <v>Vitrina metálica 2 puertas para guardar útiles de aseo</v>
          </cell>
          <cell r="O1262" t="str">
            <v>REPISA</v>
          </cell>
          <cell r="P1262">
            <v>100000</v>
          </cell>
          <cell r="T1262" t="str">
            <v>Bueno</v>
          </cell>
          <cell r="U1262" t="str">
            <v>SSAS</v>
          </cell>
        </row>
        <row r="1263">
          <cell r="J1263" t="str">
            <v>42-04-04-00-1255</v>
          </cell>
          <cell r="K1263" t="str">
            <v>42-3311</v>
          </cell>
          <cell r="L1263" t="str">
            <v>42-04-04-00-1255</v>
          </cell>
          <cell r="M1263" t="str">
            <v>Mueble lavamandos con monomando, 2 puertas correderas color blanco</v>
          </cell>
          <cell r="O1263" t="str">
            <v>MUEBLES DE COCINA</v>
          </cell>
          <cell r="P1263">
            <v>70000</v>
          </cell>
          <cell r="T1263" t="str">
            <v>Bueno</v>
          </cell>
          <cell r="U1263" t="str">
            <v>N/T</v>
          </cell>
        </row>
        <row r="1264">
          <cell r="J1264" t="str">
            <v>42-05-02-01-1256</v>
          </cell>
          <cell r="K1264" t="str">
            <v>42-1213</v>
          </cell>
          <cell r="L1264" t="str">
            <v>42-05-02-01-1256</v>
          </cell>
          <cell r="M1264" t="str">
            <v>Porta suero metálico pedestal con 3 ruedas</v>
          </cell>
          <cell r="O1264" t="str">
            <v>EQUIPOS CLINICOS</v>
          </cell>
          <cell r="P1264">
            <v>20000</v>
          </cell>
          <cell r="T1264" t="str">
            <v>Bueno</v>
          </cell>
          <cell r="U1264" t="str">
            <v>N/T</v>
          </cell>
        </row>
        <row r="1265">
          <cell r="J1265" t="str">
            <v>42-05-02-01-1257</v>
          </cell>
          <cell r="K1265" t="str">
            <v>42-1590</v>
          </cell>
          <cell r="L1265" t="str">
            <v>42-05-02-01-1257</v>
          </cell>
          <cell r="M1265" t="str">
            <v>Porta suero portatil redondo con 5 ruedas y 4 ganchos metálicos</v>
          </cell>
          <cell r="O1265" t="str">
            <v>EQUIPOS CLINICOS</v>
          </cell>
          <cell r="P1265">
            <v>19000</v>
          </cell>
          <cell r="T1265" t="str">
            <v>Bueno</v>
          </cell>
          <cell r="U1265" t="str">
            <v>N/T</v>
          </cell>
        </row>
        <row r="1266">
          <cell r="J1266" t="str">
            <v>42-05-02-01-1258</v>
          </cell>
          <cell r="K1266" t="str">
            <v>42-3015</v>
          </cell>
          <cell r="L1266" t="str">
            <v>42-05-02-01-1258</v>
          </cell>
          <cell r="M1266" t="str">
            <v>Catre clínico marca Hope Full</v>
          </cell>
          <cell r="O1266" t="str">
            <v>EQUIPOS CLINICOS</v>
          </cell>
          <cell r="P1266">
            <v>816340</v>
          </cell>
          <cell r="T1266" t="str">
            <v>Bueno</v>
          </cell>
          <cell r="U1266" t="str">
            <v>Hope Full</v>
          </cell>
        </row>
        <row r="1267">
          <cell r="J1267" t="str">
            <v>42-05-02-01-1259</v>
          </cell>
          <cell r="K1267" t="str">
            <v>42-3016</v>
          </cell>
          <cell r="L1267" t="str">
            <v>42-05-02-01-1259</v>
          </cell>
          <cell r="M1267" t="str">
            <v>Catre clínico marca Hope Full</v>
          </cell>
          <cell r="O1267" t="str">
            <v>EQUIPOS CLINICOS</v>
          </cell>
          <cell r="P1267">
            <v>816340</v>
          </cell>
          <cell r="T1267" t="str">
            <v>Bueno</v>
          </cell>
          <cell r="U1267" t="str">
            <v>Hope Full</v>
          </cell>
        </row>
        <row r="1268">
          <cell r="J1268" t="str">
            <v>42-05-02-01-1260</v>
          </cell>
          <cell r="K1268" t="str">
            <v>42-3017</v>
          </cell>
          <cell r="L1268" t="str">
            <v>42-05-02-01-1260</v>
          </cell>
          <cell r="M1268" t="str">
            <v>Catre clínico marca Hope Full</v>
          </cell>
          <cell r="O1268" t="str">
            <v>EQUIPOS CLINICOS</v>
          </cell>
          <cell r="P1268">
            <v>816340</v>
          </cell>
          <cell r="T1268" t="str">
            <v>Bueno</v>
          </cell>
          <cell r="U1268" t="str">
            <v>Hope Full</v>
          </cell>
        </row>
        <row r="1269">
          <cell r="J1269" t="str">
            <v>42-05-02-01-1261</v>
          </cell>
          <cell r="K1269" t="str">
            <v>42-3018</v>
          </cell>
          <cell r="L1269" t="str">
            <v>42-05-02-01-1261</v>
          </cell>
          <cell r="M1269" t="str">
            <v>Catre clínico marca Hope Full</v>
          </cell>
          <cell r="O1269" t="str">
            <v>EQUIPOS CLINICOS</v>
          </cell>
          <cell r="P1269">
            <v>816340</v>
          </cell>
          <cell r="T1269" t="str">
            <v>Bueno</v>
          </cell>
          <cell r="U1269" t="str">
            <v>Hope Full</v>
          </cell>
        </row>
        <row r="1270">
          <cell r="J1270" t="str">
            <v>42-05-02-01-1262</v>
          </cell>
          <cell r="K1270" t="str">
            <v>42-3019</v>
          </cell>
          <cell r="L1270" t="str">
            <v>42-05-02-01-1262</v>
          </cell>
          <cell r="M1270" t="str">
            <v>Catre clínico marca Hope Full</v>
          </cell>
          <cell r="O1270" t="str">
            <v>EQUIPOS CLINICOS</v>
          </cell>
          <cell r="P1270">
            <v>816340</v>
          </cell>
          <cell r="T1270" t="str">
            <v>Bueno</v>
          </cell>
          <cell r="U1270" t="str">
            <v>Hope Full</v>
          </cell>
        </row>
        <row r="1271">
          <cell r="J1271" t="str">
            <v>42-05-02-01-1263</v>
          </cell>
          <cell r="K1271" t="str">
            <v>42-3020</v>
          </cell>
          <cell r="L1271" t="str">
            <v>42-05-02-01-1263</v>
          </cell>
          <cell r="M1271" t="str">
            <v>Catre clínico marca Hope Full</v>
          </cell>
          <cell r="O1271" t="str">
            <v>EQUIPOS CLINICOS</v>
          </cell>
          <cell r="P1271">
            <v>816340</v>
          </cell>
          <cell r="T1271" t="str">
            <v>Bueno</v>
          </cell>
          <cell r="U1271" t="str">
            <v>Hope Full</v>
          </cell>
        </row>
        <row r="1272">
          <cell r="J1272" t="str">
            <v>42-05-02-01-1264</v>
          </cell>
          <cell r="K1272" t="str">
            <v>42-3021</v>
          </cell>
          <cell r="L1272" t="str">
            <v>42-05-02-01-1264</v>
          </cell>
          <cell r="M1272" t="str">
            <v>Catre clínico marca Hope Full</v>
          </cell>
          <cell r="O1272" t="str">
            <v>EQUIPOS CLINICOS</v>
          </cell>
          <cell r="P1272">
            <v>816340</v>
          </cell>
          <cell r="T1272" t="str">
            <v>Bueno</v>
          </cell>
          <cell r="U1272" t="str">
            <v>Hope Full</v>
          </cell>
        </row>
        <row r="1273">
          <cell r="J1273" t="str">
            <v>42-05-02-01-1265</v>
          </cell>
          <cell r="K1273" t="str">
            <v>42-3022</v>
          </cell>
          <cell r="L1273" t="str">
            <v>42-05-02-01-1265</v>
          </cell>
          <cell r="M1273" t="str">
            <v>Catre clínico marca Hope Full</v>
          </cell>
          <cell r="O1273" t="str">
            <v>EQUIPOS CLINICOS</v>
          </cell>
          <cell r="P1273">
            <v>816340</v>
          </cell>
          <cell r="T1273" t="str">
            <v>Bueno</v>
          </cell>
          <cell r="U1273" t="str">
            <v>Hope Full</v>
          </cell>
        </row>
        <row r="1274">
          <cell r="J1274" t="str">
            <v>42-04-07-00-1266</v>
          </cell>
          <cell r="K1274" t="str">
            <v>42-3023</v>
          </cell>
          <cell r="L1274" t="str">
            <v>42-04-07-00-1266</v>
          </cell>
          <cell r="M1274" t="str">
            <v>Velador metálico 1 cajón, 1 puerta masisa color café</v>
          </cell>
          <cell r="O1274" t="str">
            <v>OTROS</v>
          </cell>
          <cell r="P1274">
            <v>15000</v>
          </cell>
          <cell r="T1274" t="str">
            <v>Bueno</v>
          </cell>
          <cell r="U1274" t="str">
            <v>N/T</v>
          </cell>
        </row>
        <row r="1275">
          <cell r="J1275" t="str">
            <v>42-04-07-00-1267</v>
          </cell>
          <cell r="K1275" t="str">
            <v>42-3024</v>
          </cell>
          <cell r="L1275" t="str">
            <v>42-04-07-00-1267</v>
          </cell>
          <cell r="M1275" t="str">
            <v>Velador metálico 1 cajón, 1 puerta masisa color café</v>
          </cell>
          <cell r="O1275" t="str">
            <v>OTROS</v>
          </cell>
          <cell r="P1275">
            <v>15000</v>
          </cell>
          <cell r="T1275" t="str">
            <v>Bueno</v>
          </cell>
          <cell r="U1275" t="str">
            <v>N/T</v>
          </cell>
        </row>
        <row r="1276">
          <cell r="J1276" t="str">
            <v>42-04-07-00-1268</v>
          </cell>
          <cell r="K1276" t="str">
            <v>42-3025</v>
          </cell>
          <cell r="L1276" t="str">
            <v>42-04-07-00-1268</v>
          </cell>
          <cell r="M1276" t="str">
            <v>Velador metálico 1 cajón, 1 puerta masisa color café</v>
          </cell>
          <cell r="O1276" t="str">
            <v>OTROS</v>
          </cell>
          <cell r="P1276">
            <v>15000</v>
          </cell>
          <cell r="T1276" t="str">
            <v>Bueno</v>
          </cell>
          <cell r="U1276" t="str">
            <v>N/T</v>
          </cell>
        </row>
        <row r="1277">
          <cell r="J1277" t="str">
            <v>42-04-07-00-1269</v>
          </cell>
          <cell r="K1277" t="str">
            <v>42-3026</v>
          </cell>
          <cell r="L1277" t="str">
            <v>42-04-07-00-1269</v>
          </cell>
          <cell r="M1277" t="str">
            <v>Velador metálico 1 cajón, 1 puerta masisa color café</v>
          </cell>
          <cell r="O1277" t="str">
            <v>OTROS</v>
          </cell>
          <cell r="P1277">
            <v>15000</v>
          </cell>
          <cell r="T1277" t="str">
            <v>Bueno</v>
          </cell>
          <cell r="U1277" t="str">
            <v>N/T</v>
          </cell>
        </row>
        <row r="1278">
          <cell r="J1278" t="str">
            <v>42-04-07-00-1270</v>
          </cell>
          <cell r="K1278" t="str">
            <v>42-3027</v>
          </cell>
          <cell r="L1278" t="str">
            <v>42-04-07-00-1270</v>
          </cell>
          <cell r="M1278" t="str">
            <v>Velador metálico 1 cajón, 1 puerta masisa color café</v>
          </cell>
          <cell r="O1278" t="str">
            <v>OTROS</v>
          </cell>
          <cell r="P1278">
            <v>15000</v>
          </cell>
          <cell r="T1278" t="str">
            <v>Bueno</v>
          </cell>
          <cell r="U1278" t="str">
            <v>N/T</v>
          </cell>
        </row>
        <row r="1279">
          <cell r="J1279" t="str">
            <v>42-04-07-00-1271</v>
          </cell>
          <cell r="K1279" t="str">
            <v>42-3028</v>
          </cell>
          <cell r="L1279" t="str">
            <v>42-04-07-00-1271</v>
          </cell>
          <cell r="M1279" t="str">
            <v>Velador metálico 1 cajón, 1 puerta masisa color café</v>
          </cell>
          <cell r="O1279" t="str">
            <v>OTROS</v>
          </cell>
          <cell r="P1279">
            <v>15000</v>
          </cell>
          <cell r="T1279" t="str">
            <v>Bueno</v>
          </cell>
          <cell r="U1279" t="str">
            <v>N/T</v>
          </cell>
        </row>
        <row r="1280">
          <cell r="J1280" t="str">
            <v>42-04-07-00-1272</v>
          </cell>
          <cell r="K1280" t="str">
            <v>42-3029</v>
          </cell>
          <cell r="L1280" t="str">
            <v>42-04-07-00-1272</v>
          </cell>
          <cell r="M1280" t="str">
            <v>Velador metálico 1 cajón, 1 puerta masisa color café</v>
          </cell>
          <cell r="O1280" t="str">
            <v>OTROS</v>
          </cell>
          <cell r="P1280">
            <v>15000</v>
          </cell>
          <cell r="T1280" t="str">
            <v>Bueno</v>
          </cell>
          <cell r="U1280" t="str">
            <v>N/T</v>
          </cell>
        </row>
        <row r="1281">
          <cell r="J1281" t="str">
            <v>42-04-07-00-1273</v>
          </cell>
          <cell r="K1281" t="str">
            <v>42-3030</v>
          </cell>
          <cell r="L1281" t="str">
            <v>42-04-07-00-1273</v>
          </cell>
          <cell r="M1281" t="str">
            <v>Velador metálico 1 cajón, 1 puerta masisa color café</v>
          </cell>
          <cell r="O1281" t="str">
            <v>OTROS</v>
          </cell>
          <cell r="P1281">
            <v>15000</v>
          </cell>
          <cell r="T1281" t="str">
            <v>Bueno</v>
          </cell>
          <cell r="U1281" t="str">
            <v>N/T</v>
          </cell>
        </row>
        <row r="1282">
          <cell r="J1282" t="str">
            <v>42-04-07-00-1274</v>
          </cell>
          <cell r="K1282" t="str">
            <v>42-663</v>
          </cell>
          <cell r="L1282" t="str">
            <v>42-04-07-00-1274</v>
          </cell>
          <cell r="M1282" t="str">
            <v>Velador metálico, 1 cajon 1 puerta con cubierta café</v>
          </cell>
          <cell r="O1282" t="str">
            <v>OTROS</v>
          </cell>
          <cell r="P1282">
            <v>15000</v>
          </cell>
          <cell r="T1282" t="str">
            <v>Bueno</v>
          </cell>
          <cell r="U1282" t="str">
            <v>N/T</v>
          </cell>
        </row>
        <row r="1283">
          <cell r="J1283" t="str">
            <v>42-04-01-00-1275</v>
          </cell>
          <cell r="K1283" t="str">
            <v>42-3008</v>
          </cell>
          <cell r="L1283" t="str">
            <v>42-04-01-00-1275</v>
          </cell>
          <cell r="M1283" t="str">
            <v>Mesa lateral metálica con cubierta melamina, 4 ruedas color plomo</v>
          </cell>
          <cell r="O1283" t="str">
            <v>MESAS</v>
          </cell>
          <cell r="P1283">
            <v>83003</v>
          </cell>
          <cell r="T1283" t="str">
            <v>Bueno</v>
          </cell>
          <cell r="U1283" t="str">
            <v>N/T</v>
          </cell>
        </row>
        <row r="1284">
          <cell r="J1284" t="str">
            <v>42-04-01-00-1276</v>
          </cell>
          <cell r="K1284" t="str">
            <v>42-3032</v>
          </cell>
          <cell r="L1284" t="str">
            <v>42-04-01-00-1276</v>
          </cell>
          <cell r="M1284" t="str">
            <v>Mesa lateral metálica con cubierta melamina, 4 ruedas color plomo</v>
          </cell>
          <cell r="O1284" t="str">
            <v>MESAS</v>
          </cell>
          <cell r="P1284">
            <v>83003</v>
          </cell>
          <cell r="T1284" t="str">
            <v>Bueno</v>
          </cell>
          <cell r="U1284" t="str">
            <v>N/T</v>
          </cell>
        </row>
        <row r="1285">
          <cell r="J1285" t="str">
            <v>42-04-01-00-1277</v>
          </cell>
          <cell r="K1285" t="str">
            <v>42-3033</v>
          </cell>
          <cell r="L1285" t="str">
            <v>42-04-01-00-1277</v>
          </cell>
          <cell r="M1285" t="str">
            <v>Mesa lateral metálica con cubierta melamina, 4 ruedas color plomo</v>
          </cell>
          <cell r="O1285" t="str">
            <v>MESAS</v>
          </cell>
          <cell r="P1285">
            <v>83003</v>
          </cell>
          <cell r="T1285" t="str">
            <v>Bueno</v>
          </cell>
          <cell r="U1285" t="str">
            <v>N/T</v>
          </cell>
        </row>
        <row r="1286">
          <cell r="J1286" t="str">
            <v>42-04-01-00-1278</v>
          </cell>
          <cell r="K1286" t="str">
            <v>42-3013</v>
          </cell>
          <cell r="L1286" t="str">
            <v>42-04-01-00-1278</v>
          </cell>
          <cell r="M1286" t="str">
            <v>Mesa lateral metálica con cubierta melamina, 4 ruedas color plomo</v>
          </cell>
          <cell r="O1286" t="str">
            <v>MESAS</v>
          </cell>
          <cell r="P1286">
            <v>83003</v>
          </cell>
          <cell r="T1286" t="str">
            <v>Bueno</v>
          </cell>
          <cell r="U1286" t="str">
            <v>N/T</v>
          </cell>
        </row>
        <row r="1287">
          <cell r="J1287" t="str">
            <v>42-04-01-00-1279</v>
          </cell>
          <cell r="K1287" t="str">
            <v>42-3035</v>
          </cell>
          <cell r="L1287" t="str">
            <v>42-04-01-00-1279</v>
          </cell>
          <cell r="M1287" t="str">
            <v>Mesa lateral metálica con cubierta melamina, 4 ruedas color plomo</v>
          </cell>
          <cell r="O1287" t="str">
            <v>MESAS</v>
          </cell>
          <cell r="P1287">
            <v>83003</v>
          </cell>
          <cell r="T1287" t="str">
            <v>Bueno</v>
          </cell>
          <cell r="U1287" t="str">
            <v>N/T</v>
          </cell>
        </row>
        <row r="1288">
          <cell r="J1288" t="str">
            <v>42-04-01-00-1280</v>
          </cell>
          <cell r="K1288" t="str">
            <v>42-3036</v>
          </cell>
          <cell r="L1288" t="str">
            <v>42-04-01-00-1280</v>
          </cell>
          <cell r="M1288" t="str">
            <v>Mesa lateral metálica con cubierta melamina, 4 ruedas color plomo</v>
          </cell>
          <cell r="O1288" t="str">
            <v>MESAS</v>
          </cell>
          <cell r="P1288">
            <v>83003</v>
          </cell>
          <cell r="T1288" t="str">
            <v>Bueno</v>
          </cell>
          <cell r="U1288" t="str">
            <v>N/T</v>
          </cell>
        </row>
        <row r="1289">
          <cell r="J1289" t="str">
            <v>42-04-01-00-1281</v>
          </cell>
          <cell r="K1289" t="str">
            <v>42-3009</v>
          </cell>
          <cell r="L1289" t="str">
            <v>42-04-01-00-1281</v>
          </cell>
          <cell r="M1289" t="str">
            <v>Mesa lateral metálica con cubierta melamina, 4 ruedas color plomo</v>
          </cell>
          <cell r="O1289" t="str">
            <v>MESAS</v>
          </cell>
          <cell r="P1289">
            <v>83003</v>
          </cell>
          <cell r="T1289" t="str">
            <v>Bueno</v>
          </cell>
          <cell r="U1289" t="str">
            <v>N/T</v>
          </cell>
        </row>
        <row r="1290">
          <cell r="J1290" t="str">
            <v>42-04-07-00-1282</v>
          </cell>
          <cell r="K1290" t="str">
            <v>42-2680</v>
          </cell>
          <cell r="L1290" t="str">
            <v>42-04-07-00-1282</v>
          </cell>
          <cell r="M1290" t="str">
            <v>Sillón mixto con pergamoide negro con apoya pies</v>
          </cell>
          <cell r="O1290" t="str">
            <v>OTROS</v>
          </cell>
          <cell r="P1290">
            <v>50000</v>
          </cell>
          <cell r="T1290" t="str">
            <v>Bueno</v>
          </cell>
          <cell r="U1290" t="str">
            <v>N/T</v>
          </cell>
        </row>
        <row r="1291">
          <cell r="J1291" t="str">
            <v>42-04-07-00-1283</v>
          </cell>
          <cell r="K1291" t="str">
            <v>42-1237</v>
          </cell>
          <cell r="L1291" t="str">
            <v>42-04-07-00-1283</v>
          </cell>
          <cell r="M1291" t="str">
            <v>Sofá cama estampado rosado</v>
          </cell>
          <cell r="O1291" t="str">
            <v>OTROS</v>
          </cell>
          <cell r="P1291">
            <v>60000</v>
          </cell>
          <cell r="T1291" t="str">
            <v>Bueno</v>
          </cell>
          <cell r="U1291" t="str">
            <v>N/T</v>
          </cell>
        </row>
        <row r="1292">
          <cell r="J1292" t="str">
            <v>42-05-02-01-1284</v>
          </cell>
          <cell r="K1292" t="str">
            <v>42-670</v>
          </cell>
          <cell r="L1292" t="str">
            <v>42-05-02-01-1284</v>
          </cell>
          <cell r="M1292" t="str">
            <v>Escabel mixto 2 peldaños, negro</v>
          </cell>
          <cell r="O1292" t="str">
            <v>EQUIPOS CLINICOS</v>
          </cell>
          <cell r="P1292">
            <v>14280</v>
          </cell>
          <cell r="T1292" t="str">
            <v>Bueno</v>
          </cell>
          <cell r="U1292" t="str">
            <v>N/T</v>
          </cell>
        </row>
        <row r="1293">
          <cell r="J1293" t="str">
            <v>42-04-07-00-1285</v>
          </cell>
          <cell r="K1293" t="str">
            <v>42-2678</v>
          </cell>
          <cell r="L1293" t="str">
            <v>42-04-07-00-1285</v>
          </cell>
          <cell r="M1293" t="str">
            <v>Dispensador marca Johnson</v>
          </cell>
          <cell r="O1293" t="str">
            <v>OTROS</v>
          </cell>
          <cell r="P1293">
            <v>17000</v>
          </cell>
          <cell r="T1293" t="str">
            <v>Bueno</v>
          </cell>
          <cell r="U1293" t="str">
            <v>Johnson</v>
          </cell>
        </row>
        <row r="1294">
          <cell r="J1294" t="str">
            <v>42-05-02-01-1286</v>
          </cell>
          <cell r="K1294" t="str">
            <v>42-701</v>
          </cell>
          <cell r="L1294" t="str">
            <v>42-05-02-01-1286</v>
          </cell>
          <cell r="M1294" t="str">
            <v>Fototerapia marca ICR color celeste</v>
          </cell>
          <cell r="O1294" t="str">
            <v>EQUIPOS CLINICOS</v>
          </cell>
          <cell r="P1294">
            <v>89000</v>
          </cell>
          <cell r="T1294" t="str">
            <v>Bueno</v>
          </cell>
          <cell r="U1294" t="str">
            <v>ICR</v>
          </cell>
        </row>
        <row r="1295">
          <cell r="J1295" t="str">
            <v>42-05-02-01-1287</v>
          </cell>
          <cell r="K1295" t="str">
            <v>42-702</v>
          </cell>
          <cell r="L1295" t="str">
            <v>42-05-02-01-1287</v>
          </cell>
          <cell r="M1295" t="str">
            <v>Fototerapia marca Air Shields color blanco</v>
          </cell>
          <cell r="O1295" t="str">
            <v>EQUIPOS CLINICOS</v>
          </cell>
          <cell r="P1295">
            <v>60000</v>
          </cell>
          <cell r="T1295" t="str">
            <v>Bueno</v>
          </cell>
          <cell r="U1295" t="str">
            <v>Shields</v>
          </cell>
        </row>
        <row r="1296">
          <cell r="J1296" t="str">
            <v>42-05-02-01-1288</v>
          </cell>
          <cell r="K1296" t="str">
            <v>42-703</v>
          </cell>
          <cell r="L1296" t="str">
            <v>42-05-02-01-1288</v>
          </cell>
          <cell r="M1296" t="str">
            <v>Incubadora marca Ohio de 220 volt</v>
          </cell>
          <cell r="O1296" t="str">
            <v>EQUIPOS CLINICOS</v>
          </cell>
          <cell r="P1296">
            <v>450000</v>
          </cell>
          <cell r="T1296" t="str">
            <v>Bueno</v>
          </cell>
          <cell r="U1296" t="str">
            <v>Ohio</v>
          </cell>
        </row>
        <row r="1297">
          <cell r="J1297" t="str">
            <v>42-05-02-01-1289</v>
          </cell>
          <cell r="K1297" t="str">
            <v>42-677</v>
          </cell>
          <cell r="L1297" t="str">
            <v>42-05-02-01-1289</v>
          </cell>
          <cell r="M1297" t="str">
            <v>Incubadora en desuso adaptada para mudador BABY TERM</v>
          </cell>
          <cell r="O1297" t="str">
            <v>EQUIPOS CLINICOS</v>
          </cell>
          <cell r="P1297">
            <v>450000</v>
          </cell>
          <cell r="T1297" t="str">
            <v>Bueno</v>
          </cell>
          <cell r="U1297" t="str">
            <v>Baby term</v>
          </cell>
        </row>
        <row r="1298">
          <cell r="J1298" t="str">
            <v>42-05-01-01-1290</v>
          </cell>
          <cell r="K1298" t="str">
            <v>42-704</v>
          </cell>
          <cell r="L1298" t="str">
            <v>42-05-01-01-1290</v>
          </cell>
          <cell r="M1298" t="str">
            <v>Calefactor Radiant Mademsa</v>
          </cell>
          <cell r="O1298" t="str">
            <v>EQUIPO DE OFICINA</v>
          </cell>
          <cell r="P1298">
            <v>16900</v>
          </cell>
          <cell r="T1298" t="str">
            <v>Bueno</v>
          </cell>
          <cell r="U1298" t="str">
            <v>Mademsa</v>
          </cell>
        </row>
        <row r="1299">
          <cell r="J1299" t="str">
            <v>42-05-02-01-1291</v>
          </cell>
          <cell r="K1299" t="str">
            <v>42-705</v>
          </cell>
          <cell r="L1299" t="str">
            <v>42-05-02-01-1291</v>
          </cell>
          <cell r="M1299" t="str">
            <v>Cuna metálica recién nacido color blanco</v>
          </cell>
          <cell r="O1299" t="str">
            <v>EQUIPOS CLINICOS</v>
          </cell>
          <cell r="P1299">
            <v>403648</v>
          </cell>
          <cell r="T1299" t="str">
            <v>Bueno</v>
          </cell>
          <cell r="U1299" t="str">
            <v>N/T</v>
          </cell>
        </row>
        <row r="1300">
          <cell r="J1300" t="str">
            <v>42-05-02-01-1292</v>
          </cell>
          <cell r="K1300" t="str">
            <v>42-706</v>
          </cell>
          <cell r="L1300" t="str">
            <v>42-05-02-01-1292</v>
          </cell>
          <cell r="M1300" t="str">
            <v>Cuna metálica recién nacido color blanco</v>
          </cell>
          <cell r="O1300" t="str">
            <v>EQUIPOS CLINICOS</v>
          </cell>
          <cell r="P1300">
            <v>403648</v>
          </cell>
          <cell r="T1300" t="str">
            <v>Bueno</v>
          </cell>
          <cell r="U1300" t="str">
            <v>N/T</v>
          </cell>
        </row>
        <row r="1301">
          <cell r="J1301" t="str">
            <v>42-05-02-01-1293</v>
          </cell>
          <cell r="K1301" t="str">
            <v>42-707</v>
          </cell>
          <cell r="L1301" t="str">
            <v>42-05-02-01-1293</v>
          </cell>
          <cell r="M1301" t="str">
            <v>Cuna metálica recién nacido color blanco</v>
          </cell>
          <cell r="O1301" t="str">
            <v>EQUIPOS CLINICOS</v>
          </cell>
          <cell r="P1301">
            <v>403648</v>
          </cell>
          <cell r="T1301" t="str">
            <v>Bueno</v>
          </cell>
          <cell r="U1301" t="str">
            <v>N/T</v>
          </cell>
        </row>
        <row r="1302">
          <cell r="J1302" t="str">
            <v>42-04-01-00-1294</v>
          </cell>
          <cell r="K1302" t="str">
            <v>42-709</v>
          </cell>
          <cell r="L1302" t="str">
            <v>42-04-01-00-1294</v>
          </cell>
          <cell r="M1302" t="str">
            <v>Mesa chica circular con pedestal color blanco, 3 ruedas</v>
          </cell>
          <cell r="O1302" t="str">
            <v>MESAS</v>
          </cell>
          <cell r="P1302">
            <v>45000</v>
          </cell>
          <cell r="T1302" t="str">
            <v>Bueno</v>
          </cell>
          <cell r="U1302" t="str">
            <v>N/T</v>
          </cell>
        </row>
        <row r="1303">
          <cell r="J1303" t="str">
            <v>42-04-01-00-1295</v>
          </cell>
          <cell r="K1303" t="str">
            <v>42-711</v>
          </cell>
          <cell r="L1303" t="str">
            <v>42-04-01-00-1295</v>
          </cell>
          <cell r="M1303" t="str">
            <v>Mesa metálica 2 repisas</v>
          </cell>
          <cell r="O1303" t="str">
            <v>MESAS</v>
          </cell>
          <cell r="P1303">
            <v>50000</v>
          </cell>
          <cell r="T1303" t="str">
            <v>Bueno</v>
          </cell>
          <cell r="U1303" t="str">
            <v>N/T</v>
          </cell>
        </row>
        <row r="1304">
          <cell r="J1304" t="str">
            <v>42-04-07-00-1296</v>
          </cell>
          <cell r="K1304" t="str">
            <v>42-2674</v>
          </cell>
          <cell r="L1304" t="str">
            <v>42-04-07-00-1296</v>
          </cell>
          <cell r="M1304" t="str">
            <v>Dispensador de jabón</v>
          </cell>
          <cell r="O1304" t="str">
            <v>OTROS</v>
          </cell>
          <cell r="P1304">
            <v>17000</v>
          </cell>
          <cell r="T1304" t="str">
            <v>Bueno</v>
          </cell>
          <cell r="U1304" t="str">
            <v>N/T</v>
          </cell>
        </row>
        <row r="1305">
          <cell r="J1305" t="str">
            <v>42-04-07-00-1297</v>
          </cell>
          <cell r="K1305" t="str">
            <v>42-2672</v>
          </cell>
          <cell r="L1305" t="str">
            <v>42-04-07-00-1297</v>
          </cell>
          <cell r="M1305" t="str">
            <v>Sillón  mixto tevinil color café</v>
          </cell>
          <cell r="O1305" t="str">
            <v>OTROS</v>
          </cell>
          <cell r="P1305">
            <v>24395</v>
          </cell>
          <cell r="T1305" t="str">
            <v>Bueno</v>
          </cell>
          <cell r="U1305" t="str">
            <v>N/T</v>
          </cell>
        </row>
        <row r="1306">
          <cell r="J1306" t="str">
            <v>42-04-07-00-1298</v>
          </cell>
          <cell r="K1306" t="str">
            <v>42-2673</v>
          </cell>
          <cell r="L1306" t="str">
            <v>42-04-07-00-1298</v>
          </cell>
          <cell r="M1306" t="str">
            <v>Sillón  mixto tevinil color café</v>
          </cell>
          <cell r="O1306" t="str">
            <v>OTROS</v>
          </cell>
          <cell r="P1306">
            <v>24395</v>
          </cell>
          <cell r="T1306" t="str">
            <v>Bueno</v>
          </cell>
          <cell r="U1306" t="str">
            <v>N/T</v>
          </cell>
        </row>
        <row r="1307">
          <cell r="J1307" t="str">
            <v>42-04-07-00-1299</v>
          </cell>
          <cell r="K1307" t="str">
            <v>42-2683</v>
          </cell>
          <cell r="L1307" t="str">
            <v>42-04-07-00-1299</v>
          </cell>
          <cell r="M1307" t="str">
            <v>Sillón  mixto tevinil color café</v>
          </cell>
          <cell r="O1307" t="str">
            <v>OTROS</v>
          </cell>
          <cell r="P1307">
            <v>24395</v>
          </cell>
          <cell r="T1307" t="str">
            <v>Bueno</v>
          </cell>
          <cell r="U1307" t="str">
            <v>N/T</v>
          </cell>
        </row>
        <row r="1308">
          <cell r="J1308" t="str">
            <v>42-04-02-00-1300</v>
          </cell>
          <cell r="K1308" t="str">
            <v>42-2675</v>
          </cell>
          <cell r="L1308" t="str">
            <v>42-04-02-00-1300</v>
          </cell>
          <cell r="M1308" t="str">
            <v>Silla sin respaldo con 5 ruedas con lanilla color café</v>
          </cell>
          <cell r="O1308" t="str">
            <v>SILLAS</v>
          </cell>
          <cell r="P1308">
            <v>24990</v>
          </cell>
          <cell r="T1308" t="str">
            <v>Bueno</v>
          </cell>
          <cell r="U1308" t="str">
            <v>N/T</v>
          </cell>
        </row>
        <row r="1309">
          <cell r="J1309" t="str">
            <v>42-05-02-01-1301</v>
          </cell>
          <cell r="K1309" t="str">
            <v>42-2738</v>
          </cell>
          <cell r="L1309" t="str">
            <v>42-05-02-01-1301</v>
          </cell>
          <cell r="M1309" t="str">
            <v>Ecotomógrafo marca Medison Mod. SAX4 S/N° A72309300000942</v>
          </cell>
          <cell r="O1309" t="str">
            <v>EQUIPOS CLINICOS</v>
          </cell>
          <cell r="P1309">
            <v>16000000</v>
          </cell>
          <cell r="T1309" t="str">
            <v>Bueno</v>
          </cell>
          <cell r="U1309" t="str">
            <v>Medison</v>
          </cell>
        </row>
        <row r="1310">
          <cell r="J1310" t="str">
            <v>42-05-02-01-1302</v>
          </cell>
          <cell r="K1310" t="str">
            <v>42-2735</v>
          </cell>
          <cell r="L1310" t="str">
            <v>42-05-02-01-1302</v>
          </cell>
          <cell r="M1310" t="str">
            <v>Mesa ginecológica blanca con colchoneta color café 125x77x48 cms.</v>
          </cell>
          <cell r="O1310" t="str">
            <v>EQUIPOS CLINICOS</v>
          </cell>
          <cell r="P1310">
            <v>129900</v>
          </cell>
          <cell r="T1310" t="str">
            <v>Bueno</v>
          </cell>
          <cell r="U1310" t="str">
            <v>N/T</v>
          </cell>
        </row>
        <row r="1311">
          <cell r="J1311" t="str">
            <v>42-04-01-00-1303</v>
          </cell>
          <cell r="K1311" t="str">
            <v>42-2736</v>
          </cell>
          <cell r="L1311" t="str">
            <v>42-04-01-00-1303</v>
          </cell>
          <cell r="M1311" t="str">
            <v>Mesa madera 2 divisiones con ruedas 66x39x75 color barniz oscuro</v>
          </cell>
          <cell r="O1311" t="str">
            <v>MESAS</v>
          </cell>
          <cell r="P1311">
            <v>45000</v>
          </cell>
          <cell r="T1311" t="str">
            <v>Bueno</v>
          </cell>
          <cell r="U1311" t="str">
            <v>N/T</v>
          </cell>
        </row>
        <row r="1312">
          <cell r="J1312" t="str">
            <v>42-04-01-00-1304</v>
          </cell>
          <cell r="K1312" t="str">
            <v>42-3397</v>
          </cell>
          <cell r="L1312" t="str">
            <v>42-04-01-00-1304</v>
          </cell>
          <cell r="M1312" t="str">
            <v>Mesa enchapada eucaliptus</v>
          </cell>
          <cell r="O1312" t="str">
            <v>MESAS</v>
          </cell>
          <cell r="P1312">
            <v>35000</v>
          </cell>
          <cell r="T1312" t="str">
            <v>Bueno</v>
          </cell>
          <cell r="U1312" t="str">
            <v>N/T</v>
          </cell>
        </row>
        <row r="1313">
          <cell r="J1313" t="str">
            <v>42-04-02-00-1305</v>
          </cell>
          <cell r="K1313" t="str">
            <v>42-21</v>
          </cell>
          <cell r="L1313" t="str">
            <v>42-04-02-00-1305</v>
          </cell>
          <cell r="M1313" t="str">
            <v>Silla metalica con tevinil café</v>
          </cell>
          <cell r="O1313" t="str">
            <v>SILLAS</v>
          </cell>
          <cell r="P1313">
            <v>24395</v>
          </cell>
          <cell r="T1313" t="str">
            <v>Bueno</v>
          </cell>
          <cell r="U1313" t="str">
            <v>N/T</v>
          </cell>
        </row>
        <row r="1314">
          <cell r="J1314" t="str">
            <v>42-04-02-00-1306</v>
          </cell>
          <cell r="K1314" t="str">
            <v>42-3111</v>
          </cell>
          <cell r="L1314" t="str">
            <v>42-04-02-00-1306</v>
          </cell>
          <cell r="M1314" t="str">
            <v>Silla con ruedas color verde/azul</v>
          </cell>
          <cell r="O1314" t="str">
            <v>SILLAS</v>
          </cell>
          <cell r="P1314">
            <v>19990</v>
          </cell>
          <cell r="T1314" t="str">
            <v>Bueno</v>
          </cell>
          <cell r="U1314" t="str">
            <v>N/T</v>
          </cell>
        </row>
        <row r="1315">
          <cell r="J1315" t="str">
            <v>42-05-02-01-1307</v>
          </cell>
          <cell r="K1315" t="str">
            <v>42-3526</v>
          </cell>
          <cell r="L1315" t="str">
            <v>42-05-02-01-1307</v>
          </cell>
          <cell r="M1315" t="str">
            <v>Cuna Radiante</v>
          </cell>
          <cell r="O1315" t="str">
            <v>EQUIPOS CLINICOS</v>
          </cell>
          <cell r="P1315">
            <v>4347070</v>
          </cell>
          <cell r="T1315" t="str">
            <v>Bueno</v>
          </cell>
          <cell r="U1315" t="str">
            <v>Fisher And Paykel</v>
          </cell>
        </row>
        <row r="1316">
          <cell r="J1316" t="str">
            <v>42-04-04-00-1308</v>
          </cell>
          <cell r="K1316" t="str">
            <v>42-720</v>
          </cell>
          <cell r="L1316" t="str">
            <v>42-04-04-00-1308</v>
          </cell>
          <cell r="M1316" t="str">
            <v>Mueble Mural con 7 puerta correderas de macisa con cubierta de formalita blanca en forma de U para guardar alimentos</v>
          </cell>
          <cell r="O1316" t="str">
            <v>MUEBLES DE COCINA</v>
          </cell>
          <cell r="P1316">
            <v>35000</v>
          </cell>
          <cell r="T1316" t="str">
            <v>Bueno</v>
          </cell>
          <cell r="U1316" t="str">
            <v>N/T</v>
          </cell>
        </row>
        <row r="1317">
          <cell r="J1317" t="str">
            <v>42-04-04-00-1309</v>
          </cell>
          <cell r="K1317" t="str">
            <v>42-720-B</v>
          </cell>
          <cell r="L1317" t="str">
            <v>42-04-04-00-1309</v>
          </cell>
          <cell r="M1317" t="str">
            <v>Mueble Mural con 12 puertas de formalita blanca con cubierta de azulejos con 2 lavaplatos llaves de combinación acero inox.</v>
          </cell>
          <cell r="O1317" t="str">
            <v>MUEBLES DE COCINA</v>
          </cell>
          <cell r="P1317">
            <v>49000</v>
          </cell>
          <cell r="T1317" t="str">
            <v>Bueno</v>
          </cell>
          <cell r="U1317" t="str">
            <v>N/T</v>
          </cell>
        </row>
        <row r="1318">
          <cell r="J1318" t="str">
            <v>42-04-06-00-1310</v>
          </cell>
          <cell r="K1318" t="str">
            <v>42-720-C</v>
          </cell>
          <cell r="L1318" t="str">
            <v>42-04-06-00-1310</v>
          </cell>
          <cell r="M1318" t="str">
            <v>Mueble adosado a la pared de formalita blanco 12 puertas, cubierta de formalita.</v>
          </cell>
          <cell r="O1318" t="str">
            <v>REPISA</v>
          </cell>
          <cell r="P1318">
            <v>35000</v>
          </cell>
          <cell r="T1318" t="str">
            <v>Bueno</v>
          </cell>
          <cell r="U1318" t="str">
            <v>N/T</v>
          </cell>
        </row>
        <row r="1319">
          <cell r="J1319" t="str">
            <v>42-04-04-00-1311</v>
          </cell>
          <cell r="K1319" t="str">
            <v>42-720-D</v>
          </cell>
          <cell r="L1319" t="str">
            <v>42-04-04-00-1311</v>
          </cell>
          <cell r="M1319" t="str">
            <v>Mueble de formalita blanco con 6 puertas, 1 lavaplatos de 2 fuentones de  acero inox. con llaves de combinación</v>
          </cell>
          <cell r="O1319" t="str">
            <v>MUEBLES DE COCINA</v>
          </cell>
          <cell r="P1319">
            <v>65000</v>
          </cell>
          <cell r="T1319" t="str">
            <v>Bueno</v>
          </cell>
          <cell r="U1319" t="str">
            <v>N/T</v>
          </cell>
        </row>
        <row r="1320">
          <cell r="J1320" t="str">
            <v>42-04-06-00-1312</v>
          </cell>
          <cell r="K1320" t="str">
            <v>42-720E</v>
          </cell>
          <cell r="L1320" t="str">
            <v>42-04-06-00-1312</v>
          </cell>
          <cell r="M1320" t="str">
            <v>Mueble con repisa, 6 puertas adosado a la pared, 2 puertas con llaves</v>
          </cell>
          <cell r="O1320" t="str">
            <v>REPISA</v>
          </cell>
          <cell r="P1320">
            <v>65000</v>
          </cell>
          <cell r="T1320" t="str">
            <v>Bueno</v>
          </cell>
          <cell r="U1320" t="str">
            <v>N/T</v>
          </cell>
        </row>
        <row r="1321">
          <cell r="J1321" t="str">
            <v>42-04-01-00-1313</v>
          </cell>
          <cell r="K1321" t="str">
            <v>42-721</v>
          </cell>
          <cell r="L1321" t="str">
            <v>42-04-01-00-1313</v>
          </cell>
          <cell r="M1321" t="str">
            <v>Mesa mixta con cubierta de formalita roja 80x 80cms.</v>
          </cell>
          <cell r="O1321" t="str">
            <v>MESAS</v>
          </cell>
          <cell r="P1321">
            <v>65000</v>
          </cell>
          <cell r="T1321" t="str">
            <v>Bueno</v>
          </cell>
          <cell r="U1321" t="str">
            <v>N/T</v>
          </cell>
        </row>
        <row r="1322">
          <cell r="J1322" t="str">
            <v>42-04-01-00-1314</v>
          </cell>
          <cell r="K1322" t="str">
            <v>42-3299</v>
          </cell>
          <cell r="L1322" t="str">
            <v>42-04-01-00-1314</v>
          </cell>
          <cell r="M1322" t="str">
            <v>Mesa madera c/cubierta melamina blanca 180x70x82 cms.</v>
          </cell>
          <cell r="O1322" t="str">
            <v>MESAS</v>
          </cell>
          <cell r="P1322">
            <v>54025</v>
          </cell>
          <cell r="T1322" t="str">
            <v>Bueno</v>
          </cell>
          <cell r="U1322" t="str">
            <v>N/T</v>
          </cell>
        </row>
        <row r="1323">
          <cell r="J1323" t="str">
            <v>42-04-06-00-1315</v>
          </cell>
          <cell r="K1323" t="str">
            <v>42-721B</v>
          </cell>
          <cell r="L1323" t="str">
            <v>42-04-06-00-1315</v>
          </cell>
          <cell r="M1323" t="str">
            <v>Mueble mural de formalita blanca, 5 puertas correderas y 11 repisas</v>
          </cell>
          <cell r="O1323" t="str">
            <v>REPISA</v>
          </cell>
          <cell r="P1323">
            <v>85000</v>
          </cell>
          <cell r="T1323" t="str">
            <v>Bueno</v>
          </cell>
          <cell r="U1323" t="str">
            <v>N/T</v>
          </cell>
        </row>
        <row r="1324">
          <cell r="J1324" t="str">
            <v>42-04-01-00-1316</v>
          </cell>
          <cell r="K1324" t="str">
            <v>42-722</v>
          </cell>
          <cell r="L1324" t="str">
            <v>42-04-01-00-1316</v>
          </cell>
          <cell r="M1324" t="str">
            <v xml:space="preserve">Mesa de madera con cubierta de formalita color crema de 80x120x78 cms. </v>
          </cell>
          <cell r="O1324" t="str">
            <v>MESAS</v>
          </cell>
          <cell r="P1324">
            <v>79000</v>
          </cell>
          <cell r="T1324" t="str">
            <v>Bueno</v>
          </cell>
          <cell r="U1324" t="str">
            <v>N/T</v>
          </cell>
        </row>
        <row r="1325">
          <cell r="J1325" t="str">
            <v>42-04-07-00-1317</v>
          </cell>
          <cell r="K1325" t="str">
            <v>42-729</v>
          </cell>
          <cell r="L1325" t="str">
            <v>42-04-07-00-1317</v>
          </cell>
          <cell r="M1325" t="str">
            <v>Cajón de madera blanco de 100x50x40 cms.</v>
          </cell>
          <cell r="O1325" t="str">
            <v>OTROS</v>
          </cell>
          <cell r="P1325">
            <v>30000</v>
          </cell>
          <cell r="T1325" t="str">
            <v>Bueno</v>
          </cell>
          <cell r="U1325" t="str">
            <v>N/T</v>
          </cell>
        </row>
        <row r="1326">
          <cell r="J1326" t="str">
            <v>42-04-02-00-1318</v>
          </cell>
          <cell r="K1326" t="str">
            <v>42-1169</v>
          </cell>
          <cell r="L1326" t="str">
            <v>42-04-02-00-1318</v>
          </cell>
          <cell r="M1326" t="str">
            <v>Silla de madera barniz caoba, respaldo de 4 palos tornados</v>
          </cell>
          <cell r="O1326" t="str">
            <v>SILLAS</v>
          </cell>
          <cell r="P1326">
            <v>15000</v>
          </cell>
          <cell r="T1326" t="str">
            <v>Bueno</v>
          </cell>
          <cell r="U1326" t="str">
            <v>N/T</v>
          </cell>
        </row>
        <row r="1327">
          <cell r="J1327" t="str">
            <v>42-04-02-00-1319</v>
          </cell>
          <cell r="K1327" t="str">
            <v>42-1170</v>
          </cell>
          <cell r="L1327" t="str">
            <v>42-04-02-00-1319</v>
          </cell>
          <cell r="M1327" t="str">
            <v>Silla de madera barniz caoba, respaldo de 4 palos tornados</v>
          </cell>
          <cell r="O1327" t="str">
            <v>SILLAS</v>
          </cell>
          <cell r="P1327">
            <v>15000</v>
          </cell>
          <cell r="T1327" t="str">
            <v>Bueno</v>
          </cell>
          <cell r="U1327" t="str">
            <v>N/T</v>
          </cell>
        </row>
        <row r="1328">
          <cell r="J1328" t="str">
            <v>42-04-02-00-1320</v>
          </cell>
          <cell r="K1328" t="str">
            <v>42-1171</v>
          </cell>
          <cell r="L1328" t="str">
            <v>42-04-02-00-1320</v>
          </cell>
          <cell r="M1328" t="str">
            <v>Silla de madera barniz caoba, respaldo de 4 palos tornados</v>
          </cell>
          <cell r="O1328" t="str">
            <v>SILLAS</v>
          </cell>
          <cell r="P1328">
            <v>15000</v>
          </cell>
          <cell r="T1328" t="str">
            <v>Bueno</v>
          </cell>
          <cell r="U1328" t="str">
            <v>N/T</v>
          </cell>
        </row>
        <row r="1329">
          <cell r="J1329" t="str">
            <v>42-04-02-00-1321</v>
          </cell>
          <cell r="K1329" t="str">
            <v>42-1172</v>
          </cell>
          <cell r="L1329" t="str">
            <v>42-04-02-00-1321</v>
          </cell>
          <cell r="M1329" t="str">
            <v>Silla de madera barniz caoba, respaldo de 4 palos tornados</v>
          </cell>
          <cell r="O1329" t="str">
            <v>SILLAS</v>
          </cell>
          <cell r="P1329">
            <v>15000</v>
          </cell>
          <cell r="T1329" t="str">
            <v>Bueno</v>
          </cell>
          <cell r="U1329" t="str">
            <v>N/T</v>
          </cell>
        </row>
        <row r="1330">
          <cell r="J1330" t="str">
            <v>42-04-06-00-1322</v>
          </cell>
          <cell r="K1330" t="str">
            <v>42-3502</v>
          </cell>
          <cell r="L1330" t="str">
            <v>42-04-06-00-1322</v>
          </cell>
          <cell r="M1330" t="str">
            <v>Repisas apegado a la pared de formalita de 65x59x82</v>
          </cell>
          <cell r="O1330" t="str">
            <v>REPISA</v>
          </cell>
          <cell r="P1330">
            <v>120000</v>
          </cell>
          <cell r="T1330" t="str">
            <v>Bueno</v>
          </cell>
          <cell r="U1330" t="str">
            <v>N/T</v>
          </cell>
        </row>
        <row r="1331">
          <cell r="J1331" t="str">
            <v>42-04-04-00-1323</v>
          </cell>
          <cell r="K1331" t="str">
            <v>42-3503</v>
          </cell>
          <cell r="L1331" t="str">
            <v>42-04-04-00-1323</v>
          </cell>
          <cell r="M1331" t="str">
            <v>Mueble de acero inoxidable , 3 lavaplatos con 2 llave de combinacion de  60x54x85</v>
          </cell>
          <cell r="O1331" t="str">
            <v>MUEBLES DE COCINA</v>
          </cell>
          <cell r="P1331">
            <v>120000</v>
          </cell>
          <cell r="T1331" t="str">
            <v>Bueno</v>
          </cell>
          <cell r="U1331" t="str">
            <v>N/T</v>
          </cell>
        </row>
        <row r="1332">
          <cell r="J1332" t="str">
            <v>42-04-04-00-1324</v>
          </cell>
          <cell r="K1332" t="str">
            <v>42-3504</v>
          </cell>
          <cell r="L1332" t="str">
            <v>42-04-04-00-1324</v>
          </cell>
          <cell r="M1332" t="str">
            <v>Mueble de acero inoxidable , 3 lavaplatos con 2 llave de combinacion de  60x54x85</v>
          </cell>
          <cell r="O1332" t="str">
            <v>MUEBLES DE COCINA</v>
          </cell>
          <cell r="P1332">
            <v>120000</v>
          </cell>
          <cell r="T1332" t="str">
            <v>Bueno</v>
          </cell>
          <cell r="U1332" t="str">
            <v>N/T</v>
          </cell>
        </row>
        <row r="1333">
          <cell r="J1333" t="str">
            <v>42-04-04-00-1325</v>
          </cell>
          <cell r="K1333" t="str">
            <v>42-3505</v>
          </cell>
          <cell r="L1333" t="str">
            <v>42-04-04-00-1325</v>
          </cell>
          <cell r="M1333" t="str">
            <v>Mueble de acero inoxidable , 3 lavaplatos con 2 llave de combinacion de 60x54x85</v>
          </cell>
          <cell r="O1333" t="str">
            <v>MUEBLES DE COCINA</v>
          </cell>
          <cell r="P1333">
            <v>120000</v>
          </cell>
          <cell r="T1333" t="str">
            <v>Bueno</v>
          </cell>
          <cell r="U1333" t="str">
            <v>N/T</v>
          </cell>
        </row>
        <row r="1334">
          <cell r="J1334" t="str">
            <v>42-04-04-00-1326</v>
          </cell>
          <cell r="K1334" t="str">
            <v>42-3506</v>
          </cell>
          <cell r="L1334" t="str">
            <v>42-04-04-00-1326</v>
          </cell>
          <cell r="M1334" t="str">
            <v>Muebles de acero inoxidable de 60x54x85</v>
          </cell>
          <cell r="O1334" t="str">
            <v>MUEBLES DE COCINA</v>
          </cell>
          <cell r="P1334">
            <v>80000</v>
          </cell>
          <cell r="T1334" t="str">
            <v>Bueno</v>
          </cell>
          <cell r="U1334" t="str">
            <v>N/T</v>
          </cell>
        </row>
        <row r="1335">
          <cell r="J1335" t="str">
            <v>42-04-04-00-1327</v>
          </cell>
          <cell r="K1335" t="str">
            <v>42-3507</v>
          </cell>
          <cell r="L1335" t="str">
            <v>42-04-04-00-1327</v>
          </cell>
          <cell r="M1335" t="str">
            <v>Muebles de acero inoxidable de 130x60x85</v>
          </cell>
          <cell r="O1335" t="str">
            <v>MUEBLES DE COCINA</v>
          </cell>
          <cell r="P1335">
            <v>80000</v>
          </cell>
          <cell r="T1335" t="str">
            <v>Bueno</v>
          </cell>
          <cell r="U1335" t="str">
            <v>N/T</v>
          </cell>
        </row>
        <row r="1336">
          <cell r="J1336" t="str">
            <v>42-05-02-02-1328</v>
          </cell>
          <cell r="K1336" t="str">
            <v>42-3508</v>
          </cell>
          <cell r="L1336" t="str">
            <v>42-05-02-02-1328</v>
          </cell>
          <cell r="M1336" t="str">
            <v>Cocina de fierro industrial con 6 platos a gas marca broboinox ltda.</v>
          </cell>
          <cell r="N1336">
            <v>1</v>
          </cell>
          <cell r="O1336" t="str">
            <v>EQUIPOS DE COCINA</v>
          </cell>
          <cell r="P1336">
            <v>450000</v>
          </cell>
          <cell r="T1336" t="str">
            <v>Bueno</v>
          </cell>
          <cell r="U1336" t="str">
            <v>N/T</v>
          </cell>
        </row>
        <row r="1337">
          <cell r="J1337" t="str">
            <v>42-04-04-00-1329</v>
          </cell>
          <cell r="K1337" t="str">
            <v>42-3509</v>
          </cell>
          <cell r="L1337" t="str">
            <v>42-04-04-00-1329</v>
          </cell>
          <cell r="M1337" t="str">
            <v>lavaplatos de acero inoxidable de 160x58x83 con 2 llaves combinacion</v>
          </cell>
          <cell r="O1337" t="str">
            <v>MUEBLES DE COCINA</v>
          </cell>
          <cell r="P1337">
            <v>80000</v>
          </cell>
          <cell r="T1337" t="str">
            <v>Bueno</v>
          </cell>
          <cell r="U1337" t="str">
            <v>N/T</v>
          </cell>
        </row>
        <row r="1338">
          <cell r="J1338" t="str">
            <v>42-04-04-00-1330</v>
          </cell>
          <cell r="K1338" t="str">
            <v>42-3510</v>
          </cell>
          <cell r="L1338" t="str">
            <v>42-04-04-00-1330</v>
          </cell>
          <cell r="M1338" t="str">
            <v>muebles de acero inoxidable de 130x60x85</v>
          </cell>
          <cell r="O1338" t="str">
            <v>MUEBLES DE COCINA</v>
          </cell>
          <cell r="P1338">
            <v>80000</v>
          </cell>
          <cell r="T1338" t="str">
            <v>Bueno</v>
          </cell>
          <cell r="U1338" t="str">
            <v>N/T</v>
          </cell>
        </row>
        <row r="1339">
          <cell r="J1339" t="str">
            <v>42-05-02-02-1331</v>
          </cell>
          <cell r="K1339" t="str">
            <v>42-3511</v>
          </cell>
          <cell r="L1339" t="str">
            <v>42-05-02-02-1331</v>
          </cell>
          <cell r="M1339" t="str">
            <v>Campana de acero inoxidable marca Beigge</v>
          </cell>
          <cell r="O1339" t="str">
            <v>EQUIPOS DE COCINA</v>
          </cell>
          <cell r="P1339">
            <v>190000</v>
          </cell>
          <cell r="T1339" t="str">
            <v>Bueno</v>
          </cell>
          <cell r="U1339" t="str">
            <v>N/T</v>
          </cell>
        </row>
        <row r="1340">
          <cell r="J1340" t="str">
            <v>42-04-07-00-1332</v>
          </cell>
          <cell r="K1340" t="str">
            <v>42-3512</v>
          </cell>
          <cell r="L1340" t="str">
            <v>42-04-07-00-1332</v>
          </cell>
          <cell r="M1340" t="str">
            <v>Lavamanos de loza marca fonoloza</v>
          </cell>
          <cell r="O1340" t="str">
            <v>OTROS</v>
          </cell>
          <cell r="P1340">
            <v>11000</v>
          </cell>
          <cell r="T1340" t="str">
            <v>Bueno</v>
          </cell>
          <cell r="U1340" t="str">
            <v>N/T</v>
          </cell>
        </row>
        <row r="1341">
          <cell r="J1341" t="str">
            <v>42-04-02-00-1333</v>
          </cell>
          <cell r="K1341" t="str">
            <v>42-1611</v>
          </cell>
          <cell r="L1341" t="str">
            <v>42-04-02-00-1333</v>
          </cell>
          <cell r="M1341" t="str">
            <v>Silla giratoria con apoya brazo, color azúl</v>
          </cell>
          <cell r="O1341" t="str">
            <v>SILLAS</v>
          </cell>
          <cell r="P1341">
            <v>45000</v>
          </cell>
          <cell r="T1341" t="str">
            <v>Bueno</v>
          </cell>
          <cell r="U1341" t="str">
            <v>N/T</v>
          </cell>
        </row>
        <row r="1342">
          <cell r="J1342" t="str">
            <v>42-04-02-00-1334</v>
          </cell>
          <cell r="K1342" t="str">
            <v>42-2012</v>
          </cell>
          <cell r="L1342" t="str">
            <v>42-04-02-00-1334</v>
          </cell>
          <cell r="M1342" t="str">
            <v>Silla Ergonometrica color azul, 5 ruedas ( MEL )</v>
          </cell>
          <cell r="O1342" t="str">
            <v>SILLAS</v>
          </cell>
          <cell r="P1342">
            <v>25000</v>
          </cell>
          <cell r="T1342" t="str">
            <v>Bueno</v>
          </cell>
          <cell r="U1342" t="str">
            <v>N/T</v>
          </cell>
        </row>
        <row r="1343">
          <cell r="J1343" t="str">
            <v>42-04-03-00-1335</v>
          </cell>
          <cell r="K1343" t="str">
            <v>42-2167</v>
          </cell>
          <cell r="L1343" t="str">
            <v>42-04-03-00-1335</v>
          </cell>
          <cell r="M1343" t="str">
            <v>Mueble computación c/1 cajón enchapado eucaliptus</v>
          </cell>
          <cell r="O1343" t="str">
            <v>ESCRITORIOS</v>
          </cell>
          <cell r="P1343">
            <v>28000</v>
          </cell>
          <cell r="T1343" t="str">
            <v>Bueno</v>
          </cell>
          <cell r="U1343" t="str">
            <v>N/T</v>
          </cell>
        </row>
        <row r="1344">
          <cell r="J1344" t="str">
            <v>42-05-01-01-1336</v>
          </cell>
          <cell r="K1344" t="str">
            <v>42-2511</v>
          </cell>
          <cell r="L1344" t="str">
            <v>42-05-01-01-1336</v>
          </cell>
          <cell r="M1344" t="str">
            <v>Pizarra blanca 70x50 cms.</v>
          </cell>
          <cell r="O1344" t="str">
            <v>EQUIPO DE OFICINA</v>
          </cell>
          <cell r="P1344">
            <v>27000</v>
          </cell>
          <cell r="T1344" t="str">
            <v>Bueno</v>
          </cell>
          <cell r="U1344" t="str">
            <v>N/T</v>
          </cell>
        </row>
        <row r="1345">
          <cell r="J1345" t="str">
            <v>42-05-02-05-1337</v>
          </cell>
          <cell r="K1345" t="str">
            <v>42-2513 B</v>
          </cell>
          <cell r="L1345" t="str">
            <v>42-05-02-05-1337</v>
          </cell>
          <cell r="M1345" t="str">
            <v>Extintor incendio tipo ABC 4 Kg.</v>
          </cell>
          <cell r="O1345" t="str">
            <v>EQUIPOS DE SEGURIDAD</v>
          </cell>
          <cell r="P1345">
            <v>25000</v>
          </cell>
          <cell r="T1345" t="str">
            <v>Bueno</v>
          </cell>
          <cell r="U1345" t="str">
            <v>N/T</v>
          </cell>
        </row>
        <row r="1346">
          <cell r="J1346" t="str">
            <v>42-04-07-00-1338</v>
          </cell>
          <cell r="K1346" t="str">
            <v>42-2168</v>
          </cell>
          <cell r="L1346" t="str">
            <v>42-04-07-00-1338</v>
          </cell>
          <cell r="M1346" t="str">
            <v>Dispensador de jabón marca Johnson</v>
          </cell>
          <cell r="O1346" t="str">
            <v>OTROS</v>
          </cell>
          <cell r="P1346">
            <v>17000</v>
          </cell>
          <cell r="T1346" t="str">
            <v>Bueno</v>
          </cell>
          <cell r="U1346" t="str">
            <v>N/T</v>
          </cell>
        </row>
        <row r="1347">
          <cell r="J1347" t="str">
            <v>42-05-01-01-1339</v>
          </cell>
          <cell r="K1347" t="str">
            <v>42-2169</v>
          </cell>
          <cell r="L1347" t="str">
            <v>42-05-01-01-1339</v>
          </cell>
          <cell r="M1347" t="str">
            <v>Reloj pared marca Taiping</v>
          </cell>
          <cell r="O1347" t="str">
            <v>EQUIPO DE OFICINA</v>
          </cell>
          <cell r="P1347">
            <v>7500</v>
          </cell>
          <cell r="T1347" t="str">
            <v>Bueno</v>
          </cell>
          <cell r="U1347" t="str">
            <v>N/T</v>
          </cell>
        </row>
        <row r="1348">
          <cell r="J1348" t="str">
            <v>42-05-01-01-1340</v>
          </cell>
          <cell r="K1348" t="str">
            <v>42-743</v>
          </cell>
          <cell r="L1348" t="str">
            <v>42-05-01-01-1340</v>
          </cell>
          <cell r="M1348" t="str">
            <v>Reloj marca Beltz</v>
          </cell>
          <cell r="O1348" t="str">
            <v>EQUIPO DE OFICINA</v>
          </cell>
          <cell r="P1348">
            <v>10000</v>
          </cell>
          <cell r="T1348" t="str">
            <v>Bueno</v>
          </cell>
          <cell r="U1348" t="str">
            <v>N/T</v>
          </cell>
        </row>
        <row r="1349">
          <cell r="J1349" t="str">
            <v>42-05-01-01-1341</v>
          </cell>
          <cell r="K1349" t="str">
            <v>42-2515</v>
          </cell>
          <cell r="L1349" t="str">
            <v>42-05-01-01-1341</v>
          </cell>
          <cell r="M1349" t="str">
            <v>Radio CD marca Cadio</v>
          </cell>
          <cell r="O1349" t="str">
            <v>EQUIPO DE OFICINA</v>
          </cell>
          <cell r="P1349">
            <v>53072</v>
          </cell>
          <cell r="T1349" t="str">
            <v>Bueno</v>
          </cell>
          <cell r="U1349" t="str">
            <v>N/T</v>
          </cell>
        </row>
        <row r="1350">
          <cell r="J1350" t="str">
            <v>42-06-01-00-1342</v>
          </cell>
          <cell r="K1350" t="str">
            <v>42-2516</v>
          </cell>
          <cell r="L1350" t="str">
            <v>42-06-01-00-1342</v>
          </cell>
          <cell r="M1350" t="str">
            <v>Computador Celeron AST</v>
          </cell>
          <cell r="O1350" t="str">
            <v>EQUIPOS COMPUTACIONALES Y PERIFÉRICOS</v>
          </cell>
          <cell r="P1350">
            <v>140000</v>
          </cell>
          <cell r="T1350" t="str">
            <v>Bueno</v>
          </cell>
          <cell r="U1350" t="str">
            <v>Celeron</v>
          </cell>
        </row>
        <row r="1351">
          <cell r="J1351" t="str">
            <v>42-06-01-00-1343</v>
          </cell>
          <cell r="K1351" t="str">
            <v>42-2517</v>
          </cell>
          <cell r="L1351" t="str">
            <v>42-06-01-00-1343</v>
          </cell>
          <cell r="M1351" t="str">
            <v>Monitor Samsung Mod Syncmaster 450 NB S/Nº DP14HCEK826378W</v>
          </cell>
          <cell r="O1351" t="str">
            <v>EQUIPOS COMPUTACIONALES Y PERIFÉRICOS</v>
          </cell>
          <cell r="P1351">
            <v>14000</v>
          </cell>
          <cell r="T1351" t="str">
            <v>Bueno</v>
          </cell>
          <cell r="U1351" t="str">
            <v>Samsung</v>
          </cell>
        </row>
        <row r="1352">
          <cell r="J1352" t="str">
            <v>42-06-01-00-1344</v>
          </cell>
          <cell r="K1352" t="str">
            <v>42-2518</v>
          </cell>
          <cell r="L1352" t="str">
            <v>42-06-01-00-1344</v>
          </cell>
          <cell r="M1352" t="str">
            <v>Teclado marca PC Tronic Mod. K 8830 S/Nº 05040622924</v>
          </cell>
          <cell r="O1352" t="str">
            <v>EQUIPOS COMPUTACIONALES Y PERIFÉRICOS</v>
          </cell>
          <cell r="P1352">
            <v>4000</v>
          </cell>
          <cell r="T1352" t="str">
            <v>Bueno</v>
          </cell>
          <cell r="U1352" t="str">
            <v>Tronic</v>
          </cell>
        </row>
        <row r="1353">
          <cell r="J1353" t="str">
            <v>42-06-01-00-1345</v>
          </cell>
          <cell r="K1353" t="str">
            <v>42-2519</v>
          </cell>
          <cell r="L1353" t="str">
            <v>42-06-01-00-1345</v>
          </cell>
          <cell r="M1353" t="str">
            <v>Mouse X Tech S/Nº 052025543</v>
          </cell>
          <cell r="O1353" t="str">
            <v>EQUIPOS COMPUTACIONALES Y PERIFÉRICOS</v>
          </cell>
          <cell r="P1353">
            <v>3000</v>
          </cell>
          <cell r="T1353" t="str">
            <v>Bueno</v>
          </cell>
          <cell r="U1353" t="str">
            <v>N/T</v>
          </cell>
        </row>
        <row r="1354">
          <cell r="J1354" t="str">
            <v>42-05-01-01-1346</v>
          </cell>
          <cell r="K1354" t="str">
            <v>42-2514</v>
          </cell>
          <cell r="L1354" t="str">
            <v>42-05-01-01-1346</v>
          </cell>
          <cell r="M1354" t="str">
            <v>Radio CD marca RCA Mod. 002 / 0532</v>
          </cell>
          <cell r="O1354" t="str">
            <v>EQUIPO DE OFICINA</v>
          </cell>
          <cell r="P1354">
            <v>53071</v>
          </cell>
          <cell r="T1354" t="str">
            <v>Bueno</v>
          </cell>
          <cell r="U1354" t="str">
            <v>RCA</v>
          </cell>
        </row>
        <row r="1355">
          <cell r="J1355" t="str">
            <v>42-04-07-00-1347</v>
          </cell>
          <cell r="K1355" t="str">
            <v>42-741</v>
          </cell>
          <cell r="L1355" t="str">
            <v>42-04-07-00-1347</v>
          </cell>
          <cell r="M1355" t="str">
            <v>Carro porta comida con 4 divisiones de acero inox. 4 ruedas de  93x92x46 cms.</v>
          </cell>
          <cell r="O1355" t="str">
            <v>OTROS</v>
          </cell>
          <cell r="P1355">
            <v>24900</v>
          </cell>
          <cell r="T1355" t="str">
            <v>Bueno</v>
          </cell>
          <cell r="U1355" t="str">
            <v>N/T</v>
          </cell>
        </row>
        <row r="1356">
          <cell r="J1356" t="str">
            <v>42-04-07-00-1348</v>
          </cell>
          <cell r="K1356" t="str">
            <v>42-3501</v>
          </cell>
          <cell r="L1356" t="str">
            <v>42-04-07-00-1348</v>
          </cell>
          <cell r="M1356" t="str">
            <v>Carro porta comida con 4 divisiones de acero inox. 4 ruedas de 93x92x46 cms.</v>
          </cell>
          <cell r="O1356" t="str">
            <v>OTROS</v>
          </cell>
          <cell r="P1356">
            <v>24900</v>
          </cell>
          <cell r="T1356" t="str">
            <v>Bueno</v>
          </cell>
          <cell r="U1356" t="str">
            <v>N/T</v>
          </cell>
        </row>
        <row r="1357">
          <cell r="J1357" t="str">
            <v>42-05-02-02-1349</v>
          </cell>
          <cell r="K1357" t="str">
            <v>42-3300</v>
          </cell>
          <cell r="L1357" t="str">
            <v>42-05-02-02-1349</v>
          </cell>
          <cell r="M1357" t="str">
            <v>Juguera Sindelen Mod. Supermix Blue L2200 AZ S/Nº 80801460</v>
          </cell>
          <cell r="O1357" t="str">
            <v>EQUIPOS DE COCINA</v>
          </cell>
          <cell r="P1357">
            <v>17900</v>
          </cell>
          <cell r="T1357" t="str">
            <v>Bueno</v>
          </cell>
          <cell r="U1357" t="str">
            <v>Sindelen</v>
          </cell>
        </row>
        <row r="1358">
          <cell r="J1358" t="str">
            <v>42-05-02-02-1350</v>
          </cell>
          <cell r="K1358" t="str">
            <v>42-3500</v>
          </cell>
          <cell r="L1358" t="str">
            <v>42-05-02-02-1350</v>
          </cell>
          <cell r="M1358" t="str">
            <v>Juguera   marca  thoma  elektrogerate   mol. Th 400 V de color blanca S/N p11003924-94</v>
          </cell>
          <cell r="O1358" t="str">
            <v>EQUIPOS DE COCINA</v>
          </cell>
          <cell r="P1358">
            <v>17000</v>
          </cell>
          <cell r="T1358" t="str">
            <v>Bueno</v>
          </cell>
          <cell r="U1358" t="str">
            <v>Elektrogerate</v>
          </cell>
        </row>
        <row r="1359">
          <cell r="J1359" t="str">
            <v>42-05-01-01-1351</v>
          </cell>
          <cell r="K1359" t="str">
            <v>42-742</v>
          </cell>
          <cell r="L1359" t="str">
            <v>42-05-01-01-1351</v>
          </cell>
          <cell r="M1359" t="str">
            <v>Refrigerador marca Westinghause, 1 puerta.</v>
          </cell>
          <cell r="O1359" t="str">
            <v>EQUIPO DE OFICINA</v>
          </cell>
          <cell r="P1359">
            <v>134900</v>
          </cell>
          <cell r="T1359" t="str">
            <v>Bueno</v>
          </cell>
          <cell r="U1359" t="str">
            <v>Westinghause</v>
          </cell>
        </row>
        <row r="1360">
          <cell r="J1360" t="str">
            <v>42-05-01-01-1352</v>
          </cell>
          <cell r="K1360" t="str">
            <v>42-125</v>
          </cell>
          <cell r="L1360" t="str">
            <v>42-05-01-01-1352</v>
          </cell>
          <cell r="M1360" t="str">
            <v>Refrigerador Mademsa Copihue Mod. MRC 225 S/Nº 058781</v>
          </cell>
          <cell r="O1360" t="str">
            <v>EQUIPO DE OFICINA</v>
          </cell>
          <cell r="P1360">
            <v>119900</v>
          </cell>
          <cell r="T1360" t="str">
            <v>Bueno</v>
          </cell>
          <cell r="U1360" t="str">
            <v>Mademsa</v>
          </cell>
        </row>
        <row r="1361">
          <cell r="J1361" t="str">
            <v>42-05-02-02-1353</v>
          </cell>
          <cell r="K1361" t="str">
            <v>42-2990</v>
          </cell>
          <cell r="L1361" t="str">
            <v>42-05-02-02-1353</v>
          </cell>
          <cell r="M1361" t="str">
            <v>Picadora Moulinex Mod. DPA 187/350-1108R</v>
          </cell>
          <cell r="O1361" t="str">
            <v>EQUIPOS DE COCINA</v>
          </cell>
          <cell r="P1361">
            <v>24990</v>
          </cell>
          <cell r="T1361" t="str">
            <v>Bueno</v>
          </cell>
          <cell r="U1361" t="str">
            <v>Moulinex</v>
          </cell>
        </row>
        <row r="1362">
          <cell r="J1362" t="str">
            <v>42-05-02-02-1354</v>
          </cell>
          <cell r="K1362" t="str">
            <v>42-735</v>
          </cell>
          <cell r="L1362" t="str">
            <v>42-05-02-02-1354</v>
          </cell>
          <cell r="M1362" t="str">
            <v>Serrucho para cortar zapallo</v>
          </cell>
          <cell r="O1362" t="str">
            <v>EQUIPOS DE COCINA</v>
          </cell>
          <cell r="P1362">
            <v>9000</v>
          </cell>
          <cell r="T1362" t="str">
            <v>Bueno</v>
          </cell>
          <cell r="U1362" t="str">
            <v>N/T</v>
          </cell>
        </row>
        <row r="1363">
          <cell r="J1363" t="str">
            <v>42-05-02-01-1355</v>
          </cell>
          <cell r="K1363" t="str">
            <v>42-2105</v>
          </cell>
          <cell r="L1363" t="str">
            <v>42-05-02-01-1355</v>
          </cell>
          <cell r="M1363" t="str">
            <v>Tijera marca Metaltex</v>
          </cell>
          <cell r="O1363" t="str">
            <v>EQUIPOS CLINICOS</v>
          </cell>
          <cell r="P1363">
            <v>5000</v>
          </cell>
          <cell r="T1363" t="str">
            <v>Bueno</v>
          </cell>
          <cell r="U1363" t="str">
            <v>Metaltex</v>
          </cell>
        </row>
        <row r="1364">
          <cell r="J1364" t="str">
            <v>42-05-02-01-1356</v>
          </cell>
          <cell r="K1364" t="str">
            <v>42-2520</v>
          </cell>
          <cell r="L1364" t="str">
            <v>42-05-02-01-1356</v>
          </cell>
          <cell r="M1364" t="str">
            <v>Pesa digital Eco-30 color negro cap. 30 Kgs.</v>
          </cell>
          <cell r="N1364">
            <v>1</v>
          </cell>
          <cell r="O1364" t="str">
            <v>EQUIPOS CLINICOS</v>
          </cell>
          <cell r="P1364">
            <v>45000</v>
          </cell>
          <cell r="T1364" t="str">
            <v>Bueno</v>
          </cell>
          <cell r="U1364" t="str">
            <v>N/T</v>
          </cell>
        </row>
        <row r="1365">
          <cell r="J1365" t="str">
            <v>42-05-01-01-1357</v>
          </cell>
          <cell r="K1365" t="str">
            <v>42-2894</v>
          </cell>
          <cell r="L1365" t="str">
            <v>42-05-01-01-1357</v>
          </cell>
          <cell r="M1365" t="str">
            <v>Citófono/ teléfono marca Nortel Network, Modelo 7000</v>
          </cell>
          <cell r="O1365" t="str">
            <v>EQUIPO DE OFICINA</v>
          </cell>
          <cell r="P1365">
            <v>36000</v>
          </cell>
          <cell r="T1365" t="str">
            <v>Bueno</v>
          </cell>
          <cell r="U1365" t="str">
            <v>Nortel Network</v>
          </cell>
        </row>
        <row r="1366">
          <cell r="J1366" t="str">
            <v>42-04-01-00-1358</v>
          </cell>
          <cell r="K1366" t="str">
            <v>42-3531 -   3532 - 3533 - 3534 - 3535</v>
          </cell>
          <cell r="L1366" t="str">
            <v>42-04-01-00-1358</v>
          </cell>
          <cell r="M1366" t="str">
            <v xml:space="preserve">Mesa Rectangular Met./Madera, medidas 110 x 70 x 76 cms. Con 4 sillas </v>
          </cell>
          <cell r="N1366" t="str">
            <v>Existe Mas Abajo con registro unico por producto</v>
          </cell>
          <cell r="O1366" t="str">
            <v>MESAS</v>
          </cell>
          <cell r="P1366">
            <v>59990</v>
          </cell>
          <cell r="T1366" t="str">
            <v>Bueno</v>
          </cell>
          <cell r="U1366" t="str">
            <v>N/T</v>
          </cell>
        </row>
        <row r="1367">
          <cell r="J1367" t="str">
            <v>42-05-01-01-1359</v>
          </cell>
          <cell r="K1367" t="str">
            <v>42-1806</v>
          </cell>
          <cell r="L1367" t="str">
            <v>42-05-01-01-1359</v>
          </cell>
          <cell r="M1367" t="str">
            <v>Televisor marca Philips S/Nº HCO544164</v>
          </cell>
          <cell r="O1367" t="str">
            <v>EQUIPO DE OFICINA</v>
          </cell>
          <cell r="P1367">
            <v>76000</v>
          </cell>
          <cell r="T1367" t="str">
            <v>Bueno</v>
          </cell>
          <cell r="U1367" t="str">
            <v>Philips</v>
          </cell>
        </row>
        <row r="1368">
          <cell r="J1368" t="str">
            <v>42-05-02-01-1360</v>
          </cell>
          <cell r="K1368" t="str">
            <v>42-3387</v>
          </cell>
          <cell r="L1368" t="str">
            <v>42-05-02-01-1360</v>
          </cell>
          <cell r="M1368" t="str">
            <v>Manómetro oxígeno Soltec Medical</v>
          </cell>
          <cell r="O1368" t="str">
            <v>EQUIPOS CLINICOS</v>
          </cell>
          <cell r="P1368">
            <v>30000</v>
          </cell>
          <cell r="T1368" t="str">
            <v>Bueno</v>
          </cell>
          <cell r="U1368" t="str">
            <v>Soltec</v>
          </cell>
        </row>
        <row r="1369">
          <cell r="J1369" t="str">
            <v>42-04-06-00-1361</v>
          </cell>
          <cell r="K1369" t="str">
            <v>42-777</v>
          </cell>
          <cell r="L1369" t="str">
            <v>42-04-06-00-1361</v>
          </cell>
          <cell r="M1369" t="str">
            <v>Mueble metálico 4 puertas, 2 vidrios</v>
          </cell>
          <cell r="O1369" t="str">
            <v>REPISA</v>
          </cell>
          <cell r="P1369">
            <v>70000</v>
          </cell>
          <cell r="T1369" t="str">
            <v>Bueno</v>
          </cell>
          <cell r="U1369" t="str">
            <v>N/T</v>
          </cell>
        </row>
        <row r="1370">
          <cell r="J1370" t="str">
            <v>42-04-07-00-1362</v>
          </cell>
          <cell r="K1370" t="str">
            <v>42-2629</v>
          </cell>
          <cell r="L1370" t="str">
            <v>42-04-07-00-1362</v>
          </cell>
          <cell r="M1370" t="str">
            <v>Bergere color mostaza</v>
          </cell>
          <cell r="O1370" t="str">
            <v>OTROS</v>
          </cell>
          <cell r="P1370">
            <v>30000</v>
          </cell>
          <cell r="T1370" t="str">
            <v>Bueno</v>
          </cell>
          <cell r="U1370" t="str">
            <v>N/T</v>
          </cell>
        </row>
        <row r="1371">
          <cell r="J1371" t="str">
            <v>42-04-07-00-1363</v>
          </cell>
          <cell r="K1371" t="str">
            <v>42-2767</v>
          </cell>
          <cell r="L1371" t="str">
            <v>42-04-07-00-1363</v>
          </cell>
          <cell r="M1371" t="str">
            <v>Bergere color mostaza</v>
          </cell>
          <cell r="O1371" t="str">
            <v>OTROS</v>
          </cell>
          <cell r="P1371">
            <v>30000</v>
          </cell>
          <cell r="T1371" t="str">
            <v>Bueno</v>
          </cell>
          <cell r="U1371" t="str">
            <v>N/T</v>
          </cell>
        </row>
        <row r="1372">
          <cell r="J1372" t="str">
            <v>42-04-07-00-1364</v>
          </cell>
          <cell r="K1372" t="str">
            <v>42-3389</v>
          </cell>
          <cell r="L1372" t="str">
            <v>42-04-07-00-1364</v>
          </cell>
          <cell r="M1372" t="str">
            <v>Carro transporte oxígeno, 3 ruedas color plomo</v>
          </cell>
          <cell r="O1372" t="str">
            <v>OTROS</v>
          </cell>
          <cell r="P1372">
            <v>50000</v>
          </cell>
          <cell r="T1372" t="str">
            <v>Bueno</v>
          </cell>
          <cell r="U1372" t="str">
            <v>N/T</v>
          </cell>
        </row>
        <row r="1373">
          <cell r="J1373" t="str">
            <v>42-04-07-00-1365</v>
          </cell>
          <cell r="K1373" t="str">
            <v>42-3151</v>
          </cell>
          <cell r="L1373" t="str">
            <v>42-04-07-00-1365</v>
          </cell>
          <cell r="M1373" t="str">
            <v>Loker metálico, 2 puertas color plomo</v>
          </cell>
          <cell r="O1373" t="str">
            <v>OTROS</v>
          </cell>
          <cell r="P1373">
            <v>37500</v>
          </cell>
          <cell r="T1373" t="str">
            <v>Bueno</v>
          </cell>
          <cell r="U1373" t="str">
            <v>N/T</v>
          </cell>
        </row>
        <row r="1374">
          <cell r="J1374" t="str">
            <v>42-04-01-00-1366</v>
          </cell>
          <cell r="K1374" t="str">
            <v>42-1210</v>
          </cell>
          <cell r="L1374" t="str">
            <v>42-04-01-00-1366</v>
          </cell>
          <cell r="M1374" t="str">
            <v>Mesa de comer en cama con cubierta de formalita , sin ruedas</v>
          </cell>
          <cell r="O1374" t="str">
            <v>MESAS</v>
          </cell>
          <cell r="P1374">
            <v>80000</v>
          </cell>
          <cell r="T1374" t="str">
            <v>Bueno</v>
          </cell>
          <cell r="U1374" t="str">
            <v>N/T</v>
          </cell>
        </row>
        <row r="1375">
          <cell r="J1375" t="str">
            <v>42-04-07-00-1367</v>
          </cell>
          <cell r="K1375" t="str">
            <v>42-3153</v>
          </cell>
          <cell r="L1375" t="str">
            <v>42-04-07-00-1367</v>
          </cell>
          <cell r="M1375" t="str">
            <v>Paragüero/percha metálico color blanco</v>
          </cell>
          <cell r="O1375" t="str">
            <v>OTROS</v>
          </cell>
          <cell r="P1375">
            <v>40000</v>
          </cell>
          <cell r="T1375" t="str">
            <v>Bueno</v>
          </cell>
          <cell r="U1375" t="str">
            <v>N/T</v>
          </cell>
        </row>
        <row r="1376">
          <cell r="J1376" t="str">
            <v>42-05-02-01-1368</v>
          </cell>
          <cell r="K1376" t="str">
            <v>42-2602</v>
          </cell>
          <cell r="L1376" t="str">
            <v>42-05-02-01-1368</v>
          </cell>
          <cell r="M1376" t="str">
            <v>Porta suero metálico con 3 ruedas</v>
          </cell>
          <cell r="O1376" t="str">
            <v>EQUIPOS CLINICOS</v>
          </cell>
          <cell r="P1376">
            <v>45000</v>
          </cell>
          <cell r="T1376" t="str">
            <v>Bueno</v>
          </cell>
          <cell r="U1376" t="str">
            <v>N/T</v>
          </cell>
        </row>
        <row r="1377">
          <cell r="J1377" t="str">
            <v>42-04-07-00-1369</v>
          </cell>
          <cell r="K1377" t="str">
            <v>42-3152</v>
          </cell>
          <cell r="L1377" t="str">
            <v>42-04-07-00-1369</v>
          </cell>
          <cell r="M1377" t="str">
            <v>Vanitorio 2 puertas correderas en melamina color blanco, 1 monomando</v>
          </cell>
          <cell r="O1377" t="str">
            <v>OTROS</v>
          </cell>
          <cell r="P1377">
            <v>70000</v>
          </cell>
          <cell r="T1377" t="str">
            <v>Bueno</v>
          </cell>
          <cell r="U1377" t="str">
            <v>N/T</v>
          </cell>
        </row>
        <row r="1378">
          <cell r="J1378" t="str">
            <v>42-05-02-01-1370</v>
          </cell>
          <cell r="K1378" t="str">
            <v>42-761</v>
          </cell>
          <cell r="L1378" t="str">
            <v>42-05-02-01-1370</v>
          </cell>
          <cell r="M1378" t="str">
            <v>Balanza con antropometro marca Seca ( Unicef ) capacidad 130 Kgs.</v>
          </cell>
          <cell r="O1378" t="str">
            <v>EQUIPOS CLINICOS</v>
          </cell>
          <cell r="P1378">
            <v>165648</v>
          </cell>
          <cell r="T1378" t="str">
            <v>Bueno</v>
          </cell>
          <cell r="U1378" t="str">
            <v>N/T</v>
          </cell>
        </row>
        <row r="1379">
          <cell r="J1379" t="str">
            <v>42-04-07-00-1371</v>
          </cell>
          <cell r="K1379" t="str">
            <v>42-749</v>
          </cell>
          <cell r="L1379" t="str">
            <v>42-04-07-00-1371</v>
          </cell>
          <cell r="M1379" t="str">
            <v>Carro acero inox. 2 compartimentos con ruedas</v>
          </cell>
          <cell r="O1379" t="str">
            <v>OTROS</v>
          </cell>
          <cell r="P1379">
            <v>56000</v>
          </cell>
          <cell r="T1379" t="str">
            <v>Bueno</v>
          </cell>
          <cell r="U1379" t="str">
            <v>N/T</v>
          </cell>
        </row>
        <row r="1380">
          <cell r="J1380" t="str">
            <v>42-05-02-01-1372</v>
          </cell>
          <cell r="K1380" t="str">
            <v>42-2771</v>
          </cell>
          <cell r="L1380" t="str">
            <v>42-05-02-01-1372</v>
          </cell>
          <cell r="M1380" t="str">
            <v>Catre clínico</v>
          </cell>
          <cell r="O1380" t="str">
            <v>EQUIPOS CLINICOS</v>
          </cell>
          <cell r="P1380">
            <v>99990</v>
          </cell>
          <cell r="T1380" t="str">
            <v>Bueno</v>
          </cell>
          <cell r="U1380" t="str">
            <v>N/T</v>
          </cell>
        </row>
        <row r="1381">
          <cell r="J1381" t="str">
            <v>42-05-02-01-1373</v>
          </cell>
          <cell r="K1381" t="str">
            <v>42-2772</v>
          </cell>
          <cell r="L1381" t="str">
            <v>42-05-02-01-1373</v>
          </cell>
          <cell r="M1381" t="str">
            <v>Catre clínico</v>
          </cell>
          <cell r="O1381" t="str">
            <v>EQUIPOS CLINICOS</v>
          </cell>
          <cell r="P1381">
            <v>99990</v>
          </cell>
          <cell r="T1381" t="str">
            <v>Bueno</v>
          </cell>
          <cell r="U1381" t="str">
            <v>N/T</v>
          </cell>
        </row>
        <row r="1382">
          <cell r="J1382" t="str">
            <v>42-04-01-00-1374</v>
          </cell>
          <cell r="K1382" t="str">
            <v>42-3033</v>
          </cell>
          <cell r="L1382" t="str">
            <v>42-04-01-00-1374</v>
          </cell>
          <cell r="M1382" t="str">
            <v>Mesa lateral metálica con cubierta melamina, 4 ruedas color plomo</v>
          </cell>
          <cell r="O1382" t="str">
            <v>MESAS</v>
          </cell>
          <cell r="P1382">
            <v>50000</v>
          </cell>
          <cell r="T1382" t="str">
            <v>Bueno</v>
          </cell>
          <cell r="U1382" t="str">
            <v>N/T</v>
          </cell>
        </row>
        <row r="1383">
          <cell r="J1383" t="str">
            <v>42-04-01-00-1375</v>
          </cell>
          <cell r="K1383" t="str">
            <v>42-2769</v>
          </cell>
          <cell r="L1383" t="str">
            <v>42-04-01-00-1375</v>
          </cell>
          <cell r="M1383" t="str">
            <v>Mesa alimentación metálica con cubierta melamina, con ruedas</v>
          </cell>
          <cell r="O1383" t="str">
            <v>MESAS</v>
          </cell>
          <cell r="P1383">
            <v>80000</v>
          </cell>
          <cell r="T1383" t="str">
            <v>Bueno</v>
          </cell>
          <cell r="U1383" t="str">
            <v>N/T</v>
          </cell>
        </row>
        <row r="1384">
          <cell r="J1384" t="str">
            <v>42-04-07-00-1376</v>
          </cell>
          <cell r="K1384" t="str">
            <v>42-3149</v>
          </cell>
          <cell r="L1384" t="str">
            <v>42-04-07-00-1376</v>
          </cell>
          <cell r="M1384" t="str">
            <v>Velador metálico con 1 puerta, 1 cajón en melámina color plomo</v>
          </cell>
          <cell r="O1384" t="str">
            <v>OTROS</v>
          </cell>
          <cell r="P1384">
            <v>78000</v>
          </cell>
          <cell r="T1384" t="str">
            <v>Bueno</v>
          </cell>
          <cell r="U1384" t="str">
            <v>N/T</v>
          </cell>
        </row>
        <row r="1385">
          <cell r="J1385" t="str">
            <v>42-04-07-00-1377</v>
          </cell>
          <cell r="K1385" t="str">
            <v>42-3150</v>
          </cell>
          <cell r="L1385" t="str">
            <v>42-04-07-00-1377</v>
          </cell>
          <cell r="M1385" t="str">
            <v>Velador metálico con 1 puerta, 1 cajón en melámina color plomo</v>
          </cell>
          <cell r="O1385" t="str">
            <v>OTROS</v>
          </cell>
          <cell r="P1385">
            <v>78000</v>
          </cell>
          <cell r="T1385" t="str">
            <v>Bueno</v>
          </cell>
          <cell r="U1385" t="str">
            <v>N/T</v>
          </cell>
        </row>
        <row r="1386">
          <cell r="J1386" t="str">
            <v>42-04-07-00-1378</v>
          </cell>
          <cell r="K1386" t="str">
            <v>42-2730</v>
          </cell>
          <cell r="L1386" t="str">
            <v>42-04-07-00-1378</v>
          </cell>
          <cell r="M1386" t="str">
            <v>Paragüero/percha  metálico color blanco</v>
          </cell>
          <cell r="O1386" t="str">
            <v>OTROS</v>
          </cell>
          <cell r="P1386">
            <v>40000</v>
          </cell>
          <cell r="T1386" t="str">
            <v>Bueno</v>
          </cell>
          <cell r="U1386" t="str">
            <v>N/T</v>
          </cell>
        </row>
        <row r="1387">
          <cell r="J1387" t="str">
            <v>42-04-07-00-1379</v>
          </cell>
          <cell r="K1387" t="str">
            <v>42-3154</v>
          </cell>
          <cell r="L1387" t="str">
            <v>42-04-07-00-1379</v>
          </cell>
          <cell r="M1387" t="str">
            <v>Biombo metálico color blanco</v>
          </cell>
          <cell r="O1387" t="str">
            <v>OTROS</v>
          </cell>
          <cell r="P1387">
            <v>50000</v>
          </cell>
          <cell r="T1387" t="str">
            <v>Bueno</v>
          </cell>
          <cell r="U1387" t="str">
            <v>N/T</v>
          </cell>
        </row>
        <row r="1388">
          <cell r="J1388" t="str">
            <v>42-04-07-00-1380</v>
          </cell>
          <cell r="K1388" t="str">
            <v>42-3155</v>
          </cell>
          <cell r="L1388" t="str">
            <v>42-04-07-00-1380</v>
          </cell>
          <cell r="M1388" t="str">
            <v>Carro circular para ropa con ruedas</v>
          </cell>
          <cell r="O1388" t="str">
            <v>OTROS</v>
          </cell>
          <cell r="P1388">
            <v>45000</v>
          </cell>
          <cell r="T1388" t="str">
            <v>Bueno</v>
          </cell>
          <cell r="U1388" t="str">
            <v>N/T</v>
          </cell>
        </row>
        <row r="1389">
          <cell r="J1389" t="str">
            <v>42-05-02-01-1381</v>
          </cell>
          <cell r="K1389" t="str">
            <v>42-2218</v>
          </cell>
          <cell r="L1389" t="str">
            <v>42-05-02-01-1381</v>
          </cell>
          <cell r="M1389" t="str">
            <v>Oftalmoscopio Welch Allyn Mod. 19090</v>
          </cell>
          <cell r="O1389" t="str">
            <v>EQUIPOS CLINICOS</v>
          </cell>
          <cell r="P1389">
            <v>50000</v>
          </cell>
          <cell r="T1389" t="str">
            <v>Bueno</v>
          </cell>
          <cell r="U1389" t="str">
            <v>N/T</v>
          </cell>
        </row>
        <row r="1390">
          <cell r="J1390" t="str">
            <v>42-05-02-01-1382</v>
          </cell>
          <cell r="K1390" t="str">
            <v>42-3171</v>
          </cell>
          <cell r="L1390" t="str">
            <v>42-05-02-01-1382</v>
          </cell>
          <cell r="M1390" t="str">
            <v>Otoscopio Welch Allyn</v>
          </cell>
          <cell r="O1390" t="str">
            <v>EQUIPOS CLINICOS</v>
          </cell>
          <cell r="P1390">
            <v>89000</v>
          </cell>
          <cell r="T1390" t="str">
            <v>Bueno</v>
          </cell>
          <cell r="U1390" t="str">
            <v>N/T</v>
          </cell>
        </row>
        <row r="1391">
          <cell r="J1391" t="str">
            <v>42-05-02-01-1383</v>
          </cell>
          <cell r="K1391" t="str">
            <v>42-2879</v>
          </cell>
          <cell r="L1391" t="str">
            <v>42-05-02-01-1383</v>
          </cell>
          <cell r="M1391" t="str">
            <v>Oximetro de pulso Mod. CMS-50A color blanco</v>
          </cell>
          <cell r="O1391" t="str">
            <v>EQUIPOS CLINICOS</v>
          </cell>
          <cell r="P1391">
            <v>189567</v>
          </cell>
          <cell r="T1391" t="str">
            <v>Bueno</v>
          </cell>
          <cell r="U1391" t="str">
            <v>N/T</v>
          </cell>
        </row>
        <row r="1392">
          <cell r="J1392" t="str">
            <v>42-05-02-01-1384</v>
          </cell>
          <cell r="K1392" t="str">
            <v>42-3388</v>
          </cell>
          <cell r="L1392" t="str">
            <v>42-05-02-01-1384</v>
          </cell>
          <cell r="M1392" t="str">
            <v>Manómetro oxigeno Victor Medical</v>
          </cell>
          <cell r="O1392" t="str">
            <v>EQUIPOS CLINICOS</v>
          </cell>
          <cell r="P1392">
            <v>170000</v>
          </cell>
          <cell r="T1392" t="str">
            <v>Bueno</v>
          </cell>
          <cell r="U1392" t="str">
            <v>N/T</v>
          </cell>
        </row>
        <row r="1393">
          <cell r="J1393" t="str">
            <v>42-04-07-00-1385</v>
          </cell>
          <cell r="K1393" t="str">
            <v>42-759</v>
          </cell>
          <cell r="L1393" t="str">
            <v>42-04-07-00-1385</v>
          </cell>
          <cell r="M1393" t="str">
            <v>Mural con marco de madera 100x50 cms.</v>
          </cell>
          <cell r="O1393" t="str">
            <v>OTROS</v>
          </cell>
          <cell r="P1393">
            <v>37890</v>
          </cell>
          <cell r="T1393" t="str">
            <v>Bueno</v>
          </cell>
          <cell r="U1393" t="str">
            <v>N/T</v>
          </cell>
        </row>
        <row r="1394">
          <cell r="J1394" t="str">
            <v>42-04-07-00-1386</v>
          </cell>
          <cell r="K1394" t="str">
            <v>42-2773</v>
          </cell>
          <cell r="L1394" t="str">
            <v>42-04-07-00-1386</v>
          </cell>
          <cell r="M1394" t="str">
            <v>Bergere color mostaza</v>
          </cell>
          <cell r="O1394" t="str">
            <v>OTROS</v>
          </cell>
          <cell r="P1394">
            <v>30000</v>
          </cell>
          <cell r="T1394" t="str">
            <v>Bueno</v>
          </cell>
          <cell r="U1394" t="str">
            <v>N/T</v>
          </cell>
        </row>
        <row r="1395">
          <cell r="J1395" t="str">
            <v>42-04-07-00-1387</v>
          </cell>
          <cell r="K1395" t="str">
            <v>42-2774</v>
          </cell>
          <cell r="L1395" t="str">
            <v>42-04-07-00-1387</v>
          </cell>
          <cell r="M1395" t="str">
            <v>Bergere color mostaza</v>
          </cell>
          <cell r="O1395" t="str">
            <v>OTROS</v>
          </cell>
          <cell r="P1395">
            <v>30000</v>
          </cell>
          <cell r="T1395" t="str">
            <v>Bueno</v>
          </cell>
          <cell r="U1395" t="str">
            <v>N/T</v>
          </cell>
        </row>
        <row r="1396">
          <cell r="J1396" t="str">
            <v>42-04-07-00-1388</v>
          </cell>
          <cell r="K1396" t="str">
            <v>42-2766</v>
          </cell>
          <cell r="L1396" t="str">
            <v>42-04-07-00-1388</v>
          </cell>
          <cell r="M1396" t="str">
            <v>Bergere color mostaza</v>
          </cell>
          <cell r="O1396" t="str">
            <v>OTROS</v>
          </cell>
          <cell r="P1396">
            <v>30000</v>
          </cell>
          <cell r="T1396" t="str">
            <v>Bueno</v>
          </cell>
          <cell r="U1396" t="str">
            <v>N/T</v>
          </cell>
        </row>
        <row r="1397">
          <cell r="J1397" t="str">
            <v>42-05-02-01-1389</v>
          </cell>
          <cell r="K1397" t="str">
            <v>42-762</v>
          </cell>
          <cell r="L1397" t="str">
            <v>42-05-02-01-1389</v>
          </cell>
          <cell r="M1397" t="str">
            <v>Balanza para lactantes marca Seca capacidad 16 Kgs.</v>
          </cell>
          <cell r="O1397" t="str">
            <v>EQUIPOS CLINICOS</v>
          </cell>
          <cell r="P1397">
            <v>169546</v>
          </cell>
          <cell r="T1397" t="str">
            <v>Bueno</v>
          </cell>
          <cell r="U1397" t="str">
            <v>N/T</v>
          </cell>
        </row>
        <row r="1398">
          <cell r="J1398" t="str">
            <v>42-04-01-00-1390</v>
          </cell>
          <cell r="K1398" t="str">
            <v>42-775</v>
          </cell>
          <cell r="L1398" t="str">
            <v>42-04-01-00-1390</v>
          </cell>
          <cell r="M1398" t="str">
            <v>Mesa metálica con cubierta acero inox. con ruedas 90x37x85 cms.</v>
          </cell>
          <cell r="O1398" t="str">
            <v>MESAS</v>
          </cell>
          <cell r="P1398">
            <v>89000</v>
          </cell>
          <cell r="T1398" t="str">
            <v>Bueno</v>
          </cell>
          <cell r="U1398" t="str">
            <v>N/T</v>
          </cell>
        </row>
        <row r="1399">
          <cell r="J1399" t="str">
            <v>42-04-07-00-1391</v>
          </cell>
          <cell r="K1399" t="str">
            <v>42-797</v>
          </cell>
          <cell r="L1399" t="str">
            <v>42-04-07-00-1391</v>
          </cell>
          <cell r="M1399" t="str">
            <v>Carro transporte acero inox.  con ruedas 50x40x87 cms.</v>
          </cell>
          <cell r="O1399" t="str">
            <v>OTROS</v>
          </cell>
          <cell r="P1399">
            <v>86000</v>
          </cell>
          <cell r="T1399" t="str">
            <v>Bueno</v>
          </cell>
          <cell r="U1399" t="str">
            <v>N/T</v>
          </cell>
        </row>
        <row r="1400">
          <cell r="J1400" t="str">
            <v>42-04-07-00-1392</v>
          </cell>
          <cell r="K1400" t="str">
            <v>42-813</v>
          </cell>
          <cell r="L1400" t="str">
            <v>42-04-07-00-1392</v>
          </cell>
          <cell r="M1400" t="str">
            <v>Carro transporte 3 divisiones metálico 2 puertas con ruedas</v>
          </cell>
          <cell r="O1400" t="str">
            <v>OTROS</v>
          </cell>
          <cell r="P1400">
            <v>158151</v>
          </cell>
          <cell r="T1400" t="str">
            <v>Bueno</v>
          </cell>
          <cell r="U1400" t="str">
            <v>N/T</v>
          </cell>
        </row>
        <row r="1401">
          <cell r="J1401" t="str">
            <v>42-05-02-01-1393</v>
          </cell>
          <cell r="K1401" t="str">
            <v>42-3140</v>
          </cell>
          <cell r="L1401" t="str">
            <v>42-05-02-01-1393</v>
          </cell>
          <cell r="M1401" t="str">
            <v>Cuna metálica color plomo</v>
          </cell>
          <cell r="O1401" t="str">
            <v>EQUIPOS CLINICOS</v>
          </cell>
          <cell r="P1401">
            <v>85484</v>
          </cell>
          <cell r="T1401" t="str">
            <v>Bueno</v>
          </cell>
          <cell r="U1401" t="str">
            <v>N/T</v>
          </cell>
        </row>
        <row r="1402">
          <cell r="J1402" t="str">
            <v>42-05-02-01-1394</v>
          </cell>
          <cell r="K1402" t="str">
            <v>42-3141</v>
          </cell>
          <cell r="L1402" t="str">
            <v>42-05-02-01-1394</v>
          </cell>
          <cell r="M1402" t="str">
            <v>Cuna metálica color plomo</v>
          </cell>
          <cell r="O1402" t="str">
            <v>EQUIPOS CLINICOS</v>
          </cell>
          <cell r="P1402">
            <v>85484</v>
          </cell>
          <cell r="T1402" t="str">
            <v>Bueno</v>
          </cell>
          <cell r="U1402" t="str">
            <v>N/T</v>
          </cell>
        </row>
        <row r="1403">
          <cell r="J1403" t="str">
            <v>42-05-02-01-1395</v>
          </cell>
          <cell r="K1403" t="str">
            <v>42-3142</v>
          </cell>
          <cell r="L1403" t="str">
            <v>42-05-02-01-1395</v>
          </cell>
          <cell r="M1403" t="str">
            <v>Cuna metálica color plomo</v>
          </cell>
          <cell r="O1403" t="str">
            <v>EQUIPOS CLINICOS</v>
          </cell>
          <cell r="P1403">
            <v>85484</v>
          </cell>
          <cell r="T1403" t="str">
            <v>Bueno</v>
          </cell>
          <cell r="U1403" t="str">
            <v>N/T</v>
          </cell>
        </row>
        <row r="1404">
          <cell r="J1404" t="str">
            <v>42-04-07-00-1396</v>
          </cell>
          <cell r="K1404" t="str">
            <v>42-3146</v>
          </cell>
          <cell r="L1404" t="str">
            <v>42-04-07-00-1396</v>
          </cell>
          <cell r="M1404" t="str">
            <v>Loker metálico 3 puertas color plomo</v>
          </cell>
          <cell r="O1404" t="str">
            <v>OTROS</v>
          </cell>
          <cell r="P1404">
            <v>37500</v>
          </cell>
          <cell r="T1404" t="str">
            <v>Bueno</v>
          </cell>
          <cell r="U1404" t="str">
            <v>N/T</v>
          </cell>
        </row>
        <row r="1405">
          <cell r="J1405" t="str">
            <v>42-04-01-00-1397</v>
          </cell>
          <cell r="K1405" t="str">
            <v>42-2768 B</v>
          </cell>
          <cell r="L1405" t="str">
            <v>42-04-01-00-1397</v>
          </cell>
          <cell r="M1405" t="str">
            <v>Mesa alimentación metálica con cubierta melamina, con ruedas</v>
          </cell>
          <cell r="O1405" t="str">
            <v>MESAS</v>
          </cell>
          <cell r="P1405">
            <v>52466</v>
          </cell>
          <cell r="T1405" t="str">
            <v>Bueno</v>
          </cell>
          <cell r="U1405" t="str">
            <v>N/T</v>
          </cell>
        </row>
        <row r="1406">
          <cell r="J1406" t="str">
            <v>42-04-07-00-1398</v>
          </cell>
          <cell r="K1406" t="str">
            <v>42-3147</v>
          </cell>
          <cell r="L1406" t="str">
            <v>42-04-07-00-1398</v>
          </cell>
          <cell r="M1406" t="str">
            <v>Paragüero/perchero metálico color blanco</v>
          </cell>
          <cell r="O1406" t="str">
            <v>OTROS</v>
          </cell>
          <cell r="P1406">
            <v>35000</v>
          </cell>
          <cell r="T1406" t="str">
            <v>Bueno</v>
          </cell>
          <cell r="U1406" t="str">
            <v>N/T</v>
          </cell>
        </row>
        <row r="1407">
          <cell r="J1407" t="str">
            <v>42-05-02-01-1399</v>
          </cell>
          <cell r="K1407" t="str">
            <v>42-765</v>
          </cell>
          <cell r="L1407" t="str">
            <v>42-05-02-01-1399</v>
          </cell>
          <cell r="M1407" t="str">
            <v>Podómetro madera infantil</v>
          </cell>
          <cell r="O1407" t="str">
            <v>EQUIPOS CLINICOS</v>
          </cell>
          <cell r="P1407">
            <v>70000</v>
          </cell>
          <cell r="T1407" t="str">
            <v>Bueno</v>
          </cell>
          <cell r="U1407" t="str">
            <v>N/T</v>
          </cell>
        </row>
        <row r="1408">
          <cell r="J1408" t="str">
            <v>42-04-02-00-1400</v>
          </cell>
          <cell r="K1408" t="str">
            <v>42-3148</v>
          </cell>
          <cell r="L1408" t="str">
            <v>42-04-02-00-1400</v>
          </cell>
          <cell r="M1408" t="str">
            <v>Silla nido</v>
          </cell>
          <cell r="O1408" t="str">
            <v>SILLAS</v>
          </cell>
          <cell r="P1408">
            <v>20000</v>
          </cell>
          <cell r="T1408" t="str">
            <v>Bueno</v>
          </cell>
          <cell r="U1408" t="str">
            <v>N/T</v>
          </cell>
        </row>
        <row r="1409">
          <cell r="J1409" t="str">
            <v>42-04-07-00-1401</v>
          </cell>
          <cell r="K1409" t="str">
            <v>42-3143</v>
          </cell>
          <cell r="L1409" t="str">
            <v>42-04-07-00-1401</v>
          </cell>
          <cell r="M1409" t="str">
            <v>Velador metálico con 1 puerta, 1 cajón en melámina color plomo</v>
          </cell>
          <cell r="O1409" t="str">
            <v>OTROS</v>
          </cell>
          <cell r="P1409">
            <v>78000</v>
          </cell>
          <cell r="T1409" t="str">
            <v>Bueno</v>
          </cell>
          <cell r="U1409" t="str">
            <v>N/T</v>
          </cell>
        </row>
        <row r="1410">
          <cell r="J1410" t="str">
            <v>42-04-07-00-1402</v>
          </cell>
          <cell r="K1410" t="str">
            <v>42-3144</v>
          </cell>
          <cell r="L1410" t="str">
            <v>42-04-07-00-1402</v>
          </cell>
          <cell r="M1410" t="str">
            <v>Velador metálico con 1 puerta, 1 cajón en melámina color plomo</v>
          </cell>
          <cell r="O1410" t="str">
            <v>OTROS</v>
          </cell>
          <cell r="P1410">
            <v>78000</v>
          </cell>
          <cell r="T1410" t="str">
            <v>Bueno</v>
          </cell>
          <cell r="U1410" t="str">
            <v>N/T</v>
          </cell>
        </row>
        <row r="1411">
          <cell r="J1411" t="str">
            <v>42-04-07-00-1403</v>
          </cell>
          <cell r="K1411" t="str">
            <v>42-3145</v>
          </cell>
          <cell r="L1411" t="str">
            <v>42-04-07-00-1403</v>
          </cell>
          <cell r="M1411" t="str">
            <v>Velador metálico con 1 puerta, 1 cajón en melámina color plomo</v>
          </cell>
          <cell r="O1411" t="str">
            <v>OTROS</v>
          </cell>
          <cell r="P1411">
            <v>78000</v>
          </cell>
          <cell r="T1411" t="str">
            <v>Bueno</v>
          </cell>
          <cell r="U1411" t="str">
            <v>N/T</v>
          </cell>
        </row>
        <row r="1412">
          <cell r="J1412" t="str">
            <v>42-04-07-00-1404</v>
          </cell>
          <cell r="K1412" t="str">
            <v>42-658</v>
          </cell>
          <cell r="L1412" t="str">
            <v>42-04-07-00-1404</v>
          </cell>
          <cell r="M1412" t="str">
            <v>Velador metálico, 1 cajon 1 puerta con cubierta café</v>
          </cell>
          <cell r="O1412" t="str">
            <v>OTROS</v>
          </cell>
          <cell r="P1412">
            <v>78000</v>
          </cell>
          <cell r="T1412" t="str">
            <v>Bueno</v>
          </cell>
          <cell r="U1412" t="str">
            <v>N/T</v>
          </cell>
        </row>
        <row r="1413">
          <cell r="J1413" t="str">
            <v>42-05-01-01-1405</v>
          </cell>
          <cell r="K1413" t="str">
            <v>42-2723</v>
          </cell>
          <cell r="L1413" t="str">
            <v>42-05-01-01-1405</v>
          </cell>
          <cell r="M1413" t="str">
            <v>Radio CD marca RCA Mod. RCD 004 Cod. 0537</v>
          </cell>
          <cell r="O1413" t="str">
            <v>EQUIPO DE OFICINA</v>
          </cell>
          <cell r="P1413">
            <v>53000</v>
          </cell>
          <cell r="T1413" t="str">
            <v>Bueno</v>
          </cell>
          <cell r="U1413" t="str">
            <v>N/T</v>
          </cell>
        </row>
        <row r="1414">
          <cell r="J1414" t="str">
            <v>42-05-02-02-1406</v>
          </cell>
          <cell r="K1414" t="str">
            <v>42-1396</v>
          </cell>
          <cell r="L1414" t="str">
            <v>42-05-02-02-1406</v>
          </cell>
          <cell r="M1414" t="str">
            <v>Cocinilla a gas 2 platos marca Indugas</v>
          </cell>
          <cell r="O1414" t="str">
            <v>EQUIPOS DE COCINA</v>
          </cell>
          <cell r="P1414">
            <v>27000</v>
          </cell>
          <cell r="T1414" t="str">
            <v>Bueno</v>
          </cell>
          <cell r="U1414" t="str">
            <v>N/T</v>
          </cell>
        </row>
        <row r="1415">
          <cell r="J1415" t="str">
            <v>42-05-01-01-1407</v>
          </cell>
          <cell r="K1415" t="str">
            <v>42-836</v>
          </cell>
          <cell r="L1415" t="str">
            <v>42-05-01-01-1407</v>
          </cell>
          <cell r="M1415" t="str">
            <v>Extractor de aire color celeste</v>
          </cell>
          <cell r="O1415" t="str">
            <v>EQUIPO DE OFICINA</v>
          </cell>
          <cell r="P1415">
            <v>25000</v>
          </cell>
          <cell r="T1415" t="str">
            <v>Bueno</v>
          </cell>
          <cell r="U1415" t="str">
            <v>N/T</v>
          </cell>
        </row>
        <row r="1416">
          <cell r="J1416" t="str">
            <v>42-04-07-00-1408</v>
          </cell>
          <cell r="K1416" t="str">
            <v>42-837B</v>
          </cell>
          <cell r="L1416" t="str">
            <v>42-04-07-00-1408</v>
          </cell>
          <cell r="M1416" t="str">
            <v>Sellador eléctrico marca Impulse Sealer</v>
          </cell>
          <cell r="O1416" t="str">
            <v>OTROS</v>
          </cell>
          <cell r="P1416">
            <v>12000</v>
          </cell>
          <cell r="T1416" t="str">
            <v>Bueno</v>
          </cell>
          <cell r="U1416" t="str">
            <v>N/T</v>
          </cell>
        </row>
        <row r="1417">
          <cell r="J1417" t="str">
            <v>42-05-01-01-1409</v>
          </cell>
          <cell r="K1417" t="str">
            <v>42-834</v>
          </cell>
          <cell r="L1417" t="str">
            <v>42-05-01-01-1409</v>
          </cell>
          <cell r="M1417" t="str">
            <v>Compu-clave grande marca Oppici de 180x97x132 cms. con 1 puerta de 55 cms. con bandejas</v>
          </cell>
          <cell r="O1417" t="str">
            <v>EQUIPO DE OFICINA</v>
          </cell>
          <cell r="P1417">
            <v>1500000</v>
          </cell>
          <cell r="T1417" t="str">
            <v>Bueno</v>
          </cell>
          <cell r="U1417" t="str">
            <v>N/T</v>
          </cell>
        </row>
        <row r="1418">
          <cell r="J1418" t="str">
            <v>42-05-02-01-1410</v>
          </cell>
          <cell r="K1418" t="str">
            <v>42-831</v>
          </cell>
          <cell r="L1418" t="str">
            <v>42-05-02-01-1410</v>
          </cell>
          <cell r="M1418" t="str">
            <v>Pupinel marca Mermmet de 75x70 ½  cms. acero inox.</v>
          </cell>
          <cell r="O1418" t="str">
            <v>EQUIPOS CLINICOS</v>
          </cell>
          <cell r="P1418">
            <v>180000</v>
          </cell>
          <cell r="T1418" t="str">
            <v>Bueno</v>
          </cell>
          <cell r="U1418" t="str">
            <v>N/T</v>
          </cell>
        </row>
        <row r="1419">
          <cell r="J1419" t="str">
            <v>42-04-02-00-1411</v>
          </cell>
          <cell r="K1419" t="str">
            <v>42-1599</v>
          </cell>
          <cell r="L1419" t="str">
            <v>42-04-02-00-1411</v>
          </cell>
          <cell r="M1419" t="str">
            <v>Silla cajero alta regulable, lana color gris</v>
          </cell>
          <cell r="O1419" t="str">
            <v>SILLAS</v>
          </cell>
          <cell r="P1419">
            <v>47000</v>
          </cell>
          <cell r="T1419" t="str">
            <v>Bueno</v>
          </cell>
          <cell r="U1419" t="str">
            <v>N/T</v>
          </cell>
        </row>
        <row r="1420">
          <cell r="J1420" t="str">
            <v>42-05-01-01-1412</v>
          </cell>
          <cell r="K1420" t="str">
            <v>42-1600</v>
          </cell>
          <cell r="L1420" t="str">
            <v>42-05-01-01-1412</v>
          </cell>
          <cell r="M1420" t="str">
            <v>Reloj Mural color blanco</v>
          </cell>
          <cell r="O1420" t="str">
            <v>EQUIPO DE OFICINA</v>
          </cell>
          <cell r="P1420">
            <v>7500</v>
          </cell>
          <cell r="T1420" t="str">
            <v>Bueno</v>
          </cell>
          <cell r="U1420" t="str">
            <v>N/T</v>
          </cell>
        </row>
        <row r="1421">
          <cell r="J1421" t="str">
            <v>42-04-02-00-1413</v>
          </cell>
          <cell r="K1421" t="str">
            <v>42-821</v>
          </cell>
          <cell r="L1421" t="str">
            <v>42-04-02-00-1413</v>
          </cell>
          <cell r="M1421" t="str">
            <v>Silla metálica blanca</v>
          </cell>
          <cell r="O1421" t="str">
            <v>SILLAS</v>
          </cell>
          <cell r="P1421">
            <v>19900</v>
          </cell>
          <cell r="T1421" t="str">
            <v>Bueno</v>
          </cell>
          <cell r="U1421" t="str">
            <v>N/T</v>
          </cell>
        </row>
        <row r="1422">
          <cell r="J1422" t="str">
            <v>42-04-01-00-1414</v>
          </cell>
          <cell r="K1422" t="str">
            <v>42-822</v>
          </cell>
          <cell r="L1422" t="str">
            <v>42-04-01-00-1414</v>
          </cell>
          <cell r="M1422" t="str">
            <v>Vitrina metálica mixta de sobremesa 3 divisiones, 2 puertas de vidrio</v>
          </cell>
          <cell r="O1422" t="str">
            <v>MESAS</v>
          </cell>
          <cell r="P1422">
            <v>57261</v>
          </cell>
          <cell r="T1422" t="str">
            <v>Bueno</v>
          </cell>
          <cell r="U1422" t="str">
            <v>N/T</v>
          </cell>
        </row>
        <row r="1423">
          <cell r="J1423" t="str">
            <v>42-04-07-00-1415</v>
          </cell>
          <cell r="K1423" t="str">
            <v>42-823</v>
          </cell>
          <cell r="L1423" t="str">
            <v>42-04-07-00-1415</v>
          </cell>
          <cell r="M1423" t="str">
            <v>Carro metálico 2 divisiones, 4 ruedas acero inox. 89x41x90 cms.</v>
          </cell>
          <cell r="O1423" t="str">
            <v>OTROS</v>
          </cell>
          <cell r="P1423">
            <v>160000</v>
          </cell>
          <cell r="T1423" t="str">
            <v>Bueno</v>
          </cell>
          <cell r="U1423" t="str">
            <v>N/T</v>
          </cell>
        </row>
        <row r="1424">
          <cell r="J1424" t="str">
            <v>42-05-02-01-1416</v>
          </cell>
          <cell r="K1424" t="str">
            <v>42-824</v>
          </cell>
          <cell r="L1424" t="str">
            <v>42-05-02-01-1416</v>
          </cell>
          <cell r="M1424" t="str">
            <v>Escabel mixto color calipso, 2 peldaños</v>
          </cell>
          <cell r="O1424" t="str">
            <v>EQUIPOS CLINICOS</v>
          </cell>
          <cell r="P1424">
            <v>14280</v>
          </cell>
          <cell r="T1424" t="str">
            <v>Bueno</v>
          </cell>
          <cell r="U1424" t="str">
            <v>N/T</v>
          </cell>
        </row>
        <row r="1425">
          <cell r="J1425" t="str">
            <v>42-04-01-00-1417</v>
          </cell>
          <cell r="K1425" t="str">
            <v>42-2726</v>
          </cell>
          <cell r="L1425" t="str">
            <v>42-04-01-00-1417</v>
          </cell>
          <cell r="M1425" t="str">
            <v>Mesa mixta cubierta madera 1 cajón 1 repisa 91x61x79 cms.</v>
          </cell>
          <cell r="O1425" t="str">
            <v>MESAS</v>
          </cell>
          <cell r="P1425">
            <v>34990</v>
          </cell>
          <cell r="T1425" t="str">
            <v>Bueno</v>
          </cell>
          <cell r="U1425" t="str">
            <v>N/T</v>
          </cell>
        </row>
        <row r="1426">
          <cell r="J1426" t="str">
            <v>42-04-01-00-1418</v>
          </cell>
          <cell r="K1426" t="str">
            <v>42-825</v>
          </cell>
          <cell r="L1426" t="str">
            <v>42-04-01-00-1418</v>
          </cell>
          <cell r="M1426" t="str">
            <v>Mesón metálico cubierta acero inox. 190x45x90 cms.</v>
          </cell>
          <cell r="O1426" t="str">
            <v>MESAS</v>
          </cell>
          <cell r="P1426">
            <v>119900</v>
          </cell>
          <cell r="T1426" t="str">
            <v>Bueno</v>
          </cell>
          <cell r="U1426" t="str">
            <v>N/T</v>
          </cell>
        </row>
        <row r="1427">
          <cell r="J1427" t="str">
            <v>42-04-01-00-1419</v>
          </cell>
          <cell r="K1427" t="str">
            <v>42-826</v>
          </cell>
          <cell r="L1427" t="str">
            <v>42-04-01-00-1419</v>
          </cell>
          <cell r="M1427" t="str">
            <v>Mesón metálico cubierta acero inox. 190x45x90 cms.</v>
          </cell>
          <cell r="O1427" t="str">
            <v>MESAS</v>
          </cell>
          <cell r="P1427">
            <v>119900</v>
          </cell>
          <cell r="T1427" t="str">
            <v>Bueno</v>
          </cell>
          <cell r="U1427" t="str">
            <v>N/T</v>
          </cell>
        </row>
        <row r="1428">
          <cell r="J1428" t="str">
            <v>42-04-01-00-1420</v>
          </cell>
          <cell r="K1428" t="str">
            <v>42-827</v>
          </cell>
          <cell r="L1428" t="str">
            <v>42-04-01-00-1420</v>
          </cell>
          <cell r="M1428" t="str">
            <v>Mesón metálico cubierta acero inox. de 196x45x90 cms.</v>
          </cell>
          <cell r="O1428" t="str">
            <v>MESAS</v>
          </cell>
          <cell r="P1428">
            <v>122990</v>
          </cell>
          <cell r="T1428" t="str">
            <v>Bueno</v>
          </cell>
          <cell r="U1428" t="str">
            <v>N/T</v>
          </cell>
        </row>
        <row r="1429">
          <cell r="J1429" t="str">
            <v>42-04-07-00-1421</v>
          </cell>
          <cell r="K1429" t="str">
            <v>42-828</v>
          </cell>
          <cell r="L1429" t="str">
            <v>42-04-07-00-1421</v>
          </cell>
          <cell r="M1429" t="str">
            <v>Piso regulable giratorio metálico blanco</v>
          </cell>
          <cell r="O1429" t="str">
            <v>OTROS</v>
          </cell>
          <cell r="P1429">
            <v>3990</v>
          </cell>
          <cell r="T1429" t="str">
            <v>Bueno</v>
          </cell>
          <cell r="U1429" t="str">
            <v>N/T</v>
          </cell>
        </row>
        <row r="1430">
          <cell r="J1430" t="str">
            <v>42-04-06-00-1422</v>
          </cell>
          <cell r="K1430" t="str">
            <v>42-410</v>
          </cell>
          <cell r="L1430" t="str">
            <v>42-04-06-00-1422</v>
          </cell>
          <cell r="M1430" t="str">
            <v>Mueble de madera barniz natural, 2 cajones, 2 puertas correderas de 86x49x62 cms.</v>
          </cell>
          <cell r="O1430" t="str">
            <v>REPISA</v>
          </cell>
          <cell r="P1430">
            <v>24900</v>
          </cell>
          <cell r="T1430" t="str">
            <v>Bueno</v>
          </cell>
          <cell r="U1430" t="str">
            <v>N/T</v>
          </cell>
        </row>
        <row r="1431">
          <cell r="J1431" t="str">
            <v>42-04-06-00-1423</v>
          </cell>
          <cell r="K1431" t="str">
            <v>42-2720</v>
          </cell>
          <cell r="L1431" t="str">
            <v>42-04-06-00-1423</v>
          </cell>
          <cell r="M1431" t="str">
            <v>Mueble de madera barniz natural, 2 cajones, 2 puertas correderas de 86x49x62 cms.</v>
          </cell>
          <cell r="O1431" t="str">
            <v>REPISA</v>
          </cell>
          <cell r="P1431">
            <v>24900</v>
          </cell>
          <cell r="T1431" t="str">
            <v>Bueno</v>
          </cell>
          <cell r="U1431" t="str">
            <v>N/T</v>
          </cell>
        </row>
        <row r="1432">
          <cell r="J1432" t="str">
            <v>42-04-04-00-1424</v>
          </cell>
          <cell r="K1432" t="str">
            <v>42-411</v>
          </cell>
          <cell r="L1432" t="str">
            <v>42-04-04-00-1424</v>
          </cell>
          <cell r="M1432" t="str">
            <v>Mueble mural adosado a la pared de masisa enchapada en formalita blanca 10 puertas en L, 5 cajones con 2 lavaplatos, 2 secador con 2 llaves de combinación en acero inox.</v>
          </cell>
          <cell r="O1432" t="str">
            <v>MUEBLES DE COCINA</v>
          </cell>
          <cell r="P1432">
            <v>49900</v>
          </cell>
          <cell r="T1432" t="str">
            <v>Bueno</v>
          </cell>
          <cell r="U1432" t="str">
            <v>N/T</v>
          </cell>
        </row>
        <row r="1433">
          <cell r="J1433" t="str">
            <v>42-04-07-00-1425</v>
          </cell>
          <cell r="K1433" t="str">
            <v>42-479</v>
          </cell>
          <cell r="L1433" t="str">
            <v>42-04-07-00-1425</v>
          </cell>
          <cell r="M1433" t="str">
            <v>Percha de madera con 4 ganchos</v>
          </cell>
          <cell r="O1433" t="str">
            <v>OTROS</v>
          </cell>
          <cell r="P1433">
            <v>7500</v>
          </cell>
          <cell r="T1433" t="str">
            <v>Bueno</v>
          </cell>
          <cell r="U1433" t="str">
            <v>N/T</v>
          </cell>
        </row>
        <row r="1434">
          <cell r="J1434" t="str">
            <v>42-04-07-00-1426</v>
          </cell>
          <cell r="K1434" t="str">
            <v>42-2725</v>
          </cell>
          <cell r="L1434" t="str">
            <v>42-04-07-00-1426</v>
          </cell>
          <cell r="M1434" t="str">
            <v>Basurero metálico con tapa y pedal</v>
          </cell>
          <cell r="O1434" t="str">
            <v>OTROS</v>
          </cell>
          <cell r="P1434">
            <v>5000</v>
          </cell>
          <cell r="T1434" t="str">
            <v>Bueno</v>
          </cell>
          <cell r="U1434" t="str">
            <v>N/T</v>
          </cell>
        </row>
        <row r="1435">
          <cell r="J1435" t="str">
            <v>42-05-02-05-1427</v>
          </cell>
          <cell r="K1435" t="str">
            <v>42-2721</v>
          </cell>
          <cell r="L1435" t="str">
            <v>42-05-02-05-1427</v>
          </cell>
          <cell r="M1435" t="str">
            <v>Extintor incendio tipo Dioxido de carbono 2 kgs.</v>
          </cell>
          <cell r="O1435" t="str">
            <v>EQUIPOS DE SEGURIDAD</v>
          </cell>
          <cell r="P1435">
            <v>25000</v>
          </cell>
          <cell r="T1435" t="str">
            <v>Bueno</v>
          </cell>
          <cell r="U1435" t="str">
            <v>N/T</v>
          </cell>
        </row>
        <row r="1436">
          <cell r="J1436" t="str">
            <v>42-05-01-01-1428</v>
          </cell>
          <cell r="K1436" t="str">
            <v>42-2722</v>
          </cell>
          <cell r="L1436" t="str">
            <v>42-05-01-01-1428</v>
          </cell>
          <cell r="M1436" t="str">
            <v>Citófono/ teléfono marca Nortel Network, Modelo 7000</v>
          </cell>
          <cell r="O1436" t="str">
            <v>EQUIPO DE OFICINA</v>
          </cell>
          <cell r="P1436">
            <v>36000</v>
          </cell>
          <cell r="T1436" t="str">
            <v>Bueno</v>
          </cell>
          <cell r="U1436" t="str">
            <v>N/T</v>
          </cell>
        </row>
        <row r="1437">
          <cell r="J1437" t="str">
            <v>42-04-02-00-1429</v>
          </cell>
          <cell r="K1437" t="str">
            <v>42-931</v>
          </cell>
          <cell r="L1437" t="str">
            <v>42-04-02-00-1429</v>
          </cell>
          <cell r="M1437" t="str">
            <v>Silla mixta asiento y respaldo en formalita café claro</v>
          </cell>
          <cell r="O1437" t="str">
            <v>SILLAS</v>
          </cell>
          <cell r="P1437">
            <v>17850</v>
          </cell>
          <cell r="T1437" t="str">
            <v>Bueno</v>
          </cell>
          <cell r="U1437" t="str">
            <v>N/T</v>
          </cell>
        </row>
        <row r="1438">
          <cell r="J1438" t="str">
            <v>42-04-02-00-1430</v>
          </cell>
          <cell r="K1438" t="str">
            <v>42-928</v>
          </cell>
          <cell r="L1438" t="str">
            <v>42-04-02-00-1430</v>
          </cell>
          <cell r="M1438" t="str">
            <v>Silla mixta asiento y respaldo en formalita café claro</v>
          </cell>
          <cell r="O1438" t="str">
            <v>SILLAS</v>
          </cell>
          <cell r="P1438">
            <v>17850</v>
          </cell>
          <cell r="T1438" t="str">
            <v>Bueno</v>
          </cell>
          <cell r="U1438" t="str">
            <v>N/T</v>
          </cell>
        </row>
        <row r="1439">
          <cell r="J1439" t="str">
            <v>42-04-02-00-1431</v>
          </cell>
          <cell r="K1439" t="str">
            <v>42-927</v>
          </cell>
          <cell r="L1439" t="str">
            <v>42-04-02-00-1431</v>
          </cell>
          <cell r="M1439" t="str">
            <v>Silla mixta asiento y respaldo en formalita café claro</v>
          </cell>
          <cell r="O1439" t="str">
            <v>SILLAS</v>
          </cell>
          <cell r="P1439">
            <v>17850</v>
          </cell>
          <cell r="T1439" t="str">
            <v>Bueno</v>
          </cell>
          <cell r="U1439" t="str">
            <v>N/T</v>
          </cell>
        </row>
        <row r="1440">
          <cell r="J1440" t="str">
            <v>42-04-02-00-1432</v>
          </cell>
          <cell r="K1440" t="str">
            <v>42-926</v>
          </cell>
          <cell r="L1440" t="str">
            <v>42-04-02-00-1432</v>
          </cell>
          <cell r="M1440" t="str">
            <v>Silla mixta asiento y respaldo en formalita café claro</v>
          </cell>
          <cell r="O1440" t="str">
            <v>SILLAS</v>
          </cell>
          <cell r="P1440">
            <v>17850</v>
          </cell>
          <cell r="T1440" t="str">
            <v>Bueno</v>
          </cell>
          <cell r="U1440" t="str">
            <v>N/T</v>
          </cell>
        </row>
        <row r="1441">
          <cell r="J1441" t="str">
            <v>42-04-02-00-1433</v>
          </cell>
          <cell r="K1441" t="str">
            <v>42-924</v>
          </cell>
          <cell r="L1441" t="str">
            <v>42-04-02-00-1433</v>
          </cell>
          <cell r="M1441" t="str">
            <v>Silla mixta asiento y respaldo en formalita café claro</v>
          </cell>
          <cell r="O1441" t="str">
            <v>SILLAS</v>
          </cell>
          <cell r="P1441">
            <v>17850</v>
          </cell>
          <cell r="T1441" t="str">
            <v>Bueno</v>
          </cell>
          <cell r="U1441" t="str">
            <v>N/T</v>
          </cell>
        </row>
        <row r="1442">
          <cell r="J1442" t="str">
            <v>42-04-02-00-1434</v>
          </cell>
          <cell r="K1442" t="str">
            <v>42-923</v>
          </cell>
          <cell r="L1442" t="str">
            <v>42-04-02-00-1434</v>
          </cell>
          <cell r="M1442" t="str">
            <v>Silla mixta asiento y respaldo en formalita café claro</v>
          </cell>
          <cell r="O1442" t="str">
            <v>SILLAS</v>
          </cell>
          <cell r="P1442">
            <v>17850</v>
          </cell>
          <cell r="T1442" t="str">
            <v>Bueno</v>
          </cell>
          <cell r="U1442" t="str">
            <v>N/T</v>
          </cell>
        </row>
        <row r="1443">
          <cell r="J1443" t="str">
            <v>42-04-02-00-1435</v>
          </cell>
          <cell r="K1443" t="str">
            <v>42-922</v>
          </cell>
          <cell r="L1443" t="str">
            <v>42-04-02-00-1435</v>
          </cell>
          <cell r="M1443" t="str">
            <v>Silla mixta asiento y respaldo en formalita café claro</v>
          </cell>
          <cell r="O1443" t="str">
            <v>SILLAS</v>
          </cell>
          <cell r="P1443">
            <v>17850</v>
          </cell>
          <cell r="T1443" t="str">
            <v>Bueno</v>
          </cell>
          <cell r="U1443" t="str">
            <v>N/T</v>
          </cell>
        </row>
        <row r="1444">
          <cell r="J1444" t="str">
            <v>42-04-02-00-1436</v>
          </cell>
          <cell r="K1444" t="str">
            <v>42-921</v>
          </cell>
          <cell r="L1444" t="str">
            <v>42-04-02-00-1436</v>
          </cell>
          <cell r="M1444" t="str">
            <v>Silla mixta asiento y respaldo en formalita café claro</v>
          </cell>
          <cell r="O1444" t="str">
            <v>SILLAS</v>
          </cell>
          <cell r="P1444">
            <v>17850</v>
          </cell>
          <cell r="T1444" t="str">
            <v>Bueno</v>
          </cell>
          <cell r="U1444" t="str">
            <v>N/T</v>
          </cell>
        </row>
        <row r="1445">
          <cell r="J1445" t="str">
            <v>42-04-02-00-1437</v>
          </cell>
          <cell r="K1445" t="str">
            <v>42-920</v>
          </cell>
          <cell r="L1445" t="str">
            <v>42-04-02-00-1437</v>
          </cell>
          <cell r="M1445" t="str">
            <v>Silla mixta asiento y respaldo en formalita café claro</v>
          </cell>
          <cell r="O1445" t="str">
            <v>SILLAS</v>
          </cell>
          <cell r="P1445">
            <v>17850</v>
          </cell>
          <cell r="T1445" t="str">
            <v>Bueno</v>
          </cell>
          <cell r="U1445" t="str">
            <v>N/T</v>
          </cell>
        </row>
        <row r="1446">
          <cell r="J1446" t="str">
            <v>42-04-02-00-1438</v>
          </cell>
          <cell r="K1446" t="str">
            <v>42-917</v>
          </cell>
          <cell r="L1446" t="str">
            <v>42-04-02-00-1438</v>
          </cell>
          <cell r="M1446" t="str">
            <v>Silla mixta asiento y respaldo en formalita café claro</v>
          </cell>
          <cell r="O1446" t="str">
            <v>SILLAS</v>
          </cell>
          <cell r="P1446">
            <v>17850</v>
          </cell>
          <cell r="T1446" t="str">
            <v>Bueno</v>
          </cell>
          <cell r="U1446" t="str">
            <v>N/T</v>
          </cell>
        </row>
        <row r="1447">
          <cell r="J1447" t="str">
            <v>42-04-02-00-1439</v>
          </cell>
          <cell r="K1447" t="str">
            <v>42-915</v>
          </cell>
          <cell r="L1447" t="str">
            <v>42-04-02-00-1439</v>
          </cell>
          <cell r="M1447" t="str">
            <v>Silla mixta asiento y respaldo en formalita café claro</v>
          </cell>
          <cell r="O1447" t="str">
            <v>SILLAS</v>
          </cell>
          <cell r="P1447">
            <v>17850</v>
          </cell>
          <cell r="T1447" t="str">
            <v>Bueno</v>
          </cell>
          <cell r="U1447" t="str">
            <v>N/T</v>
          </cell>
        </row>
        <row r="1448">
          <cell r="J1448" t="str">
            <v>42-04-02-00-1440</v>
          </cell>
          <cell r="K1448" t="str">
            <v>42-906</v>
          </cell>
          <cell r="L1448" t="str">
            <v>42-04-02-00-1440</v>
          </cell>
          <cell r="M1448" t="str">
            <v>Silla mixta asiento y respaldo en formalita café claro</v>
          </cell>
          <cell r="O1448" t="str">
            <v>SILLAS</v>
          </cell>
          <cell r="P1448">
            <v>17850</v>
          </cell>
          <cell r="T1448" t="str">
            <v>Bueno</v>
          </cell>
          <cell r="U1448" t="str">
            <v>N/T</v>
          </cell>
        </row>
        <row r="1449">
          <cell r="J1449" t="str">
            <v>42-04-02-00-1441</v>
          </cell>
          <cell r="K1449" t="str">
            <v>42-905</v>
          </cell>
          <cell r="L1449" t="str">
            <v>42-04-02-00-1441</v>
          </cell>
          <cell r="M1449" t="str">
            <v>Silla mixta asiento y respaldo en formalita café claro</v>
          </cell>
          <cell r="O1449" t="str">
            <v>SILLAS</v>
          </cell>
          <cell r="P1449">
            <v>17850</v>
          </cell>
          <cell r="T1449" t="str">
            <v>Bueno</v>
          </cell>
          <cell r="U1449" t="str">
            <v>N/T</v>
          </cell>
        </row>
        <row r="1450">
          <cell r="J1450" t="str">
            <v>42-04-02-00-1442</v>
          </cell>
          <cell r="K1450" t="str">
            <v>42-904</v>
          </cell>
          <cell r="L1450" t="str">
            <v>42-04-02-00-1442</v>
          </cell>
          <cell r="M1450" t="str">
            <v>Silla mixta asiento y respaldo en formalita café claro</v>
          </cell>
          <cell r="O1450" t="str">
            <v>SILLAS</v>
          </cell>
          <cell r="P1450">
            <v>17850</v>
          </cell>
          <cell r="T1450" t="str">
            <v>Bueno</v>
          </cell>
          <cell r="U1450" t="str">
            <v>N/T</v>
          </cell>
        </row>
        <row r="1451">
          <cell r="J1451" t="str">
            <v>42-04-02-00-1443</v>
          </cell>
          <cell r="K1451" t="str">
            <v>42-3278</v>
          </cell>
          <cell r="L1451" t="str">
            <v>42-04-02-00-1443</v>
          </cell>
          <cell r="M1451" t="str">
            <v>Silla mixta asiento y respaldo en formalita café claro</v>
          </cell>
          <cell r="O1451" t="str">
            <v>SILLAS</v>
          </cell>
          <cell r="P1451">
            <v>17850</v>
          </cell>
          <cell r="T1451" t="str">
            <v>Bueno</v>
          </cell>
          <cell r="U1451" t="str">
            <v>N/T</v>
          </cell>
        </row>
        <row r="1452">
          <cell r="J1452" t="str">
            <v>42-04-02-00-1444</v>
          </cell>
          <cell r="K1452" t="str">
            <v>42-3231</v>
          </cell>
          <cell r="L1452" t="str">
            <v>42-04-02-00-1444</v>
          </cell>
          <cell r="M1452" t="str">
            <v>Silla mixta asiento y respaldo en formalita café claro</v>
          </cell>
          <cell r="O1452" t="str">
            <v>SILLAS</v>
          </cell>
          <cell r="P1452">
            <v>17850</v>
          </cell>
          <cell r="T1452" t="str">
            <v>Bueno</v>
          </cell>
          <cell r="U1452" t="str">
            <v>N/T</v>
          </cell>
        </row>
        <row r="1453">
          <cell r="J1453" t="str">
            <v>42-04-02-00-1445</v>
          </cell>
          <cell r="K1453" t="str">
            <v>42-3230</v>
          </cell>
          <cell r="L1453" t="str">
            <v>42-04-02-00-1445</v>
          </cell>
          <cell r="M1453" t="str">
            <v>Silla mixta asiento y respaldo en formalita café claro</v>
          </cell>
          <cell r="O1453" t="str">
            <v>SILLAS</v>
          </cell>
          <cell r="P1453">
            <v>17850</v>
          </cell>
          <cell r="T1453" t="str">
            <v>Bueno</v>
          </cell>
          <cell r="U1453" t="str">
            <v>N/T</v>
          </cell>
        </row>
        <row r="1454">
          <cell r="J1454" t="str">
            <v>42-04-02-00-1446</v>
          </cell>
          <cell r="K1454" t="str">
            <v>42-3228</v>
          </cell>
          <cell r="L1454" t="str">
            <v>42-04-02-00-1446</v>
          </cell>
          <cell r="M1454" t="str">
            <v>Silla mixta asiento y respaldo en formalita café claro</v>
          </cell>
          <cell r="O1454" t="str">
            <v>SILLAS</v>
          </cell>
          <cell r="P1454">
            <v>17850</v>
          </cell>
          <cell r="T1454" t="str">
            <v>Bueno</v>
          </cell>
          <cell r="U1454" t="str">
            <v>N/T</v>
          </cell>
        </row>
        <row r="1455">
          <cell r="J1455" t="str">
            <v>42-04-02-00-1447</v>
          </cell>
          <cell r="K1455" t="str">
            <v>42-3225</v>
          </cell>
          <cell r="L1455" t="str">
            <v>42-04-02-00-1447</v>
          </cell>
          <cell r="M1455" t="str">
            <v>Silla mixta asiento y respaldo en formalita café claro</v>
          </cell>
          <cell r="O1455" t="str">
            <v>SILLAS</v>
          </cell>
          <cell r="P1455">
            <v>17850</v>
          </cell>
          <cell r="T1455" t="str">
            <v>Bueno</v>
          </cell>
          <cell r="U1455" t="str">
            <v>N/T</v>
          </cell>
        </row>
        <row r="1456">
          <cell r="J1456" t="str">
            <v>42-04-02-00-1448</v>
          </cell>
          <cell r="K1456" t="str">
            <v>42-3202</v>
          </cell>
          <cell r="L1456" t="str">
            <v>42-04-02-00-1448</v>
          </cell>
          <cell r="M1456" t="str">
            <v>Silla mixta asiento y respaldo en formalita café claro</v>
          </cell>
          <cell r="O1456" t="str">
            <v>SILLAS</v>
          </cell>
          <cell r="P1456">
            <v>17850</v>
          </cell>
          <cell r="T1456" t="str">
            <v>Bueno</v>
          </cell>
          <cell r="U1456" t="str">
            <v>N/T</v>
          </cell>
        </row>
        <row r="1457">
          <cell r="J1457" t="str">
            <v>42-04-02-00-1449</v>
          </cell>
          <cell r="K1457" t="str">
            <v>42-2477</v>
          </cell>
          <cell r="L1457" t="str">
            <v>42-04-02-00-1449</v>
          </cell>
          <cell r="M1457" t="str">
            <v>Silla mixta asiento y respaldo en formalita café claro</v>
          </cell>
          <cell r="O1457" t="str">
            <v>SILLAS</v>
          </cell>
          <cell r="P1457">
            <v>17850</v>
          </cell>
          <cell r="T1457" t="str">
            <v>Bueno</v>
          </cell>
          <cell r="U1457" t="str">
            <v>N/T</v>
          </cell>
        </row>
        <row r="1458">
          <cell r="J1458" t="str">
            <v>42-04-02-00-1450</v>
          </cell>
          <cell r="K1458" t="str">
            <v>42-2462 B</v>
          </cell>
          <cell r="L1458" t="str">
            <v>42-04-02-00-1450</v>
          </cell>
          <cell r="M1458" t="str">
            <v>Silla mixta asiento y respaldo en formalita café claro</v>
          </cell>
          <cell r="O1458" t="str">
            <v>SILLAS</v>
          </cell>
          <cell r="P1458">
            <v>17850</v>
          </cell>
          <cell r="T1458" t="str">
            <v>Bueno</v>
          </cell>
          <cell r="U1458" t="str">
            <v>N/T</v>
          </cell>
        </row>
        <row r="1459">
          <cell r="J1459" t="str">
            <v>42-04-02-00-1451</v>
          </cell>
          <cell r="K1459" t="str">
            <v>42-2327</v>
          </cell>
          <cell r="L1459" t="str">
            <v>42-04-02-00-1451</v>
          </cell>
          <cell r="M1459" t="str">
            <v>Silla mixta asiento y respaldo en formalita café claro</v>
          </cell>
          <cell r="O1459" t="str">
            <v>SILLAS</v>
          </cell>
          <cell r="P1459">
            <v>17850</v>
          </cell>
          <cell r="T1459" t="str">
            <v>Bueno</v>
          </cell>
          <cell r="U1459" t="str">
            <v>N/T</v>
          </cell>
        </row>
        <row r="1460">
          <cell r="J1460" t="str">
            <v>42-04-02-00-1452</v>
          </cell>
          <cell r="K1460" t="str">
            <v>42-1542</v>
          </cell>
          <cell r="L1460" t="str">
            <v>42-04-02-00-1452</v>
          </cell>
          <cell r="M1460" t="str">
            <v>Silla mixta asiento y respaldo en formalita café claro</v>
          </cell>
          <cell r="O1460" t="str">
            <v>SILLAS</v>
          </cell>
          <cell r="P1460">
            <v>17850</v>
          </cell>
          <cell r="T1460" t="str">
            <v>Bueno</v>
          </cell>
          <cell r="U1460" t="str">
            <v>N/T</v>
          </cell>
        </row>
        <row r="1461">
          <cell r="J1461" t="str">
            <v>42-04-02-00-1453</v>
          </cell>
          <cell r="K1461" t="str">
            <v>42-1540</v>
          </cell>
          <cell r="L1461" t="str">
            <v>42-04-02-00-1453</v>
          </cell>
          <cell r="M1461" t="str">
            <v>Silla mixta asiento y respaldo en formalita café claro</v>
          </cell>
          <cell r="O1461" t="str">
            <v>SILLAS</v>
          </cell>
          <cell r="P1461">
            <v>17850</v>
          </cell>
          <cell r="T1461" t="str">
            <v>Bueno</v>
          </cell>
          <cell r="U1461" t="str">
            <v>N/T</v>
          </cell>
        </row>
        <row r="1462">
          <cell r="J1462" t="str">
            <v>42-04-02-00-1454</v>
          </cell>
          <cell r="K1462" t="str">
            <v>42-1333</v>
          </cell>
          <cell r="L1462" t="str">
            <v>42-04-02-00-1454</v>
          </cell>
          <cell r="M1462" t="str">
            <v>Silla mixta asiento y respaldo en formalita café claro</v>
          </cell>
          <cell r="O1462" t="str">
            <v>SILLAS</v>
          </cell>
          <cell r="P1462">
            <v>17850</v>
          </cell>
          <cell r="T1462" t="str">
            <v>Bueno</v>
          </cell>
          <cell r="U1462" t="str">
            <v>N/T</v>
          </cell>
        </row>
        <row r="1463">
          <cell r="J1463" t="str">
            <v>42-04-02-00-1455</v>
          </cell>
          <cell r="K1463" t="str">
            <v>24-2476</v>
          </cell>
          <cell r="L1463" t="str">
            <v>42-04-02-00-1455</v>
          </cell>
          <cell r="M1463" t="str">
            <v>Silla mixta asiento y respaldo en formalita café claro</v>
          </cell>
          <cell r="O1463" t="str">
            <v>SILLAS</v>
          </cell>
          <cell r="P1463">
            <v>17850</v>
          </cell>
          <cell r="T1463" t="str">
            <v>Bueno</v>
          </cell>
          <cell r="U1463" t="str">
            <v>N/T</v>
          </cell>
        </row>
        <row r="1464">
          <cell r="J1464" t="str">
            <v>42-04-02-00-1456</v>
          </cell>
          <cell r="K1464" t="str">
            <v>42-745</v>
          </cell>
          <cell r="L1464" t="str">
            <v>42-04-02-00-1456</v>
          </cell>
          <cell r="M1464" t="str">
            <v>Silla metálica pergamoide color café</v>
          </cell>
          <cell r="O1464" t="str">
            <v>SILLAS</v>
          </cell>
          <cell r="P1464">
            <v>17850</v>
          </cell>
          <cell r="T1464" t="str">
            <v>Bueno</v>
          </cell>
          <cell r="U1464" t="str">
            <v>N/T</v>
          </cell>
        </row>
        <row r="1465">
          <cell r="J1465" t="str">
            <v>42-04-02-00-1457</v>
          </cell>
          <cell r="K1465" t="str">
            <v>42-365</v>
          </cell>
          <cell r="L1465" t="str">
            <v>42-04-02-00-1457</v>
          </cell>
          <cell r="M1465" t="str">
            <v>Silla tapizada en pergamoide color crema</v>
          </cell>
          <cell r="O1465" t="str">
            <v>SILLAS</v>
          </cell>
          <cell r="P1465">
            <v>17850</v>
          </cell>
          <cell r="T1465" t="str">
            <v>Bueno</v>
          </cell>
          <cell r="U1465" t="str">
            <v>N/T</v>
          </cell>
        </row>
        <row r="1466">
          <cell r="J1466" t="str">
            <v>42-05-02-01-1458</v>
          </cell>
          <cell r="K1466" t="str">
            <v>42-3290</v>
          </cell>
          <cell r="L1466" t="str">
            <v>42-05-02-01-1458</v>
          </cell>
          <cell r="M1466" t="str">
            <v>Escabel mixto color negro</v>
          </cell>
          <cell r="O1466" t="str">
            <v>EQUIPOS CLINICOS</v>
          </cell>
          <cell r="P1466">
            <v>17850</v>
          </cell>
          <cell r="T1466" t="str">
            <v>Bueno</v>
          </cell>
          <cell r="U1466" t="str">
            <v>N/T</v>
          </cell>
        </row>
        <row r="1467">
          <cell r="J1467" t="str">
            <v>42-05-02-01-1459</v>
          </cell>
          <cell r="K1467" t="str">
            <v>42-2679</v>
          </cell>
          <cell r="L1467" t="str">
            <v>42-05-02-01-1459</v>
          </cell>
          <cell r="M1467" t="str">
            <v>Escabel mixto color negro</v>
          </cell>
          <cell r="O1467" t="str">
            <v>EQUIPOS CLINICOS</v>
          </cell>
          <cell r="P1467">
            <v>17850</v>
          </cell>
          <cell r="T1467" t="str">
            <v>Bueno</v>
          </cell>
          <cell r="U1467" t="str">
            <v>N/T</v>
          </cell>
        </row>
        <row r="1468">
          <cell r="J1468" t="str">
            <v>42-04-03-00-1460</v>
          </cell>
          <cell r="K1468" t="str">
            <v>42-240</v>
          </cell>
          <cell r="L1468" t="str">
            <v>42-04-03-00-1460</v>
          </cell>
          <cell r="M1468" t="str">
            <v>Escritorio estructura metálica, 4 cajones de 195x90x78 cms.</v>
          </cell>
          <cell r="O1468" t="str">
            <v>ESCRITORIOS</v>
          </cell>
          <cell r="P1468">
            <v>89000</v>
          </cell>
          <cell r="T1468" t="str">
            <v>Bueno</v>
          </cell>
          <cell r="U1468" t="str">
            <v>N/T</v>
          </cell>
        </row>
        <row r="1469">
          <cell r="J1469" t="str">
            <v>42-04-06-00-1461</v>
          </cell>
          <cell r="K1469" t="str">
            <v>42-2306</v>
          </cell>
          <cell r="L1469" t="str">
            <v>42-04-06-00-1461</v>
          </cell>
          <cell r="M1469" t="str">
            <v>Mueble melamina blanca c/ 2 cajones y 2 puertas</v>
          </cell>
          <cell r="O1469" t="str">
            <v>REPISA</v>
          </cell>
          <cell r="P1469">
            <v>78519</v>
          </cell>
          <cell r="T1469" t="str">
            <v>Bueno</v>
          </cell>
          <cell r="U1469" t="str">
            <v>N/T</v>
          </cell>
        </row>
        <row r="1470">
          <cell r="J1470" t="str">
            <v>42-04-06-00-1462</v>
          </cell>
          <cell r="K1470" t="str">
            <v>42-2304</v>
          </cell>
          <cell r="L1470" t="str">
            <v>42-04-06-00-1462</v>
          </cell>
          <cell r="M1470" t="str">
            <v>Armario de madera con 2 puertas con 1 candado</v>
          </cell>
          <cell r="O1470" t="str">
            <v>REPISA</v>
          </cell>
          <cell r="P1470">
            <v>70000</v>
          </cell>
          <cell r="T1470" t="str">
            <v>Bueno</v>
          </cell>
          <cell r="U1470" t="str">
            <v>N/T</v>
          </cell>
        </row>
        <row r="1471">
          <cell r="J1471" t="str">
            <v>42-04-01-00-1463</v>
          </cell>
          <cell r="K1471" t="str">
            <v>42-1319</v>
          </cell>
          <cell r="L1471" t="str">
            <v>42-04-01-00-1463</v>
          </cell>
          <cell r="M1471" t="str">
            <v>Mesa casino 75x120 cms. cubierta formalita crema</v>
          </cell>
          <cell r="O1471" t="str">
            <v>MESAS</v>
          </cell>
          <cell r="P1471">
            <v>35000</v>
          </cell>
          <cell r="T1471" t="str">
            <v>Bueno</v>
          </cell>
          <cell r="U1471" t="str">
            <v>N/T</v>
          </cell>
        </row>
        <row r="1472">
          <cell r="J1472" t="str">
            <v>42-04-01-00-1464</v>
          </cell>
          <cell r="K1472" t="str">
            <v>42-1320</v>
          </cell>
          <cell r="L1472" t="str">
            <v>42-04-01-00-1464</v>
          </cell>
          <cell r="M1472" t="str">
            <v>Mesa casino 75x120 cms. cubierta formalita crema</v>
          </cell>
          <cell r="O1472" t="str">
            <v>MESAS</v>
          </cell>
          <cell r="P1472">
            <v>35000</v>
          </cell>
          <cell r="T1472" t="str">
            <v>Bueno</v>
          </cell>
          <cell r="U1472" t="str">
            <v>N/T</v>
          </cell>
        </row>
        <row r="1473">
          <cell r="J1473" t="str">
            <v>42-04-01-00-1465</v>
          </cell>
          <cell r="K1473" t="str">
            <v>42-1322</v>
          </cell>
          <cell r="L1473" t="str">
            <v>42-04-01-00-1465</v>
          </cell>
          <cell r="M1473" t="str">
            <v>Mesa casino 75x120 cms. cubierta formalita crema</v>
          </cell>
          <cell r="O1473" t="str">
            <v>MESAS</v>
          </cell>
          <cell r="P1473">
            <v>35000</v>
          </cell>
          <cell r="T1473" t="str">
            <v>Bueno</v>
          </cell>
          <cell r="U1473" t="str">
            <v>N/T</v>
          </cell>
        </row>
        <row r="1474">
          <cell r="J1474" t="str">
            <v>42-04-01-00-1466</v>
          </cell>
          <cell r="K1474" t="str">
            <v>42-1323</v>
          </cell>
          <cell r="L1474" t="str">
            <v>42-04-01-00-1466</v>
          </cell>
          <cell r="M1474" t="str">
            <v>Mesa casino 75x120 cms. cubierta formalita crema</v>
          </cell>
          <cell r="O1474" t="str">
            <v>MESAS</v>
          </cell>
          <cell r="P1474">
            <v>35000</v>
          </cell>
          <cell r="T1474" t="str">
            <v>Bueno</v>
          </cell>
          <cell r="U1474" t="str">
            <v>N/T</v>
          </cell>
        </row>
        <row r="1475">
          <cell r="J1475" t="str">
            <v>42-04-01-00-1467</v>
          </cell>
          <cell r="K1475" t="str">
            <v>42-1324</v>
          </cell>
          <cell r="L1475" t="str">
            <v>42-04-01-00-1467</v>
          </cell>
          <cell r="M1475" t="str">
            <v>Mesa casino 75x120 cms. cubierta formalita crema</v>
          </cell>
          <cell r="O1475" t="str">
            <v>MESAS</v>
          </cell>
          <cell r="P1475">
            <v>35000</v>
          </cell>
          <cell r="T1475" t="str">
            <v>Bueno</v>
          </cell>
          <cell r="U1475" t="str">
            <v>N/T</v>
          </cell>
        </row>
        <row r="1476">
          <cell r="J1476" t="str">
            <v>42-04-01-00-1468</v>
          </cell>
          <cell r="K1476" t="str">
            <v>42-1325</v>
          </cell>
          <cell r="L1476" t="str">
            <v>42-04-01-00-1468</v>
          </cell>
          <cell r="M1476" t="str">
            <v>Mesa casino 75x120 cms. cubierta formalita crema</v>
          </cell>
          <cell r="O1476" t="str">
            <v>MESAS</v>
          </cell>
          <cell r="P1476">
            <v>35000</v>
          </cell>
          <cell r="T1476" t="str">
            <v>Bueno</v>
          </cell>
          <cell r="U1476" t="str">
            <v>N/T</v>
          </cell>
        </row>
        <row r="1477">
          <cell r="J1477" t="str">
            <v>42-04-01-00-1469</v>
          </cell>
          <cell r="K1477" t="str">
            <v>42-1326</v>
          </cell>
          <cell r="L1477" t="str">
            <v>42-04-01-00-1469</v>
          </cell>
          <cell r="M1477" t="str">
            <v>Mesa casino 75x120 cms. cubierta formalita crema</v>
          </cell>
          <cell r="O1477" t="str">
            <v>MESAS</v>
          </cell>
          <cell r="P1477">
            <v>35000</v>
          </cell>
          <cell r="T1477" t="str">
            <v>Bueno</v>
          </cell>
          <cell r="U1477" t="str">
            <v>N/T</v>
          </cell>
        </row>
        <row r="1478">
          <cell r="J1478" t="str">
            <v>42-04-01-00-1470</v>
          </cell>
          <cell r="K1478" t="str">
            <v>42-1328</v>
          </cell>
          <cell r="L1478" t="str">
            <v>42-04-01-00-1470</v>
          </cell>
          <cell r="M1478" t="str">
            <v>Mesa casino 75x120 cms. cubierta formalita crema</v>
          </cell>
          <cell r="O1478" t="str">
            <v>MESAS</v>
          </cell>
          <cell r="P1478">
            <v>35000</v>
          </cell>
          <cell r="T1478" t="str">
            <v>Bueno</v>
          </cell>
          <cell r="U1478" t="str">
            <v>N/T</v>
          </cell>
        </row>
        <row r="1479">
          <cell r="J1479" t="str">
            <v>42-04-01-00-1471</v>
          </cell>
          <cell r="K1479" t="str">
            <v>42-1329</v>
          </cell>
          <cell r="L1479" t="str">
            <v>42-04-01-00-1471</v>
          </cell>
          <cell r="M1479" t="str">
            <v>Mesa casino 75x120 cms. cubierta formalita crema</v>
          </cell>
          <cell r="O1479" t="str">
            <v>MESAS</v>
          </cell>
          <cell r="P1479">
            <v>35000</v>
          </cell>
          <cell r="T1479" t="str">
            <v>Bueno</v>
          </cell>
          <cell r="U1479" t="str">
            <v>N/T</v>
          </cell>
        </row>
        <row r="1480">
          <cell r="J1480" t="str">
            <v>42-04-01-00-1472</v>
          </cell>
          <cell r="K1480" t="str">
            <v>42-1330</v>
          </cell>
          <cell r="L1480" t="str">
            <v>42-04-01-00-1472</v>
          </cell>
          <cell r="M1480" t="str">
            <v>Mesa casino 75x120 cms. cubierta formalita crema</v>
          </cell>
          <cell r="O1480" t="str">
            <v>MESAS</v>
          </cell>
          <cell r="P1480">
            <v>35000</v>
          </cell>
          <cell r="T1480" t="str">
            <v>Bueno</v>
          </cell>
          <cell r="U1480" t="str">
            <v>N/T</v>
          </cell>
        </row>
        <row r="1481">
          <cell r="J1481" t="str">
            <v>42-04-01-00-1473</v>
          </cell>
          <cell r="K1481" t="str">
            <v>42-2307</v>
          </cell>
          <cell r="L1481" t="str">
            <v>42-04-01-00-1473</v>
          </cell>
          <cell r="M1481" t="str">
            <v>Mesa casino 75x120 cms. cubierta formalita crema</v>
          </cell>
          <cell r="O1481" t="str">
            <v>MESAS</v>
          </cell>
          <cell r="P1481">
            <v>35000</v>
          </cell>
          <cell r="T1481" t="str">
            <v>Bueno</v>
          </cell>
          <cell r="U1481" t="str">
            <v>N/T</v>
          </cell>
        </row>
        <row r="1482">
          <cell r="J1482" t="str">
            <v>42-04-01-00-1474</v>
          </cell>
          <cell r="K1482" t="str">
            <v>42-3221</v>
          </cell>
          <cell r="L1482" t="str">
            <v>42-04-01-00-1474</v>
          </cell>
          <cell r="M1482" t="str">
            <v>Mesa casino 75x120 cms. cubierta formalita crema</v>
          </cell>
          <cell r="O1482" t="str">
            <v>MESAS</v>
          </cell>
          <cell r="P1482">
            <v>35000</v>
          </cell>
          <cell r="T1482" t="str">
            <v>Bueno</v>
          </cell>
          <cell r="U1482" t="str">
            <v>N/T</v>
          </cell>
        </row>
        <row r="1483">
          <cell r="J1483" t="str">
            <v>42-04-01-00-1475</v>
          </cell>
          <cell r="K1483" t="str">
            <v>42-2340</v>
          </cell>
          <cell r="L1483" t="str">
            <v>42-04-01-00-1475</v>
          </cell>
          <cell r="M1483" t="str">
            <v>Mesa casino 75x120 cms. cubierta formalita crema</v>
          </cell>
          <cell r="O1483" t="str">
            <v>MESAS</v>
          </cell>
          <cell r="P1483">
            <v>35000</v>
          </cell>
          <cell r="T1483" t="str">
            <v>Bueno</v>
          </cell>
          <cell r="U1483" t="str">
            <v>N/T</v>
          </cell>
        </row>
        <row r="1484">
          <cell r="J1484" t="str">
            <v>42-04-07-00-1476</v>
          </cell>
          <cell r="K1484" t="str">
            <v>42-1398</v>
          </cell>
          <cell r="L1484" t="str">
            <v>42-04-07-00-1476</v>
          </cell>
          <cell r="M1484" t="str">
            <v>Separador de ambiente en alerce pegable de 2,27 de alto 3,60   cms. de ancho de 2 paños</v>
          </cell>
          <cell r="O1484" t="str">
            <v>OTROS</v>
          </cell>
          <cell r="P1484">
            <v>4000</v>
          </cell>
          <cell r="T1484" t="str">
            <v>Bueno</v>
          </cell>
          <cell r="U1484" t="str">
            <v>N/T</v>
          </cell>
        </row>
        <row r="1485">
          <cell r="J1485" t="str">
            <v>42-04-06-00-1477</v>
          </cell>
          <cell r="K1485" t="str">
            <v>42-1495</v>
          </cell>
          <cell r="L1485" t="str">
            <v>42-04-06-00-1477</v>
          </cell>
          <cell r="M1485" t="str">
            <v>Mueble para televisor de madera enchapada con ruedas y división para  vídeo de 69x50x63 cms.</v>
          </cell>
          <cell r="O1485" t="str">
            <v>REPISA</v>
          </cell>
          <cell r="P1485">
            <v>30000</v>
          </cell>
          <cell r="T1485" t="str">
            <v>Bueno</v>
          </cell>
          <cell r="U1485" t="str">
            <v>N/T</v>
          </cell>
        </row>
        <row r="1486">
          <cell r="J1486" t="str">
            <v>42-05-02-05-1478</v>
          </cell>
          <cell r="K1486" t="str">
            <v>42-2792</v>
          </cell>
          <cell r="L1486" t="str">
            <v>42-05-02-05-1478</v>
          </cell>
          <cell r="M1486" t="str">
            <v>Extintor incendio tipo ABC 6 Kgs.</v>
          </cell>
          <cell r="O1486" t="str">
            <v>EQUIPOS DE SEGURIDAD</v>
          </cell>
          <cell r="P1486">
            <v>25000</v>
          </cell>
          <cell r="T1486" t="str">
            <v>Bueno</v>
          </cell>
          <cell r="U1486" t="str">
            <v>N/T</v>
          </cell>
        </row>
        <row r="1487">
          <cell r="J1487" t="str">
            <v>42-05-02-02-1479</v>
          </cell>
          <cell r="K1487" t="str">
            <v>42-1355</v>
          </cell>
          <cell r="L1487" t="str">
            <v>42-05-02-02-1479</v>
          </cell>
          <cell r="M1487" t="str">
            <v>Cocina Fensa 2100 a gas</v>
          </cell>
          <cell r="N1487">
            <v>1</v>
          </cell>
          <cell r="O1487" t="str">
            <v>EQUIPOS DE COCINA</v>
          </cell>
          <cell r="P1487">
            <v>65000</v>
          </cell>
          <cell r="T1487" t="str">
            <v>Bueno</v>
          </cell>
          <cell r="U1487" t="str">
            <v>N/T</v>
          </cell>
        </row>
        <row r="1488">
          <cell r="J1488" t="str">
            <v>42-04-04-00-1480</v>
          </cell>
          <cell r="K1488" t="str">
            <v>42-1356</v>
          </cell>
          <cell r="L1488" t="str">
            <v>42-04-04-00-1480</v>
          </cell>
          <cell r="M1488" t="str">
            <v>Campana extractora marca Fensa Mod. FX-80-1</v>
          </cell>
          <cell r="O1488" t="str">
            <v>MUEBLES DE COCINA</v>
          </cell>
          <cell r="P1488">
            <v>300000</v>
          </cell>
          <cell r="T1488" t="str">
            <v>Bueno</v>
          </cell>
          <cell r="U1488" t="str">
            <v>N/T</v>
          </cell>
        </row>
        <row r="1489">
          <cell r="J1489" t="str">
            <v>42-04-07-00-1481</v>
          </cell>
          <cell r="K1489" t="str">
            <v>42-2310</v>
          </cell>
          <cell r="L1489" t="str">
            <v>42-04-07-00-1481</v>
          </cell>
          <cell r="M1489" t="str">
            <v>Calefont marca Mademsa</v>
          </cell>
          <cell r="N1489">
            <v>1</v>
          </cell>
          <cell r="O1489" t="str">
            <v>OTROS</v>
          </cell>
          <cell r="P1489">
            <v>50000</v>
          </cell>
          <cell r="T1489" t="str">
            <v>Bueno</v>
          </cell>
          <cell r="U1489" t="str">
            <v>N/T</v>
          </cell>
        </row>
        <row r="1490">
          <cell r="J1490" t="str">
            <v>42-04-04-00-1482</v>
          </cell>
          <cell r="K1490" t="str">
            <v>42-887</v>
          </cell>
          <cell r="L1490" t="str">
            <v>42-04-04-00-1482</v>
          </cell>
          <cell r="M1490" t="str">
            <v>Lavaplatos acero inoxidable con mueble de cholguan, 5 cajones, 2 puertas  143x52x89 cms.</v>
          </cell>
          <cell r="O1490" t="str">
            <v>MUEBLES DE COCINA</v>
          </cell>
          <cell r="P1490">
            <v>200000</v>
          </cell>
          <cell r="T1490" t="str">
            <v>Bueno</v>
          </cell>
          <cell r="U1490" t="str">
            <v>N/T</v>
          </cell>
        </row>
        <row r="1491">
          <cell r="J1491" t="str">
            <v>42-04-04-00-1483</v>
          </cell>
          <cell r="K1491" t="str">
            <v>42-1220</v>
          </cell>
          <cell r="L1491" t="str">
            <v>42-04-04-00-1483</v>
          </cell>
          <cell r="M1491" t="str">
            <v>Mueble para microondas en maciza blanco de 45  ½ x 50x87 cms. 1 puerta</v>
          </cell>
          <cell r="O1491" t="str">
            <v>MUEBLES DE COCINA</v>
          </cell>
          <cell r="P1491">
            <v>25000</v>
          </cell>
          <cell r="T1491" t="str">
            <v>Bueno</v>
          </cell>
          <cell r="U1491" t="str">
            <v>N/T</v>
          </cell>
        </row>
        <row r="1492">
          <cell r="J1492" t="str">
            <v>42-05-02-07-1484</v>
          </cell>
          <cell r="K1492" t="str">
            <v>42-1270</v>
          </cell>
          <cell r="L1492" t="str">
            <v>42-05-02-07-1484</v>
          </cell>
          <cell r="M1492" t="str">
            <v>Mesa Sound Tech Mod. 4150 Powered Mixer S/Nº K94081415</v>
          </cell>
          <cell r="N1492">
            <v>1</v>
          </cell>
          <cell r="O1492" t="str">
            <v>EQUIPOS DE AUDIO</v>
          </cell>
          <cell r="P1492">
            <v>10000</v>
          </cell>
          <cell r="T1492" t="str">
            <v>Bueno</v>
          </cell>
          <cell r="U1492" t="str">
            <v>N/T</v>
          </cell>
        </row>
        <row r="1493">
          <cell r="J1493" t="str">
            <v>42-05-02-07-1485</v>
          </cell>
          <cell r="K1493" t="str">
            <v>42-1271</v>
          </cell>
          <cell r="L1493" t="str">
            <v>42-05-02-07-1485</v>
          </cell>
          <cell r="M1493" t="str">
            <v>Caja Sound Tech Mod. B-2 96610</v>
          </cell>
          <cell r="N1493">
            <v>1</v>
          </cell>
          <cell r="O1493" t="str">
            <v>EQUIPOS DE AUDIO</v>
          </cell>
          <cell r="P1493">
            <v>30000</v>
          </cell>
          <cell r="T1493" t="str">
            <v>Bueno</v>
          </cell>
          <cell r="U1493" t="str">
            <v>N/T</v>
          </cell>
        </row>
        <row r="1494">
          <cell r="J1494" t="str">
            <v>42-05-02-07-1486</v>
          </cell>
          <cell r="K1494" t="str">
            <v>42-1272</v>
          </cell>
          <cell r="L1494" t="str">
            <v>42-05-02-07-1486</v>
          </cell>
          <cell r="M1494" t="str">
            <v>Caja Sound Tech Mod. B-2 96610</v>
          </cell>
          <cell r="N1494">
            <v>1</v>
          </cell>
          <cell r="O1494" t="str">
            <v>EQUIPOS DE AUDIO</v>
          </cell>
          <cell r="P1494">
            <v>30000</v>
          </cell>
          <cell r="T1494" t="str">
            <v>Bueno</v>
          </cell>
          <cell r="U1494" t="str">
            <v>N/T</v>
          </cell>
        </row>
        <row r="1495">
          <cell r="J1495" t="str">
            <v>42-05-02-07-1487</v>
          </cell>
          <cell r="K1495" t="str">
            <v>42-1273</v>
          </cell>
          <cell r="L1495" t="str">
            <v>42-05-02-07-1487</v>
          </cell>
          <cell r="M1495" t="str">
            <v>Micrófono Peavey Mod. PVI con cable 30 metros de cable y 6 conectores</v>
          </cell>
          <cell r="N1495">
            <v>1</v>
          </cell>
          <cell r="O1495" t="str">
            <v>EQUIPOS DE AUDIO</v>
          </cell>
          <cell r="P1495">
            <v>15000</v>
          </cell>
          <cell r="T1495" t="str">
            <v>Bueno</v>
          </cell>
          <cell r="U1495" t="str">
            <v>N/T</v>
          </cell>
        </row>
        <row r="1496">
          <cell r="J1496" t="str">
            <v>42-05-01-01-1488</v>
          </cell>
          <cell r="K1496" t="str">
            <v>42-3279</v>
          </cell>
          <cell r="L1496" t="str">
            <v>42-05-01-01-1488</v>
          </cell>
          <cell r="M1496" t="str">
            <v>Telón Tecnodata</v>
          </cell>
          <cell r="O1496" t="str">
            <v>EQUIPO DE OFICINA</v>
          </cell>
          <cell r="P1496">
            <v>30000</v>
          </cell>
          <cell r="T1496" t="str">
            <v>Bueno</v>
          </cell>
          <cell r="U1496" t="str">
            <v>N/T</v>
          </cell>
        </row>
        <row r="1497">
          <cell r="J1497" t="str">
            <v>42-05-01-01-1489</v>
          </cell>
          <cell r="K1497" t="str">
            <v>42-1403</v>
          </cell>
          <cell r="L1497" t="str">
            <v>42-05-01-01-1489</v>
          </cell>
          <cell r="M1497" t="str">
            <v>Televisor a color marca Sony de 21” con control remoto, Mod. 21 SE 40</v>
          </cell>
          <cell r="O1497" t="str">
            <v>EQUIPO DE OFICINA</v>
          </cell>
          <cell r="P1497">
            <v>50000</v>
          </cell>
          <cell r="T1497" t="str">
            <v>Bueno</v>
          </cell>
          <cell r="U1497" t="str">
            <v>N/T</v>
          </cell>
        </row>
        <row r="1498">
          <cell r="J1498" t="str">
            <v>42-05-01-01-1490</v>
          </cell>
          <cell r="K1498" t="str">
            <v>42-1296</v>
          </cell>
          <cell r="L1498" t="str">
            <v>42-05-01-01-1490</v>
          </cell>
          <cell r="M1498" t="str">
            <v>Retroproyectora de diapositivas Braun Novamat 515 AF S/Nº 05669307</v>
          </cell>
          <cell r="O1498" t="str">
            <v>EQUIPO DE OFICINA</v>
          </cell>
          <cell r="P1498">
            <v>300000</v>
          </cell>
          <cell r="T1498" t="str">
            <v>Bueno</v>
          </cell>
          <cell r="U1498" t="str">
            <v>N/T</v>
          </cell>
        </row>
        <row r="1499">
          <cell r="J1499" t="str">
            <v>42-04-02-00-1491</v>
          </cell>
          <cell r="K1499" t="str">
            <v>42-1686</v>
          </cell>
          <cell r="L1499" t="str">
            <v>42-04-02-00-1491</v>
          </cell>
          <cell r="M1499" t="str">
            <v>Silla universitaria con aleta, tapiz café</v>
          </cell>
          <cell r="O1499" t="str">
            <v>SILLAS</v>
          </cell>
          <cell r="P1499">
            <v>20000</v>
          </cell>
          <cell r="T1499" t="str">
            <v>Bueno</v>
          </cell>
          <cell r="U1499" t="str">
            <v>N/T</v>
          </cell>
        </row>
        <row r="1500">
          <cell r="J1500" t="str">
            <v>42-04-02-00-1492</v>
          </cell>
          <cell r="K1500" t="str">
            <v>42-1687</v>
          </cell>
          <cell r="L1500" t="str">
            <v>42-04-02-00-1492</v>
          </cell>
          <cell r="M1500" t="str">
            <v>Silla universitaria con aleta, tapiz café</v>
          </cell>
          <cell r="O1500" t="str">
            <v>SILLAS</v>
          </cell>
          <cell r="P1500">
            <v>20000</v>
          </cell>
          <cell r="T1500" t="str">
            <v>Bueno</v>
          </cell>
          <cell r="U1500" t="str">
            <v>N/T</v>
          </cell>
        </row>
        <row r="1501">
          <cell r="J1501" t="str">
            <v>42-04-02-00-1493</v>
          </cell>
          <cell r="K1501" t="str">
            <v>42-1688</v>
          </cell>
          <cell r="L1501" t="str">
            <v>42-04-02-00-1493</v>
          </cell>
          <cell r="M1501" t="str">
            <v>Silla universitaria con aleta, tapiz café</v>
          </cell>
          <cell r="O1501" t="str">
            <v>SILLAS</v>
          </cell>
          <cell r="P1501">
            <v>20000</v>
          </cell>
          <cell r="T1501" t="str">
            <v>Bueno</v>
          </cell>
          <cell r="U1501" t="str">
            <v>N/T</v>
          </cell>
        </row>
        <row r="1502">
          <cell r="J1502" t="str">
            <v>42-04-02-00-1494</v>
          </cell>
          <cell r="K1502" t="str">
            <v>42-1689</v>
          </cell>
          <cell r="L1502" t="str">
            <v>42-04-02-00-1494</v>
          </cell>
          <cell r="M1502" t="str">
            <v>Silla universitaria con aleta, tapiz café</v>
          </cell>
          <cell r="O1502" t="str">
            <v>SILLAS</v>
          </cell>
          <cell r="P1502">
            <v>20000</v>
          </cell>
          <cell r="T1502" t="str">
            <v>Bueno</v>
          </cell>
          <cell r="U1502" t="str">
            <v>N/T</v>
          </cell>
        </row>
        <row r="1503">
          <cell r="J1503" t="str">
            <v>42-04-02-00-1495</v>
          </cell>
          <cell r="K1503" t="str">
            <v>42-1690</v>
          </cell>
          <cell r="L1503" t="str">
            <v>42-04-02-00-1495</v>
          </cell>
          <cell r="M1503" t="str">
            <v>Silla universitaria con aleta, tapiz café</v>
          </cell>
          <cell r="O1503" t="str">
            <v>SILLAS</v>
          </cell>
          <cell r="P1503">
            <v>20000</v>
          </cell>
          <cell r="T1503" t="str">
            <v>Bueno</v>
          </cell>
          <cell r="U1503" t="str">
            <v>N/T</v>
          </cell>
        </row>
        <row r="1504">
          <cell r="J1504" t="str">
            <v>42-04-02-00-1496</v>
          </cell>
          <cell r="K1504" t="str">
            <v>42-1691</v>
          </cell>
          <cell r="L1504" t="str">
            <v>42-04-02-00-1496</v>
          </cell>
          <cell r="M1504" t="str">
            <v>Silla universitaria con aleta, tapiz café</v>
          </cell>
          <cell r="O1504" t="str">
            <v>SILLAS</v>
          </cell>
          <cell r="P1504">
            <v>20000</v>
          </cell>
          <cell r="T1504" t="str">
            <v>Bueno</v>
          </cell>
          <cell r="U1504" t="str">
            <v>N/T</v>
          </cell>
        </row>
        <row r="1505">
          <cell r="J1505" t="str">
            <v>42-04-02-00-1497</v>
          </cell>
          <cell r="K1505" t="str">
            <v>42-1692</v>
          </cell>
          <cell r="L1505" t="str">
            <v>42-04-02-00-1497</v>
          </cell>
          <cell r="M1505" t="str">
            <v>Silla universitaria con aleta, tapiz café</v>
          </cell>
          <cell r="O1505" t="str">
            <v>SILLAS</v>
          </cell>
          <cell r="P1505">
            <v>20000</v>
          </cell>
          <cell r="T1505" t="str">
            <v>Bueno</v>
          </cell>
          <cell r="U1505" t="str">
            <v>N/T</v>
          </cell>
        </row>
        <row r="1506">
          <cell r="J1506" t="str">
            <v>42-04-02-00-1498</v>
          </cell>
          <cell r="K1506" t="str">
            <v>42-1693</v>
          </cell>
          <cell r="L1506" t="str">
            <v>42-04-02-00-1498</v>
          </cell>
          <cell r="M1506" t="str">
            <v>Silla universitaria con aleta, tapiz café</v>
          </cell>
          <cell r="O1506" t="str">
            <v>SILLAS</v>
          </cell>
          <cell r="P1506">
            <v>20000</v>
          </cell>
          <cell r="T1506" t="str">
            <v>Bueno</v>
          </cell>
          <cell r="U1506" t="str">
            <v>N/T</v>
          </cell>
        </row>
        <row r="1507">
          <cell r="J1507" t="str">
            <v>42-04-02-00-1499</v>
          </cell>
          <cell r="K1507" t="str">
            <v>42-1694</v>
          </cell>
          <cell r="L1507" t="str">
            <v>42-04-02-00-1499</v>
          </cell>
          <cell r="M1507" t="str">
            <v>Silla universitaria con aleta, tapiz café</v>
          </cell>
          <cell r="O1507" t="str">
            <v>SILLAS</v>
          </cell>
          <cell r="P1507">
            <v>20000</v>
          </cell>
          <cell r="T1507" t="str">
            <v>Bueno</v>
          </cell>
          <cell r="U1507" t="str">
            <v>N/T</v>
          </cell>
        </row>
        <row r="1508">
          <cell r="J1508" t="str">
            <v>42-04-02-00-1500</v>
          </cell>
          <cell r="K1508" t="str">
            <v>42-1695</v>
          </cell>
          <cell r="L1508" t="str">
            <v>42-04-02-00-1500</v>
          </cell>
          <cell r="M1508" t="str">
            <v>Silla universitaria con aleta, tapiz café</v>
          </cell>
          <cell r="O1508" t="str">
            <v>SILLAS</v>
          </cell>
          <cell r="P1508">
            <v>20000</v>
          </cell>
          <cell r="T1508" t="str">
            <v>Bueno</v>
          </cell>
          <cell r="U1508" t="str">
            <v>N/T</v>
          </cell>
        </row>
        <row r="1509">
          <cell r="J1509" t="str">
            <v>42-04-02-00-1501</v>
          </cell>
          <cell r="K1509" t="str">
            <v>42-1696</v>
          </cell>
          <cell r="L1509" t="str">
            <v>42-04-02-00-1501</v>
          </cell>
          <cell r="M1509" t="str">
            <v>Silla universitaria con aleta, tapiz café</v>
          </cell>
          <cell r="O1509" t="str">
            <v>SILLAS</v>
          </cell>
          <cell r="P1509">
            <v>20000</v>
          </cell>
          <cell r="T1509" t="str">
            <v>Bueno</v>
          </cell>
          <cell r="U1509" t="str">
            <v>N/T</v>
          </cell>
        </row>
        <row r="1510">
          <cell r="J1510" t="str">
            <v>42-04-02-00-1502</v>
          </cell>
          <cell r="K1510" t="str">
            <v>42-1697</v>
          </cell>
          <cell r="L1510" t="str">
            <v>42-04-02-00-1502</v>
          </cell>
          <cell r="M1510" t="str">
            <v>Silla universitaria con aleta, tapiz café</v>
          </cell>
          <cell r="O1510" t="str">
            <v>SILLAS</v>
          </cell>
          <cell r="P1510">
            <v>20000</v>
          </cell>
          <cell r="T1510" t="str">
            <v>Bueno</v>
          </cell>
          <cell r="U1510" t="str">
            <v>N/T</v>
          </cell>
        </row>
        <row r="1511">
          <cell r="J1511" t="str">
            <v>42-04-02-00-1503</v>
          </cell>
          <cell r="K1511" t="str">
            <v>42-1698</v>
          </cell>
          <cell r="L1511" t="str">
            <v>42-04-02-00-1503</v>
          </cell>
          <cell r="M1511" t="str">
            <v>Silla universitaria con aleta, tapiz café</v>
          </cell>
          <cell r="O1511" t="str">
            <v>SILLAS</v>
          </cell>
          <cell r="P1511">
            <v>20000</v>
          </cell>
          <cell r="T1511" t="str">
            <v>Bueno</v>
          </cell>
          <cell r="U1511" t="str">
            <v>N/T</v>
          </cell>
        </row>
        <row r="1512">
          <cell r="J1512" t="str">
            <v>42-04-02-00-1504</v>
          </cell>
          <cell r="K1512" t="str">
            <v>42-1699</v>
          </cell>
          <cell r="L1512" t="str">
            <v>42-04-02-00-1504</v>
          </cell>
          <cell r="M1512" t="str">
            <v>Silla universitaria con aleta, tapiz café</v>
          </cell>
          <cell r="O1512" t="str">
            <v>SILLAS</v>
          </cell>
          <cell r="P1512">
            <v>20000</v>
          </cell>
          <cell r="T1512" t="str">
            <v>Bueno</v>
          </cell>
          <cell r="U1512" t="str">
            <v>N/T</v>
          </cell>
        </row>
        <row r="1513">
          <cell r="J1513" t="str">
            <v>42-04-02-00-1505</v>
          </cell>
          <cell r="K1513" t="str">
            <v>42-1700</v>
          </cell>
          <cell r="L1513" t="str">
            <v>42-04-02-00-1505</v>
          </cell>
          <cell r="M1513" t="str">
            <v>Silla universitaria con aleta, tapiz café</v>
          </cell>
          <cell r="O1513" t="str">
            <v>SILLAS</v>
          </cell>
          <cell r="P1513">
            <v>20000</v>
          </cell>
          <cell r="T1513" t="str">
            <v>Bueno</v>
          </cell>
          <cell r="U1513" t="str">
            <v>N/T</v>
          </cell>
        </row>
        <row r="1514">
          <cell r="J1514" t="str">
            <v>42-04-02-00-1506</v>
          </cell>
          <cell r="K1514" t="str">
            <v>42-1701</v>
          </cell>
          <cell r="L1514" t="str">
            <v>42-04-02-00-1506</v>
          </cell>
          <cell r="M1514" t="str">
            <v>Silla universitaria con aleta, tapiz café</v>
          </cell>
          <cell r="O1514" t="str">
            <v>SILLAS</v>
          </cell>
          <cell r="P1514">
            <v>20000</v>
          </cell>
          <cell r="T1514" t="str">
            <v>Bueno</v>
          </cell>
          <cell r="U1514" t="str">
            <v>N/T</v>
          </cell>
        </row>
        <row r="1515">
          <cell r="J1515" t="str">
            <v>42-04-02-00-1507</v>
          </cell>
          <cell r="K1515" t="str">
            <v>42-1702</v>
          </cell>
          <cell r="L1515" t="str">
            <v>42-04-02-00-1507</v>
          </cell>
          <cell r="M1515" t="str">
            <v>Silla universitaria con aleta, tapiz café</v>
          </cell>
          <cell r="O1515" t="str">
            <v>SILLAS</v>
          </cell>
          <cell r="P1515">
            <v>20000</v>
          </cell>
          <cell r="T1515" t="str">
            <v>Bueno</v>
          </cell>
          <cell r="U1515" t="str">
            <v>N/T</v>
          </cell>
        </row>
        <row r="1516">
          <cell r="J1516" t="str">
            <v>42-04-02-00-1508</v>
          </cell>
          <cell r="K1516" t="str">
            <v>42-1703</v>
          </cell>
          <cell r="L1516" t="str">
            <v>42-04-02-00-1508</v>
          </cell>
          <cell r="M1516" t="str">
            <v>Silla universitaria con aleta, tapiz café</v>
          </cell>
          <cell r="O1516" t="str">
            <v>SILLAS</v>
          </cell>
          <cell r="P1516">
            <v>20000</v>
          </cell>
          <cell r="T1516" t="str">
            <v>Malo</v>
          </cell>
          <cell r="U1516" t="str">
            <v>N/T</v>
          </cell>
        </row>
        <row r="1517">
          <cell r="J1517" t="str">
            <v>42-04-02-00-1509</v>
          </cell>
          <cell r="K1517" t="str">
            <v>42-1704</v>
          </cell>
          <cell r="L1517" t="str">
            <v>42-04-02-00-1509</v>
          </cell>
          <cell r="M1517" t="str">
            <v>Silla universitaria con aleta, tapiz café</v>
          </cell>
          <cell r="O1517" t="str">
            <v>SILLAS</v>
          </cell>
          <cell r="P1517">
            <v>20000</v>
          </cell>
          <cell r="T1517" t="str">
            <v>Bueno</v>
          </cell>
          <cell r="U1517" t="str">
            <v>N/T</v>
          </cell>
        </row>
        <row r="1518">
          <cell r="J1518" t="str">
            <v>42-04-02-00-1510</v>
          </cell>
          <cell r="K1518" t="str">
            <v>42-1705</v>
          </cell>
          <cell r="L1518" t="str">
            <v>42-04-02-00-1510</v>
          </cell>
          <cell r="M1518" t="str">
            <v>Silla universitaria con aleta, tapiz café</v>
          </cell>
          <cell r="O1518" t="str">
            <v>SILLAS</v>
          </cell>
          <cell r="P1518">
            <v>20000</v>
          </cell>
          <cell r="T1518" t="str">
            <v>Bueno</v>
          </cell>
          <cell r="U1518" t="str">
            <v>N/T</v>
          </cell>
        </row>
        <row r="1519">
          <cell r="J1519" t="str">
            <v>42-04-07-00-1511</v>
          </cell>
          <cell r="K1519" t="str">
            <v>42-946</v>
          </cell>
          <cell r="L1519" t="str">
            <v>42-04-07-00-1511</v>
          </cell>
          <cell r="M1519" t="str">
            <v>Caldera a vapor de mediana presión Mod. Kewannee</v>
          </cell>
          <cell r="N1519">
            <v>1</v>
          </cell>
          <cell r="O1519" t="str">
            <v>OTROS</v>
          </cell>
          <cell r="P1519">
            <v>5000000</v>
          </cell>
          <cell r="T1519" t="str">
            <v>Bueno</v>
          </cell>
          <cell r="U1519" t="str">
            <v>N/T</v>
          </cell>
        </row>
        <row r="1520">
          <cell r="J1520" t="str">
            <v>42-05-02-02-1512</v>
          </cell>
          <cell r="K1520" t="str">
            <v>42-948</v>
          </cell>
          <cell r="L1520" t="str">
            <v>42-05-02-02-1512</v>
          </cell>
          <cell r="M1520" t="str">
            <v>Estanque grande de agua caliente</v>
          </cell>
          <cell r="N1520">
            <v>1</v>
          </cell>
          <cell r="O1520" t="str">
            <v>EQUIPOS DE COCINA</v>
          </cell>
          <cell r="P1520">
            <v>700000</v>
          </cell>
          <cell r="T1520" t="str">
            <v>Bueno</v>
          </cell>
          <cell r="U1520" t="str">
            <v>N/T</v>
          </cell>
        </row>
        <row r="1521">
          <cell r="J1521" t="str">
            <v>42-05-02-02-1513</v>
          </cell>
          <cell r="K1521" t="str">
            <v>42-948B</v>
          </cell>
          <cell r="L1521" t="str">
            <v>42-05-02-02-1513</v>
          </cell>
          <cell r="M1521" t="str">
            <v>Estanque calefacción</v>
          </cell>
          <cell r="N1521">
            <v>1</v>
          </cell>
          <cell r="O1521" t="str">
            <v>EQUIPOS DE COCINA</v>
          </cell>
          <cell r="P1521">
            <v>700000</v>
          </cell>
          <cell r="T1521" t="str">
            <v>Bueno</v>
          </cell>
          <cell r="U1521" t="str">
            <v>N/T</v>
          </cell>
        </row>
        <row r="1522">
          <cell r="J1522" t="str">
            <v>42-05-02-02-1514</v>
          </cell>
          <cell r="K1522" t="str">
            <v>42-2718</v>
          </cell>
          <cell r="L1522" t="str">
            <v>42-05-02-02-1514</v>
          </cell>
          <cell r="M1522" t="str">
            <v>Estanque expansión alimentación agua</v>
          </cell>
          <cell r="N1522">
            <v>1</v>
          </cell>
          <cell r="O1522" t="str">
            <v>EQUIPOS DE COCINA</v>
          </cell>
          <cell r="P1522">
            <v>680000</v>
          </cell>
          <cell r="T1522" t="str">
            <v>Bueno</v>
          </cell>
          <cell r="U1522" t="str">
            <v>N/T</v>
          </cell>
        </row>
        <row r="1523">
          <cell r="J1523" t="str">
            <v>42-05-02-02-1515</v>
          </cell>
          <cell r="K1523" t="str">
            <v>42-2719</v>
          </cell>
          <cell r="L1523" t="str">
            <v>42-05-02-02-1515</v>
          </cell>
          <cell r="M1523" t="str">
            <v>Estanque alimentación red agua</v>
          </cell>
          <cell r="N1523">
            <v>1</v>
          </cell>
          <cell r="O1523" t="str">
            <v>EQUIPOS DE COCINA</v>
          </cell>
          <cell r="P1523">
            <v>550000</v>
          </cell>
          <cell r="T1523" t="str">
            <v>Bueno</v>
          </cell>
          <cell r="U1523" t="str">
            <v>N/T</v>
          </cell>
        </row>
        <row r="1524">
          <cell r="J1524" t="str">
            <v>42-05-02-05-1516</v>
          </cell>
          <cell r="K1524" t="str">
            <v>42-3182</v>
          </cell>
          <cell r="L1524" t="str">
            <v>42-05-02-05-1516</v>
          </cell>
          <cell r="M1524" t="str">
            <v>Estanque almacenamiento de petróleo 12.000 Lts.</v>
          </cell>
          <cell r="N1524">
            <v>1</v>
          </cell>
          <cell r="O1524" t="str">
            <v>EQUIPOS DE SEGURIDAD</v>
          </cell>
          <cell r="P1524">
            <v>550000</v>
          </cell>
          <cell r="T1524" t="str">
            <v>Bueno</v>
          </cell>
          <cell r="U1524" t="str">
            <v>N/T</v>
          </cell>
        </row>
        <row r="1525">
          <cell r="J1525" t="str">
            <v>42-04-07-00-1517</v>
          </cell>
          <cell r="K1525" t="str">
            <v>42-2227</v>
          </cell>
          <cell r="L1525" t="str">
            <v>42-04-07-00-1517</v>
          </cell>
          <cell r="M1525" t="str">
            <v>Caldera petroleo marca I Var Riello mediana presión</v>
          </cell>
          <cell r="N1525">
            <v>1</v>
          </cell>
          <cell r="O1525" t="str">
            <v>OTROS</v>
          </cell>
          <cell r="P1525">
            <v>400000</v>
          </cell>
          <cell r="T1525" t="str">
            <v>Bueno</v>
          </cell>
          <cell r="U1525" t="str">
            <v>N/T</v>
          </cell>
        </row>
        <row r="1526">
          <cell r="J1526" t="str">
            <v>42-04-07-00-1518</v>
          </cell>
          <cell r="K1526" t="str">
            <v>42-3181</v>
          </cell>
          <cell r="L1526" t="str">
            <v>42-04-07-00-1518</v>
          </cell>
          <cell r="M1526" t="str">
            <v>Tanque de purgas</v>
          </cell>
          <cell r="N1526">
            <v>1</v>
          </cell>
          <cell r="O1526" t="str">
            <v>OTROS</v>
          </cell>
          <cell r="P1526">
            <v>202300</v>
          </cell>
          <cell r="T1526" t="str">
            <v>Bueno</v>
          </cell>
          <cell r="U1526" t="str">
            <v>N/T</v>
          </cell>
        </row>
        <row r="1527">
          <cell r="J1527" t="str">
            <v>42-04-07-00-1519</v>
          </cell>
          <cell r="K1527" t="str">
            <v>42-2228</v>
          </cell>
          <cell r="L1527" t="str">
            <v>42-04-07-00-1519</v>
          </cell>
          <cell r="M1527" t="str">
            <v>Tanque pre calentador a petroleo con 2 bombas</v>
          </cell>
          <cell r="N1527">
            <v>1</v>
          </cell>
          <cell r="O1527" t="str">
            <v>OTROS</v>
          </cell>
          <cell r="P1527">
            <v>150000</v>
          </cell>
          <cell r="T1527" t="str">
            <v>Bueno</v>
          </cell>
          <cell r="U1527" t="str">
            <v>N/T</v>
          </cell>
        </row>
        <row r="1528">
          <cell r="J1528" t="str">
            <v>42-04-01-00-1520</v>
          </cell>
          <cell r="K1528" t="str">
            <v>42-1168</v>
          </cell>
          <cell r="L1528" t="str">
            <v>42-04-01-00-1520</v>
          </cell>
          <cell r="M1528" t="str">
            <v>Mesa de madera cubierta de formalita blanca 80x84x79 cms.</v>
          </cell>
          <cell r="O1528" t="str">
            <v>MESAS</v>
          </cell>
          <cell r="P1528">
            <v>35550</v>
          </cell>
          <cell r="T1528" t="str">
            <v>Bueno</v>
          </cell>
          <cell r="U1528" t="str">
            <v>N/T</v>
          </cell>
        </row>
        <row r="1529">
          <cell r="J1529" t="str">
            <v>42-04-07-00-1521</v>
          </cell>
          <cell r="K1529" t="str">
            <v>42-954B</v>
          </cell>
          <cell r="L1529" t="str">
            <v>42-04-07-00-1521</v>
          </cell>
          <cell r="M1529" t="str">
            <v>Escalera chica de madera natural</v>
          </cell>
          <cell r="O1529" t="str">
            <v>OTROS</v>
          </cell>
          <cell r="P1529">
            <v>35212</v>
          </cell>
          <cell r="T1529" t="str">
            <v>Bueno</v>
          </cell>
          <cell r="U1529" t="str">
            <v>N/T</v>
          </cell>
        </row>
        <row r="1530">
          <cell r="J1530" t="str">
            <v>42-04-07-00-1522</v>
          </cell>
          <cell r="K1530" t="str">
            <v>42-961</v>
          </cell>
          <cell r="L1530" t="str">
            <v>42-04-07-00-1522</v>
          </cell>
          <cell r="M1530" t="str">
            <v>Loker metálico verde-plomo marca  Mindugar</v>
          </cell>
          <cell r="O1530" t="str">
            <v>OTROS</v>
          </cell>
          <cell r="P1530">
            <v>37700</v>
          </cell>
          <cell r="T1530" t="str">
            <v>Bueno</v>
          </cell>
          <cell r="U1530" t="str">
            <v>N/T</v>
          </cell>
        </row>
        <row r="1531">
          <cell r="J1531" t="str">
            <v>42-04-07-00-1523</v>
          </cell>
          <cell r="K1531" t="str">
            <v>42-962</v>
          </cell>
          <cell r="L1531" t="str">
            <v>42-04-07-00-1523</v>
          </cell>
          <cell r="M1531" t="str">
            <v>Loker metálico verde-plomo marca  Mindugar</v>
          </cell>
          <cell r="O1531" t="str">
            <v>OTROS</v>
          </cell>
          <cell r="P1531">
            <v>37700</v>
          </cell>
          <cell r="T1531" t="str">
            <v>Bueno</v>
          </cell>
          <cell r="U1531" t="str">
            <v>N/T</v>
          </cell>
        </row>
        <row r="1532">
          <cell r="J1532" t="str">
            <v>42-04-07-00-1524</v>
          </cell>
          <cell r="K1532" t="str">
            <v>42-963</v>
          </cell>
          <cell r="L1532" t="str">
            <v>42-04-07-00-1524</v>
          </cell>
          <cell r="M1532" t="str">
            <v>Loker metálico verde-plomo marca  Mindugar</v>
          </cell>
          <cell r="O1532" t="str">
            <v>OTROS</v>
          </cell>
          <cell r="P1532">
            <v>37700</v>
          </cell>
          <cell r="T1532" t="str">
            <v>Bueno</v>
          </cell>
          <cell r="U1532" t="str">
            <v>N/T</v>
          </cell>
        </row>
        <row r="1533">
          <cell r="J1533" t="str">
            <v>42-05-02-05-1525</v>
          </cell>
          <cell r="K1533" t="str">
            <v>42-2229</v>
          </cell>
          <cell r="L1533" t="str">
            <v>42-05-02-05-1525</v>
          </cell>
          <cell r="M1533" t="str">
            <v>Extintor incendio tipo ABC 10 Kg.</v>
          </cell>
          <cell r="O1533" t="str">
            <v>EQUIPOS DE SEGURIDAD</v>
          </cell>
          <cell r="P1533">
            <v>28900</v>
          </cell>
          <cell r="T1533" t="str">
            <v>Bueno</v>
          </cell>
          <cell r="U1533" t="str">
            <v>N/T</v>
          </cell>
        </row>
        <row r="1534">
          <cell r="J1534" t="str">
            <v>42-04-07-00-1526</v>
          </cell>
          <cell r="K1534" t="str">
            <v>42-1674</v>
          </cell>
          <cell r="L1534" t="str">
            <v>42-04-07-00-1526</v>
          </cell>
          <cell r="M1534" t="str">
            <v xml:space="preserve">Diván cama 1 1/2 plaza, oregón, 5 cajones con llave, un cubrecama,      2 frazadas, 2 cabeceras.                           </v>
          </cell>
          <cell r="O1534" t="str">
            <v>OTROS</v>
          </cell>
          <cell r="P1534">
            <v>202300</v>
          </cell>
          <cell r="T1534" t="str">
            <v>Bueno</v>
          </cell>
          <cell r="U1534" t="str">
            <v>N/T</v>
          </cell>
        </row>
        <row r="1535">
          <cell r="J1535" t="str">
            <v>42-04-06-00-1527</v>
          </cell>
          <cell r="K1535" t="str">
            <v>42-1677</v>
          </cell>
          <cell r="L1535" t="str">
            <v>42-04-06-00-1527</v>
          </cell>
          <cell r="M1535" t="str">
            <v>Mueble de televisor 80x75x50 cms.</v>
          </cell>
          <cell r="O1535" t="str">
            <v>REPISA</v>
          </cell>
          <cell r="P1535">
            <v>130000</v>
          </cell>
          <cell r="T1535" t="str">
            <v>Bueno</v>
          </cell>
          <cell r="U1535" t="str">
            <v>N/T</v>
          </cell>
        </row>
        <row r="1536">
          <cell r="J1536" t="str">
            <v>42-04-02-00-1528</v>
          </cell>
          <cell r="K1536" t="str">
            <v>42-2341</v>
          </cell>
          <cell r="L1536" t="str">
            <v>42-04-02-00-1528</v>
          </cell>
          <cell r="M1536" t="str">
            <v>Silla para casino, metálica asiento y respaldo de formalita</v>
          </cell>
          <cell r="O1536" t="str">
            <v>SILLAS</v>
          </cell>
          <cell r="P1536">
            <v>17850</v>
          </cell>
          <cell r="T1536" t="str">
            <v>Bueno</v>
          </cell>
          <cell r="U1536" t="str">
            <v>N/T</v>
          </cell>
        </row>
        <row r="1537">
          <cell r="J1537" t="str">
            <v>42-04-02-00-1529</v>
          </cell>
          <cell r="K1537" t="str">
            <v>42-1546</v>
          </cell>
          <cell r="L1537" t="str">
            <v>42-04-02-00-1529</v>
          </cell>
          <cell r="M1537" t="str">
            <v xml:space="preserve">Silla para casino, metálica, asiento y respaldo de formalita         </v>
          </cell>
          <cell r="O1537" t="str">
            <v>SILLAS</v>
          </cell>
          <cell r="P1537">
            <v>17850</v>
          </cell>
          <cell r="T1537" t="str">
            <v>Bueno</v>
          </cell>
          <cell r="U1537" t="str">
            <v>N/T</v>
          </cell>
        </row>
        <row r="1538">
          <cell r="J1538" t="str">
            <v>42-04-06-00-1530</v>
          </cell>
          <cell r="K1538" t="str">
            <v>42-2230</v>
          </cell>
          <cell r="L1538" t="str">
            <v>42-04-06-00-1530</v>
          </cell>
          <cell r="M1538" t="str">
            <v>Mueble de pared madera enchapada, 2 puertas con llave</v>
          </cell>
          <cell r="O1538" t="str">
            <v>REPISA</v>
          </cell>
          <cell r="P1538">
            <v>114000</v>
          </cell>
          <cell r="T1538" t="str">
            <v>Bueno</v>
          </cell>
          <cell r="U1538" t="str">
            <v>N/T</v>
          </cell>
        </row>
        <row r="1539">
          <cell r="J1539" t="str">
            <v>42-04-07-00-1531</v>
          </cell>
          <cell r="K1539" t="str">
            <v>42-2231</v>
          </cell>
          <cell r="L1539" t="str">
            <v>42-04-07-00-1531</v>
          </cell>
          <cell r="M1539" t="str">
            <v>Lampara gas c/ galón 15 Kg.</v>
          </cell>
          <cell r="O1539" t="str">
            <v>OTROS</v>
          </cell>
          <cell r="P1539">
            <v>30000</v>
          </cell>
          <cell r="T1539" t="str">
            <v>Bueno</v>
          </cell>
          <cell r="U1539" t="str">
            <v>N/T</v>
          </cell>
        </row>
        <row r="1540">
          <cell r="J1540" t="str">
            <v>42-04-06-00-1532</v>
          </cell>
          <cell r="K1540" t="str">
            <v>42-2232</v>
          </cell>
          <cell r="L1540" t="str">
            <v>42-04-06-00-1532</v>
          </cell>
          <cell r="M1540" t="str">
            <v>Repisa blanca con soporte metálico 70 x 25 cms.</v>
          </cell>
          <cell r="O1540" t="str">
            <v>REPISA</v>
          </cell>
          <cell r="P1540">
            <v>85161</v>
          </cell>
          <cell r="T1540" t="str">
            <v>Bueno</v>
          </cell>
          <cell r="U1540" t="str">
            <v>N/T</v>
          </cell>
        </row>
        <row r="1541">
          <cell r="J1541" t="str">
            <v>42-04-06-00-1533</v>
          </cell>
          <cell r="K1541" t="str">
            <v>42-2233</v>
          </cell>
          <cell r="L1541" t="str">
            <v>42-04-06-00-1533</v>
          </cell>
          <cell r="M1541" t="str">
            <v>Repisa blanca con soporte metálico 80 x 24 cms.</v>
          </cell>
          <cell r="O1541" t="str">
            <v>REPISA</v>
          </cell>
          <cell r="P1541">
            <v>85161</v>
          </cell>
          <cell r="T1541" t="str">
            <v>Bueno</v>
          </cell>
          <cell r="U1541" t="str">
            <v>N/T</v>
          </cell>
        </row>
        <row r="1542">
          <cell r="J1542" t="str">
            <v>42-04-07-00-1534</v>
          </cell>
          <cell r="K1542" t="str">
            <v>42-3246</v>
          </cell>
          <cell r="L1542" t="str">
            <v>42-04-07-00-1534</v>
          </cell>
          <cell r="M1542" t="str">
            <v>Sillón cuerina 5 ruedas color burdeo</v>
          </cell>
          <cell r="O1542" t="str">
            <v>OTROS</v>
          </cell>
          <cell r="P1542">
            <v>124000</v>
          </cell>
          <cell r="T1542" t="str">
            <v>Bueno</v>
          </cell>
          <cell r="U1542" t="str">
            <v>N/T</v>
          </cell>
        </row>
        <row r="1543">
          <cell r="J1543" t="str">
            <v>42-04-06-00-1535</v>
          </cell>
          <cell r="K1543" t="str">
            <v>42-2234</v>
          </cell>
          <cell r="L1543" t="str">
            <v>42-04-06-00-1535</v>
          </cell>
          <cell r="M1543" t="str">
            <v>Mueble madera enchapada 2 ptas. con llave</v>
          </cell>
          <cell r="O1543" t="str">
            <v>REPISA</v>
          </cell>
          <cell r="P1543">
            <v>114000</v>
          </cell>
          <cell r="T1543" t="str">
            <v>Bueno</v>
          </cell>
          <cell r="U1543" t="str">
            <v>N/T</v>
          </cell>
        </row>
        <row r="1544">
          <cell r="J1544" t="str">
            <v>42-05-01-01-1536</v>
          </cell>
          <cell r="K1544" t="str">
            <v>42-2881</v>
          </cell>
          <cell r="L1544" t="str">
            <v>42-05-01-01-1536</v>
          </cell>
          <cell r="M1544" t="str">
            <v>Citófono/ teléfono marca Nortel Network, Modelo 7000</v>
          </cell>
          <cell r="O1544" t="str">
            <v>EQUIPO DE OFICINA</v>
          </cell>
          <cell r="P1544">
            <v>36000</v>
          </cell>
          <cell r="T1544" t="str">
            <v>Bueno</v>
          </cell>
          <cell r="U1544" t="str">
            <v>N/T</v>
          </cell>
        </row>
        <row r="1545">
          <cell r="J1545" t="str">
            <v>42-05-01-01-1537</v>
          </cell>
          <cell r="K1545" t="str">
            <v>42-1942</v>
          </cell>
          <cell r="L1545" t="str">
            <v>42-05-01-01-1537</v>
          </cell>
          <cell r="M1545" t="str">
            <v>Radio CD marca Recco RRCSW M5 S/Nº 0049/0411/00549</v>
          </cell>
          <cell r="O1545" t="str">
            <v>EQUIPO DE OFICINA</v>
          </cell>
          <cell r="P1545">
            <v>53700</v>
          </cell>
          <cell r="T1545" t="str">
            <v>Bueno</v>
          </cell>
          <cell r="U1545" t="str">
            <v>N/T</v>
          </cell>
        </row>
        <row r="1546">
          <cell r="J1546" t="str">
            <v>42-05-01-01-1538</v>
          </cell>
          <cell r="K1546" t="str">
            <v>42-1943</v>
          </cell>
          <cell r="L1546" t="str">
            <v>42-05-01-01-1538</v>
          </cell>
          <cell r="M1546" t="str">
            <v>Hervidor electrico marca Recco capacidad 1 Lt.</v>
          </cell>
          <cell r="O1546" t="str">
            <v>EQUIPO DE OFICINA</v>
          </cell>
          <cell r="P1546">
            <v>11520</v>
          </cell>
          <cell r="T1546" t="str">
            <v>Bueno</v>
          </cell>
          <cell r="U1546" t="str">
            <v>N/T</v>
          </cell>
        </row>
        <row r="1547">
          <cell r="J1547" t="str">
            <v>42-05-01-01-1539</v>
          </cell>
          <cell r="K1547" t="str">
            <v>42-1944</v>
          </cell>
          <cell r="L1547" t="str">
            <v>42-05-01-01-1539</v>
          </cell>
          <cell r="M1547" t="str">
            <v>Televisor marca DAEWOO 14 "</v>
          </cell>
          <cell r="O1547" t="str">
            <v>EQUIPO DE OFICINA</v>
          </cell>
          <cell r="P1547">
            <v>72425</v>
          </cell>
          <cell r="T1547" t="str">
            <v>Bueno</v>
          </cell>
          <cell r="U1547" t="str">
            <v>N/T</v>
          </cell>
        </row>
        <row r="1548">
          <cell r="J1548" t="str">
            <v>42-05-02-06-1540</v>
          </cell>
          <cell r="K1548" t="str">
            <v>42-3183</v>
          </cell>
          <cell r="L1548" t="str">
            <v>42-05-02-06-1540</v>
          </cell>
          <cell r="M1548" t="str">
            <v>Llave Crecent de 12" Diamond</v>
          </cell>
          <cell r="O1548" t="str">
            <v>HERRAMIENTAS</v>
          </cell>
          <cell r="P1548">
            <v>5600</v>
          </cell>
          <cell r="T1548" t="str">
            <v>Bueno</v>
          </cell>
          <cell r="U1548" t="str">
            <v>N/T</v>
          </cell>
        </row>
        <row r="1549">
          <cell r="J1549" t="str">
            <v>42-05-02-06-1541</v>
          </cell>
          <cell r="K1549" t="str">
            <v>42-2244</v>
          </cell>
          <cell r="L1549" t="str">
            <v>42-05-02-06-1541</v>
          </cell>
          <cell r="M1549" t="str">
            <v>Llave Crecent de 15" Diamond</v>
          </cell>
          <cell r="O1549" t="str">
            <v>HERRAMIENTAS</v>
          </cell>
          <cell r="P1549">
            <v>5600</v>
          </cell>
          <cell r="T1549" t="str">
            <v>Bueno</v>
          </cell>
          <cell r="U1549" t="str">
            <v>N/T</v>
          </cell>
        </row>
        <row r="1550">
          <cell r="J1550" t="str">
            <v>42-05-02-06-1542</v>
          </cell>
          <cell r="K1550" t="str">
            <v>42-2245</v>
          </cell>
          <cell r="L1550" t="str">
            <v>42-05-02-06-1542</v>
          </cell>
          <cell r="M1550" t="str">
            <v>Llave Stilson de 59 cms.</v>
          </cell>
          <cell r="O1550" t="str">
            <v>HERRAMIENTAS</v>
          </cell>
          <cell r="P1550">
            <v>5600</v>
          </cell>
          <cell r="T1550" t="str">
            <v>Bueno</v>
          </cell>
          <cell r="U1550" t="str">
            <v>N/T</v>
          </cell>
        </row>
        <row r="1551">
          <cell r="J1551" t="str">
            <v>42-05-02-06-1543</v>
          </cell>
          <cell r="K1551" t="str">
            <v>42-2246</v>
          </cell>
          <cell r="L1551" t="str">
            <v>42-05-02-06-1543</v>
          </cell>
          <cell r="M1551" t="str">
            <v>Llaves Stilson de 28  cms. Andes Sam</v>
          </cell>
          <cell r="O1551" t="str">
            <v>HERRAMIENTAS</v>
          </cell>
          <cell r="P1551">
            <v>5600</v>
          </cell>
          <cell r="T1551" t="str">
            <v>Bueno</v>
          </cell>
          <cell r="U1551" t="str">
            <v>N/T</v>
          </cell>
        </row>
        <row r="1552">
          <cell r="J1552" t="str">
            <v>42-05-02-06-1544</v>
          </cell>
          <cell r="K1552" t="str">
            <v>42-2247</v>
          </cell>
          <cell r="L1552" t="str">
            <v>42-05-02-06-1544</v>
          </cell>
          <cell r="M1552" t="str">
            <v>Juego de llaves punta corona milimétricas ( 12 )</v>
          </cell>
          <cell r="O1552" t="str">
            <v>HERRAMIENTAS</v>
          </cell>
          <cell r="P1552">
            <v>5600</v>
          </cell>
          <cell r="T1552" t="str">
            <v>Bueno</v>
          </cell>
          <cell r="U1552" t="str">
            <v>N/T</v>
          </cell>
        </row>
        <row r="1553">
          <cell r="J1553" t="str">
            <v>42-05-02-06-1545</v>
          </cell>
          <cell r="K1553" t="str">
            <v>42-3251</v>
          </cell>
          <cell r="L1553" t="str">
            <v>42-05-02-06-1545</v>
          </cell>
          <cell r="M1553" t="str">
            <v>Linterna Eveready 4 pilas color rojo</v>
          </cell>
          <cell r="O1553" t="str">
            <v>HERRAMIENTAS</v>
          </cell>
          <cell r="P1553">
            <v>4500</v>
          </cell>
          <cell r="T1553" t="str">
            <v>Bueno</v>
          </cell>
          <cell r="U1553" t="str">
            <v>N/T</v>
          </cell>
        </row>
        <row r="1554">
          <cell r="J1554" t="str">
            <v>42-04-07-00-1546</v>
          </cell>
          <cell r="K1554" t="str">
            <v>42-3180</v>
          </cell>
          <cell r="L1554" t="str">
            <v>42-04-07-00-1546</v>
          </cell>
          <cell r="M1554" t="str">
            <v>Equipo electrógeno marca Sande Nº 00817 Mod. Skand, Generador Magna Plus Mod. MP-120-4 Part Nº 3632-08202</v>
          </cell>
          <cell r="O1554" t="str">
            <v>OTROS</v>
          </cell>
          <cell r="P1554">
            <v>8900</v>
          </cell>
          <cell r="T1554" t="str">
            <v>Bueno</v>
          </cell>
          <cell r="U1554" t="str">
            <v>N/T</v>
          </cell>
        </row>
        <row r="1555">
          <cell r="J1555" t="str">
            <v>42-04-06-00-1547</v>
          </cell>
          <cell r="K1555" t="str">
            <v>42-1016B</v>
          </cell>
          <cell r="L1555" t="str">
            <v>42-04-06-00-1547</v>
          </cell>
          <cell r="M1555" t="str">
            <v>Estante de madera blanco con 2 puertas con candado</v>
          </cell>
          <cell r="O1555" t="str">
            <v>REPISA</v>
          </cell>
          <cell r="P1555">
            <v>65212</v>
          </cell>
          <cell r="T1555" t="str">
            <v>Bueno</v>
          </cell>
          <cell r="U1555" t="str">
            <v>N/T</v>
          </cell>
        </row>
        <row r="1556">
          <cell r="J1556" t="str">
            <v>42-04-07-00-1548</v>
          </cell>
          <cell r="K1556" t="str">
            <v>42-2604</v>
          </cell>
          <cell r="L1556" t="str">
            <v>42-04-07-00-1548</v>
          </cell>
          <cell r="M1556" t="str">
            <v>Carro metálico 2 compartimentos 90x42x76 cms.</v>
          </cell>
          <cell r="O1556" t="str">
            <v>OTROS</v>
          </cell>
          <cell r="P1556">
            <v>58952</v>
          </cell>
          <cell r="T1556" t="str">
            <v>Bueno</v>
          </cell>
          <cell r="U1556" t="str">
            <v>N/T</v>
          </cell>
        </row>
        <row r="1557">
          <cell r="J1557" t="str">
            <v>42-04-06-00-1549</v>
          </cell>
          <cell r="K1557" t="str">
            <v>42-1018</v>
          </cell>
          <cell r="L1557" t="str">
            <v>42-04-06-00-1549</v>
          </cell>
          <cell r="M1557" t="str">
            <v>Vitrina de madera blanca con 2 puertas con 4 vidrios</v>
          </cell>
          <cell r="O1557" t="str">
            <v>REPISA</v>
          </cell>
          <cell r="P1557">
            <v>145214</v>
          </cell>
          <cell r="T1557" t="str">
            <v>Bueno</v>
          </cell>
          <cell r="U1557" t="str">
            <v>N/T</v>
          </cell>
        </row>
        <row r="1558">
          <cell r="J1558" t="str">
            <v>42-04-03-00-1550</v>
          </cell>
          <cell r="K1558" t="str">
            <v>42-48</v>
          </cell>
          <cell r="L1558" t="str">
            <v>42-04-03-00-1550</v>
          </cell>
          <cell r="M1558" t="str">
            <v>Escritorio de computador barniz natural, 3 cajones de 91x50x69 cms.</v>
          </cell>
          <cell r="O1558" t="str">
            <v>ESCRITORIOS</v>
          </cell>
          <cell r="P1558">
            <v>77350</v>
          </cell>
          <cell r="T1558" t="str">
            <v>Bueno</v>
          </cell>
          <cell r="U1558" t="str">
            <v>N/T</v>
          </cell>
        </row>
        <row r="1559">
          <cell r="J1559" t="str">
            <v>42-04-06-00-1551</v>
          </cell>
          <cell r="K1559" t="str">
            <v>42-1019</v>
          </cell>
          <cell r="L1559" t="str">
            <v>42-04-06-00-1551</v>
          </cell>
          <cell r="M1559" t="str">
            <v>Estante de madera blanco mediano con 2 puertas con llave</v>
          </cell>
          <cell r="O1559" t="str">
            <v>REPISA</v>
          </cell>
          <cell r="P1559">
            <v>65212</v>
          </cell>
          <cell r="T1559" t="str">
            <v>Bueno</v>
          </cell>
          <cell r="U1559" t="str">
            <v>N/T</v>
          </cell>
        </row>
        <row r="1560">
          <cell r="J1560" t="str">
            <v>42-04-06-00-1552</v>
          </cell>
          <cell r="K1560" t="str">
            <v>42-1020</v>
          </cell>
          <cell r="L1560" t="str">
            <v>42-04-06-00-1552</v>
          </cell>
          <cell r="M1560" t="str">
            <v>Estante de madera blanco mediano con 2 puertas con llave</v>
          </cell>
          <cell r="O1560" t="str">
            <v>REPISA</v>
          </cell>
          <cell r="P1560">
            <v>85594</v>
          </cell>
          <cell r="T1560" t="str">
            <v>Bueno</v>
          </cell>
          <cell r="U1560" t="str">
            <v>N/T</v>
          </cell>
        </row>
        <row r="1561">
          <cell r="J1561" t="str">
            <v>42-04-07-00-1553</v>
          </cell>
          <cell r="K1561" t="str">
            <v>42-178</v>
          </cell>
          <cell r="L1561" t="str">
            <v>42-04-07-00-1553</v>
          </cell>
          <cell r="M1561" t="str">
            <v>Lámpara pedestal tallo flexible</v>
          </cell>
          <cell r="O1561" t="str">
            <v>OTROS</v>
          </cell>
          <cell r="P1561">
            <v>36900</v>
          </cell>
          <cell r="T1561" t="str">
            <v>Bueno</v>
          </cell>
          <cell r="U1561" t="str">
            <v>N/T</v>
          </cell>
        </row>
        <row r="1562">
          <cell r="J1562" t="str">
            <v>42-04-02-00-1554</v>
          </cell>
          <cell r="K1562" t="str">
            <v>42-1024</v>
          </cell>
          <cell r="L1562" t="str">
            <v>42-04-02-00-1554</v>
          </cell>
          <cell r="M1562" t="str">
            <v>Silla de madera color blanco</v>
          </cell>
          <cell r="O1562" t="str">
            <v>SILLAS</v>
          </cell>
          <cell r="P1562">
            <v>17850</v>
          </cell>
          <cell r="T1562" t="str">
            <v>Bueno</v>
          </cell>
          <cell r="U1562" t="str">
            <v>N/T</v>
          </cell>
        </row>
        <row r="1563">
          <cell r="J1563" t="str">
            <v>42-04-02-00-1555</v>
          </cell>
          <cell r="K1563" t="str">
            <v>42-1610</v>
          </cell>
          <cell r="L1563" t="str">
            <v>42-04-02-00-1555</v>
          </cell>
          <cell r="M1563" t="str">
            <v>Silla giratoria 5 ruedas, color azul</v>
          </cell>
          <cell r="O1563" t="str">
            <v>SILLAS</v>
          </cell>
          <cell r="P1563">
            <v>17850</v>
          </cell>
          <cell r="T1563" t="str">
            <v>Bueno</v>
          </cell>
          <cell r="U1563" t="str">
            <v>N/T</v>
          </cell>
        </row>
        <row r="1564">
          <cell r="J1564" t="str">
            <v>42-04-02-00-1556</v>
          </cell>
          <cell r="K1564" t="str">
            <v>42-1400</v>
          </cell>
          <cell r="L1564" t="str">
            <v>42-04-02-00-1556</v>
          </cell>
          <cell r="M1564" t="str">
            <v>Silla giratoria con pistón de aire 5 ruedas color plomo</v>
          </cell>
          <cell r="O1564" t="str">
            <v>SILLAS</v>
          </cell>
          <cell r="P1564">
            <v>42500</v>
          </cell>
          <cell r="T1564" t="str">
            <v>Bueno</v>
          </cell>
          <cell r="U1564" t="str">
            <v>N/T</v>
          </cell>
        </row>
        <row r="1565">
          <cell r="J1565" t="str">
            <v>42-04-02-00-1557</v>
          </cell>
          <cell r="K1565" t="str">
            <v>42-1194</v>
          </cell>
          <cell r="L1565" t="str">
            <v>42-04-02-00-1557</v>
          </cell>
          <cell r="M1565" t="str">
            <v>Silla giratoria mixta, 5 ruedas metálicas, asiento y respaldo en lanilla café</v>
          </cell>
          <cell r="O1565" t="str">
            <v>SILLAS</v>
          </cell>
          <cell r="P1565">
            <v>42500</v>
          </cell>
          <cell r="T1565" t="str">
            <v>Bueno</v>
          </cell>
          <cell r="U1565" t="str">
            <v>N/T</v>
          </cell>
        </row>
        <row r="1566">
          <cell r="J1566" t="str">
            <v>42-04-02-00-1558</v>
          </cell>
          <cell r="K1566" t="str">
            <v>42-1224</v>
          </cell>
          <cell r="L1566" t="str">
            <v>42-04-02-00-1558</v>
          </cell>
          <cell r="M1566" t="str">
            <v>Silla neumática, 5 ruedas de lanilla color café</v>
          </cell>
          <cell r="O1566" t="str">
            <v>SILLAS</v>
          </cell>
          <cell r="P1566">
            <v>42500</v>
          </cell>
          <cell r="T1566" t="str">
            <v>Bueno</v>
          </cell>
          <cell r="U1566" t="str">
            <v>N/T</v>
          </cell>
        </row>
        <row r="1567">
          <cell r="J1567" t="str">
            <v>42-04-07-00-1559</v>
          </cell>
          <cell r="K1567" t="str">
            <v>42-2458</v>
          </cell>
          <cell r="L1567" t="str">
            <v>42-04-07-00-1559</v>
          </cell>
          <cell r="M1567" t="str">
            <v>Sillón cama color azul</v>
          </cell>
          <cell r="O1567" t="str">
            <v>OTROS</v>
          </cell>
          <cell r="P1567">
            <v>17000</v>
          </cell>
          <cell r="T1567" t="str">
            <v>Bueno</v>
          </cell>
          <cell r="U1567" t="str">
            <v>N/T</v>
          </cell>
        </row>
        <row r="1568">
          <cell r="J1568" t="str">
            <v>42-04-07-00-1560</v>
          </cell>
          <cell r="K1568" t="str">
            <v>42-1208 B</v>
          </cell>
          <cell r="L1568" t="str">
            <v>42-04-07-00-1560</v>
          </cell>
          <cell r="M1568" t="str">
            <v>Sillón confortable tapizado en felpa celeste</v>
          </cell>
          <cell r="O1568" t="str">
            <v>OTROS</v>
          </cell>
          <cell r="P1568">
            <v>17000</v>
          </cell>
          <cell r="T1568" t="str">
            <v>Bueno</v>
          </cell>
          <cell r="U1568" t="str">
            <v>N/T</v>
          </cell>
        </row>
        <row r="1569">
          <cell r="J1569" t="str">
            <v>42-04-07-00-1561</v>
          </cell>
          <cell r="K1569" t="str">
            <v>42-1028</v>
          </cell>
          <cell r="L1569" t="str">
            <v>42-04-07-00-1561</v>
          </cell>
          <cell r="M1569" t="str">
            <v>Basurero metálico con pedal</v>
          </cell>
          <cell r="O1569" t="str">
            <v>OTROS</v>
          </cell>
          <cell r="P1569">
            <v>3000</v>
          </cell>
          <cell r="T1569" t="str">
            <v>Bueno</v>
          </cell>
          <cell r="U1569" t="str">
            <v>N/T</v>
          </cell>
        </row>
        <row r="1570">
          <cell r="J1570" t="str">
            <v>42-04-07-00-1562</v>
          </cell>
          <cell r="K1570" t="str">
            <v>42-2592</v>
          </cell>
          <cell r="L1570" t="str">
            <v>42-04-07-00-1562</v>
          </cell>
          <cell r="M1570" t="str">
            <v>Velador de madera con 1 puerta, 4 ruedas</v>
          </cell>
          <cell r="O1570" t="str">
            <v>OTROS</v>
          </cell>
          <cell r="P1570">
            <v>25000</v>
          </cell>
          <cell r="T1570" t="str">
            <v>Bueno</v>
          </cell>
          <cell r="U1570" t="str">
            <v>N/T</v>
          </cell>
        </row>
        <row r="1571">
          <cell r="J1571" t="str">
            <v>42-04-06-00-1563</v>
          </cell>
          <cell r="K1571" t="str">
            <v>42-1297</v>
          </cell>
          <cell r="L1571" t="str">
            <v>42-04-06-00-1563</v>
          </cell>
          <cell r="M1571" t="str">
            <v>Vitrina matálica con 1 puerta vidrio</v>
          </cell>
          <cell r="O1571" t="str">
            <v>REPISA</v>
          </cell>
          <cell r="P1571">
            <v>65000</v>
          </cell>
          <cell r="T1571" t="str">
            <v>Bueno</v>
          </cell>
          <cell r="U1571" t="str">
            <v>N/T</v>
          </cell>
        </row>
        <row r="1572">
          <cell r="J1572" t="str">
            <v>42-04-06-00-1564</v>
          </cell>
          <cell r="K1572" t="str">
            <v>42-2460</v>
          </cell>
          <cell r="L1572" t="str">
            <v>42-04-06-00-1564</v>
          </cell>
          <cell r="M1572" t="str">
            <v>Mueble masisa enchapado eucaliptus con 2 ptas.  correderas 232x50x90</v>
          </cell>
          <cell r="O1572" t="str">
            <v>REPISA</v>
          </cell>
          <cell r="P1572">
            <v>89000</v>
          </cell>
          <cell r="T1572" t="str">
            <v>Bueno</v>
          </cell>
          <cell r="U1572" t="str">
            <v>N/T</v>
          </cell>
        </row>
        <row r="1573">
          <cell r="J1573" t="str">
            <v>42-04-06-00-1565</v>
          </cell>
          <cell r="K1573" t="str">
            <v>42-872</v>
          </cell>
          <cell r="L1573" t="str">
            <v>42-04-06-00-1565</v>
          </cell>
          <cell r="M1573" t="str">
            <v>Mueble de madera amarillo, naranjo, rojo 2 puertas 100x70x90 cms.</v>
          </cell>
          <cell r="O1573" t="str">
            <v>REPISA</v>
          </cell>
          <cell r="P1573">
            <v>98000</v>
          </cell>
          <cell r="T1573" t="str">
            <v>Bueno</v>
          </cell>
          <cell r="U1573" t="str">
            <v>N/T</v>
          </cell>
        </row>
        <row r="1574">
          <cell r="J1574" t="str">
            <v>42-04-01-00-1566</v>
          </cell>
          <cell r="K1574" t="str">
            <v>42-1029</v>
          </cell>
          <cell r="L1574" t="str">
            <v>42-04-01-00-1566</v>
          </cell>
          <cell r="M1574" t="str">
            <v>Mesa de madera blanca con un cajón de 100x73x80 cms.</v>
          </cell>
          <cell r="O1574" t="str">
            <v>MESAS</v>
          </cell>
          <cell r="P1574">
            <v>78000</v>
          </cell>
          <cell r="T1574" t="str">
            <v>Bueno</v>
          </cell>
          <cell r="U1574" t="str">
            <v>N/T</v>
          </cell>
        </row>
        <row r="1575">
          <cell r="J1575" t="str">
            <v>42-04-01-00-1567</v>
          </cell>
          <cell r="K1575" t="str">
            <v>42-1167</v>
          </cell>
          <cell r="L1575" t="str">
            <v>42-04-01-00-1567</v>
          </cell>
          <cell r="M1575" t="str">
            <v>Mesa de madera 84x79x80 cms.</v>
          </cell>
          <cell r="O1575" t="str">
            <v>MESAS</v>
          </cell>
          <cell r="P1575">
            <v>87000</v>
          </cell>
          <cell r="T1575" t="str">
            <v>Bueno</v>
          </cell>
          <cell r="U1575" t="str">
            <v>N/T</v>
          </cell>
        </row>
        <row r="1576">
          <cell r="J1576" t="str">
            <v>42-04-01-00-1568</v>
          </cell>
          <cell r="K1576" t="str">
            <v>42-2740</v>
          </cell>
          <cell r="L1576" t="str">
            <v>42-04-01-00-1568</v>
          </cell>
          <cell r="M1576" t="str">
            <v>Mesa metálica con cubierta acero inoxidable con ruedas 96x40x84 cms.</v>
          </cell>
          <cell r="O1576" t="str">
            <v>MESAS</v>
          </cell>
          <cell r="P1576">
            <v>78000</v>
          </cell>
          <cell r="T1576" t="str">
            <v>Bueno</v>
          </cell>
          <cell r="U1576" t="str">
            <v>N/T</v>
          </cell>
        </row>
        <row r="1577">
          <cell r="J1577" t="str">
            <v>42-04-06-00-1569</v>
          </cell>
          <cell r="K1577" t="str">
            <v>42-2461</v>
          </cell>
          <cell r="L1577" t="str">
            <v>42-04-06-00-1569</v>
          </cell>
          <cell r="M1577" t="str">
            <v>Repisa madera con 2 soportes metálicos 127x23 cms.</v>
          </cell>
          <cell r="O1577" t="str">
            <v>REPISA</v>
          </cell>
          <cell r="P1577">
            <v>90000</v>
          </cell>
          <cell r="T1577" t="str">
            <v>Bueno</v>
          </cell>
          <cell r="U1577" t="str">
            <v>N/T</v>
          </cell>
        </row>
        <row r="1578">
          <cell r="J1578" t="str">
            <v>42-04-07-00-1570</v>
          </cell>
          <cell r="K1578" t="str">
            <v>42-1030B</v>
          </cell>
          <cell r="L1578" t="str">
            <v>42-04-07-00-1570</v>
          </cell>
          <cell r="M1578" t="str">
            <v>Fuentón enlozado con pedestal de fierro</v>
          </cell>
          <cell r="O1578" t="str">
            <v>OTROS</v>
          </cell>
          <cell r="P1578">
            <v>136420</v>
          </cell>
          <cell r="T1578" t="str">
            <v>Bueno</v>
          </cell>
          <cell r="U1578" t="str">
            <v>N/T</v>
          </cell>
        </row>
        <row r="1579">
          <cell r="J1579" t="str">
            <v>42-04-07-00-1571</v>
          </cell>
          <cell r="K1579" t="str">
            <v>42-1035</v>
          </cell>
          <cell r="L1579" t="str">
            <v>42-04-07-00-1571</v>
          </cell>
          <cell r="M1579" t="str">
            <v>Carro porta ropa metálico con malla de alambre blanco</v>
          </cell>
          <cell r="O1579" t="str">
            <v>OTROS</v>
          </cell>
          <cell r="P1579">
            <v>158151</v>
          </cell>
          <cell r="T1579" t="str">
            <v>Bueno</v>
          </cell>
          <cell r="U1579" t="str">
            <v>N/T</v>
          </cell>
        </row>
        <row r="1580">
          <cell r="J1580" t="str">
            <v>42-04-07-00-1572</v>
          </cell>
          <cell r="K1580" t="str">
            <v>42-1035B</v>
          </cell>
          <cell r="L1580" t="str">
            <v>42-04-07-00-1572</v>
          </cell>
          <cell r="M1580" t="str">
            <v>Carro porta ropa metálico con malla de alambre blanco</v>
          </cell>
          <cell r="O1580" t="str">
            <v>OTROS</v>
          </cell>
          <cell r="P1580">
            <v>158151</v>
          </cell>
          <cell r="T1580" t="str">
            <v>Bueno</v>
          </cell>
          <cell r="U1580" t="str">
            <v>N/T</v>
          </cell>
        </row>
        <row r="1581">
          <cell r="J1581" t="str">
            <v>42-05-02-01-1573</v>
          </cell>
          <cell r="K1581" t="str">
            <v>42-1032</v>
          </cell>
          <cell r="L1581" t="str">
            <v>42-05-02-01-1573</v>
          </cell>
          <cell r="M1581" t="str">
            <v>Tijera marca Mundial 20 cms.</v>
          </cell>
          <cell r="N1581">
            <v>1</v>
          </cell>
          <cell r="O1581" t="str">
            <v>EQUIPOS CLINICOS</v>
          </cell>
          <cell r="P1581">
            <v>3000</v>
          </cell>
          <cell r="T1581" t="str">
            <v>Bueno</v>
          </cell>
          <cell r="U1581" t="str">
            <v>N/T</v>
          </cell>
        </row>
        <row r="1582">
          <cell r="J1582" t="str">
            <v>42-05-02-06-1574</v>
          </cell>
          <cell r="K1582" t="str">
            <v>42-1010</v>
          </cell>
          <cell r="L1582" t="str">
            <v>42-05-02-06-1574</v>
          </cell>
          <cell r="M1582" t="str">
            <v>Lavadora centrífuga automática Industrial marca Ipso cap. 28 Kgs.</v>
          </cell>
          <cell r="N1582">
            <v>1</v>
          </cell>
          <cell r="O1582" t="str">
            <v>HERRAMIENTAS</v>
          </cell>
          <cell r="P1582">
            <v>316936</v>
          </cell>
          <cell r="T1582" t="str">
            <v>Bueno</v>
          </cell>
          <cell r="U1582" t="str">
            <v>Ipso</v>
          </cell>
        </row>
        <row r="1583">
          <cell r="J1583" t="str">
            <v>42-05-02-06-1575</v>
          </cell>
          <cell r="K1583" t="str">
            <v>42-1012</v>
          </cell>
          <cell r="L1583" t="str">
            <v>42-05-02-06-1575</v>
          </cell>
          <cell r="M1583" t="str">
            <v>Secadora Industrial automática marca Cissel cap. 15 Kgs.</v>
          </cell>
          <cell r="N1583">
            <v>1</v>
          </cell>
          <cell r="O1583" t="str">
            <v>HERRAMIENTAS</v>
          </cell>
          <cell r="P1583">
            <v>300000</v>
          </cell>
          <cell r="T1583" t="str">
            <v>Bueno</v>
          </cell>
          <cell r="U1583" t="str">
            <v>Cissel</v>
          </cell>
        </row>
        <row r="1584">
          <cell r="J1584" t="str">
            <v>42-05-02-06-1576</v>
          </cell>
          <cell r="K1584" t="str">
            <v>42-3513</v>
          </cell>
          <cell r="L1584" t="str">
            <v>42-05-02-06-1576</v>
          </cell>
          <cell r="M1584" t="str">
            <v>Secadora Insudtrial Electrica marca Castronha cap.</v>
          </cell>
          <cell r="N1584">
            <v>1</v>
          </cell>
          <cell r="O1584" t="str">
            <v>HERRAMIENTAS</v>
          </cell>
          <cell r="P1584">
            <v>300000</v>
          </cell>
          <cell r="T1584" t="str">
            <v>Bueno</v>
          </cell>
          <cell r="U1584" t="str">
            <v>Castronha</v>
          </cell>
        </row>
        <row r="1585">
          <cell r="J1585" t="str">
            <v>42-04-04-00-1577</v>
          </cell>
          <cell r="K1585" t="str">
            <v>42-1015B</v>
          </cell>
          <cell r="L1585" t="str">
            <v>42-04-04-00-1577</v>
          </cell>
          <cell r="M1585" t="str">
            <v>Campana extractora de aire</v>
          </cell>
          <cell r="O1585" t="str">
            <v>MUEBLES DE COCINA</v>
          </cell>
          <cell r="P1585">
            <v>392700</v>
          </cell>
          <cell r="T1585" t="str">
            <v>Bueno</v>
          </cell>
          <cell r="U1585" t="str">
            <v>N/T</v>
          </cell>
        </row>
        <row r="1586">
          <cell r="J1586" t="str">
            <v>42-04-04-00-1578</v>
          </cell>
          <cell r="K1586" t="str">
            <v>42-1015C</v>
          </cell>
          <cell r="L1586" t="str">
            <v>42-04-04-00-1578</v>
          </cell>
          <cell r="M1586" t="str">
            <v>Campana extractora de aire</v>
          </cell>
          <cell r="O1586" t="str">
            <v>MUEBLES DE COCINA</v>
          </cell>
          <cell r="P1586">
            <v>392700</v>
          </cell>
          <cell r="T1586" t="str">
            <v>Bueno</v>
          </cell>
          <cell r="U1586" t="str">
            <v>N/T</v>
          </cell>
        </row>
        <row r="1587">
          <cell r="J1587" t="str">
            <v>42-04-04-00-1579</v>
          </cell>
          <cell r="K1587" t="str">
            <v>42-1015D</v>
          </cell>
          <cell r="L1587" t="str">
            <v>42-04-04-00-1579</v>
          </cell>
          <cell r="M1587" t="str">
            <v>Campana extractora de aire</v>
          </cell>
          <cell r="O1587" t="str">
            <v>MUEBLES DE COCINA</v>
          </cell>
          <cell r="P1587">
            <v>392700</v>
          </cell>
          <cell r="T1587" t="str">
            <v>Bueno</v>
          </cell>
          <cell r="U1587" t="str">
            <v>N/T</v>
          </cell>
        </row>
        <row r="1588">
          <cell r="J1588" t="str">
            <v>42-05-01-01-1580</v>
          </cell>
          <cell r="K1588" t="str">
            <v>42-2262</v>
          </cell>
          <cell r="L1588" t="str">
            <v>42-05-01-01-1580</v>
          </cell>
          <cell r="M1588" t="str">
            <v>Plancha eléctrica marca Black &amp; Decker 609JP Mod. AS400</v>
          </cell>
          <cell r="N1588">
            <v>1</v>
          </cell>
          <cell r="O1588" t="str">
            <v>EQUIPO DE OFICINA</v>
          </cell>
          <cell r="P1588">
            <v>30000</v>
          </cell>
          <cell r="T1588" t="str">
            <v>Bueno</v>
          </cell>
          <cell r="U1588" t="str">
            <v>Black</v>
          </cell>
        </row>
        <row r="1589">
          <cell r="J1589" t="str">
            <v>42-05-01-01-1581</v>
          </cell>
          <cell r="K1589" t="str">
            <v>42-3425</v>
          </cell>
          <cell r="L1589" t="str">
            <v>42-05-01-01-1581</v>
          </cell>
          <cell r="M1589" t="str">
            <v>Plancha Somela mod. PL 280 S/N  11082639</v>
          </cell>
          <cell r="N1589">
            <v>1</v>
          </cell>
          <cell r="O1589" t="str">
            <v>EQUIPO DE OFICINA</v>
          </cell>
          <cell r="P1589">
            <v>35000</v>
          </cell>
          <cell r="T1589" t="str">
            <v>Bueno</v>
          </cell>
          <cell r="U1589" t="str">
            <v>Somela</v>
          </cell>
        </row>
        <row r="1590">
          <cell r="J1590" t="str">
            <v>42-05-02-06-1582</v>
          </cell>
          <cell r="K1590" t="str">
            <v>42-2575</v>
          </cell>
          <cell r="L1590" t="str">
            <v>42-05-02-06-1582</v>
          </cell>
          <cell r="M1590" t="str">
            <v>Máquina de coser marca Brother LS 2125 S/Nº K5G24918</v>
          </cell>
          <cell r="N1590">
            <v>1</v>
          </cell>
          <cell r="O1590" t="str">
            <v>HERRAMIENTAS</v>
          </cell>
          <cell r="P1590">
            <v>35000</v>
          </cell>
          <cell r="T1590" t="str">
            <v>Bueno</v>
          </cell>
          <cell r="U1590" t="str">
            <v>Brother</v>
          </cell>
        </row>
        <row r="1591">
          <cell r="J1591" t="str">
            <v>42-05-01-01-1583</v>
          </cell>
          <cell r="K1591" t="str">
            <v>42-2104</v>
          </cell>
          <cell r="L1591" t="str">
            <v>42-05-01-01-1583</v>
          </cell>
          <cell r="M1591" t="str">
            <v>Radio CD marca RCA Mod. RCD 002</v>
          </cell>
          <cell r="O1591" t="str">
            <v>EQUIPO DE OFICINA</v>
          </cell>
          <cell r="P1591">
            <v>53700</v>
          </cell>
          <cell r="T1591" t="str">
            <v>Bueno</v>
          </cell>
          <cell r="U1591" t="str">
            <v>RCA</v>
          </cell>
        </row>
        <row r="1592">
          <cell r="J1592" t="str">
            <v>42-05-01-01-1584</v>
          </cell>
          <cell r="K1592" t="str">
            <v>42-1248</v>
          </cell>
          <cell r="L1592" t="str">
            <v>42-05-01-01-1584</v>
          </cell>
          <cell r="M1592" t="str">
            <v>Radio CD doble cassette marca Sharp Mod. WQ CD220L S/Nº 50362572</v>
          </cell>
          <cell r="O1592" t="str">
            <v>EQUIPO DE OFICINA</v>
          </cell>
          <cell r="P1592">
            <v>53700</v>
          </cell>
          <cell r="T1592" t="str">
            <v>Bueno</v>
          </cell>
          <cell r="U1592" t="str">
            <v>Sharp</v>
          </cell>
        </row>
        <row r="1593">
          <cell r="J1593" t="str">
            <v>42-05-02-06-1585</v>
          </cell>
          <cell r="K1593" t="str">
            <v>42-1039</v>
          </cell>
          <cell r="L1593" t="str">
            <v>42-05-02-06-1585</v>
          </cell>
          <cell r="M1593" t="str">
            <v>Chancho Industrial marca Electric-Polisher</v>
          </cell>
          <cell r="N1593">
            <v>1</v>
          </cell>
          <cell r="O1593" t="str">
            <v>HERRAMIENTAS</v>
          </cell>
          <cell r="P1593">
            <v>50000</v>
          </cell>
          <cell r="T1593" t="str">
            <v>Bueno</v>
          </cell>
          <cell r="U1593" t="str">
            <v>Electric</v>
          </cell>
        </row>
        <row r="1594">
          <cell r="J1594" t="str">
            <v>42-05-02-06-1586</v>
          </cell>
          <cell r="K1594" t="str">
            <v>42-2829</v>
          </cell>
          <cell r="L1594" t="str">
            <v>42-05-02-06-1586</v>
          </cell>
          <cell r="M1594" t="str">
            <v>Chancho industrial marca Wirbel Mod. Limpia 13 N° 00 - 02039</v>
          </cell>
          <cell r="N1594">
            <v>1</v>
          </cell>
          <cell r="O1594" t="str">
            <v>HERRAMIENTAS</v>
          </cell>
          <cell r="P1594">
            <v>50000</v>
          </cell>
          <cell r="T1594" t="str">
            <v>Bueno</v>
          </cell>
          <cell r="U1594" t="str">
            <v>Wirbel</v>
          </cell>
        </row>
        <row r="1595">
          <cell r="J1595" t="str">
            <v>42-05-02-05-1587</v>
          </cell>
          <cell r="K1595" t="str">
            <v>42-1042B</v>
          </cell>
          <cell r="L1595" t="str">
            <v>42-05-02-05-1587</v>
          </cell>
          <cell r="M1595" t="str">
            <v>Equipo Red Húmeda color rojo</v>
          </cell>
          <cell r="O1595" t="str">
            <v>EQUIPOS DE SEGURIDAD</v>
          </cell>
          <cell r="P1595">
            <v>150000</v>
          </cell>
          <cell r="T1595" t="str">
            <v>Bueno</v>
          </cell>
          <cell r="U1595" t="str">
            <v>N/T</v>
          </cell>
        </row>
        <row r="1596">
          <cell r="J1596" t="str">
            <v>42-05-01-01-1588</v>
          </cell>
          <cell r="K1596" t="str">
            <v>42-2027</v>
          </cell>
          <cell r="L1596" t="str">
            <v>42-05-01-01-1588</v>
          </cell>
          <cell r="M1596" t="str">
            <v>Reloj Control marca Hand Punch 3000</v>
          </cell>
          <cell r="N1596">
            <v>1</v>
          </cell>
          <cell r="O1596" t="str">
            <v>EQUIPO DE OFICINA</v>
          </cell>
          <cell r="P1596">
            <v>4000</v>
          </cell>
          <cell r="T1596" t="str">
            <v>Bueno</v>
          </cell>
          <cell r="U1596" t="str">
            <v>Hand</v>
          </cell>
        </row>
        <row r="1597">
          <cell r="J1597" t="str">
            <v>42-04-07-00-1589</v>
          </cell>
          <cell r="K1597" t="str">
            <v>42-38</v>
          </cell>
          <cell r="L1597" t="str">
            <v>42-04-07-00-1589</v>
          </cell>
          <cell r="M1597" t="str">
            <v>Banca de madera color gris con respaldo</v>
          </cell>
          <cell r="O1597" t="str">
            <v>OTROS</v>
          </cell>
          <cell r="P1597">
            <v>40541</v>
          </cell>
          <cell r="T1597" t="str">
            <v>Bueno</v>
          </cell>
          <cell r="U1597" t="str">
            <v>N/T</v>
          </cell>
        </row>
        <row r="1598">
          <cell r="J1598" t="str">
            <v>42-04-07-00-1590</v>
          </cell>
          <cell r="K1598" t="str">
            <v>42-673</v>
          </cell>
          <cell r="L1598" t="str">
            <v>42-04-07-00-1590</v>
          </cell>
          <cell r="M1598" t="str">
            <v>Banca mixta color amarillo</v>
          </cell>
          <cell r="O1598" t="str">
            <v>OTROS</v>
          </cell>
          <cell r="P1598">
            <v>79011</v>
          </cell>
          <cell r="T1598" t="str">
            <v>Bueno</v>
          </cell>
          <cell r="U1598" t="str">
            <v>N/T</v>
          </cell>
        </row>
        <row r="1599">
          <cell r="J1599" t="str">
            <v>42-04-07-00-1591</v>
          </cell>
          <cell r="K1599" t="str">
            <v>42-2134</v>
          </cell>
          <cell r="L1599" t="str">
            <v>42-04-07-00-1591</v>
          </cell>
          <cell r="M1599" t="str">
            <v>Mural marco madera 124x100 cms., con 2 puertas vidrio corredizo</v>
          </cell>
          <cell r="O1599" t="str">
            <v>OTROS</v>
          </cell>
          <cell r="P1599">
            <v>29750</v>
          </cell>
          <cell r="T1599" t="str">
            <v>Bueno</v>
          </cell>
          <cell r="U1599" t="str">
            <v>N/T</v>
          </cell>
        </row>
        <row r="1600">
          <cell r="J1600" t="str">
            <v>42-04-07-00-1592</v>
          </cell>
          <cell r="K1600" t="str">
            <v>42-35</v>
          </cell>
          <cell r="L1600" t="str">
            <v>42-04-07-00-1592</v>
          </cell>
          <cell r="M1600" t="str">
            <v>Mural marco madera 200x100 cms., con 2 puertas vidrio corredizo</v>
          </cell>
          <cell r="O1600" t="str">
            <v>OTROS</v>
          </cell>
          <cell r="P1600">
            <v>29750</v>
          </cell>
          <cell r="T1600" t="str">
            <v>Bueno</v>
          </cell>
          <cell r="U1600" t="str">
            <v>N/T</v>
          </cell>
        </row>
        <row r="1601">
          <cell r="J1601" t="str">
            <v>42-05-02-01-1593</v>
          </cell>
          <cell r="K1601" t="str">
            <v>42-472</v>
          </cell>
          <cell r="L1601" t="str">
            <v>42-05-02-01-1593</v>
          </cell>
          <cell r="M1601" t="str">
            <v>Camilla metálica fija</v>
          </cell>
          <cell r="O1601" t="str">
            <v>EQUIPOS CLINICOS</v>
          </cell>
          <cell r="P1601">
            <v>83300</v>
          </cell>
          <cell r="T1601" t="str">
            <v>Bueno</v>
          </cell>
          <cell r="U1601" t="str">
            <v>N/T</v>
          </cell>
        </row>
        <row r="1602">
          <cell r="J1602" t="str">
            <v>42-04-04-00-1594</v>
          </cell>
          <cell r="K1602" t="str">
            <v>42-2170</v>
          </cell>
          <cell r="L1602" t="str">
            <v>42-04-04-00-1594</v>
          </cell>
          <cell r="M1602" t="str">
            <v>Mueble de macisa blanco con lavaplatos de acero inoxidable con llaves de  combinación adosado a la pared, 5 puertas, 1 cajones</v>
          </cell>
          <cell r="O1602" t="str">
            <v>MUEBLES DE COCINA</v>
          </cell>
          <cell r="P1602">
            <v>200000</v>
          </cell>
          <cell r="T1602" t="str">
            <v>Bueno</v>
          </cell>
          <cell r="U1602" t="str">
            <v>N/T</v>
          </cell>
        </row>
        <row r="1603">
          <cell r="J1603" t="str">
            <v>42-04-07-00-1595</v>
          </cell>
          <cell r="K1603" t="str">
            <v>42-2171</v>
          </cell>
          <cell r="L1603" t="str">
            <v>42-04-07-00-1595</v>
          </cell>
          <cell r="M1603" t="str">
            <v>Banca color plomo Rotary Club</v>
          </cell>
          <cell r="O1603" t="str">
            <v>OTROS</v>
          </cell>
          <cell r="P1603">
            <v>79000</v>
          </cell>
          <cell r="T1603" t="str">
            <v>Bueno</v>
          </cell>
          <cell r="U1603" t="str">
            <v>Rotary</v>
          </cell>
        </row>
        <row r="1604">
          <cell r="J1604" t="str">
            <v>42-05-02-01-1596</v>
          </cell>
          <cell r="K1604" t="str">
            <v>42-1048 B</v>
          </cell>
          <cell r="L1604" t="str">
            <v>42-05-02-01-1596</v>
          </cell>
          <cell r="M1604" t="str">
            <v>Mesa para autopsia de acero inoxidable con salida de agua por manguera  azul con ruedas</v>
          </cell>
          <cell r="O1604" t="str">
            <v>EQUIPOS CLINICOS</v>
          </cell>
          <cell r="P1604">
            <v>35000</v>
          </cell>
          <cell r="T1604" t="str">
            <v>Bueno</v>
          </cell>
          <cell r="U1604" t="str">
            <v>N/T</v>
          </cell>
        </row>
        <row r="1605">
          <cell r="J1605" t="str">
            <v>42-04-01-00-1597</v>
          </cell>
          <cell r="K1605" t="str">
            <v>42-1045</v>
          </cell>
          <cell r="L1605" t="str">
            <v>42-04-01-00-1597</v>
          </cell>
          <cell r="M1605" t="str">
            <v>Mesa con cubierta de acero inoxidable y 6 patas de fierro</v>
          </cell>
          <cell r="O1605" t="str">
            <v>MESAS</v>
          </cell>
          <cell r="P1605">
            <v>40000</v>
          </cell>
          <cell r="T1605" t="str">
            <v>Bueno</v>
          </cell>
          <cell r="U1605" t="str">
            <v>N/T</v>
          </cell>
        </row>
        <row r="1606">
          <cell r="J1606" t="str">
            <v>42-04-01-00-1598</v>
          </cell>
          <cell r="K1606" t="str">
            <v>42-1046</v>
          </cell>
          <cell r="L1606" t="str">
            <v>42-04-01-00-1598</v>
          </cell>
          <cell r="M1606" t="str">
            <v>Mesa con cubierta de acero inoxidable y 6 patas de fierro</v>
          </cell>
          <cell r="O1606" t="str">
            <v>MESAS</v>
          </cell>
          <cell r="P1606">
            <v>40000</v>
          </cell>
          <cell r="T1606" t="str">
            <v>Bueno</v>
          </cell>
          <cell r="U1606" t="str">
            <v>N/T</v>
          </cell>
        </row>
        <row r="1607">
          <cell r="J1607" t="str">
            <v>42-04-07-00-1599</v>
          </cell>
          <cell r="K1607" t="str">
            <v>42-1058</v>
          </cell>
          <cell r="L1607" t="str">
            <v>42-04-07-00-1599</v>
          </cell>
          <cell r="M1607" t="str">
            <v>Loker metálico verde-plomo marca Mindugar</v>
          </cell>
          <cell r="O1607" t="str">
            <v>OTROS</v>
          </cell>
          <cell r="P1607">
            <v>37500</v>
          </cell>
          <cell r="T1607" t="str">
            <v>Bueno</v>
          </cell>
          <cell r="U1607" t="str">
            <v>Mindugar</v>
          </cell>
        </row>
        <row r="1608">
          <cell r="J1608" t="str">
            <v>42-04-07-00-1600</v>
          </cell>
          <cell r="K1608" t="str">
            <v>42-1081</v>
          </cell>
          <cell r="L1608" t="str">
            <v>42-04-07-00-1600</v>
          </cell>
          <cell r="M1608" t="str">
            <v>Loker metálico verde-plomo marca Mindugar</v>
          </cell>
          <cell r="O1608" t="str">
            <v>OTROS</v>
          </cell>
          <cell r="P1608">
            <v>37500</v>
          </cell>
          <cell r="T1608" t="str">
            <v>Bueno</v>
          </cell>
          <cell r="U1608" t="str">
            <v>Mindugar</v>
          </cell>
        </row>
        <row r="1609">
          <cell r="J1609" t="str">
            <v>42-04-07-00-1601</v>
          </cell>
          <cell r="K1609" t="str">
            <v>42-1083</v>
          </cell>
          <cell r="L1609" t="str">
            <v>42-04-07-00-1601</v>
          </cell>
          <cell r="M1609" t="str">
            <v>Loker metálico verde-plomo marca Mindugar</v>
          </cell>
          <cell r="O1609" t="str">
            <v>OTROS</v>
          </cell>
          <cell r="P1609">
            <v>37500</v>
          </cell>
          <cell r="T1609" t="str">
            <v>Bueno</v>
          </cell>
          <cell r="U1609" t="str">
            <v>Mindugar</v>
          </cell>
        </row>
        <row r="1610">
          <cell r="J1610" t="str">
            <v>42-04-07-00-1602</v>
          </cell>
          <cell r="K1610" t="str">
            <v>42-1084</v>
          </cell>
          <cell r="L1610" t="str">
            <v>42-04-07-00-1602</v>
          </cell>
          <cell r="M1610" t="str">
            <v>Loker metálico verde-plomo marca Mindugar</v>
          </cell>
          <cell r="O1610" t="str">
            <v>OTROS</v>
          </cell>
          <cell r="P1610">
            <v>37500</v>
          </cell>
          <cell r="T1610" t="str">
            <v>Bueno</v>
          </cell>
          <cell r="U1610" t="str">
            <v>Mindugar</v>
          </cell>
        </row>
        <row r="1611">
          <cell r="J1611" t="str">
            <v>42-04-07-00-1603</v>
          </cell>
          <cell r="K1611" t="str">
            <v>42-1085</v>
          </cell>
          <cell r="L1611" t="str">
            <v>42-04-07-00-1603</v>
          </cell>
          <cell r="M1611" t="str">
            <v>Loker metálico verde-plomo marca Mindugar</v>
          </cell>
          <cell r="O1611" t="str">
            <v>OTROS</v>
          </cell>
          <cell r="P1611">
            <v>37500</v>
          </cell>
          <cell r="T1611" t="str">
            <v>Bueno</v>
          </cell>
          <cell r="U1611" t="str">
            <v>Mindugar</v>
          </cell>
        </row>
        <row r="1612">
          <cell r="J1612" t="str">
            <v>42-04-07-00-1604</v>
          </cell>
          <cell r="K1612" t="str">
            <v>42-1086</v>
          </cell>
          <cell r="L1612" t="str">
            <v>42-04-07-00-1604</v>
          </cell>
          <cell r="M1612" t="str">
            <v>Loker metálico verde-plomo marca Mindugar</v>
          </cell>
          <cell r="O1612" t="str">
            <v>OTROS</v>
          </cell>
          <cell r="P1612">
            <v>37500</v>
          </cell>
          <cell r="T1612" t="str">
            <v>Bueno</v>
          </cell>
          <cell r="U1612" t="str">
            <v>Mindugar</v>
          </cell>
        </row>
        <row r="1613">
          <cell r="J1613" t="str">
            <v>42-04-07-00-1605</v>
          </cell>
          <cell r="K1613" t="str">
            <v>42-1087</v>
          </cell>
          <cell r="L1613" t="str">
            <v>42-04-07-00-1605</v>
          </cell>
          <cell r="M1613" t="str">
            <v>Loker metálico verde-plomo marca Mindugar</v>
          </cell>
          <cell r="O1613" t="str">
            <v>OTROS</v>
          </cell>
          <cell r="P1613">
            <v>37500</v>
          </cell>
          <cell r="T1613" t="str">
            <v>Bueno</v>
          </cell>
          <cell r="U1613" t="str">
            <v>Mindugar</v>
          </cell>
        </row>
        <row r="1614">
          <cell r="J1614" t="str">
            <v>42-04-07-00-1606</v>
          </cell>
          <cell r="K1614" t="str">
            <v>42-1088</v>
          </cell>
          <cell r="L1614" t="str">
            <v>42-04-07-00-1606</v>
          </cell>
          <cell r="M1614" t="str">
            <v>Loker metálico verde-plomo marca Mindugar</v>
          </cell>
          <cell r="O1614" t="str">
            <v>OTROS</v>
          </cell>
          <cell r="P1614">
            <v>37500</v>
          </cell>
          <cell r="T1614" t="str">
            <v>Bueno</v>
          </cell>
          <cell r="U1614" t="str">
            <v>Mindugar</v>
          </cell>
        </row>
        <row r="1615">
          <cell r="J1615" t="str">
            <v>42-04-07-00-1607</v>
          </cell>
          <cell r="K1615" t="str">
            <v>42-1092</v>
          </cell>
          <cell r="L1615" t="str">
            <v>42-04-07-00-1607</v>
          </cell>
          <cell r="M1615" t="str">
            <v>Loker metálico verde-plomo marca Mindugar</v>
          </cell>
          <cell r="O1615" t="str">
            <v>OTROS</v>
          </cell>
          <cell r="P1615">
            <v>37500</v>
          </cell>
          <cell r="T1615" t="str">
            <v>Bueno</v>
          </cell>
          <cell r="U1615" t="str">
            <v>Mindugar</v>
          </cell>
        </row>
        <row r="1616">
          <cell r="J1616" t="str">
            <v>42-04-07-00-1608</v>
          </cell>
          <cell r="K1616" t="str">
            <v>42-2613</v>
          </cell>
          <cell r="L1616" t="str">
            <v>42-04-07-00-1608</v>
          </cell>
          <cell r="M1616" t="str">
            <v>Loker metálico verde-plomo marca Mindugar</v>
          </cell>
          <cell r="O1616" t="str">
            <v>OTROS</v>
          </cell>
          <cell r="P1616">
            <v>37500</v>
          </cell>
          <cell r="T1616" t="str">
            <v>Bueno</v>
          </cell>
          <cell r="U1616" t="str">
            <v>Mindugar</v>
          </cell>
        </row>
        <row r="1617">
          <cell r="J1617" t="str">
            <v>42-04-07-00-1609</v>
          </cell>
          <cell r="K1617" t="str">
            <v>42-3313</v>
          </cell>
          <cell r="L1617" t="str">
            <v>42-04-07-00-1609</v>
          </cell>
          <cell r="M1617" t="str">
            <v>Loker metálico verde-plomo marca Mindugar</v>
          </cell>
          <cell r="O1617" t="str">
            <v>OTROS</v>
          </cell>
          <cell r="P1617">
            <v>37500</v>
          </cell>
          <cell r="T1617" t="str">
            <v>Bueno</v>
          </cell>
          <cell r="U1617" t="str">
            <v>Mindugar</v>
          </cell>
        </row>
        <row r="1618">
          <cell r="J1618" t="str">
            <v>42-04-07-00-1610</v>
          </cell>
          <cell r="K1618" t="str">
            <v>42-2379</v>
          </cell>
          <cell r="L1618" t="str">
            <v>42-04-07-00-1610</v>
          </cell>
          <cell r="M1618" t="str">
            <v>Banca de madera con respaldo color verde</v>
          </cell>
          <cell r="O1618" t="str">
            <v>OTROS</v>
          </cell>
          <cell r="P1618">
            <v>40541</v>
          </cell>
          <cell r="T1618" t="str">
            <v>Bueno</v>
          </cell>
          <cell r="U1618" t="str">
            <v>N/T</v>
          </cell>
        </row>
        <row r="1619">
          <cell r="J1619" t="str">
            <v>42-04-07-00-1611</v>
          </cell>
          <cell r="K1619" t="str">
            <v>42-1048</v>
          </cell>
          <cell r="L1619" t="str">
            <v>42-04-07-00-1611</v>
          </cell>
          <cell r="M1619" t="str">
            <v>Loker metálico verde-plomo marca Mindugar</v>
          </cell>
          <cell r="O1619" t="str">
            <v>OTROS</v>
          </cell>
          <cell r="P1619">
            <v>37500</v>
          </cell>
          <cell r="T1619" t="str">
            <v>Bueno</v>
          </cell>
          <cell r="U1619" t="str">
            <v>Mindugar</v>
          </cell>
        </row>
        <row r="1620">
          <cell r="J1620" t="str">
            <v>42-04-07-00-1612</v>
          </cell>
          <cell r="K1620" t="str">
            <v>42-1053</v>
          </cell>
          <cell r="L1620" t="str">
            <v>42-04-07-00-1612</v>
          </cell>
          <cell r="M1620" t="str">
            <v>Loker metálico verde-plomo marca Mindugar</v>
          </cell>
          <cell r="O1620" t="str">
            <v>OTROS</v>
          </cell>
          <cell r="P1620">
            <v>37500</v>
          </cell>
          <cell r="T1620" t="str">
            <v>Bueno</v>
          </cell>
          <cell r="U1620" t="str">
            <v>Mindugar</v>
          </cell>
        </row>
        <row r="1621">
          <cell r="J1621" t="str">
            <v>42-04-07-00-1613</v>
          </cell>
          <cell r="K1621" t="str">
            <v>42-1059</v>
          </cell>
          <cell r="L1621" t="str">
            <v>42-04-07-00-1613</v>
          </cell>
          <cell r="M1621" t="str">
            <v>Loker metálico verde-plomo marca Mindugar</v>
          </cell>
          <cell r="O1621" t="str">
            <v>OTROS</v>
          </cell>
          <cell r="P1621">
            <v>37500</v>
          </cell>
          <cell r="T1621" t="str">
            <v>Bueno</v>
          </cell>
          <cell r="U1621" t="str">
            <v>Mindugar</v>
          </cell>
        </row>
        <row r="1622">
          <cell r="J1622" t="str">
            <v>42-04-07-00-1614</v>
          </cell>
          <cell r="K1622" t="str">
            <v>42-1061</v>
          </cell>
          <cell r="L1622" t="str">
            <v>42-04-07-00-1614</v>
          </cell>
          <cell r="M1622" t="str">
            <v>Loker metálico verde-plomo marca Mindugar</v>
          </cell>
          <cell r="O1622" t="str">
            <v>OTROS</v>
          </cell>
          <cell r="P1622">
            <v>37500</v>
          </cell>
          <cell r="T1622" t="str">
            <v>Bueno</v>
          </cell>
          <cell r="U1622" t="str">
            <v>Mindugar</v>
          </cell>
        </row>
        <row r="1623">
          <cell r="J1623" t="str">
            <v>42-04-07-00-1615</v>
          </cell>
          <cell r="K1623" t="str">
            <v>42-1061B</v>
          </cell>
          <cell r="L1623" t="str">
            <v>42-04-07-00-1615</v>
          </cell>
          <cell r="M1623" t="str">
            <v>Loker metálico verde-plomo marca Mindugar</v>
          </cell>
          <cell r="O1623" t="str">
            <v>OTROS</v>
          </cell>
          <cell r="P1623">
            <v>37500</v>
          </cell>
          <cell r="T1623" t="str">
            <v>Bueno</v>
          </cell>
          <cell r="U1623" t="str">
            <v>Mindugar</v>
          </cell>
        </row>
        <row r="1624">
          <cell r="J1624" t="str">
            <v>42-04-07-00-1616</v>
          </cell>
          <cell r="K1624" t="str">
            <v>42-1062</v>
          </cell>
          <cell r="L1624" t="str">
            <v>42-04-07-00-1616</v>
          </cell>
          <cell r="M1624" t="str">
            <v>Loker metálico verde-plomo marca Mindugar</v>
          </cell>
          <cell r="O1624" t="str">
            <v>OTROS</v>
          </cell>
          <cell r="P1624">
            <v>37500</v>
          </cell>
          <cell r="T1624" t="str">
            <v>Bueno</v>
          </cell>
          <cell r="U1624" t="str">
            <v>Mindugar</v>
          </cell>
        </row>
        <row r="1625">
          <cell r="J1625" t="str">
            <v>42-04-07-00-1617</v>
          </cell>
          <cell r="K1625" t="str">
            <v>42-1063</v>
          </cell>
          <cell r="L1625" t="str">
            <v>42-04-07-00-1617</v>
          </cell>
          <cell r="M1625" t="str">
            <v>Loker metálico verde-plomo marca Mindugar</v>
          </cell>
          <cell r="O1625" t="str">
            <v>OTROS</v>
          </cell>
          <cell r="P1625">
            <v>37500</v>
          </cell>
          <cell r="T1625" t="str">
            <v>Bueno</v>
          </cell>
          <cell r="U1625" t="str">
            <v>Mindugar</v>
          </cell>
        </row>
        <row r="1626">
          <cell r="J1626" t="str">
            <v>42-04-07-00-1618</v>
          </cell>
          <cell r="K1626" t="str">
            <v>42-1064</v>
          </cell>
          <cell r="L1626" t="str">
            <v>42-04-07-00-1618</v>
          </cell>
          <cell r="M1626" t="str">
            <v>Loker metálico verde-plomo marca Mindugar</v>
          </cell>
          <cell r="O1626" t="str">
            <v>OTROS</v>
          </cell>
          <cell r="P1626">
            <v>37500</v>
          </cell>
          <cell r="T1626" t="str">
            <v>Bueno</v>
          </cell>
          <cell r="U1626" t="str">
            <v>Mindugar</v>
          </cell>
        </row>
        <row r="1627">
          <cell r="J1627" t="str">
            <v>42-04-07-00-1619</v>
          </cell>
          <cell r="K1627" t="str">
            <v>42-1065</v>
          </cell>
          <cell r="L1627" t="str">
            <v>42-04-07-00-1619</v>
          </cell>
          <cell r="M1627" t="str">
            <v>Loker metálico verde-plomo marca Mindugar</v>
          </cell>
          <cell r="O1627" t="str">
            <v>OTROS</v>
          </cell>
          <cell r="P1627">
            <v>37500</v>
          </cell>
          <cell r="T1627" t="str">
            <v>Bueno</v>
          </cell>
          <cell r="U1627" t="str">
            <v>Mindugar</v>
          </cell>
        </row>
        <row r="1628">
          <cell r="J1628" t="str">
            <v>42-04-07-00-1620</v>
          </cell>
          <cell r="K1628" t="str">
            <v>42-1066</v>
          </cell>
          <cell r="L1628" t="str">
            <v>42-04-07-00-1620</v>
          </cell>
          <cell r="M1628" t="str">
            <v>Loker metálico verde-plomo marca Mindugar</v>
          </cell>
          <cell r="O1628" t="str">
            <v>OTROS</v>
          </cell>
          <cell r="P1628">
            <v>37500</v>
          </cell>
          <cell r="T1628" t="str">
            <v>Bueno</v>
          </cell>
          <cell r="U1628" t="str">
            <v>Mindugar</v>
          </cell>
        </row>
        <row r="1629">
          <cell r="J1629" t="str">
            <v>42-04-07-00-1621</v>
          </cell>
          <cell r="K1629" t="str">
            <v>42-1067</v>
          </cell>
          <cell r="L1629" t="str">
            <v>42-04-07-00-1621</v>
          </cell>
          <cell r="M1629" t="str">
            <v>Loker metálico verde-plomo marca Mindugar</v>
          </cell>
          <cell r="O1629" t="str">
            <v>OTROS</v>
          </cell>
          <cell r="P1629">
            <v>37500</v>
          </cell>
          <cell r="T1629" t="str">
            <v>Bueno</v>
          </cell>
          <cell r="U1629" t="str">
            <v>Mindugar</v>
          </cell>
        </row>
        <row r="1630">
          <cell r="J1630" t="str">
            <v>42-04-07-00-1622</v>
          </cell>
          <cell r="K1630" t="str">
            <v>42-1069</v>
          </cell>
          <cell r="L1630" t="str">
            <v>42-04-07-00-1622</v>
          </cell>
          <cell r="M1630" t="str">
            <v>Loker metálico verde-plomo marca Mindugar</v>
          </cell>
          <cell r="O1630" t="str">
            <v>OTROS</v>
          </cell>
          <cell r="P1630">
            <v>37500</v>
          </cell>
          <cell r="T1630" t="str">
            <v>Bueno</v>
          </cell>
          <cell r="U1630" t="str">
            <v>Mindugar</v>
          </cell>
        </row>
        <row r="1631">
          <cell r="J1631" t="str">
            <v>42-04-07-00-1623</v>
          </cell>
          <cell r="K1631" t="str">
            <v>42-1070</v>
          </cell>
          <cell r="L1631" t="str">
            <v>42-04-07-00-1623</v>
          </cell>
          <cell r="M1631" t="str">
            <v>Loker metálico verde-plomo marca Mindugar</v>
          </cell>
          <cell r="O1631" t="str">
            <v>OTROS</v>
          </cell>
          <cell r="P1631">
            <v>37500</v>
          </cell>
          <cell r="T1631" t="str">
            <v>Bueno</v>
          </cell>
          <cell r="U1631" t="str">
            <v>Mindugar</v>
          </cell>
        </row>
        <row r="1632">
          <cell r="J1632" t="str">
            <v>42-04-07-00-1624</v>
          </cell>
          <cell r="K1632" t="str">
            <v>42-1071</v>
          </cell>
          <cell r="L1632" t="str">
            <v>42-04-07-00-1624</v>
          </cell>
          <cell r="M1632" t="str">
            <v>Loker metálico verde-plomo marca Mindugar</v>
          </cell>
          <cell r="O1632" t="str">
            <v>OTROS</v>
          </cell>
          <cell r="P1632">
            <v>37500</v>
          </cell>
          <cell r="T1632" t="str">
            <v>Bueno</v>
          </cell>
          <cell r="U1632" t="str">
            <v>Mindugar</v>
          </cell>
        </row>
        <row r="1633">
          <cell r="J1633" t="str">
            <v>42-04-07-00-1625</v>
          </cell>
          <cell r="K1633" t="str">
            <v>42-1075</v>
          </cell>
          <cell r="L1633" t="str">
            <v>42-04-07-00-1625</v>
          </cell>
          <cell r="M1633" t="str">
            <v>Loker metálico verde-plomo marca Mindugar</v>
          </cell>
          <cell r="O1633" t="str">
            <v>OTROS</v>
          </cell>
          <cell r="P1633">
            <v>37500</v>
          </cell>
          <cell r="T1633" t="str">
            <v>Bueno</v>
          </cell>
          <cell r="U1633" t="str">
            <v>N/T</v>
          </cell>
        </row>
        <row r="1634">
          <cell r="J1634" t="str">
            <v>42-04-07-00-1626</v>
          </cell>
          <cell r="K1634" t="str">
            <v>42-1077</v>
          </cell>
          <cell r="L1634" t="str">
            <v>42-04-07-00-1626</v>
          </cell>
          <cell r="M1634" t="str">
            <v>Loker metálico verde-plomo marca Mindugar</v>
          </cell>
          <cell r="O1634" t="str">
            <v>OTROS</v>
          </cell>
          <cell r="P1634">
            <v>37500</v>
          </cell>
          <cell r="T1634" t="str">
            <v>Bueno</v>
          </cell>
          <cell r="U1634" t="str">
            <v>Mindugar</v>
          </cell>
        </row>
        <row r="1635">
          <cell r="J1635" t="str">
            <v>42-04-07-00-1627</v>
          </cell>
          <cell r="K1635" t="str">
            <v>42-1078</v>
          </cell>
          <cell r="L1635" t="str">
            <v>42-04-07-00-1627</v>
          </cell>
          <cell r="M1635" t="str">
            <v>Loker metálico verde-plomo marca Mindugar</v>
          </cell>
          <cell r="O1635" t="str">
            <v>OTROS</v>
          </cell>
          <cell r="P1635">
            <v>37500</v>
          </cell>
          <cell r="T1635" t="str">
            <v>Bueno</v>
          </cell>
          <cell r="U1635" t="str">
            <v>Mindugar</v>
          </cell>
        </row>
        <row r="1636">
          <cell r="J1636" t="str">
            <v>42-04-07-00-1628</v>
          </cell>
          <cell r="K1636" t="str">
            <v>42-1079</v>
          </cell>
          <cell r="L1636" t="str">
            <v>42-04-07-00-1628</v>
          </cell>
          <cell r="M1636" t="str">
            <v>Loker metálico verde-plomo marca Mindugar</v>
          </cell>
          <cell r="O1636" t="str">
            <v>OTROS</v>
          </cell>
          <cell r="P1636">
            <v>37500</v>
          </cell>
          <cell r="T1636" t="str">
            <v>Bueno</v>
          </cell>
          <cell r="U1636" t="str">
            <v>Mindugar</v>
          </cell>
        </row>
        <row r="1637">
          <cell r="J1637" t="str">
            <v>42-04-02-00-1629</v>
          </cell>
          <cell r="K1637" t="str">
            <v>42-2901</v>
          </cell>
          <cell r="L1637" t="str">
            <v>42-04-02-00-1629</v>
          </cell>
          <cell r="M1637" t="str">
            <v>Silla mixta barniz natural</v>
          </cell>
          <cell r="O1637" t="str">
            <v>SILLAS</v>
          </cell>
          <cell r="P1637">
            <v>17850</v>
          </cell>
          <cell r="T1637" t="str">
            <v>Bueno</v>
          </cell>
          <cell r="U1637" t="str">
            <v>N/T</v>
          </cell>
        </row>
        <row r="1638">
          <cell r="J1638" t="str">
            <v>42-04-07-00-1630</v>
          </cell>
          <cell r="K1638" t="str">
            <v>42-2616</v>
          </cell>
          <cell r="L1638" t="str">
            <v>42-04-07-00-1630</v>
          </cell>
          <cell r="M1638" t="str">
            <v>Banca de madera color verde</v>
          </cell>
          <cell r="O1638" t="str">
            <v>OTROS</v>
          </cell>
          <cell r="P1638">
            <v>40541</v>
          </cell>
          <cell r="T1638" t="str">
            <v>Bueno</v>
          </cell>
          <cell r="U1638" t="str">
            <v>N/T</v>
          </cell>
        </row>
        <row r="1639">
          <cell r="J1639" t="str">
            <v>42-04-07-00-1631</v>
          </cell>
          <cell r="K1639" t="str">
            <v>42-2617</v>
          </cell>
          <cell r="L1639" t="str">
            <v>42-04-07-00-1631</v>
          </cell>
          <cell r="M1639" t="str">
            <v>Secador de manos marca Novar</v>
          </cell>
          <cell r="N1639">
            <v>1</v>
          </cell>
          <cell r="O1639" t="str">
            <v>OTROS</v>
          </cell>
          <cell r="P1639">
            <v>26987</v>
          </cell>
          <cell r="T1639" t="str">
            <v>Malo</v>
          </cell>
          <cell r="U1639" t="str">
            <v>N/T</v>
          </cell>
        </row>
        <row r="1640">
          <cell r="J1640" t="str">
            <v>42-04-07-00-1632</v>
          </cell>
          <cell r="K1640" t="str">
            <v>42-1049</v>
          </cell>
          <cell r="L1640" t="str">
            <v>42-04-07-00-1632</v>
          </cell>
          <cell r="M1640" t="str">
            <v>Loker metálico verde-plomo marca Mindugar</v>
          </cell>
          <cell r="O1640" t="str">
            <v>OTROS</v>
          </cell>
          <cell r="P1640">
            <v>37500</v>
          </cell>
          <cell r="T1640" t="str">
            <v>Bueno</v>
          </cell>
          <cell r="U1640" t="str">
            <v>Mindugar</v>
          </cell>
        </row>
        <row r="1641">
          <cell r="J1641" t="str">
            <v>42-04-07-00-1633</v>
          </cell>
          <cell r="K1641" t="str">
            <v>42-1051</v>
          </cell>
          <cell r="L1641" t="str">
            <v>42-04-07-00-1633</v>
          </cell>
          <cell r="M1641" t="str">
            <v>Loker metálico verde-plomo marca Mindugar</v>
          </cell>
          <cell r="O1641" t="str">
            <v>OTROS</v>
          </cell>
          <cell r="P1641">
            <v>37500</v>
          </cell>
          <cell r="T1641" t="str">
            <v>Bueno</v>
          </cell>
          <cell r="U1641" t="str">
            <v>Mindugar</v>
          </cell>
        </row>
        <row r="1642">
          <cell r="J1642" t="str">
            <v>42-04-07-00-1634</v>
          </cell>
          <cell r="K1642" t="str">
            <v>42-1052</v>
          </cell>
          <cell r="L1642" t="str">
            <v>42-04-07-00-1634</v>
          </cell>
          <cell r="M1642" t="str">
            <v>Loker metálico verde-plomo marca Mindugar</v>
          </cell>
          <cell r="O1642" t="str">
            <v>OTROS</v>
          </cell>
          <cell r="P1642">
            <v>37500</v>
          </cell>
          <cell r="T1642" t="str">
            <v>Bueno</v>
          </cell>
          <cell r="U1642" t="str">
            <v>Mindugar</v>
          </cell>
        </row>
        <row r="1643">
          <cell r="J1643" t="str">
            <v>42-04-07-00-1635</v>
          </cell>
          <cell r="K1643" t="str">
            <v>42-1055</v>
          </cell>
          <cell r="L1643" t="str">
            <v>42-04-07-00-1635</v>
          </cell>
          <cell r="M1643" t="str">
            <v>Loker metálico verde-plomo marca Mindugar</v>
          </cell>
          <cell r="O1643" t="str">
            <v>OTROS</v>
          </cell>
          <cell r="P1643">
            <v>37500</v>
          </cell>
          <cell r="T1643" t="str">
            <v>Bueno</v>
          </cell>
          <cell r="U1643" t="str">
            <v>Mindugar</v>
          </cell>
        </row>
        <row r="1644">
          <cell r="J1644" t="str">
            <v>42-04-07-00-1636</v>
          </cell>
          <cell r="K1644" t="str">
            <v>42-1068</v>
          </cell>
          <cell r="L1644" t="str">
            <v>42-04-07-00-1636</v>
          </cell>
          <cell r="M1644" t="str">
            <v>Loker metálico verde-plomo marca Mindugar</v>
          </cell>
          <cell r="O1644" t="str">
            <v>OTROS</v>
          </cell>
          <cell r="P1644">
            <v>37500</v>
          </cell>
          <cell r="T1644" t="str">
            <v>Bueno</v>
          </cell>
          <cell r="U1644" t="str">
            <v>Mindugar</v>
          </cell>
        </row>
        <row r="1645">
          <cell r="J1645" t="str">
            <v>42-04-07-00-1637</v>
          </cell>
          <cell r="K1645" t="str">
            <v>42-1072</v>
          </cell>
          <cell r="L1645" t="str">
            <v>42-04-07-00-1637</v>
          </cell>
          <cell r="M1645" t="str">
            <v>Loker metálico verde-plomo marca Mindugar</v>
          </cell>
          <cell r="O1645" t="str">
            <v>OTROS</v>
          </cell>
          <cell r="P1645">
            <v>37500</v>
          </cell>
          <cell r="T1645" t="str">
            <v>Bueno</v>
          </cell>
          <cell r="U1645" t="str">
            <v>Mindugar</v>
          </cell>
        </row>
        <row r="1646">
          <cell r="J1646" t="str">
            <v>42-04-07-00-1638</v>
          </cell>
          <cell r="K1646" t="str">
            <v>42-1073</v>
          </cell>
          <cell r="L1646" t="str">
            <v>42-04-07-00-1638</v>
          </cell>
          <cell r="M1646" t="str">
            <v>Loker metálico verde-plomo marca Mindugar</v>
          </cell>
          <cell r="O1646" t="str">
            <v>OTROS</v>
          </cell>
          <cell r="P1646">
            <v>37500</v>
          </cell>
          <cell r="T1646" t="str">
            <v>Bueno</v>
          </cell>
          <cell r="U1646" t="str">
            <v>Mindugar</v>
          </cell>
        </row>
        <row r="1647">
          <cell r="J1647" t="str">
            <v>42-04-07-00-1639</v>
          </cell>
          <cell r="K1647" t="str">
            <v>42-1074</v>
          </cell>
          <cell r="L1647" t="str">
            <v>42-04-07-00-1639</v>
          </cell>
          <cell r="M1647" t="str">
            <v>Loker metálico verde-plomo marca Mindugar</v>
          </cell>
          <cell r="O1647" t="str">
            <v>OTROS</v>
          </cell>
          <cell r="P1647">
            <v>37500</v>
          </cell>
          <cell r="T1647" t="str">
            <v>Bueno</v>
          </cell>
          <cell r="U1647" t="str">
            <v>Mindugar</v>
          </cell>
        </row>
        <row r="1648">
          <cell r="J1648" t="str">
            <v>42-04-07-00-1640</v>
          </cell>
          <cell r="K1648" t="str">
            <v>42-1076</v>
          </cell>
          <cell r="L1648" t="str">
            <v>42-04-07-00-1640</v>
          </cell>
          <cell r="M1648" t="str">
            <v>Loker metálico verde-plomo marca Mindugar</v>
          </cell>
          <cell r="O1648" t="str">
            <v>OTROS</v>
          </cell>
          <cell r="P1648">
            <v>37500</v>
          </cell>
          <cell r="T1648" t="str">
            <v>Bueno</v>
          </cell>
          <cell r="U1648" t="str">
            <v>Mindugar</v>
          </cell>
        </row>
        <row r="1649">
          <cell r="J1649" t="str">
            <v>42-04-07-00-1641</v>
          </cell>
          <cell r="K1649" t="str">
            <v>42-1090</v>
          </cell>
          <cell r="L1649" t="str">
            <v>42-04-07-00-1641</v>
          </cell>
          <cell r="M1649" t="str">
            <v>Loker metálico verde-plomo marca Mindugar</v>
          </cell>
          <cell r="O1649" t="str">
            <v>OTROS</v>
          </cell>
          <cell r="P1649">
            <v>37500</v>
          </cell>
          <cell r="T1649" t="str">
            <v>Bueno</v>
          </cell>
          <cell r="U1649" t="str">
            <v>Mindugar</v>
          </cell>
        </row>
        <row r="1650">
          <cell r="J1650" t="str">
            <v>42-04-07-00-1642</v>
          </cell>
          <cell r="K1650" t="str">
            <v>42-1091</v>
          </cell>
          <cell r="L1650" t="str">
            <v>42-04-07-00-1642</v>
          </cell>
          <cell r="M1650" t="str">
            <v>Loker metálico verde-plomo marca Mindugar</v>
          </cell>
          <cell r="O1650" t="str">
            <v>OTROS</v>
          </cell>
          <cell r="P1650">
            <v>37500</v>
          </cell>
          <cell r="T1650" t="str">
            <v>Bueno</v>
          </cell>
          <cell r="U1650" t="str">
            <v>Mindugar</v>
          </cell>
        </row>
        <row r="1651">
          <cell r="J1651" t="str">
            <v>42-04-07-00-1643</v>
          </cell>
          <cell r="K1651" t="str">
            <v>42-1060</v>
          </cell>
          <cell r="L1651" t="str">
            <v>42-04-07-00-1643</v>
          </cell>
          <cell r="M1651" t="str">
            <v>Loker metálico verde-plomo marca Mindugar</v>
          </cell>
          <cell r="O1651" t="str">
            <v>OTROS</v>
          </cell>
          <cell r="P1651">
            <v>37500</v>
          </cell>
          <cell r="T1651" t="str">
            <v>Bueno</v>
          </cell>
          <cell r="U1651" t="str">
            <v>Mindugar</v>
          </cell>
        </row>
        <row r="1652">
          <cell r="J1652" t="str">
            <v>42-04-07-00-1644</v>
          </cell>
          <cell r="K1652" t="str">
            <v>42-3201</v>
          </cell>
          <cell r="L1652" t="str">
            <v>42-04-07-00-1644</v>
          </cell>
          <cell r="M1652" t="str">
            <v>Loker metálico verde-plomo marca Mindugar</v>
          </cell>
          <cell r="O1652" t="str">
            <v>OTROS</v>
          </cell>
          <cell r="P1652">
            <v>37500</v>
          </cell>
          <cell r="T1652" t="str">
            <v>Bueno</v>
          </cell>
          <cell r="U1652" t="str">
            <v>Mindugar</v>
          </cell>
        </row>
        <row r="1653">
          <cell r="J1653" t="str">
            <v>42-04-07-00-1645</v>
          </cell>
          <cell r="K1653" t="str">
            <v>42-3200</v>
          </cell>
          <cell r="L1653" t="str">
            <v>42-04-07-00-1645</v>
          </cell>
          <cell r="M1653" t="str">
            <v>Loker metálico 4 puertas color plomo</v>
          </cell>
          <cell r="O1653" t="str">
            <v>OTROS</v>
          </cell>
          <cell r="P1653">
            <v>37500</v>
          </cell>
          <cell r="T1653" t="str">
            <v>Bueno</v>
          </cell>
          <cell r="U1653" t="str">
            <v>Mindugar</v>
          </cell>
        </row>
        <row r="1654">
          <cell r="J1654" t="str">
            <v>42-04-07-00-1646</v>
          </cell>
          <cell r="K1654" t="str">
            <v>42-1080</v>
          </cell>
          <cell r="L1654" t="str">
            <v>42-04-07-00-1646</v>
          </cell>
          <cell r="M1654" t="str">
            <v>Loker metálico verde y plomo Mindugar</v>
          </cell>
          <cell r="O1654" t="str">
            <v>OTROS</v>
          </cell>
          <cell r="P1654">
            <v>37500</v>
          </cell>
          <cell r="T1654" t="str">
            <v>Bueno</v>
          </cell>
          <cell r="U1654" t="str">
            <v>Mindugar</v>
          </cell>
        </row>
        <row r="1655">
          <cell r="J1655" t="str">
            <v>42-04-07-00-1647</v>
          </cell>
          <cell r="K1655" t="str">
            <v>42-1076 B</v>
          </cell>
          <cell r="L1655" t="str">
            <v>42-04-07-00-1647</v>
          </cell>
          <cell r="M1655" t="str">
            <v>Loker metálico verde y plomo Mindugar</v>
          </cell>
          <cell r="O1655" t="str">
            <v>OTROS</v>
          </cell>
          <cell r="P1655">
            <v>37500</v>
          </cell>
          <cell r="T1655" t="str">
            <v>Bueno</v>
          </cell>
          <cell r="U1655" t="str">
            <v>Mindugar</v>
          </cell>
        </row>
        <row r="1656">
          <cell r="J1656" t="str">
            <v>42-04-07-00-1648</v>
          </cell>
          <cell r="K1656" t="str">
            <v>42-2904</v>
          </cell>
          <cell r="L1656" t="str">
            <v>42-04-07-00-1648</v>
          </cell>
          <cell r="M1656" t="str">
            <v>Banca mixta con respaldo color plomo</v>
          </cell>
          <cell r="O1656" t="str">
            <v>OTROS</v>
          </cell>
          <cell r="P1656">
            <v>40541</v>
          </cell>
          <cell r="T1656" t="str">
            <v>Bueno</v>
          </cell>
          <cell r="U1656" t="str">
            <v>N/T</v>
          </cell>
        </row>
        <row r="1657">
          <cell r="J1657" t="str">
            <v>42-04-07-00-1649</v>
          </cell>
          <cell r="K1657" t="str">
            <v>42-3199</v>
          </cell>
          <cell r="L1657" t="str">
            <v>42-04-07-00-1649</v>
          </cell>
          <cell r="M1657" t="str">
            <v>Banca mixta con respaldo color verde</v>
          </cell>
          <cell r="O1657" t="str">
            <v>OTROS</v>
          </cell>
          <cell r="P1657">
            <v>40541</v>
          </cell>
          <cell r="T1657" t="str">
            <v>Bueno</v>
          </cell>
          <cell r="U1657" t="str">
            <v>N/T</v>
          </cell>
        </row>
        <row r="1658">
          <cell r="J1658" t="str">
            <v>42-04-06-00-1650</v>
          </cell>
          <cell r="K1658" t="str">
            <v>42-3203</v>
          </cell>
          <cell r="L1658" t="str">
            <v>42-04-06-00-1650</v>
          </cell>
          <cell r="M1658" t="str">
            <v>Closet madera masisa 2 puertas correderas de 62x172 cms.</v>
          </cell>
          <cell r="O1658" t="str">
            <v>REPISA</v>
          </cell>
          <cell r="P1658">
            <v>68975</v>
          </cell>
          <cell r="T1658" t="str">
            <v>Bueno</v>
          </cell>
          <cell r="U1658" t="str">
            <v>N/T</v>
          </cell>
        </row>
        <row r="1659">
          <cell r="J1659" t="str">
            <v>42-04-07-00-1651</v>
          </cell>
          <cell r="K1659" t="str">
            <v>42-2615</v>
          </cell>
          <cell r="L1659" t="str">
            <v>42-04-07-00-1651</v>
          </cell>
          <cell r="M1659" t="str">
            <v>Secador de manos marca Novar</v>
          </cell>
          <cell r="N1659">
            <v>1</v>
          </cell>
          <cell r="O1659" t="str">
            <v>OTROS</v>
          </cell>
          <cell r="P1659">
            <v>26987</v>
          </cell>
          <cell r="T1659" t="str">
            <v>Bueno</v>
          </cell>
          <cell r="U1659" t="str">
            <v>N/T</v>
          </cell>
        </row>
        <row r="1660">
          <cell r="J1660" t="str">
            <v>42-05-01-01-1652</v>
          </cell>
          <cell r="K1660" t="str">
            <v>42-1243</v>
          </cell>
          <cell r="L1660" t="str">
            <v>42-05-01-01-1652</v>
          </cell>
          <cell r="M1660" t="str">
            <v>Televisor a color 14 pulgadas con control remoto marca Sony</v>
          </cell>
          <cell r="O1660" t="str">
            <v>EQUIPO DE OFICINA</v>
          </cell>
          <cell r="P1660">
            <v>50000</v>
          </cell>
          <cell r="T1660" t="str">
            <v>Regular</v>
          </cell>
          <cell r="U1660" t="str">
            <v>Sony</v>
          </cell>
        </row>
        <row r="1661">
          <cell r="J1661" t="str">
            <v>42-04-02-00-1653</v>
          </cell>
          <cell r="K1661" t="str">
            <v>42-1316</v>
          </cell>
          <cell r="L1661" t="str">
            <v>42-04-02-00-1653</v>
          </cell>
          <cell r="M1661" t="str">
            <v>Silla computacional color gris G Lift, 5 ruedas</v>
          </cell>
          <cell r="O1661" t="str">
            <v>SILLAS</v>
          </cell>
          <cell r="P1661">
            <v>42500</v>
          </cell>
          <cell r="T1661" t="str">
            <v>Bueno</v>
          </cell>
          <cell r="U1661" t="str">
            <v>N/T</v>
          </cell>
        </row>
        <row r="1662">
          <cell r="J1662" t="str">
            <v>42-04-07-00-1654</v>
          </cell>
          <cell r="K1662" t="str">
            <v>42-1090 B</v>
          </cell>
          <cell r="L1662" t="str">
            <v>42-04-07-00-1654</v>
          </cell>
          <cell r="M1662" t="str">
            <v>Marquesa de madera barniz oscuro con somier sueco</v>
          </cell>
          <cell r="O1662" t="str">
            <v>OTROS</v>
          </cell>
          <cell r="P1662">
            <v>150000</v>
          </cell>
          <cell r="T1662" t="str">
            <v>Bueno</v>
          </cell>
          <cell r="U1662" t="str">
            <v>N/T</v>
          </cell>
        </row>
        <row r="1663">
          <cell r="J1663" t="str">
            <v>42-04-07-00-1655</v>
          </cell>
          <cell r="K1663" t="str">
            <v>42-939</v>
          </cell>
          <cell r="L1663" t="str">
            <v>42-04-07-00-1655</v>
          </cell>
          <cell r="M1663" t="str">
            <v>Velador mixto, 1 puerta, 1 cajón barniz oscuro</v>
          </cell>
          <cell r="O1663" t="str">
            <v>OTROS</v>
          </cell>
          <cell r="P1663">
            <v>16855</v>
          </cell>
          <cell r="T1663" t="str">
            <v>Bueno</v>
          </cell>
          <cell r="U1663" t="str">
            <v>N/T</v>
          </cell>
        </row>
        <row r="1664">
          <cell r="J1664" t="str">
            <v>42-04-07-00-1656</v>
          </cell>
          <cell r="K1664" t="str">
            <v>42-939 B</v>
          </cell>
          <cell r="L1664" t="str">
            <v>42-04-07-00-1656</v>
          </cell>
          <cell r="M1664" t="str">
            <v>Velador mixto, 1 puerta, 1 cajón barniz oscuro</v>
          </cell>
          <cell r="O1664" t="str">
            <v>OTROS</v>
          </cell>
          <cell r="P1664">
            <v>16855</v>
          </cell>
          <cell r="T1664" t="str">
            <v>Bueno</v>
          </cell>
          <cell r="U1664" t="str">
            <v>N/T</v>
          </cell>
        </row>
        <row r="1665">
          <cell r="J1665" t="str">
            <v>42-04-03-00-1657</v>
          </cell>
          <cell r="K1665" t="str">
            <v>42-210</v>
          </cell>
          <cell r="L1665" t="str">
            <v>42-04-03-00-1657</v>
          </cell>
          <cell r="M1665" t="str">
            <v>Escritorio mixto 2 cajones color negro 120x75 cms.</v>
          </cell>
          <cell r="O1665" t="str">
            <v>ESCRITORIOS</v>
          </cell>
          <cell r="P1665">
            <v>89000</v>
          </cell>
          <cell r="T1665" t="str">
            <v>Bueno</v>
          </cell>
          <cell r="U1665" t="str">
            <v>N/T</v>
          </cell>
        </row>
        <row r="1666">
          <cell r="J1666" t="str">
            <v>42-04-07-00-1658</v>
          </cell>
          <cell r="K1666" t="str">
            <v>42-2313</v>
          </cell>
          <cell r="L1666" t="str">
            <v>42-04-07-00-1658</v>
          </cell>
          <cell r="M1666" t="str">
            <v>Lámpara apliqué color blanco</v>
          </cell>
          <cell r="O1666" t="str">
            <v>OTROS</v>
          </cell>
          <cell r="P1666">
            <v>410000</v>
          </cell>
          <cell r="T1666" t="str">
            <v>Bueno</v>
          </cell>
          <cell r="U1666" t="str">
            <v>N/T</v>
          </cell>
        </row>
        <row r="1667">
          <cell r="J1667" t="str">
            <v>42-05-01-01-1659</v>
          </cell>
          <cell r="K1667" t="str">
            <v>42-2312</v>
          </cell>
          <cell r="L1667" t="str">
            <v>42-05-01-01-1659</v>
          </cell>
          <cell r="M1667" t="str">
            <v>Citófono/ teléfono marca Nortel Network, Modelo 7000</v>
          </cell>
          <cell r="O1667" t="str">
            <v>EQUIPO DE OFICINA</v>
          </cell>
          <cell r="P1667">
            <v>36000</v>
          </cell>
          <cell r="T1667" t="str">
            <v>Bueno</v>
          </cell>
          <cell r="U1667" t="str">
            <v>Nortel Network</v>
          </cell>
        </row>
        <row r="1668">
          <cell r="J1668" t="str">
            <v>42-05-01-01-1660</v>
          </cell>
          <cell r="K1668" t="str">
            <v>42-2456</v>
          </cell>
          <cell r="L1668" t="str">
            <v>42-05-01-01-1660</v>
          </cell>
          <cell r="M1668" t="str">
            <v>Calculadora marca Casio Mod. MS 20TV-W Nº 20-5556-1427-2317-0412</v>
          </cell>
          <cell r="O1668" t="str">
            <v>EQUIPO DE OFICINA</v>
          </cell>
          <cell r="P1668">
            <v>4000</v>
          </cell>
          <cell r="T1668" t="str">
            <v>Bueno</v>
          </cell>
          <cell r="U1668" t="str">
            <v>Casio</v>
          </cell>
        </row>
        <row r="1669">
          <cell r="J1669" t="str">
            <v>42-05-01-01-1661</v>
          </cell>
          <cell r="K1669" t="str">
            <v>42-2018</v>
          </cell>
          <cell r="L1669" t="str">
            <v>42-05-01-01-1661</v>
          </cell>
          <cell r="M1669" t="str">
            <v>Radio CD/MP3 marca Recco Mod. RRCSWMS</v>
          </cell>
          <cell r="O1669" t="str">
            <v>EQUIPO DE OFICINA</v>
          </cell>
          <cell r="P1669">
            <v>53710</v>
          </cell>
          <cell r="T1669" t="str">
            <v>Bueno</v>
          </cell>
          <cell r="U1669" t="str">
            <v>Recco</v>
          </cell>
        </row>
        <row r="1670">
          <cell r="J1670" t="str">
            <v>42-05-01-01-1662</v>
          </cell>
          <cell r="K1670" t="str">
            <v>42-1385</v>
          </cell>
          <cell r="L1670" t="str">
            <v>42-05-01-01-1662</v>
          </cell>
          <cell r="M1670" t="str">
            <v>Caja seguridad marca Joma color verde</v>
          </cell>
          <cell r="O1670" t="str">
            <v>EQUIPO DE OFICINA</v>
          </cell>
          <cell r="P1670">
            <v>45212</v>
          </cell>
          <cell r="T1670" t="str">
            <v>Regular</v>
          </cell>
          <cell r="U1670" t="str">
            <v>Joma</v>
          </cell>
        </row>
        <row r="1671">
          <cell r="J1671" t="str">
            <v>42-05-01-01-1663</v>
          </cell>
          <cell r="K1671" t="str">
            <v>42-2949</v>
          </cell>
          <cell r="L1671" t="str">
            <v>42-05-01-01-1663</v>
          </cell>
          <cell r="M1671" t="str">
            <v>Caja seguridad marca Cash Box color rojo</v>
          </cell>
          <cell r="O1671" t="str">
            <v>EQUIPO DE OFICINA</v>
          </cell>
          <cell r="P1671">
            <v>45212</v>
          </cell>
          <cell r="T1671" t="str">
            <v>Bueno</v>
          </cell>
          <cell r="U1671" t="str">
            <v>Cash</v>
          </cell>
        </row>
        <row r="1672">
          <cell r="J1672" t="str">
            <v>42-05-01-01-1664</v>
          </cell>
          <cell r="K1672" t="str">
            <v>42-1302</v>
          </cell>
          <cell r="L1672" t="str">
            <v>42-05-01-01-1664</v>
          </cell>
          <cell r="M1672" t="str">
            <v>Corchetera negra marca Fultons</v>
          </cell>
          <cell r="O1672" t="str">
            <v>EQUIPO DE OFICINA</v>
          </cell>
          <cell r="P1672">
            <v>4000</v>
          </cell>
          <cell r="T1672" t="str">
            <v>Regular</v>
          </cell>
          <cell r="U1672" t="str">
            <v>Fultons</v>
          </cell>
        </row>
        <row r="1673">
          <cell r="J1673" t="str">
            <v>42-04-03-00-1665</v>
          </cell>
          <cell r="K1673" t="str">
            <v>42-2946</v>
          </cell>
          <cell r="L1673" t="str">
            <v>42-04-03-00-1665</v>
          </cell>
          <cell r="M1673" t="str">
            <v>Escritorio melamina blanca 3 cajones 143x59x78 cms.</v>
          </cell>
          <cell r="O1673" t="str">
            <v>ESCRITORIOS</v>
          </cell>
          <cell r="P1673">
            <v>89000</v>
          </cell>
          <cell r="T1673" t="str">
            <v>Bueno</v>
          </cell>
          <cell r="U1673" t="str">
            <v>N/T</v>
          </cell>
        </row>
        <row r="1674">
          <cell r="J1674" t="str">
            <v>42-04-07-00-1666</v>
          </cell>
          <cell r="K1674" t="str">
            <v>42-2948</v>
          </cell>
          <cell r="L1674" t="str">
            <v>42-04-07-00-1666</v>
          </cell>
          <cell r="M1674" t="str">
            <v>Foliador modelo 51</v>
          </cell>
          <cell r="O1674" t="str">
            <v>OTROS</v>
          </cell>
          <cell r="P1674">
            <v>15000</v>
          </cell>
          <cell r="T1674" t="str">
            <v>Bueno</v>
          </cell>
          <cell r="U1674" t="str">
            <v>N/T</v>
          </cell>
        </row>
        <row r="1675">
          <cell r="J1675" t="str">
            <v>42-04-07-00-1667</v>
          </cell>
          <cell r="K1675" t="str">
            <v>42-1089</v>
          </cell>
          <cell r="L1675" t="str">
            <v>42-04-07-00-1667</v>
          </cell>
          <cell r="M1675" t="str">
            <v>Loker metálico verde y plomo marca Mindugar</v>
          </cell>
          <cell r="O1675" t="str">
            <v>OTROS</v>
          </cell>
          <cell r="P1675">
            <v>37500</v>
          </cell>
          <cell r="T1675" t="str">
            <v>Bueno</v>
          </cell>
          <cell r="U1675" t="str">
            <v>Mindugar</v>
          </cell>
        </row>
        <row r="1676">
          <cell r="J1676" t="str">
            <v>42-05-01-01-1668</v>
          </cell>
          <cell r="K1676" t="str">
            <v>42-1303</v>
          </cell>
          <cell r="L1676" t="str">
            <v>42-05-01-01-1668</v>
          </cell>
          <cell r="M1676" t="str">
            <v>Perforador metálico color plomo</v>
          </cell>
          <cell r="O1676" t="str">
            <v>EQUIPO DE OFICINA</v>
          </cell>
          <cell r="P1676">
            <v>3000</v>
          </cell>
          <cell r="T1676" t="str">
            <v>Bueno</v>
          </cell>
          <cell r="U1676" t="str">
            <v>N/T</v>
          </cell>
        </row>
        <row r="1677">
          <cell r="J1677" t="str">
            <v>42-04-06-00-1669</v>
          </cell>
          <cell r="K1677" t="str">
            <v>42-2267</v>
          </cell>
          <cell r="L1677" t="str">
            <v>42-04-06-00-1669</v>
          </cell>
          <cell r="M1677" t="str">
            <v>Repisa de madera, 2 soportes metálicos 1 compartimento color blanco</v>
          </cell>
          <cell r="O1677" t="str">
            <v>REPISA</v>
          </cell>
          <cell r="P1677">
            <v>68000</v>
          </cell>
          <cell r="T1677" t="str">
            <v>Bueno</v>
          </cell>
          <cell r="U1677" t="str">
            <v>N/T</v>
          </cell>
        </row>
        <row r="1678">
          <cell r="J1678" t="str">
            <v>42-04-06-00-1670</v>
          </cell>
          <cell r="K1678" t="str">
            <v>42-2268</v>
          </cell>
          <cell r="L1678" t="str">
            <v>42-04-06-00-1670</v>
          </cell>
          <cell r="M1678" t="str">
            <v>Repisa 2 soportes metálicos color plomo</v>
          </cell>
          <cell r="O1678" t="str">
            <v>REPISA</v>
          </cell>
          <cell r="P1678">
            <v>50000</v>
          </cell>
          <cell r="T1678" t="str">
            <v>Bueno</v>
          </cell>
          <cell r="U1678" t="str">
            <v>N/T</v>
          </cell>
        </row>
        <row r="1679">
          <cell r="J1679" t="str">
            <v>42-04-02-00-1671</v>
          </cell>
          <cell r="K1679" t="str">
            <v>42-2007</v>
          </cell>
          <cell r="L1679" t="str">
            <v>42-04-02-00-1671</v>
          </cell>
          <cell r="M1679" t="str">
            <v>Silla ergonometrica color azul, 5 ruedas</v>
          </cell>
          <cell r="O1679" t="str">
            <v>SILLAS</v>
          </cell>
          <cell r="P1679">
            <v>42500</v>
          </cell>
          <cell r="T1679" t="str">
            <v>Bueno</v>
          </cell>
          <cell r="U1679" t="str">
            <v>N/T</v>
          </cell>
        </row>
        <row r="1680">
          <cell r="J1680" t="str">
            <v>42-05-01-01-1672</v>
          </cell>
          <cell r="K1680" t="str">
            <v>42-1976</v>
          </cell>
          <cell r="L1680" t="str">
            <v>42-05-01-01-1672</v>
          </cell>
          <cell r="M1680" t="str">
            <v>Citófono/ teléfono marca Nortel Network, Modelo 7000</v>
          </cell>
          <cell r="O1680" t="str">
            <v>EQUIPO DE OFICINA</v>
          </cell>
          <cell r="P1680">
            <v>36000</v>
          </cell>
          <cell r="T1680" t="str">
            <v>Bueno</v>
          </cell>
          <cell r="U1680" t="str">
            <v>Nortell Network</v>
          </cell>
        </row>
        <row r="1681">
          <cell r="J1681" t="str">
            <v>42-05-01-01-1673</v>
          </cell>
          <cell r="K1681" t="str">
            <v>42-2932</v>
          </cell>
          <cell r="L1681" t="str">
            <v>42-05-01-01-1673</v>
          </cell>
          <cell r="M1681" t="str">
            <v>Calculadora marca Casio MX 12v</v>
          </cell>
          <cell r="O1681" t="str">
            <v>EQUIPO DE OFICINA</v>
          </cell>
          <cell r="P1681">
            <v>10000</v>
          </cell>
          <cell r="T1681" t="str">
            <v>Bueno</v>
          </cell>
          <cell r="U1681" t="str">
            <v>Casio</v>
          </cell>
        </row>
        <row r="1682">
          <cell r="J1682" t="str">
            <v>42-06-01-00-1674</v>
          </cell>
          <cell r="K1682" t="str">
            <v>42-2931</v>
          </cell>
          <cell r="L1682" t="str">
            <v>42-06-01-00-1674</v>
          </cell>
          <cell r="M1682" t="str">
            <v>Juego parlantes multimedia Aopen S/Nº 50101858MRUB</v>
          </cell>
          <cell r="O1682" t="str">
            <v>EQUIPOS COMPUTACIONALES Y PERIFÉRICOS</v>
          </cell>
          <cell r="P1682">
            <v>14000</v>
          </cell>
          <cell r="T1682" t="str">
            <v>Bueno</v>
          </cell>
          <cell r="U1682" t="str">
            <v>Aopen</v>
          </cell>
        </row>
        <row r="1683">
          <cell r="J1683" t="str">
            <v>42-05-01-01-1675</v>
          </cell>
          <cell r="K1683" t="str">
            <v>42-2989</v>
          </cell>
          <cell r="L1683" t="str">
            <v>42-05-01-01-1675</v>
          </cell>
          <cell r="M1683" t="str">
            <v>Radio CD MP3 marca Philips Mod. AZ1133/78 S/Nº LM00738365709</v>
          </cell>
          <cell r="O1683" t="str">
            <v>EQUIPO DE OFICINA</v>
          </cell>
          <cell r="P1683">
            <v>53710</v>
          </cell>
          <cell r="T1683" t="str">
            <v>Bueno</v>
          </cell>
          <cell r="U1683" t="str">
            <v>Philips</v>
          </cell>
        </row>
        <row r="1684">
          <cell r="J1684" t="str">
            <v>42-05-02-01-1676</v>
          </cell>
          <cell r="K1684" t="str">
            <v>42-2270</v>
          </cell>
          <cell r="L1684" t="str">
            <v>42-05-02-01-1676</v>
          </cell>
          <cell r="M1684" t="str">
            <v>Monitor presión sanguinea digital marca Assure Mod. A20</v>
          </cell>
          <cell r="O1684" t="str">
            <v>EQUIPOS CLINICOS</v>
          </cell>
          <cell r="P1684">
            <v>45000</v>
          </cell>
          <cell r="T1684" t="str">
            <v>Bueno</v>
          </cell>
          <cell r="U1684" t="str">
            <v>Assure</v>
          </cell>
        </row>
        <row r="1685">
          <cell r="J1685" t="str">
            <v>42-04-03-00-1677</v>
          </cell>
          <cell r="K1685" t="str">
            <v>42-1490</v>
          </cell>
          <cell r="L1685" t="str">
            <v>42-04-03-00-1677</v>
          </cell>
          <cell r="M1685" t="str">
            <v xml:space="preserve">Escritorio computación, 1 cajón madera enchapada color barniz obscuro 120x67x73 cms. </v>
          </cell>
          <cell r="O1685" t="str">
            <v>ESCRITORIOS</v>
          </cell>
          <cell r="P1685">
            <v>89000</v>
          </cell>
          <cell r="T1685" t="str">
            <v>Bueno</v>
          </cell>
          <cell r="U1685" t="str">
            <v>N/T</v>
          </cell>
        </row>
        <row r="1686">
          <cell r="J1686" t="str">
            <v>42-04-07-00-1678</v>
          </cell>
          <cell r="K1686" t="str">
            <v>42-1448</v>
          </cell>
          <cell r="L1686" t="str">
            <v>42-04-07-00-1678</v>
          </cell>
          <cell r="M1686" t="str">
            <v>Loker Metálico marca Equimet color crema, puerta café</v>
          </cell>
          <cell r="O1686" t="str">
            <v>OTROS</v>
          </cell>
          <cell r="P1686">
            <v>37500</v>
          </cell>
          <cell r="T1686" t="str">
            <v>Bueno</v>
          </cell>
          <cell r="U1686" t="str">
            <v>N/T</v>
          </cell>
        </row>
        <row r="1687">
          <cell r="J1687" t="str">
            <v>42-04-02-00-1679</v>
          </cell>
          <cell r="K1687" t="str">
            <v>42-2326</v>
          </cell>
          <cell r="L1687" t="str">
            <v>42-04-02-00-1679</v>
          </cell>
          <cell r="M1687" t="str">
            <v>Silla Ergonometrica color azul, 5 ruedas ( MEL )</v>
          </cell>
          <cell r="O1687" t="str">
            <v>SILLAS</v>
          </cell>
          <cell r="P1687">
            <v>42500</v>
          </cell>
          <cell r="T1687" t="str">
            <v>Bueno</v>
          </cell>
          <cell r="U1687" t="str">
            <v>N/T</v>
          </cell>
        </row>
        <row r="1688">
          <cell r="J1688" t="str">
            <v>42-04-03-00-1680</v>
          </cell>
          <cell r="K1688" t="str">
            <v>42-2647</v>
          </cell>
          <cell r="L1688" t="str">
            <v>42-04-03-00-1680</v>
          </cell>
          <cell r="M1688" t="str">
            <v>Mueble apoyo CPU melamina blanco 19x50x32 cms.</v>
          </cell>
          <cell r="O1688" t="str">
            <v>ESCRITORIOS</v>
          </cell>
          <cell r="P1688">
            <v>30000</v>
          </cell>
          <cell r="T1688" t="str">
            <v>Bueno</v>
          </cell>
          <cell r="U1688" t="str">
            <v>N/T</v>
          </cell>
        </row>
        <row r="1689">
          <cell r="J1689" t="str">
            <v>42-04-06-00-1681</v>
          </cell>
          <cell r="K1689" t="str">
            <v>42-2714</v>
          </cell>
          <cell r="L1689" t="str">
            <v>42-04-06-00-1681</v>
          </cell>
          <cell r="M1689" t="str">
            <v>Mueble melamina blanco, 1 cajón 1 puerta</v>
          </cell>
          <cell r="O1689" t="str">
            <v>REPISA</v>
          </cell>
          <cell r="P1689">
            <v>65511</v>
          </cell>
          <cell r="T1689" t="str">
            <v>Bueno</v>
          </cell>
          <cell r="U1689" t="str">
            <v>N/T</v>
          </cell>
        </row>
        <row r="1690">
          <cell r="J1690" t="str">
            <v>42-04-01-00-1682</v>
          </cell>
          <cell r="K1690" t="str">
            <v>42-564</v>
          </cell>
          <cell r="L1690" t="str">
            <v>42-04-01-00-1682</v>
          </cell>
          <cell r="M1690" t="str">
            <v>Mesa redonda patas fierro</v>
          </cell>
          <cell r="O1690" t="str">
            <v>MESAS</v>
          </cell>
          <cell r="P1690">
            <v>19350</v>
          </cell>
          <cell r="T1690" t="str">
            <v>Bueno</v>
          </cell>
          <cell r="U1690" t="str">
            <v>N/T</v>
          </cell>
        </row>
        <row r="1691">
          <cell r="J1691" t="str">
            <v>42-05-01-01-1683</v>
          </cell>
          <cell r="K1691" t="str">
            <v>42-3339</v>
          </cell>
          <cell r="L1691" t="str">
            <v>42-05-01-01-1683</v>
          </cell>
          <cell r="M1691" t="str">
            <v>Perforador Colon Office color plomo</v>
          </cell>
          <cell r="O1691" t="str">
            <v>EQUIPO DE OFICINA</v>
          </cell>
          <cell r="P1691">
            <v>3000</v>
          </cell>
          <cell r="T1691" t="str">
            <v>Bueno</v>
          </cell>
          <cell r="U1691" t="str">
            <v>Offiice</v>
          </cell>
        </row>
        <row r="1692">
          <cell r="J1692" t="str">
            <v>42-04-02-00-1684</v>
          </cell>
          <cell r="K1692" t="str">
            <v>42-3340</v>
          </cell>
          <cell r="L1692" t="str">
            <v>42-04-02-00-1684</v>
          </cell>
          <cell r="M1692" t="str">
            <v>Silla madera color plomo</v>
          </cell>
          <cell r="O1692" t="str">
            <v>SILLAS</v>
          </cell>
          <cell r="P1692">
            <v>13854</v>
          </cell>
          <cell r="T1692" t="str">
            <v>Bueno</v>
          </cell>
          <cell r="U1692" t="str">
            <v>N/T</v>
          </cell>
        </row>
        <row r="1693">
          <cell r="J1693" t="str">
            <v>42-04-02-00-1685</v>
          </cell>
          <cell r="K1693" t="str">
            <v>42-3341</v>
          </cell>
          <cell r="L1693" t="str">
            <v>42-04-02-00-1685</v>
          </cell>
          <cell r="M1693" t="str">
            <v>Silla mixta color plomo</v>
          </cell>
          <cell r="O1693" t="str">
            <v>SILLAS</v>
          </cell>
          <cell r="P1693">
            <v>13854</v>
          </cell>
          <cell r="T1693" t="str">
            <v>Bueno</v>
          </cell>
          <cell r="U1693" t="str">
            <v>N/T</v>
          </cell>
        </row>
        <row r="1694">
          <cell r="J1694" t="str">
            <v>42-04-02-00-1686</v>
          </cell>
          <cell r="K1694" t="str">
            <v>42-912</v>
          </cell>
          <cell r="L1694" t="str">
            <v>42-04-02-00-1686</v>
          </cell>
          <cell r="M1694" t="str">
            <v>Silla mixta color plomo</v>
          </cell>
          <cell r="O1694" t="str">
            <v>SILLAS</v>
          </cell>
          <cell r="P1694">
            <v>13854</v>
          </cell>
          <cell r="T1694" t="str">
            <v>Bueno</v>
          </cell>
          <cell r="U1694" t="str">
            <v>N/T</v>
          </cell>
        </row>
        <row r="1695">
          <cell r="J1695" t="str">
            <v>42-04-02-00-1687</v>
          </cell>
          <cell r="K1695" t="str">
            <v>42-594</v>
          </cell>
          <cell r="L1695" t="str">
            <v>42-04-02-00-1687</v>
          </cell>
          <cell r="M1695" t="str">
            <v>Silla mixta tapizada en implatex azul</v>
          </cell>
          <cell r="O1695" t="str">
            <v>SILLAS</v>
          </cell>
          <cell r="P1695">
            <v>17000</v>
          </cell>
          <cell r="T1695" t="str">
            <v>Malo</v>
          </cell>
          <cell r="U1695" t="str">
            <v>N/T</v>
          </cell>
        </row>
        <row r="1696">
          <cell r="J1696" t="str">
            <v>42-05-02-01-1688</v>
          </cell>
          <cell r="K1696" t="str">
            <v>42-1945</v>
          </cell>
          <cell r="L1696" t="str">
            <v>42-05-02-01-1688</v>
          </cell>
          <cell r="M1696" t="str">
            <v>Pesa adulto marca Condor Cap. Max. 160 Kgs.</v>
          </cell>
          <cell r="O1696" t="str">
            <v>EQUIPOS CLINICOS</v>
          </cell>
          <cell r="P1696">
            <v>165648</v>
          </cell>
          <cell r="T1696" t="str">
            <v>Malo</v>
          </cell>
          <cell r="U1696" t="str">
            <v>Condor</v>
          </cell>
        </row>
        <row r="1697">
          <cell r="J1697" t="str">
            <v>42-05-01-01-1689</v>
          </cell>
          <cell r="K1697" t="str">
            <v>42-2644</v>
          </cell>
          <cell r="L1697" t="str">
            <v>42-05-01-01-1689</v>
          </cell>
          <cell r="M1697" t="str">
            <v>Citófono/ teléfono marca Nortel Network, Modelo 7000</v>
          </cell>
          <cell r="O1697" t="str">
            <v>EQUIPO DE OFICINA</v>
          </cell>
          <cell r="P1697">
            <v>36000</v>
          </cell>
          <cell r="T1697" t="str">
            <v>Bueno</v>
          </cell>
          <cell r="U1697" t="str">
            <v>Nortel Network</v>
          </cell>
        </row>
        <row r="1698">
          <cell r="J1698" t="str">
            <v>42-05-02-01-1690</v>
          </cell>
          <cell r="K1698" t="str">
            <v>42-3356</v>
          </cell>
          <cell r="L1698" t="str">
            <v>42-05-02-01-1690</v>
          </cell>
          <cell r="M1698" t="str">
            <v>Camilla metálica color amarillo 180x60x80 cms</v>
          </cell>
          <cell r="O1698" t="str">
            <v>EQUIPOS CLINICOS</v>
          </cell>
          <cell r="P1698">
            <v>83300</v>
          </cell>
          <cell r="T1698" t="str">
            <v>Bueno</v>
          </cell>
          <cell r="U1698" t="str">
            <v>N/T</v>
          </cell>
        </row>
        <row r="1699">
          <cell r="J1699" t="str">
            <v>42-04-03-00-1691</v>
          </cell>
          <cell r="K1699" t="str">
            <v>42-2474</v>
          </cell>
          <cell r="L1699" t="str">
            <v>42-04-03-00-1691</v>
          </cell>
          <cell r="M1699" t="str">
            <v>Mueble computador melamina color cerezo, 1 cajón 111x57x75 cms.</v>
          </cell>
          <cell r="O1699" t="str">
            <v>ESCRITORIOS</v>
          </cell>
          <cell r="P1699">
            <v>89000</v>
          </cell>
          <cell r="T1699" t="str">
            <v>Bueno</v>
          </cell>
          <cell r="U1699" t="str">
            <v>N/T</v>
          </cell>
        </row>
        <row r="1700">
          <cell r="J1700" t="str">
            <v>42-04-06-00-1692</v>
          </cell>
          <cell r="K1700" t="str">
            <v>42-2472</v>
          </cell>
          <cell r="L1700" t="str">
            <v>42-04-06-00-1692</v>
          </cell>
          <cell r="M1700" t="str">
            <v>Mueble melamina blanco con 3 compartimentos 1 cajón 1 puerta 54x53x168</v>
          </cell>
          <cell r="O1700" t="str">
            <v>REPISA</v>
          </cell>
          <cell r="P1700">
            <v>90000</v>
          </cell>
          <cell r="T1700" t="str">
            <v>Bueno</v>
          </cell>
          <cell r="U1700" t="str">
            <v>N/T</v>
          </cell>
        </row>
        <row r="1701">
          <cell r="J1701" t="str">
            <v>42-04-02-00-1693</v>
          </cell>
          <cell r="K1701" t="str">
            <v>42-1608</v>
          </cell>
          <cell r="L1701" t="str">
            <v>42-04-02-00-1693</v>
          </cell>
          <cell r="M1701" t="str">
            <v>Silla giratoria con apoya brazo color azul</v>
          </cell>
          <cell r="O1701" t="str">
            <v>SILLAS</v>
          </cell>
          <cell r="P1701">
            <v>42500</v>
          </cell>
          <cell r="T1701" t="str">
            <v>Regular</v>
          </cell>
          <cell r="U1701" t="str">
            <v>N/T</v>
          </cell>
        </row>
        <row r="1702">
          <cell r="J1702" t="str">
            <v>42-04-02-00-1694</v>
          </cell>
          <cell r="K1702" t="str">
            <v>42-2274</v>
          </cell>
          <cell r="L1702" t="str">
            <v>42-04-02-00-1694</v>
          </cell>
          <cell r="M1702" t="str">
            <v>Silla metálica tevinil color café</v>
          </cell>
          <cell r="O1702" t="str">
            <v>SILLAS</v>
          </cell>
          <cell r="P1702">
            <v>13854</v>
          </cell>
          <cell r="T1702" t="str">
            <v>Regular</v>
          </cell>
          <cell r="U1702" t="str">
            <v>N/T</v>
          </cell>
        </row>
        <row r="1703">
          <cell r="J1703" t="str">
            <v>42-04-02-00-1695</v>
          </cell>
          <cell r="K1703" t="str">
            <v>42-22</v>
          </cell>
          <cell r="L1703" t="str">
            <v>42-04-02-00-1695</v>
          </cell>
          <cell r="M1703" t="str">
            <v>Silla de madera con asiento y respaldo tapizado en tevinil color café</v>
          </cell>
          <cell r="O1703" t="str">
            <v>SILLAS</v>
          </cell>
          <cell r="P1703">
            <v>13854</v>
          </cell>
          <cell r="T1703" t="str">
            <v>Bueno</v>
          </cell>
          <cell r="U1703" t="str">
            <v>N/T</v>
          </cell>
        </row>
        <row r="1704">
          <cell r="J1704" t="str">
            <v>42-04-07-00-1696</v>
          </cell>
          <cell r="K1704" t="str">
            <v>42-3355</v>
          </cell>
          <cell r="L1704" t="str">
            <v>42-04-07-00-1696</v>
          </cell>
          <cell r="M1704" t="str">
            <v>Velador metálico, 1 cajon, 1 puerta color amarillo</v>
          </cell>
          <cell r="O1704" t="str">
            <v>OTROS</v>
          </cell>
          <cell r="P1704">
            <v>38000</v>
          </cell>
          <cell r="T1704" t="str">
            <v>Bueno</v>
          </cell>
          <cell r="U1704" t="str">
            <v>N/T</v>
          </cell>
        </row>
        <row r="1705">
          <cell r="J1705" t="str">
            <v>42-05-01-01-1697</v>
          </cell>
          <cell r="K1705" t="str">
            <v>42-1443</v>
          </cell>
          <cell r="L1705" t="str">
            <v>42-05-01-01-1697</v>
          </cell>
          <cell r="M1705" t="str">
            <v>Perforador marca Torre color verde</v>
          </cell>
          <cell r="O1705" t="str">
            <v>EQUIPO DE OFICINA</v>
          </cell>
          <cell r="P1705">
            <v>3000</v>
          </cell>
          <cell r="T1705" t="str">
            <v>Bueno</v>
          </cell>
          <cell r="U1705" t="str">
            <v>Torre</v>
          </cell>
        </row>
        <row r="1706">
          <cell r="J1706" t="str">
            <v>42-05-02-01-1698</v>
          </cell>
          <cell r="K1706" t="str">
            <v>42-292</v>
          </cell>
          <cell r="L1706" t="str">
            <v>42-05-02-01-1698</v>
          </cell>
          <cell r="M1706" t="str">
            <v>Pesa para lactante marca Unicef capacidad 15 Kgs.</v>
          </cell>
          <cell r="N1706">
            <v>1</v>
          </cell>
          <cell r="O1706" t="str">
            <v>EQUIPOS CLINICOS</v>
          </cell>
          <cell r="P1706">
            <v>169546</v>
          </cell>
          <cell r="T1706" t="str">
            <v>Malo</v>
          </cell>
          <cell r="U1706" t="str">
            <v>Unicef</v>
          </cell>
        </row>
        <row r="1707">
          <cell r="J1707" t="str">
            <v>42-05-02-01-1699</v>
          </cell>
          <cell r="K1707" t="str">
            <v>42-3357</v>
          </cell>
          <cell r="L1707" t="str">
            <v>42-05-02-01-1699</v>
          </cell>
          <cell r="M1707" t="str">
            <v>Podómetro madera</v>
          </cell>
          <cell r="N1707">
            <v>1</v>
          </cell>
          <cell r="O1707" t="str">
            <v>EQUIPOS CLINICOS</v>
          </cell>
          <cell r="P1707">
            <v>30000</v>
          </cell>
          <cell r="T1707" t="str">
            <v>Bueno</v>
          </cell>
          <cell r="U1707" t="str">
            <v>N/T</v>
          </cell>
        </row>
        <row r="1708">
          <cell r="J1708" t="str">
            <v>42-03-00-00-1700</v>
          </cell>
          <cell r="K1708" t="str">
            <v>42-1983</v>
          </cell>
          <cell r="L1708" t="str">
            <v>42-03-00-00-1700</v>
          </cell>
          <cell r="M1708" t="str">
            <v>Ambulancia Marca Mercedes Benz Motor 61198170023836 Patente  CF-GF-20</v>
          </cell>
          <cell r="O1708" t="str">
            <v>VEHICULOS</v>
          </cell>
          <cell r="P1708">
            <v>30000000</v>
          </cell>
          <cell r="T1708" t="str">
            <v>Bueno</v>
          </cell>
          <cell r="U1708" t="str">
            <v>Mercedes Benz</v>
          </cell>
        </row>
        <row r="1709">
          <cell r="J1709" t="str">
            <v>42-03-02-00-1701</v>
          </cell>
          <cell r="K1709" t="str">
            <v>42-1984</v>
          </cell>
          <cell r="L1709" t="str">
            <v>42-03-02-00-1701</v>
          </cell>
          <cell r="M1709" t="str">
            <v>Radio con antena y parlantes.</v>
          </cell>
          <cell r="O1709" t="str">
            <v>EQUIPOS DE VEHICULO</v>
          </cell>
          <cell r="P1709">
            <v>17000</v>
          </cell>
          <cell r="T1709" t="str">
            <v>Bueno</v>
          </cell>
          <cell r="U1709" t="str">
            <v>N/T</v>
          </cell>
        </row>
        <row r="1710">
          <cell r="J1710" t="str">
            <v>42-05-02-03-1702</v>
          </cell>
          <cell r="K1710" t="str">
            <v>42-1985</v>
          </cell>
          <cell r="L1710" t="str">
            <v>42-05-02-03-1702</v>
          </cell>
          <cell r="M1710" t="str">
            <v>Radio Transmisor VHF 5100 Motorola</v>
          </cell>
          <cell r="O1710" t="str">
            <v>EQUIPOS DE COMUNICACIÓN</v>
          </cell>
          <cell r="P1710">
            <v>17000</v>
          </cell>
          <cell r="T1710" t="str">
            <v>Bueno</v>
          </cell>
          <cell r="U1710" t="str">
            <v>Motorola</v>
          </cell>
        </row>
        <row r="1711">
          <cell r="J1711" t="str">
            <v>42-05-02-01-1703</v>
          </cell>
          <cell r="K1711" t="str">
            <v>42-3336</v>
          </cell>
          <cell r="L1711" t="str">
            <v>42-05-02-01-1703</v>
          </cell>
          <cell r="M1711" t="str">
            <v>Bomba aspiración de 12 Volt Silfab</v>
          </cell>
          <cell r="N1711">
            <v>1</v>
          </cell>
          <cell r="O1711" t="str">
            <v>EQUIPOS CLINICOS</v>
          </cell>
          <cell r="P1711">
            <v>231931</v>
          </cell>
          <cell r="T1711" t="str">
            <v>Bueno</v>
          </cell>
          <cell r="U1711" t="str">
            <v>N/T</v>
          </cell>
        </row>
        <row r="1712">
          <cell r="J1712" t="str">
            <v>42-05-02-01-1704</v>
          </cell>
          <cell r="K1712" t="str">
            <v>42-3249</v>
          </cell>
          <cell r="L1712" t="str">
            <v>42-05-02-01-1704</v>
          </cell>
          <cell r="M1712" t="str">
            <v>Glucometro marca Accu-Chek S/Nº 8517204572</v>
          </cell>
          <cell r="O1712" t="str">
            <v>EQUIPOS CLINICOS</v>
          </cell>
          <cell r="P1712">
            <v>51057</v>
          </cell>
          <cell r="T1712" t="str">
            <v>Bueno</v>
          </cell>
          <cell r="U1712" t="str">
            <v>N/T</v>
          </cell>
        </row>
        <row r="1713">
          <cell r="J1713" t="str">
            <v>42-05-02-01-1705</v>
          </cell>
          <cell r="K1713" t="str">
            <v>42-3334</v>
          </cell>
          <cell r="L1713" t="str">
            <v>42-05-02-01-1705</v>
          </cell>
          <cell r="M1713" t="str">
            <v>Manómetro oxígeno Victor Medical con humidificador</v>
          </cell>
          <cell r="O1713" t="str">
            <v>EQUIPOS CLINICOS</v>
          </cell>
          <cell r="P1713">
            <v>45000</v>
          </cell>
          <cell r="T1713" t="str">
            <v>Bueno</v>
          </cell>
          <cell r="U1713" t="str">
            <v>N/T</v>
          </cell>
        </row>
        <row r="1714">
          <cell r="J1714" t="str">
            <v>42-05-02-01-1706</v>
          </cell>
          <cell r="K1714" t="str">
            <v>42-3335</v>
          </cell>
          <cell r="L1714" t="str">
            <v>42-05-02-01-1706</v>
          </cell>
          <cell r="M1714" t="str">
            <v>Manómetro oxígeno</v>
          </cell>
          <cell r="O1714" t="str">
            <v>EQUIPOS CLINICOS</v>
          </cell>
          <cell r="P1714">
            <v>50000</v>
          </cell>
          <cell r="T1714" t="str">
            <v>Bueno</v>
          </cell>
          <cell r="U1714" t="str">
            <v>N/T</v>
          </cell>
        </row>
        <row r="1715">
          <cell r="J1715" t="str">
            <v>42-06-01-00-1707</v>
          </cell>
          <cell r="K1715" t="str">
            <v>42-3120</v>
          </cell>
          <cell r="L1715" t="str">
            <v>42-06-01-00-1707</v>
          </cell>
          <cell r="M1715" t="str">
            <v>Computador Dell P4 Nº 80045-485-118-447</v>
          </cell>
          <cell r="O1715" t="str">
            <v>EQUIPOS COMPUTACIONALES Y PERIFÉRICOS</v>
          </cell>
          <cell r="P1715">
            <v>142800</v>
          </cell>
          <cell r="T1715" t="str">
            <v>Bueno</v>
          </cell>
          <cell r="U1715" t="str">
            <v>Dell</v>
          </cell>
        </row>
        <row r="1716">
          <cell r="J1716" t="str">
            <v>42-06-01-00-1708</v>
          </cell>
          <cell r="K1716" t="str">
            <v>42-3121</v>
          </cell>
          <cell r="L1716" t="str">
            <v>42-06-01-00-1708</v>
          </cell>
          <cell r="M1716" t="str">
            <v>Monitor Samsung Mod. 540N S/Nº HA15H9NP302595M</v>
          </cell>
          <cell r="O1716" t="str">
            <v>EQUIPOS COMPUTACIONALES Y PERIFÉRICOS</v>
          </cell>
          <cell r="P1716">
            <v>14000</v>
          </cell>
          <cell r="T1716" t="str">
            <v>Bueno</v>
          </cell>
          <cell r="U1716" t="str">
            <v>Samsung</v>
          </cell>
        </row>
        <row r="1717">
          <cell r="J1717" t="str">
            <v>42-06-01-00-1709</v>
          </cell>
          <cell r="K1717" t="str">
            <v>42-3122</v>
          </cell>
          <cell r="L1717" t="str">
            <v>42-06-01-00-1709</v>
          </cell>
          <cell r="M1717" t="str">
            <v>Teclado Ok Technology</v>
          </cell>
          <cell r="O1717" t="str">
            <v>EQUIPOS COMPUTACIONALES Y PERIFÉRICOS</v>
          </cell>
          <cell r="P1717">
            <v>4000</v>
          </cell>
          <cell r="T1717" t="str">
            <v>Bueno</v>
          </cell>
          <cell r="U1717" t="str">
            <v>Technology</v>
          </cell>
        </row>
        <row r="1718">
          <cell r="J1718" t="str">
            <v>42-06-01-00-1710</v>
          </cell>
          <cell r="K1718" t="str">
            <v>42-3123</v>
          </cell>
          <cell r="L1718" t="str">
            <v>42-06-01-00-1710</v>
          </cell>
          <cell r="M1718" t="str">
            <v>Mouse Ok Technology</v>
          </cell>
          <cell r="O1718" t="str">
            <v>EQUIPOS COMPUTACIONALES Y PERIFÉRICOS</v>
          </cell>
          <cell r="P1718">
            <v>3000</v>
          </cell>
          <cell r="T1718" t="str">
            <v>Bueno</v>
          </cell>
          <cell r="U1718" t="str">
            <v>Technology</v>
          </cell>
        </row>
        <row r="1719">
          <cell r="J1719" t="str">
            <v>42-06-01-00-1711</v>
          </cell>
          <cell r="K1719" t="str">
            <v>42-3124</v>
          </cell>
          <cell r="L1719" t="str">
            <v>42-06-01-00-1711</v>
          </cell>
          <cell r="M1719" t="str">
            <v>Parlantes Multimedia Ok Technology</v>
          </cell>
          <cell r="N1719">
            <v>1</v>
          </cell>
          <cell r="O1719" t="str">
            <v>EQUIPOS COMPUTACIONALES Y PERIFÉRICOS</v>
          </cell>
          <cell r="P1719">
            <v>20000</v>
          </cell>
          <cell r="T1719" t="str">
            <v>Bueno</v>
          </cell>
          <cell r="U1719" t="str">
            <v>Technology</v>
          </cell>
        </row>
        <row r="1720">
          <cell r="J1720" t="str">
            <v>42-05-01-01-1712</v>
          </cell>
          <cell r="K1720" t="str">
            <v>42-2805</v>
          </cell>
          <cell r="L1720" t="str">
            <v>42-05-01-01-1712</v>
          </cell>
          <cell r="M1720" t="str">
            <v>Extractor de aire marca Airolite</v>
          </cell>
          <cell r="O1720" t="str">
            <v>EQUIPO DE OFICINA</v>
          </cell>
          <cell r="P1720">
            <v>25000</v>
          </cell>
          <cell r="T1720" t="str">
            <v>Bueno</v>
          </cell>
          <cell r="U1720" t="str">
            <v>Airolite</v>
          </cell>
        </row>
        <row r="1721">
          <cell r="J1721" t="str">
            <v>42-05-02-01-1713</v>
          </cell>
          <cell r="K1721" t="str">
            <v>42-3116</v>
          </cell>
          <cell r="L1721" t="str">
            <v>42-05-02-01-1713</v>
          </cell>
          <cell r="M1721" t="str">
            <v>Equipo Rayos X Econet Mod. HF 525 S/Nº 7507006</v>
          </cell>
          <cell r="O1721" t="str">
            <v>EQUIPOS CLINICOS</v>
          </cell>
          <cell r="P1721">
            <v>70000</v>
          </cell>
          <cell r="T1721" t="str">
            <v>Bueno</v>
          </cell>
          <cell r="U1721" t="str">
            <v>Econet</v>
          </cell>
        </row>
        <row r="1722">
          <cell r="J1722" t="str">
            <v>42-05-02-01-1714</v>
          </cell>
          <cell r="K1722" t="str">
            <v>42-3126</v>
          </cell>
          <cell r="L1722" t="str">
            <v>42-05-02-01-1714</v>
          </cell>
          <cell r="M1722" t="str">
            <v>Equipo Rayos X Dental X Mind S/Nº 315105 Tube Toshiba Modelo DG-073B-AC S/Nº 02452</v>
          </cell>
          <cell r="O1722" t="str">
            <v>EQUIPOS CLINICOS</v>
          </cell>
          <cell r="P1722">
            <v>1190000</v>
          </cell>
          <cell r="T1722" t="str">
            <v>Bueno</v>
          </cell>
          <cell r="U1722" t="str">
            <v>Toshiba</v>
          </cell>
        </row>
        <row r="1723">
          <cell r="J1723" t="str">
            <v>42-05-02-01-1715</v>
          </cell>
          <cell r="K1723" t="str">
            <v>42-1508</v>
          </cell>
          <cell r="L1723" t="str">
            <v>42-05-02-01-1715</v>
          </cell>
          <cell r="M1723" t="str">
            <v>Reveladora automática marca Agfa Gevaert Mod. Curix 60</v>
          </cell>
          <cell r="O1723" t="str">
            <v>EQUIPOS CLINICOS</v>
          </cell>
          <cell r="P1723">
            <v>1318975</v>
          </cell>
          <cell r="T1723" t="str">
            <v>Bueno</v>
          </cell>
          <cell r="U1723" t="str">
            <v>Agfa</v>
          </cell>
        </row>
        <row r="1724">
          <cell r="J1724" t="str">
            <v>42-05-02-01-1716</v>
          </cell>
          <cell r="K1724" t="str">
            <v>42-3127</v>
          </cell>
          <cell r="L1724" t="str">
            <v>42-05-02-01-1716</v>
          </cell>
          <cell r="M1724" t="str">
            <v>Rebeladora Air Techniques Mod. Peri-Pro III S/Nº 258</v>
          </cell>
          <cell r="O1724" t="str">
            <v>EQUIPOS CLINICOS</v>
          </cell>
          <cell r="P1724">
            <v>1318975</v>
          </cell>
          <cell r="T1724" t="str">
            <v>Bueno</v>
          </cell>
          <cell r="U1724" t="str">
            <v>Techniques</v>
          </cell>
        </row>
        <row r="1725">
          <cell r="J1725" t="str">
            <v>42-05-02-01-1717</v>
          </cell>
          <cell r="K1725" t="str">
            <v>42-2855</v>
          </cell>
          <cell r="L1725" t="str">
            <v>42-05-02-01-1717</v>
          </cell>
          <cell r="M1725" t="str">
            <v>Protector tiroideo marca Apron</v>
          </cell>
          <cell r="O1725" t="str">
            <v>EQUIPOS CLINICOS</v>
          </cell>
          <cell r="P1725">
            <v>54875</v>
          </cell>
          <cell r="T1725" t="str">
            <v>Bueno</v>
          </cell>
          <cell r="U1725" t="str">
            <v>Apron</v>
          </cell>
        </row>
        <row r="1726">
          <cell r="J1726" t="str">
            <v>42-05-02-01-1718</v>
          </cell>
          <cell r="K1726" t="str">
            <v>42-2856</v>
          </cell>
          <cell r="L1726" t="str">
            <v>42-05-02-01-1718</v>
          </cell>
          <cell r="M1726" t="str">
            <v>Protector tiroideo marca Apron</v>
          </cell>
          <cell r="O1726" t="str">
            <v>EQUIPOS CLINICOS</v>
          </cell>
          <cell r="P1726">
            <v>54875</v>
          </cell>
          <cell r="T1726" t="str">
            <v>Bueno</v>
          </cell>
          <cell r="U1726" t="str">
            <v>Apron</v>
          </cell>
        </row>
        <row r="1727">
          <cell r="J1727" t="str">
            <v>42-05-02-01-1719</v>
          </cell>
          <cell r="K1727" t="str">
            <v>42-2857</v>
          </cell>
          <cell r="L1727" t="str">
            <v>42-05-02-01-1719</v>
          </cell>
          <cell r="M1727" t="str">
            <v>Delantal protector marca Apron con protector tiroideo</v>
          </cell>
          <cell r="O1727" t="str">
            <v>EQUIPOS CLINICOS</v>
          </cell>
          <cell r="P1727">
            <v>89250</v>
          </cell>
          <cell r="T1727" t="str">
            <v>Bueno</v>
          </cell>
          <cell r="U1727" t="str">
            <v>Apron</v>
          </cell>
        </row>
        <row r="1728">
          <cell r="J1728" t="str">
            <v>42-05-02-01-1720</v>
          </cell>
          <cell r="K1728" t="str">
            <v>42-2858</v>
          </cell>
          <cell r="L1728" t="str">
            <v>42-05-02-01-1720</v>
          </cell>
          <cell r="M1728" t="str">
            <v>Delantal protector marca Apron</v>
          </cell>
          <cell r="O1728" t="str">
            <v>EQUIPOS CLINICOS</v>
          </cell>
          <cell r="P1728">
            <v>89250</v>
          </cell>
          <cell r="T1728" t="str">
            <v>Bueno</v>
          </cell>
          <cell r="U1728" t="str">
            <v>Apron</v>
          </cell>
        </row>
        <row r="1729">
          <cell r="J1729" t="str">
            <v>42-05-02-01-1721</v>
          </cell>
          <cell r="K1729" t="str">
            <v>42-2859</v>
          </cell>
          <cell r="L1729" t="str">
            <v>42-05-02-01-1721</v>
          </cell>
          <cell r="M1729" t="str">
            <v>Delantal protector marca Apron</v>
          </cell>
          <cell r="O1729" t="str">
            <v>EQUIPOS CLINICOS</v>
          </cell>
          <cell r="P1729">
            <v>89250</v>
          </cell>
          <cell r="T1729" t="str">
            <v>Bueno</v>
          </cell>
          <cell r="U1729" t="str">
            <v>Apron</v>
          </cell>
        </row>
        <row r="1730">
          <cell r="J1730" t="str">
            <v>42-05-02-01-1722</v>
          </cell>
          <cell r="K1730" t="str">
            <v>42-3117</v>
          </cell>
          <cell r="L1730" t="str">
            <v>42-05-02-01-1722</v>
          </cell>
          <cell r="M1730" t="str">
            <v>Delantal protector marca Apron</v>
          </cell>
          <cell r="O1730" t="str">
            <v>EQUIPOS CLINICOS</v>
          </cell>
          <cell r="P1730">
            <v>89250</v>
          </cell>
          <cell r="T1730" t="str">
            <v>Bueno</v>
          </cell>
          <cell r="U1730" t="str">
            <v>Apron</v>
          </cell>
        </row>
        <row r="1731">
          <cell r="J1731" t="str">
            <v>42-05-02-01-1723</v>
          </cell>
          <cell r="K1731" t="str">
            <v>42-3307</v>
          </cell>
          <cell r="L1731" t="str">
            <v>42-05-02-01-1723</v>
          </cell>
          <cell r="M1731" t="str">
            <v>Delantal protector marca Apron</v>
          </cell>
          <cell r="O1731" t="str">
            <v>EQUIPOS CLINICOS</v>
          </cell>
          <cell r="P1731">
            <v>89250</v>
          </cell>
          <cell r="T1731" t="str">
            <v>Bueno</v>
          </cell>
          <cell r="U1731" t="str">
            <v>Apron</v>
          </cell>
        </row>
        <row r="1732">
          <cell r="J1732" t="str">
            <v>42-04-03-00-1724</v>
          </cell>
          <cell r="K1732" t="str">
            <v>42-3483</v>
          </cell>
          <cell r="L1732" t="str">
            <v>42-04-03-00-1724</v>
          </cell>
          <cell r="M1732" t="str">
            <v>Escritorio de computacion con 1 cajon, 1 bandeja colo nogal con plomo  de 121x75x61</v>
          </cell>
          <cell r="O1732" t="str">
            <v>ESCRITORIOS</v>
          </cell>
          <cell r="P1732">
            <v>89000</v>
          </cell>
          <cell r="T1732" t="str">
            <v>Bueno</v>
          </cell>
          <cell r="U1732" t="str">
            <v>N/T</v>
          </cell>
        </row>
        <row r="1733">
          <cell r="J1733" t="str">
            <v>42-04-01-00-1725</v>
          </cell>
          <cell r="K1733" t="str">
            <v>42-1148</v>
          </cell>
          <cell r="L1733" t="str">
            <v>42-04-01-00-1725</v>
          </cell>
          <cell r="M1733" t="str">
            <v>Mesón de formalita color blanco con patas de fierro de 1,70x 90 x 93 cms.</v>
          </cell>
          <cell r="O1733" t="str">
            <v>MESAS</v>
          </cell>
          <cell r="P1733">
            <v>79600</v>
          </cell>
          <cell r="T1733" t="str">
            <v>Bueno</v>
          </cell>
          <cell r="U1733" t="str">
            <v>N/T</v>
          </cell>
        </row>
        <row r="1734">
          <cell r="J1734" t="str">
            <v>42-04-07-00-1726</v>
          </cell>
          <cell r="K1734" t="str">
            <v>42-2280</v>
          </cell>
          <cell r="L1734" t="str">
            <v>42-04-07-00-1726</v>
          </cell>
          <cell r="M1734" t="str">
            <v>Banca de madera color celeste 70x29x45 cms.</v>
          </cell>
          <cell r="O1734" t="str">
            <v>OTROS</v>
          </cell>
          <cell r="P1734">
            <v>79011</v>
          </cell>
          <cell r="T1734" t="str">
            <v>Bueno</v>
          </cell>
          <cell r="U1734" t="str">
            <v>N/T</v>
          </cell>
        </row>
        <row r="1735">
          <cell r="J1735" t="str">
            <v>42-04-07-00-1727</v>
          </cell>
          <cell r="K1735" t="str">
            <v>42-1160</v>
          </cell>
          <cell r="L1735" t="str">
            <v>42-04-07-00-1727</v>
          </cell>
          <cell r="M1735" t="str">
            <v>Percha de madera 3 ganchos color café</v>
          </cell>
          <cell r="O1735" t="str">
            <v>OTROS</v>
          </cell>
          <cell r="P1735">
            <v>30000</v>
          </cell>
          <cell r="T1735" t="str">
            <v>Bueno</v>
          </cell>
          <cell r="U1735" t="str">
            <v>N/T</v>
          </cell>
        </row>
        <row r="1736">
          <cell r="J1736" t="str">
            <v>42-04-06-00-1728</v>
          </cell>
          <cell r="K1736" t="str">
            <v>42-3308</v>
          </cell>
          <cell r="L1736" t="str">
            <v>42-04-06-00-1728</v>
          </cell>
          <cell r="M1736" t="str">
            <v xml:space="preserve">Repisa masisa enchapada 2 compartimentos </v>
          </cell>
          <cell r="O1736" t="str">
            <v>REPISA</v>
          </cell>
          <cell r="P1736">
            <v>30000</v>
          </cell>
          <cell r="T1736" t="str">
            <v>Bueno</v>
          </cell>
          <cell r="U1736" t="str">
            <v>N/T</v>
          </cell>
        </row>
        <row r="1737">
          <cell r="J1737" t="str">
            <v>42-04-02-00-1729</v>
          </cell>
          <cell r="K1737" t="str">
            <v>42-1817</v>
          </cell>
          <cell r="L1737" t="str">
            <v>42-04-02-00-1729</v>
          </cell>
          <cell r="M1737" t="str">
            <v>Silla giratoria Tyson fija , 5 ruedas color azul</v>
          </cell>
          <cell r="O1737" t="str">
            <v>SILLAS</v>
          </cell>
          <cell r="P1737">
            <v>42500</v>
          </cell>
          <cell r="T1737" t="str">
            <v>Bueno</v>
          </cell>
          <cell r="U1737" t="str">
            <v>N/T</v>
          </cell>
        </row>
        <row r="1738">
          <cell r="J1738" t="str">
            <v>42-04-02-00-1730</v>
          </cell>
          <cell r="K1738" t="str">
            <v>42-1411</v>
          </cell>
          <cell r="L1738" t="str">
            <v>42-04-02-00-1730</v>
          </cell>
          <cell r="M1738" t="str">
            <v>Silla giratoria regulable con piston de aire color plomo</v>
          </cell>
          <cell r="O1738" t="str">
            <v>SILLAS</v>
          </cell>
          <cell r="P1738">
            <v>42500</v>
          </cell>
          <cell r="T1738" t="str">
            <v>Bueno</v>
          </cell>
          <cell r="U1738" t="str">
            <v>N/T</v>
          </cell>
        </row>
        <row r="1739">
          <cell r="J1739" t="str">
            <v>42-04-02-00-1731</v>
          </cell>
          <cell r="K1739" t="str">
            <v>42-2883</v>
          </cell>
          <cell r="L1739" t="str">
            <v>42-04-02-00-1731</v>
          </cell>
          <cell r="M1739" t="str">
            <v>Silla madera barniz natural</v>
          </cell>
          <cell r="O1739" t="str">
            <v>SILLAS</v>
          </cell>
          <cell r="P1739">
            <v>6902</v>
          </cell>
          <cell r="T1739" t="str">
            <v>Bueno</v>
          </cell>
          <cell r="U1739" t="str">
            <v>N/T</v>
          </cell>
        </row>
        <row r="1740">
          <cell r="J1740" t="str">
            <v>42-04-02-00-1732</v>
          </cell>
          <cell r="K1740" t="str">
            <v>42-1353</v>
          </cell>
          <cell r="L1740" t="str">
            <v>42-04-02-00-1732</v>
          </cell>
          <cell r="M1740" t="str">
            <v>Silla alta mixta color café</v>
          </cell>
          <cell r="O1740" t="str">
            <v>SILLAS</v>
          </cell>
          <cell r="P1740">
            <v>6902</v>
          </cell>
          <cell r="T1740" t="str">
            <v>Bueno</v>
          </cell>
          <cell r="U1740" t="str">
            <v>N/T</v>
          </cell>
        </row>
        <row r="1741">
          <cell r="J1741" t="str">
            <v>42-04-02-00-1733</v>
          </cell>
          <cell r="K1741" t="str">
            <v>42-3468</v>
          </cell>
          <cell r="L1741" t="str">
            <v>42-04-02-00-1733</v>
          </cell>
          <cell r="M1741" t="str">
            <v>Silla computacion c/apoyo de brazos color azul</v>
          </cell>
          <cell r="O1741" t="str">
            <v>SILLAS</v>
          </cell>
          <cell r="P1741">
            <v>42500</v>
          </cell>
          <cell r="T1741" t="str">
            <v>Bueno</v>
          </cell>
          <cell r="U1741" t="str">
            <v>N/T</v>
          </cell>
        </row>
        <row r="1742">
          <cell r="J1742" t="str">
            <v>42-05-02-01-1734</v>
          </cell>
          <cell r="K1742" t="str">
            <v>42-2219</v>
          </cell>
          <cell r="L1742" t="str">
            <v>42-05-02-01-1734</v>
          </cell>
          <cell r="M1742" t="str">
            <v>Escabel mixto color negro</v>
          </cell>
          <cell r="O1742" t="str">
            <v>EQUIPOS CLINICOS</v>
          </cell>
          <cell r="P1742">
            <v>17850</v>
          </cell>
          <cell r="T1742" t="str">
            <v>Bueno</v>
          </cell>
          <cell r="U1742" t="str">
            <v>N/T</v>
          </cell>
        </row>
        <row r="1743">
          <cell r="J1743" t="str">
            <v>42-05-02-05-1735</v>
          </cell>
          <cell r="K1743" t="str">
            <v>42-2513</v>
          </cell>
          <cell r="L1743" t="str">
            <v>42-05-02-05-1735</v>
          </cell>
          <cell r="M1743" t="str">
            <v>Extintor incendio tipo Dioxido carbono 4 Kgs.</v>
          </cell>
          <cell r="O1743" t="str">
            <v>EQUIPOS DE SEGURIDAD</v>
          </cell>
          <cell r="P1743">
            <v>39553</v>
          </cell>
          <cell r="T1743" t="str">
            <v>Bueno</v>
          </cell>
          <cell r="U1743" t="str">
            <v>N/T</v>
          </cell>
        </row>
        <row r="1744">
          <cell r="J1744" t="str">
            <v>42-05-02-01-1736</v>
          </cell>
          <cell r="K1744" t="str">
            <v>42-2899</v>
          </cell>
          <cell r="L1744" t="str">
            <v>42-05-02-01-1736</v>
          </cell>
          <cell r="M1744" t="str">
            <v>Negatoscopio de 49x16x65 cms.</v>
          </cell>
          <cell r="O1744" t="str">
            <v>EQUIPOS CLINICOS</v>
          </cell>
          <cell r="P1744">
            <v>46291</v>
          </cell>
          <cell r="T1744" t="str">
            <v>Bueno</v>
          </cell>
          <cell r="U1744" t="str">
            <v>N/T</v>
          </cell>
        </row>
        <row r="1745">
          <cell r="J1745" t="str">
            <v>42-03-00-00-1737</v>
          </cell>
          <cell r="K1745" t="str">
            <v>42-2413</v>
          </cell>
          <cell r="L1745" t="str">
            <v>42-03-00-00-1737</v>
          </cell>
          <cell r="M1745" t="str">
            <v>Ambulancia marca Mercedes Benz modelo Sprinter 313 CDI motor Nº 61198170044356 Patente  ZT - 54-44</v>
          </cell>
          <cell r="O1745" t="str">
            <v>VEHICULOS</v>
          </cell>
          <cell r="P1745">
            <v>20000000</v>
          </cell>
          <cell r="T1745" t="str">
            <v>Bueno</v>
          </cell>
          <cell r="U1745" t="str">
            <v>N/T</v>
          </cell>
        </row>
        <row r="1746">
          <cell r="J1746" t="str">
            <v>42-03-02-00-1738</v>
          </cell>
          <cell r="K1746" t="str">
            <v>42-2414</v>
          </cell>
          <cell r="L1746" t="str">
            <v>42-03-02-00-1738</v>
          </cell>
          <cell r="M1746" t="str">
            <v>Radio con antena y parlantes</v>
          </cell>
          <cell r="O1746" t="str">
            <v>EQUIPOS DE VEHICULO</v>
          </cell>
          <cell r="P1746">
            <v>17000</v>
          </cell>
          <cell r="T1746" t="str">
            <v>Bueno</v>
          </cell>
          <cell r="U1746" t="str">
            <v>N/T</v>
          </cell>
        </row>
        <row r="1747">
          <cell r="J1747" t="str">
            <v>42-05-02-03-1739</v>
          </cell>
          <cell r="K1747" t="str">
            <v>42-2415</v>
          </cell>
          <cell r="L1747" t="str">
            <v>42-05-02-03-1739</v>
          </cell>
          <cell r="M1747" t="str">
            <v>Radio transmisor VHF 5100 Motorola con pera</v>
          </cell>
          <cell r="O1747" t="str">
            <v>EQUIPOS DE COMUNICACIÓN</v>
          </cell>
          <cell r="P1747">
            <v>160000</v>
          </cell>
          <cell r="T1747" t="str">
            <v>Bueno</v>
          </cell>
          <cell r="U1747" t="str">
            <v>N/T</v>
          </cell>
        </row>
        <row r="1748">
          <cell r="J1748" t="str">
            <v>42-05-02-05-1740</v>
          </cell>
          <cell r="K1748" t="str">
            <v>42-2821</v>
          </cell>
          <cell r="L1748" t="str">
            <v>42-05-02-05-1740</v>
          </cell>
          <cell r="M1748" t="str">
            <v>Extintor incendio tipo ABC 4 kgs.</v>
          </cell>
          <cell r="O1748" t="str">
            <v>EQUIPOS DE SEGURIDAD</v>
          </cell>
          <cell r="P1748">
            <v>25000</v>
          </cell>
          <cell r="T1748" t="str">
            <v>Bueno</v>
          </cell>
          <cell r="U1748" t="str">
            <v>N/T</v>
          </cell>
        </row>
        <row r="1749">
          <cell r="J1749" t="str">
            <v>42-05-01-01-1741</v>
          </cell>
          <cell r="K1749" t="str">
            <v>42-1615</v>
          </cell>
          <cell r="L1749" t="str">
            <v>42-05-01-01-1741</v>
          </cell>
          <cell r="M1749" t="str">
            <v>Refrigerador No Frost R-D 360 marca Sindelen</v>
          </cell>
          <cell r="O1749" t="str">
            <v>EQUIPO DE OFICINA</v>
          </cell>
          <cell r="P1749">
            <v>154987</v>
          </cell>
          <cell r="T1749" t="str">
            <v>Mala</v>
          </cell>
          <cell r="U1749" t="str">
            <v>Sindelen</v>
          </cell>
        </row>
        <row r="1750">
          <cell r="J1750" t="str">
            <v>42-05-01-01-1742</v>
          </cell>
          <cell r="K1750" t="str">
            <v>42-2656</v>
          </cell>
          <cell r="L1750" t="str">
            <v>42-05-01-01-1742</v>
          </cell>
          <cell r="M1750" t="str">
            <v>Refrigerador marca Mademsa 2 puertas</v>
          </cell>
          <cell r="O1750" t="str">
            <v>EQUIPO DE OFICINA</v>
          </cell>
          <cell r="P1750">
            <v>94232</v>
          </cell>
          <cell r="T1750" t="str">
            <v>Buena</v>
          </cell>
          <cell r="U1750" t="str">
            <v>Mademsa</v>
          </cell>
        </row>
        <row r="1751">
          <cell r="J1751" t="str">
            <v>42-05-01-01-1743</v>
          </cell>
          <cell r="K1751" t="str">
            <v>42-1357</v>
          </cell>
          <cell r="L1751" t="str">
            <v>42-05-01-01-1743</v>
          </cell>
          <cell r="M1751" t="str">
            <v>Horno microondas marca Sindelen</v>
          </cell>
          <cell r="N1751">
            <v>1</v>
          </cell>
          <cell r="O1751" t="str">
            <v>EQUIPO DE OFICINA</v>
          </cell>
          <cell r="P1751">
            <v>44018</v>
          </cell>
          <cell r="T1751" t="str">
            <v>Buena</v>
          </cell>
          <cell r="U1751" t="str">
            <v>Sindelen</v>
          </cell>
        </row>
        <row r="1752">
          <cell r="J1752" t="str">
            <v>42-05-02-02-1744</v>
          </cell>
          <cell r="K1752" t="str">
            <v>42-1216</v>
          </cell>
          <cell r="L1752" t="str">
            <v>42-05-02-02-1744</v>
          </cell>
          <cell r="M1752" t="str">
            <v>Cocina a gas 4 platos marca Mademsa</v>
          </cell>
          <cell r="N1752">
            <v>1</v>
          </cell>
          <cell r="O1752" t="str">
            <v>EQUIPOS DE COCINA</v>
          </cell>
          <cell r="P1752">
            <v>159980</v>
          </cell>
          <cell r="T1752" t="str">
            <v>Buena</v>
          </cell>
          <cell r="U1752" t="str">
            <v>Mademsa</v>
          </cell>
        </row>
        <row r="1753">
          <cell r="J1753" t="str">
            <v>42-04-01-00-1745</v>
          </cell>
          <cell r="K1753" t="str">
            <v>42-2308</v>
          </cell>
          <cell r="L1753" t="str">
            <v>42-04-01-00-1745</v>
          </cell>
          <cell r="M1753" t="str">
            <v>Mesa casino 75x120 cms., cubierta de formalita crema</v>
          </cell>
          <cell r="O1753" t="str">
            <v>MESAS</v>
          </cell>
          <cell r="P1753">
            <v>36589</v>
          </cell>
          <cell r="T1753" t="str">
            <v>Buena</v>
          </cell>
          <cell r="U1753" t="str">
            <v>N/T</v>
          </cell>
        </row>
        <row r="1754">
          <cell r="J1754" t="str">
            <v>42-04-01-00-1746</v>
          </cell>
          <cell r="K1754" t="str">
            <v>42-1318</v>
          </cell>
          <cell r="L1754" t="str">
            <v>42-04-01-00-1746</v>
          </cell>
          <cell r="M1754" t="str">
            <v>Mesa casino 75x120 cms., cubierta de formalita crema</v>
          </cell>
          <cell r="O1754" t="str">
            <v>MESAS</v>
          </cell>
          <cell r="P1754">
            <v>36589</v>
          </cell>
          <cell r="T1754" t="str">
            <v>Buena</v>
          </cell>
          <cell r="U1754" t="str">
            <v>N/T</v>
          </cell>
        </row>
        <row r="1755">
          <cell r="J1755" t="str">
            <v>42-04-07-00-1747</v>
          </cell>
          <cell r="K1755" t="str">
            <v>42-184</v>
          </cell>
          <cell r="L1755" t="str">
            <v>42-04-07-00-1747</v>
          </cell>
          <cell r="M1755" t="str">
            <v>Piso metálico giratorio color blanco</v>
          </cell>
          <cell r="O1755" t="str">
            <v>OTROS</v>
          </cell>
          <cell r="P1755">
            <v>25490</v>
          </cell>
          <cell r="T1755" t="str">
            <v>Buena</v>
          </cell>
          <cell r="U1755" t="str">
            <v>N/T</v>
          </cell>
        </row>
        <row r="1756">
          <cell r="J1756" t="str">
            <v>42-04-02-00-1748</v>
          </cell>
          <cell r="K1756" t="str">
            <v>42-907</v>
          </cell>
          <cell r="L1756" t="str">
            <v>42-04-02-00-1748</v>
          </cell>
          <cell r="M1756" t="str">
            <v>Silla mixta asiento y respaldo en formalita crema</v>
          </cell>
          <cell r="O1756" t="str">
            <v>SILLAS</v>
          </cell>
          <cell r="P1756">
            <v>21554</v>
          </cell>
          <cell r="T1756" t="str">
            <v>Buena</v>
          </cell>
          <cell r="U1756" t="str">
            <v>N/T</v>
          </cell>
        </row>
        <row r="1757">
          <cell r="J1757" t="str">
            <v>42-04-02-00-1749</v>
          </cell>
          <cell r="K1757" t="str">
            <v>42-1539</v>
          </cell>
          <cell r="L1757" t="str">
            <v>42-04-02-00-1749</v>
          </cell>
          <cell r="M1757" t="str">
            <v>Silla mixta asiento y respaldo en formalita</v>
          </cell>
          <cell r="O1757" t="str">
            <v>SILLAS</v>
          </cell>
          <cell r="P1757">
            <v>21554</v>
          </cell>
          <cell r="T1757" t="str">
            <v>Buena</v>
          </cell>
          <cell r="U1757" t="str">
            <v>N/T</v>
          </cell>
        </row>
        <row r="1758">
          <cell r="J1758" t="str">
            <v>42-04-02-00-1750</v>
          </cell>
          <cell r="K1758" t="str">
            <v>42-1523</v>
          </cell>
          <cell r="L1758" t="str">
            <v>42-04-02-00-1750</v>
          </cell>
          <cell r="M1758" t="str">
            <v>Silla mixta asiento y respaldo en formalita crema</v>
          </cell>
          <cell r="O1758" t="str">
            <v>SILLAS</v>
          </cell>
          <cell r="P1758">
            <v>21554</v>
          </cell>
          <cell r="T1758" t="str">
            <v>Buena</v>
          </cell>
          <cell r="U1758" t="str">
            <v>N/T</v>
          </cell>
        </row>
        <row r="1759">
          <cell r="J1759" t="str">
            <v>42-04-02-00-1751</v>
          </cell>
          <cell r="K1759" t="str">
            <v>42-3201</v>
          </cell>
          <cell r="L1759" t="str">
            <v>42-04-02-00-1751</v>
          </cell>
          <cell r="M1759" t="str">
            <v>Silla mixta asiento y respaldo en formalita crema</v>
          </cell>
          <cell r="O1759" t="str">
            <v>SILLAS</v>
          </cell>
          <cell r="P1759">
            <v>21554</v>
          </cell>
          <cell r="T1759" t="str">
            <v>Buena</v>
          </cell>
          <cell r="U1759" t="str">
            <v>N/T</v>
          </cell>
        </row>
        <row r="1760">
          <cell r="J1760" t="str">
            <v>42-04-02-00-1752</v>
          </cell>
          <cell r="K1760" t="str">
            <v>42-317</v>
          </cell>
          <cell r="L1760" t="str">
            <v>42-04-02-00-1752</v>
          </cell>
          <cell r="M1760" t="str">
            <v>Silla mixta asiento y respaldo en formalita crema</v>
          </cell>
          <cell r="O1760" t="str">
            <v>SILLAS</v>
          </cell>
          <cell r="P1760">
            <v>21554</v>
          </cell>
          <cell r="T1760" t="str">
            <v>Buena</v>
          </cell>
          <cell r="U1760" t="str">
            <v>N/T</v>
          </cell>
        </row>
        <row r="1761">
          <cell r="J1761" t="str">
            <v>42-04-02-00-1753</v>
          </cell>
          <cell r="K1761" t="str">
            <v>42-916</v>
          </cell>
          <cell r="L1761" t="str">
            <v>42-04-02-00-1753</v>
          </cell>
          <cell r="M1761" t="str">
            <v>Silla mixta asiento y respaldo en formalita crema</v>
          </cell>
          <cell r="O1761" t="str">
            <v>SILLAS</v>
          </cell>
          <cell r="P1761">
            <v>21554</v>
          </cell>
          <cell r="T1761" t="str">
            <v>Buena</v>
          </cell>
          <cell r="U1761" t="str">
            <v>N/T</v>
          </cell>
        </row>
        <row r="1762">
          <cell r="J1762" t="str">
            <v>42-04-02-00-1754</v>
          </cell>
          <cell r="K1762" t="str">
            <v>42-1537</v>
          </cell>
          <cell r="L1762" t="str">
            <v>42-04-02-00-1754</v>
          </cell>
          <cell r="M1762" t="str">
            <v>Silla mixta asiento y respaldo en formalita</v>
          </cell>
          <cell r="O1762" t="str">
            <v>SILLAS</v>
          </cell>
          <cell r="P1762">
            <v>21554</v>
          </cell>
          <cell r="T1762" t="str">
            <v>Buena</v>
          </cell>
          <cell r="U1762" t="str">
            <v>N/T</v>
          </cell>
        </row>
        <row r="1763">
          <cell r="J1763" t="str">
            <v>42-04-02-00-1755</v>
          </cell>
          <cell r="K1763" t="str">
            <v>42-925</v>
          </cell>
          <cell r="L1763" t="str">
            <v>42-04-02-00-1755</v>
          </cell>
          <cell r="M1763" t="str">
            <v>Silla mixta asiento y respaldo en formalita crema</v>
          </cell>
          <cell r="O1763" t="str">
            <v>SILLAS</v>
          </cell>
          <cell r="P1763">
            <v>21554</v>
          </cell>
          <cell r="T1763" t="str">
            <v>Buena</v>
          </cell>
          <cell r="U1763" t="str">
            <v>N/T</v>
          </cell>
        </row>
        <row r="1764">
          <cell r="J1764" t="str">
            <v>42-04-04-00-1756</v>
          </cell>
          <cell r="K1764" t="str">
            <v>42-1164</v>
          </cell>
          <cell r="L1764" t="str">
            <v>42-04-04-00-1756</v>
          </cell>
          <cell r="M1764" t="str">
            <v>Lavaplatos enlozado blanco con 1 llave, 1 mueble de cholguan y formalita  con 1 puerta de 169x59x79 cms.</v>
          </cell>
          <cell r="O1764" t="str">
            <v>MUEBLES DE COCINA</v>
          </cell>
          <cell r="P1764">
            <v>104509</v>
          </cell>
          <cell r="T1764" t="str">
            <v>Buena</v>
          </cell>
          <cell r="U1764" t="str">
            <v>N/T</v>
          </cell>
        </row>
        <row r="1765">
          <cell r="J1765" t="str">
            <v>42-04-06-00-1757</v>
          </cell>
          <cell r="K1765" t="str">
            <v>42-2278</v>
          </cell>
          <cell r="L1765" t="str">
            <v>42-04-06-00-1757</v>
          </cell>
          <cell r="M1765" t="str">
            <v>Repisa de formalita blanca con 2 cadenas, 2 soportes 50x40 cms.</v>
          </cell>
          <cell r="O1765" t="str">
            <v>REPISA</v>
          </cell>
          <cell r="P1765">
            <v>36140</v>
          </cell>
          <cell r="T1765" t="str">
            <v>Buena</v>
          </cell>
          <cell r="U1765" t="str">
            <v>N/T</v>
          </cell>
        </row>
        <row r="1766">
          <cell r="J1766" t="str">
            <v>42-04-07-00-1758</v>
          </cell>
          <cell r="K1766" t="str">
            <v>42-562</v>
          </cell>
          <cell r="L1766" t="str">
            <v>42-04-07-00-1758</v>
          </cell>
          <cell r="M1766" t="str">
            <v>Pintura al óleo marco café oscuro 68x110 cms.</v>
          </cell>
          <cell r="O1766" t="str">
            <v>OTROS</v>
          </cell>
          <cell r="P1766">
            <v>10000</v>
          </cell>
          <cell r="T1766" t="str">
            <v>Buena</v>
          </cell>
          <cell r="U1766" t="str">
            <v>N/T</v>
          </cell>
        </row>
        <row r="1767">
          <cell r="J1767" t="str">
            <v>42-04-07-00-1759</v>
          </cell>
          <cell r="K1767" t="str">
            <v>42-563</v>
          </cell>
          <cell r="L1767" t="str">
            <v>42-04-07-00-1759</v>
          </cell>
          <cell r="M1767" t="str">
            <v>Pintura al óleo marco café oscuro 68x110 cms.</v>
          </cell>
          <cell r="O1767" t="str">
            <v>OTROS</v>
          </cell>
          <cell r="P1767">
            <v>10000</v>
          </cell>
          <cell r="T1767" t="str">
            <v>Buena</v>
          </cell>
          <cell r="U1767" t="str">
            <v>N/T</v>
          </cell>
        </row>
        <row r="1768">
          <cell r="J1768" t="str">
            <v>42-04-07-00-1760</v>
          </cell>
          <cell r="K1768" t="str">
            <v>42-2523</v>
          </cell>
          <cell r="L1768" t="str">
            <v>42-04-07-00-1760</v>
          </cell>
          <cell r="M1768" t="str">
            <v>Mural trupan con 2 puertas vidrio corredizo 120x70 cms.</v>
          </cell>
          <cell r="O1768" t="str">
            <v>OTROS</v>
          </cell>
          <cell r="P1768">
            <v>24935</v>
          </cell>
          <cell r="T1768" t="str">
            <v>Buena</v>
          </cell>
          <cell r="U1768" t="str">
            <v>N/T</v>
          </cell>
        </row>
        <row r="1769">
          <cell r="J1769" t="str">
            <v>42-04-06-00-1761</v>
          </cell>
          <cell r="K1769" t="str">
            <v>42-1682</v>
          </cell>
          <cell r="L1769" t="str">
            <v>42-04-06-00-1761</v>
          </cell>
          <cell r="M1769" t="str">
            <v>Mueble melamina blanco con 2 puertas tipo closet 120x52x190 cms.</v>
          </cell>
          <cell r="O1769" t="str">
            <v>REPISA</v>
          </cell>
          <cell r="P1769">
            <v>96546</v>
          </cell>
          <cell r="T1769" t="str">
            <v>Buena</v>
          </cell>
          <cell r="U1769" t="str">
            <v>N/T</v>
          </cell>
        </row>
        <row r="1770">
          <cell r="J1770" t="str">
            <v>42-04-06-00-1762</v>
          </cell>
          <cell r="K1770" t="str">
            <v>42-2266</v>
          </cell>
          <cell r="L1770" t="str">
            <v>42-04-06-00-1762</v>
          </cell>
          <cell r="M1770" t="str">
            <v>Mueble melamina blanco con 2 puertas c / llave 80x45x162 cms.</v>
          </cell>
          <cell r="O1770" t="str">
            <v>REPISA</v>
          </cell>
          <cell r="P1770">
            <v>65984</v>
          </cell>
          <cell r="T1770" t="str">
            <v>Buena</v>
          </cell>
          <cell r="U1770" t="str">
            <v>N/T</v>
          </cell>
        </row>
        <row r="1771">
          <cell r="J1771" t="str">
            <v>42-04-07-00-1763</v>
          </cell>
          <cell r="K1771" t="str">
            <v>42-2810</v>
          </cell>
          <cell r="L1771" t="str">
            <v>42-04-07-00-1763</v>
          </cell>
          <cell r="M1771" t="str">
            <v>Basurero grande marca Omnium plomo con tapa color burdeo y ruedas</v>
          </cell>
          <cell r="O1771" t="str">
            <v>OTROS</v>
          </cell>
          <cell r="P1771">
            <v>5000</v>
          </cell>
          <cell r="T1771" t="str">
            <v>Buena</v>
          </cell>
          <cell r="U1771" t="str">
            <v>Omnium</v>
          </cell>
        </row>
        <row r="1772">
          <cell r="J1772" t="str">
            <v>42-05-02-05-1764</v>
          </cell>
          <cell r="K1772" t="str">
            <v>42-2684</v>
          </cell>
          <cell r="L1772" t="str">
            <v>42-05-02-05-1764</v>
          </cell>
          <cell r="M1772" t="str">
            <v>Extintor incendio tipo ABC 6 Kgs.</v>
          </cell>
          <cell r="O1772" t="str">
            <v>EQUIPOS DE SEGURIDAD</v>
          </cell>
          <cell r="P1772">
            <v>28900</v>
          </cell>
          <cell r="T1772" t="str">
            <v>Buena</v>
          </cell>
          <cell r="U1772" t="str">
            <v>N/T</v>
          </cell>
        </row>
        <row r="1773">
          <cell r="J1773" t="str">
            <v>42-04-07-00-1765</v>
          </cell>
          <cell r="K1773" t="str">
            <v>42-2834</v>
          </cell>
          <cell r="L1773" t="str">
            <v>42-04-07-00-1765</v>
          </cell>
          <cell r="M1773" t="str">
            <v>Basurero plástico marca Omnium color plomo c/tapa burdeo con ruedas</v>
          </cell>
          <cell r="O1773" t="str">
            <v>OTROS</v>
          </cell>
          <cell r="P1773">
            <v>5000</v>
          </cell>
          <cell r="T1773" t="str">
            <v>Buena</v>
          </cell>
          <cell r="U1773" t="str">
            <v>Omnium</v>
          </cell>
        </row>
        <row r="1774">
          <cell r="J1774" t="str">
            <v>42-04-07-00-1766</v>
          </cell>
          <cell r="K1774" t="str">
            <v>42-2835</v>
          </cell>
          <cell r="L1774" t="str">
            <v>42-04-07-00-1766</v>
          </cell>
          <cell r="M1774" t="str">
            <v>Basurero plástico marca Omnium color plomo c/tapa burdeo con ruedas</v>
          </cell>
          <cell r="O1774" t="str">
            <v>OTROS</v>
          </cell>
          <cell r="P1774">
            <v>5000</v>
          </cell>
          <cell r="T1774" t="str">
            <v>Buena</v>
          </cell>
          <cell r="U1774" t="str">
            <v>N/T</v>
          </cell>
        </row>
        <row r="1775">
          <cell r="J1775" t="str">
            <v>42-04-07-00-1767</v>
          </cell>
          <cell r="K1775" t="str">
            <v>42-2836</v>
          </cell>
          <cell r="L1775" t="str">
            <v>42-04-07-00-1767</v>
          </cell>
          <cell r="M1775" t="str">
            <v>Basurero plástico marca Omnium color plomo c/tapa burdeo con ruedas</v>
          </cell>
          <cell r="O1775" t="str">
            <v>OTROS</v>
          </cell>
          <cell r="P1775">
            <v>5000</v>
          </cell>
          <cell r="T1775" t="str">
            <v>Buena</v>
          </cell>
          <cell r="U1775" t="str">
            <v>Omnium</v>
          </cell>
        </row>
        <row r="1776">
          <cell r="J1776" t="str">
            <v>42-04-07-00-1768</v>
          </cell>
          <cell r="K1776" t="str">
            <v>42-2837</v>
          </cell>
          <cell r="L1776" t="str">
            <v>42-04-07-00-1768</v>
          </cell>
          <cell r="M1776" t="str">
            <v>Basurero plástico marca Omnium color plomo c/tapa burdeo con ruedas</v>
          </cell>
          <cell r="O1776" t="str">
            <v>OTROS</v>
          </cell>
          <cell r="P1776">
            <v>5000</v>
          </cell>
          <cell r="T1776" t="str">
            <v>Buena</v>
          </cell>
          <cell r="U1776" t="str">
            <v>Omnium</v>
          </cell>
        </row>
        <row r="1777">
          <cell r="J1777" t="str">
            <v>42-04-07-00-1769</v>
          </cell>
          <cell r="K1777" t="str">
            <v>42-2838</v>
          </cell>
          <cell r="L1777" t="str">
            <v>42-04-07-00-1769</v>
          </cell>
          <cell r="M1777" t="str">
            <v>Basurero plástico marca Omnium color plomo c/tapa burdeo con ruedas</v>
          </cell>
          <cell r="O1777" t="str">
            <v>OTROS</v>
          </cell>
          <cell r="P1777">
            <v>5000</v>
          </cell>
          <cell r="T1777" t="str">
            <v>Buena</v>
          </cell>
          <cell r="U1777" t="str">
            <v>Omnium</v>
          </cell>
        </row>
        <row r="1778">
          <cell r="J1778" t="str">
            <v>42-04-07-00-1770</v>
          </cell>
          <cell r="K1778" t="str">
            <v>42-2839</v>
          </cell>
          <cell r="L1778" t="str">
            <v>42-04-07-00-1770</v>
          </cell>
          <cell r="M1778" t="str">
            <v>Basurero plástico marca Omnium color plomo c/tapa burdeo con ruedas</v>
          </cell>
          <cell r="O1778" t="str">
            <v>OTROS</v>
          </cell>
          <cell r="P1778">
            <v>5000</v>
          </cell>
          <cell r="T1778" t="str">
            <v>Buena</v>
          </cell>
          <cell r="U1778" t="str">
            <v>Omnium</v>
          </cell>
        </row>
        <row r="1779">
          <cell r="J1779" t="str">
            <v>42-04-07-00-1771</v>
          </cell>
          <cell r="K1779" t="str">
            <v>42-2840</v>
          </cell>
          <cell r="L1779" t="str">
            <v>42-04-07-00-1771</v>
          </cell>
          <cell r="M1779" t="str">
            <v>Basurero plástico marca Omnium color plomo c/tapa burdeo con ruedas</v>
          </cell>
          <cell r="O1779" t="str">
            <v>OTROS</v>
          </cell>
          <cell r="P1779">
            <v>5000</v>
          </cell>
          <cell r="T1779" t="str">
            <v>Buena</v>
          </cell>
          <cell r="U1779" t="str">
            <v>Omnium</v>
          </cell>
        </row>
        <row r="1780">
          <cell r="J1780" t="str">
            <v>42-04-07-00-1772</v>
          </cell>
          <cell r="K1780" t="str">
            <v>42-2841</v>
          </cell>
          <cell r="L1780" t="str">
            <v>42-04-07-00-1772</v>
          </cell>
          <cell r="M1780" t="str">
            <v>Basurero plástico marca Omnium color plomo c/tapa burdeo con ruedas</v>
          </cell>
          <cell r="O1780" t="str">
            <v>OTROS</v>
          </cell>
          <cell r="P1780">
            <v>5000</v>
          </cell>
          <cell r="T1780" t="str">
            <v>Buena</v>
          </cell>
          <cell r="U1780" t="str">
            <v>Omnium</v>
          </cell>
        </row>
        <row r="1781">
          <cell r="J1781" t="str">
            <v>42-04-07-00-1773</v>
          </cell>
          <cell r="K1781" t="str">
            <v>42-2842</v>
          </cell>
          <cell r="L1781" t="str">
            <v>42-04-07-00-1773</v>
          </cell>
          <cell r="M1781" t="str">
            <v>Basurero plástico marca Omnium color plomo c/tapa burdeo con ruedas</v>
          </cell>
          <cell r="O1781" t="str">
            <v>OTROS</v>
          </cell>
          <cell r="P1781">
            <v>5000</v>
          </cell>
          <cell r="T1781" t="str">
            <v>Buena</v>
          </cell>
          <cell r="U1781" t="str">
            <v>Omnium</v>
          </cell>
        </row>
        <row r="1782">
          <cell r="J1782" t="str">
            <v>42-04-07-00-1774</v>
          </cell>
          <cell r="K1782" t="str">
            <v>42-2843</v>
          </cell>
          <cell r="L1782" t="str">
            <v>42-04-07-00-1774</v>
          </cell>
          <cell r="M1782" t="str">
            <v>Basurero plástico marca Omnium color plomo c/tapa burdeo con ruedas</v>
          </cell>
          <cell r="O1782" t="str">
            <v>OTROS</v>
          </cell>
          <cell r="P1782">
            <v>5000</v>
          </cell>
          <cell r="T1782" t="str">
            <v>Buena</v>
          </cell>
          <cell r="U1782" t="str">
            <v>Omnium</v>
          </cell>
        </row>
        <row r="1783">
          <cell r="J1783" t="str">
            <v>42-04-07-00-1775</v>
          </cell>
          <cell r="K1783" t="str">
            <v>42-2844</v>
          </cell>
          <cell r="L1783" t="str">
            <v>42-04-07-00-1775</v>
          </cell>
          <cell r="M1783" t="str">
            <v>Basurero plástico marca Omnium color plomo c/tapa burdeo con ruedas</v>
          </cell>
          <cell r="O1783" t="str">
            <v>OTROS</v>
          </cell>
          <cell r="P1783">
            <v>5000</v>
          </cell>
          <cell r="T1783" t="str">
            <v>Buena</v>
          </cell>
          <cell r="U1783" t="str">
            <v>Omnium</v>
          </cell>
        </row>
        <row r="1784">
          <cell r="J1784" t="str">
            <v>42-05-02-05-1776</v>
          </cell>
          <cell r="K1784" t="str">
            <v>42-2845</v>
          </cell>
          <cell r="L1784" t="str">
            <v>42-05-02-05-1776</v>
          </cell>
          <cell r="M1784" t="str">
            <v>Equipo Red Húmeda color rojo</v>
          </cell>
          <cell r="N1784">
            <v>1</v>
          </cell>
          <cell r="O1784" t="str">
            <v>EQUIPOS DE SEGURIDAD</v>
          </cell>
          <cell r="P1784">
            <v>150000</v>
          </cell>
          <cell r="T1784" t="str">
            <v>Buena</v>
          </cell>
          <cell r="U1784" t="str">
            <v>N/T</v>
          </cell>
        </row>
        <row r="1785">
          <cell r="J1785" t="str">
            <v>42-05-01-01-1777</v>
          </cell>
          <cell r="K1785" t="str">
            <v>42-3528</v>
          </cell>
          <cell r="L1785" t="str">
            <v>42-05-01-01-1777</v>
          </cell>
          <cell r="M1785" t="str">
            <v>Microondas Mirror  2300 ME</v>
          </cell>
          <cell r="N1785">
            <v>1</v>
          </cell>
          <cell r="O1785" t="str">
            <v>EQUIPO DE OFICINA</v>
          </cell>
          <cell r="P1785">
            <v>63000</v>
          </cell>
          <cell r="T1785" t="str">
            <v>Bueno</v>
          </cell>
          <cell r="U1785" t="str">
            <v xml:space="preserve">Somela </v>
          </cell>
        </row>
        <row r="1786">
          <cell r="J1786" t="str">
            <v>42-04-07-00-1778</v>
          </cell>
          <cell r="K1786" t="str">
            <v>42-1256</v>
          </cell>
          <cell r="L1786" t="str">
            <v>42-04-07-00-1778</v>
          </cell>
          <cell r="M1786" t="str">
            <v>Silla banqueta Lahsen Home-Gym SPR 30</v>
          </cell>
          <cell r="N1786">
            <v>1</v>
          </cell>
          <cell r="O1786" t="str">
            <v>OTROS</v>
          </cell>
          <cell r="P1786">
            <v>100000</v>
          </cell>
          <cell r="T1786" t="str">
            <v>Regular</v>
          </cell>
          <cell r="U1786" t="str">
            <v>Lahsen</v>
          </cell>
        </row>
        <row r="1787">
          <cell r="J1787" t="str">
            <v>42-04-07-00-1779</v>
          </cell>
          <cell r="K1787" t="str">
            <v>42-1257</v>
          </cell>
          <cell r="L1787" t="str">
            <v>42-04-07-00-1779</v>
          </cell>
          <cell r="M1787" t="str">
            <v>Silla banqueta clásica Lahsen SPR-602</v>
          </cell>
          <cell r="N1787">
            <v>1</v>
          </cell>
          <cell r="O1787" t="str">
            <v>OTROS</v>
          </cell>
          <cell r="P1787">
            <v>100000</v>
          </cell>
          <cell r="T1787" t="str">
            <v>Regular</v>
          </cell>
          <cell r="U1787" t="str">
            <v>Lahsen</v>
          </cell>
        </row>
        <row r="1788">
          <cell r="J1788" t="str">
            <v>42-04-07-00-1780</v>
          </cell>
          <cell r="K1788" t="str">
            <v>42-1258</v>
          </cell>
          <cell r="L1788" t="str">
            <v>42-04-07-00-1780</v>
          </cell>
          <cell r="M1788" t="str">
            <v>Trotadora clásica CNS Supra Pro Fitness</v>
          </cell>
          <cell r="N1788" t="str">
            <v>GIMNASIO</v>
          </cell>
          <cell r="O1788" t="str">
            <v>OTROS</v>
          </cell>
          <cell r="P1788">
            <v>98000</v>
          </cell>
          <cell r="T1788" t="str">
            <v>Regular</v>
          </cell>
          <cell r="U1788" t="str">
            <v>Supra</v>
          </cell>
        </row>
        <row r="1789">
          <cell r="J1789" t="str">
            <v>42-04-07-00-1781</v>
          </cell>
          <cell r="K1789" t="str">
            <v>42-1259</v>
          </cell>
          <cell r="L1789" t="str">
            <v>42-04-07-00-1781</v>
          </cell>
          <cell r="M1789" t="str">
            <v>Barra Durubell con discos 34 Kgs.</v>
          </cell>
          <cell r="N1789" t="str">
            <v>GIMNASIO</v>
          </cell>
          <cell r="O1789" t="str">
            <v>OTROS</v>
          </cell>
          <cell r="P1789">
            <v>50000</v>
          </cell>
          <cell r="T1789" t="str">
            <v>Regular</v>
          </cell>
          <cell r="U1789" t="str">
            <v>Durubell</v>
          </cell>
        </row>
        <row r="1790">
          <cell r="J1790" t="str">
            <v>42-04-07-00-1782</v>
          </cell>
          <cell r="K1790" t="str">
            <v>42-1260</v>
          </cell>
          <cell r="L1790" t="str">
            <v>42-04-07-00-1782</v>
          </cell>
          <cell r="M1790" t="str">
            <v>Barra Durubell con discos 34 Kgs.</v>
          </cell>
          <cell r="N1790" t="str">
            <v>GIMNASIO</v>
          </cell>
          <cell r="O1790" t="str">
            <v>OTROS</v>
          </cell>
          <cell r="P1790">
            <v>50000</v>
          </cell>
          <cell r="T1790" t="str">
            <v>Regular</v>
          </cell>
          <cell r="U1790" t="str">
            <v>Durubell</v>
          </cell>
        </row>
        <row r="1791">
          <cell r="J1791" t="str">
            <v>42-04-07-00-1783</v>
          </cell>
          <cell r="K1791" t="str">
            <v>42-1261</v>
          </cell>
          <cell r="L1791" t="str">
            <v>42-04-07-00-1783</v>
          </cell>
          <cell r="M1791" t="str">
            <v>Máquina bogadora clásica Lahsen Tok-1</v>
          </cell>
          <cell r="N1791" t="str">
            <v>GIMNASIO</v>
          </cell>
          <cell r="O1791" t="str">
            <v>OTROS</v>
          </cell>
          <cell r="P1791">
            <v>70000</v>
          </cell>
          <cell r="T1791" t="str">
            <v>Malo</v>
          </cell>
          <cell r="U1791" t="str">
            <v>Lahsen</v>
          </cell>
        </row>
        <row r="1792">
          <cell r="J1792" t="str">
            <v>42-04-07-00-1784</v>
          </cell>
          <cell r="K1792" t="str">
            <v>42-1262</v>
          </cell>
          <cell r="L1792" t="str">
            <v>42-04-07-00-1784</v>
          </cell>
          <cell r="M1792" t="str">
            <v>Bicicleta ergonométrica Dual Yok</v>
          </cell>
          <cell r="N1792">
            <v>1</v>
          </cell>
          <cell r="O1792" t="str">
            <v>OTROS</v>
          </cell>
          <cell r="P1792">
            <v>65000</v>
          </cell>
          <cell r="T1792" t="str">
            <v>Regular</v>
          </cell>
          <cell r="U1792" t="str">
            <v>Dual Yok</v>
          </cell>
        </row>
        <row r="1793">
          <cell r="J1793" t="str">
            <v>42-04-07-00-1785</v>
          </cell>
          <cell r="K1793" t="str">
            <v>42-1265</v>
          </cell>
          <cell r="L1793" t="str">
            <v>42-04-07-00-1785</v>
          </cell>
          <cell r="M1793" t="str">
            <v>Escalador Lahsen mini Stepper dual</v>
          </cell>
          <cell r="N1793" t="str">
            <v>GIMNASIO</v>
          </cell>
          <cell r="O1793" t="str">
            <v>OTROS</v>
          </cell>
          <cell r="P1793">
            <v>50000</v>
          </cell>
          <cell r="T1793" t="str">
            <v>Malo</v>
          </cell>
          <cell r="U1793" t="str">
            <v>Lahsen</v>
          </cell>
        </row>
        <row r="1794">
          <cell r="J1794" t="str">
            <v>42-04-07-00-1786</v>
          </cell>
          <cell r="K1794" t="str">
            <v>42-1266</v>
          </cell>
          <cell r="L1794" t="str">
            <v>42-04-07-00-1786</v>
          </cell>
          <cell r="M1794" t="str">
            <v>Mesa de Ping-Pong profesional</v>
          </cell>
          <cell r="N1794">
            <v>1</v>
          </cell>
          <cell r="O1794" t="str">
            <v>OTROS</v>
          </cell>
          <cell r="P1794">
            <v>80000</v>
          </cell>
          <cell r="T1794" t="str">
            <v>Regular</v>
          </cell>
          <cell r="U1794" t="str">
            <v>N/T</v>
          </cell>
        </row>
        <row r="1795">
          <cell r="J1795" t="str">
            <v>42-04-07-00-1787</v>
          </cell>
          <cell r="K1795" t="str">
            <v>42-1267</v>
          </cell>
          <cell r="L1795" t="str">
            <v>42-04-07-00-1787</v>
          </cell>
          <cell r="M1795" t="str">
            <v>Banqueta abdominal Lahsen Sok-500</v>
          </cell>
          <cell r="N1795">
            <v>1</v>
          </cell>
          <cell r="O1795" t="str">
            <v>OTROS</v>
          </cell>
          <cell r="P1795">
            <v>65000</v>
          </cell>
          <cell r="T1795" t="str">
            <v>Regular</v>
          </cell>
          <cell r="U1795" t="str">
            <v>Lahsen</v>
          </cell>
        </row>
        <row r="1796">
          <cell r="J1796" t="str">
            <v>42-04-07-00-1788</v>
          </cell>
          <cell r="K1796" t="str">
            <v>42-1268</v>
          </cell>
          <cell r="L1796" t="str">
            <v>42-04-07-00-1788</v>
          </cell>
          <cell r="M1796" t="str">
            <v>Twister para cintura body</v>
          </cell>
          <cell r="N1796" t="str">
            <v>GIMNASIO</v>
          </cell>
          <cell r="O1796" t="str">
            <v>OTROS</v>
          </cell>
          <cell r="P1796">
            <v>40000</v>
          </cell>
          <cell r="T1796" t="str">
            <v>Regular</v>
          </cell>
          <cell r="U1796" t="str">
            <v>N/T</v>
          </cell>
        </row>
        <row r="1797">
          <cell r="J1797" t="str">
            <v>42-04-07-00-1789</v>
          </cell>
          <cell r="K1797" t="str">
            <v>42-3226</v>
          </cell>
          <cell r="L1797" t="str">
            <v>42-04-07-00-1789</v>
          </cell>
          <cell r="M1797" t="str">
            <v>Bicicleta elíptica Lahsen Pro exersise Mod. DM 8010</v>
          </cell>
          <cell r="N1797">
            <v>1</v>
          </cell>
          <cell r="O1797" t="str">
            <v>OTROS</v>
          </cell>
          <cell r="P1797">
            <v>80000</v>
          </cell>
          <cell r="T1797" t="str">
            <v>Regular</v>
          </cell>
          <cell r="U1797" t="str">
            <v>Lahsen</v>
          </cell>
        </row>
        <row r="1798">
          <cell r="J1798" t="str">
            <v>42-05-02-01-1790</v>
          </cell>
          <cell r="K1798" t="str">
            <v>42-1132</v>
          </cell>
          <cell r="L1798" t="str">
            <v>42-05-02-01-1790</v>
          </cell>
          <cell r="M1798" t="str">
            <v>Camilla metálica color blanco 180x60x57 cms.</v>
          </cell>
          <cell r="N1798">
            <v>1</v>
          </cell>
          <cell r="O1798" t="str">
            <v>EQUIPOS CLINICOS</v>
          </cell>
          <cell r="P1798">
            <v>110500</v>
          </cell>
          <cell r="T1798" t="str">
            <v>Bueno</v>
          </cell>
          <cell r="U1798" t="str">
            <v>N/T</v>
          </cell>
        </row>
        <row r="1799">
          <cell r="J1799" t="str">
            <v>42-03-00-00-1791</v>
          </cell>
          <cell r="K1799" t="str">
            <v>42-2416</v>
          </cell>
          <cell r="L1799" t="str">
            <v>42-03-00-00-1791</v>
          </cell>
          <cell r="M1799" t="str">
            <v>Camioneta Mitsubishi  4 x 4  mecanica Diesel 2.500 cc año 2003 Nº motor  4D56BF6063 Patente VP - 6381</v>
          </cell>
          <cell r="O1799" t="str">
            <v>VEHICULOS</v>
          </cell>
          <cell r="P1799">
            <v>16000000</v>
          </cell>
          <cell r="T1799" t="str">
            <v>Bueno</v>
          </cell>
          <cell r="U1799" t="str">
            <v>Mitsubishi</v>
          </cell>
        </row>
        <row r="1800">
          <cell r="J1800" t="str">
            <v>42-05-02-02-1792</v>
          </cell>
          <cell r="K1800" t="str">
            <v>42-2780</v>
          </cell>
          <cell r="L1800" t="str">
            <v>42-05-02-02-1792</v>
          </cell>
          <cell r="M1800" t="str">
            <v>Cocina marca Fensa Mod. 2920P color plomo 6 quemadores, horno con 1 parrilla acero inox., 1 bandeja negra, S/Nº 012027</v>
          </cell>
          <cell r="O1800" t="str">
            <v>EQUIPOS DE COCINA</v>
          </cell>
          <cell r="P1800">
            <v>159980</v>
          </cell>
          <cell r="T1800" t="str">
            <v>Bueno</v>
          </cell>
          <cell r="U1800" t="str">
            <v>Fensa</v>
          </cell>
        </row>
        <row r="1801">
          <cell r="J1801" t="str">
            <v>42-05-02-02-1793</v>
          </cell>
          <cell r="K1801" t="str">
            <v>42-2781</v>
          </cell>
          <cell r="L1801" t="str">
            <v>42-05-02-02-1793</v>
          </cell>
          <cell r="M1801" t="str">
            <v>Campana marca Fensa FX 80-1 color blanco S/Nº 002010</v>
          </cell>
          <cell r="O1801" t="str">
            <v>EQUIPOS DE COCINA</v>
          </cell>
          <cell r="P1801">
            <v>254822</v>
          </cell>
          <cell r="T1801" t="str">
            <v>Bueno</v>
          </cell>
          <cell r="U1801" t="str">
            <v>Fensa</v>
          </cell>
        </row>
        <row r="1802">
          <cell r="J1802" t="str">
            <v>42-05-01-01-1794</v>
          </cell>
          <cell r="K1802" t="str">
            <v>42-2782</v>
          </cell>
          <cell r="L1802" t="str">
            <v>42-05-01-01-1794</v>
          </cell>
          <cell r="M1802" t="str">
            <v>Calefont marca Splendid Mod. Mixer 11L S/Nº 07087914</v>
          </cell>
          <cell r="O1802" t="str">
            <v>EQUIPO DE OFICINA</v>
          </cell>
          <cell r="P1802">
            <v>85687</v>
          </cell>
          <cell r="T1802" t="str">
            <v>Bueno</v>
          </cell>
          <cell r="U1802" t="str">
            <v>Splendid</v>
          </cell>
        </row>
        <row r="1803">
          <cell r="J1803" t="str">
            <v>42-05-01-01-1795</v>
          </cell>
          <cell r="K1803" t="str">
            <v>42-3289</v>
          </cell>
          <cell r="L1803" t="str">
            <v>42-05-01-01-1795</v>
          </cell>
          <cell r="M1803" t="str">
            <v>Refrigerador Mademsa Nordik Mod. MR 450 S/Nº A000890-00013577</v>
          </cell>
          <cell r="O1803" t="str">
            <v>EQUIPO DE OFICINA</v>
          </cell>
          <cell r="P1803">
            <v>154987</v>
          </cell>
          <cell r="T1803" t="str">
            <v>Bueno</v>
          </cell>
          <cell r="U1803" t="str">
            <v>Madensa</v>
          </cell>
        </row>
        <row r="1804">
          <cell r="J1804" t="str">
            <v>42-05-01-01-1796</v>
          </cell>
          <cell r="K1804" t="str">
            <v>42-1217</v>
          </cell>
          <cell r="L1804" t="str">
            <v>42-05-01-01-1796</v>
          </cell>
          <cell r="M1804" t="str">
            <v>Horno Microondas marca Sindelen</v>
          </cell>
          <cell r="O1804" t="str">
            <v>EQUIPO DE OFICINA</v>
          </cell>
          <cell r="P1804">
            <v>44108</v>
          </cell>
          <cell r="T1804" t="str">
            <v>Bueno</v>
          </cell>
          <cell r="U1804" t="str">
            <v>Sindelen</v>
          </cell>
        </row>
        <row r="1805">
          <cell r="J1805" t="str">
            <v>42-05-02-02-1797</v>
          </cell>
          <cell r="K1805" t="str">
            <v>42-3410</v>
          </cell>
          <cell r="L1805" t="str">
            <v>42-05-02-02-1797</v>
          </cell>
          <cell r="M1805" t="str">
            <v>Licuadora Philips Mod. HR 2000 s/n 09351</v>
          </cell>
          <cell r="O1805" t="str">
            <v>EQUIPOS DE COCINA</v>
          </cell>
          <cell r="P1805">
            <v>25000</v>
          </cell>
          <cell r="T1805" t="str">
            <v>Bueno</v>
          </cell>
          <cell r="U1805" t="str">
            <v>Phillips</v>
          </cell>
        </row>
        <row r="1806">
          <cell r="J1806" t="str">
            <v>42-05-01-01-1798</v>
          </cell>
          <cell r="K1806" t="str">
            <v>42-3411</v>
          </cell>
          <cell r="L1806" t="str">
            <v>42-05-01-01-1798</v>
          </cell>
          <cell r="M1806" t="str">
            <v>Hervidor Electrico Recco Mod. RHE- 6138. S/N 03217/ 0709/ 0124</v>
          </cell>
          <cell r="O1806" t="str">
            <v>EQUIPO DE OFICINA</v>
          </cell>
          <cell r="P1806">
            <v>11541</v>
          </cell>
          <cell r="T1806" t="str">
            <v>Bueno</v>
          </cell>
          <cell r="U1806" t="str">
            <v>Recco</v>
          </cell>
        </row>
        <row r="1807">
          <cell r="J1807" t="str">
            <v>42-05-01-01-1799</v>
          </cell>
          <cell r="K1807" t="str">
            <v>42-3412</v>
          </cell>
          <cell r="L1807" t="str">
            <v>42-05-01-01-1799</v>
          </cell>
          <cell r="M1807" t="str">
            <v>Hervidor Electrico Recco Mod. RHE- 6138. S/N 03217/ 0709/ 0129</v>
          </cell>
          <cell r="O1807" t="str">
            <v>EQUIPO DE OFICINA</v>
          </cell>
          <cell r="P1807">
            <v>11541</v>
          </cell>
          <cell r="T1807" t="str">
            <v>Bueno</v>
          </cell>
          <cell r="U1807" t="str">
            <v>Recco</v>
          </cell>
        </row>
        <row r="1808">
          <cell r="J1808" t="str">
            <v>42-05-02-02-1800</v>
          </cell>
          <cell r="K1808" t="str">
            <v>42-3413</v>
          </cell>
          <cell r="L1808" t="str">
            <v>42-05-02-02-1800</v>
          </cell>
          <cell r="M1808" t="str">
            <v>Batidora sindelen Mod. B-2005 Plus S/N  90802752</v>
          </cell>
          <cell r="O1808" t="str">
            <v>EQUIPOS DE COCINA</v>
          </cell>
          <cell r="P1808">
            <v>30000</v>
          </cell>
          <cell r="T1808" t="str">
            <v>Bueno</v>
          </cell>
          <cell r="U1808" t="str">
            <v>Sindelen</v>
          </cell>
        </row>
        <row r="1809">
          <cell r="J1809" t="str">
            <v>42-05-02-02-1801</v>
          </cell>
          <cell r="K1809" t="str">
            <v>42-3414</v>
          </cell>
          <cell r="L1809" t="str">
            <v>42-05-02-02-1801</v>
          </cell>
          <cell r="M1809" t="str">
            <v>Bol ac/inox 7,5 Lts.</v>
          </cell>
          <cell r="O1809" t="str">
            <v>EQUIPOS DE COCINA</v>
          </cell>
          <cell r="P1809">
            <v>15000</v>
          </cell>
          <cell r="T1809" t="str">
            <v>Bueno</v>
          </cell>
          <cell r="U1809" t="str">
            <v>N/T</v>
          </cell>
        </row>
        <row r="1810">
          <cell r="J1810" t="str">
            <v>42-05-02-02-1802</v>
          </cell>
          <cell r="K1810" t="str">
            <v>42-3415</v>
          </cell>
          <cell r="L1810" t="str">
            <v>42-05-02-02-1802</v>
          </cell>
          <cell r="M1810" t="str">
            <v>Bol ac/inox 7,5 Lts.</v>
          </cell>
          <cell r="O1810" t="str">
            <v>EQUIPOS DE COCINA</v>
          </cell>
          <cell r="P1810">
            <v>15000</v>
          </cell>
          <cell r="T1810" t="str">
            <v>Bueno</v>
          </cell>
          <cell r="U1810" t="str">
            <v>N/T</v>
          </cell>
        </row>
        <row r="1811">
          <cell r="J1811" t="str">
            <v>42-05-02-02-1803</v>
          </cell>
          <cell r="K1811" t="str">
            <v>42-3416</v>
          </cell>
          <cell r="L1811" t="str">
            <v>42-05-02-02-1803</v>
          </cell>
          <cell r="M1811" t="str">
            <v>Bol ac/inox 7,5 Lts.</v>
          </cell>
          <cell r="O1811" t="str">
            <v>EQUIPOS DE COCINA</v>
          </cell>
          <cell r="P1811">
            <v>15000</v>
          </cell>
          <cell r="T1811" t="str">
            <v>Bueno</v>
          </cell>
          <cell r="U1811" t="str">
            <v>N/T</v>
          </cell>
        </row>
        <row r="1812">
          <cell r="J1812" t="str">
            <v>42-05-01-01-1804</v>
          </cell>
          <cell r="K1812" t="str">
            <v>42-3417</v>
          </cell>
          <cell r="L1812" t="str">
            <v>42-05-01-01-1804</v>
          </cell>
          <cell r="M1812" t="str">
            <v>Hervidor Agua ac/Inox mod. Wb-10 S/N 09 HL 7111-109</v>
          </cell>
          <cell r="O1812" t="str">
            <v>EQUIPO DE OFICINA</v>
          </cell>
          <cell r="P1812">
            <v>10954</v>
          </cell>
          <cell r="T1812" t="str">
            <v>Bueno</v>
          </cell>
          <cell r="U1812" t="str">
            <v>N/T</v>
          </cell>
        </row>
        <row r="1813">
          <cell r="J1813" t="str">
            <v>FN-05-02-02-1805</v>
          </cell>
          <cell r="K1813" t="str">
            <v>42-3418</v>
          </cell>
          <cell r="L1813" t="str">
            <v>FN-05-02-02-1805</v>
          </cell>
          <cell r="M1813" t="str">
            <v>Fondo aluminio</v>
          </cell>
          <cell r="O1813" t="str">
            <v>EQUIPOS DE COCINA FUNGIBLE / NOMINABLE</v>
          </cell>
          <cell r="P1813">
            <v>46586</v>
          </cell>
          <cell r="T1813" t="str">
            <v>Bueno</v>
          </cell>
          <cell r="U1813" t="str">
            <v>N/T</v>
          </cell>
        </row>
        <row r="1814">
          <cell r="J1814" t="str">
            <v>FN-05-02-02-1806</v>
          </cell>
          <cell r="K1814" t="str">
            <v>42-3419</v>
          </cell>
          <cell r="L1814" t="str">
            <v>FN-05-02-02-1806</v>
          </cell>
          <cell r="M1814" t="str">
            <v>Fondo aluminio</v>
          </cell>
          <cell r="O1814" t="str">
            <v>EQUIPOS DE COCINA FUNGIBLE / NOMINABLE</v>
          </cell>
          <cell r="P1814">
            <v>46586</v>
          </cell>
          <cell r="T1814" t="str">
            <v>Bueno</v>
          </cell>
          <cell r="U1814" t="str">
            <v>N/T</v>
          </cell>
        </row>
        <row r="1815">
          <cell r="J1815" t="str">
            <v>42-05-02-02-1807</v>
          </cell>
          <cell r="K1815" t="str">
            <v>42-3420</v>
          </cell>
          <cell r="L1815" t="str">
            <v>42-05-02-02-1807</v>
          </cell>
          <cell r="M1815" t="str">
            <v>Sarten aluminio grande 14" winco</v>
          </cell>
          <cell r="O1815" t="str">
            <v>EQUIPOS DE COCINA</v>
          </cell>
          <cell r="P1815">
            <v>22649</v>
          </cell>
          <cell r="T1815" t="str">
            <v>Bueno</v>
          </cell>
          <cell r="U1815" t="str">
            <v>Winco</v>
          </cell>
        </row>
        <row r="1816">
          <cell r="J1816" t="str">
            <v>FN-05-02-02-1808</v>
          </cell>
          <cell r="K1816" t="str">
            <v>42-3421</v>
          </cell>
          <cell r="L1816" t="str">
            <v>FN-05-02-02-1808</v>
          </cell>
          <cell r="M1816" t="str">
            <v>Azadera rectangular aluminio Gre</v>
          </cell>
          <cell r="O1816" t="str">
            <v>EQUIPOS DE COCINA FUNGIBLE / NOMINABLE</v>
          </cell>
          <cell r="P1816">
            <v>9542</v>
          </cell>
          <cell r="T1816" t="str">
            <v>Bueno</v>
          </cell>
          <cell r="U1816" t="str">
            <v>Gre</v>
          </cell>
        </row>
        <row r="1817">
          <cell r="J1817" t="str">
            <v>FN-05-02-02-1809</v>
          </cell>
          <cell r="K1817" t="str">
            <v>42-3422</v>
          </cell>
          <cell r="L1817" t="str">
            <v>FN-05-02-02-1809</v>
          </cell>
          <cell r="M1817" t="str">
            <v>Azadera rectangular aluminio Gre</v>
          </cell>
          <cell r="O1817" t="str">
            <v>EQUIPOS DE COCINA FUNGIBLE / NOMINABLE</v>
          </cell>
          <cell r="P1817">
            <v>9542</v>
          </cell>
          <cell r="T1817" t="str">
            <v>Bueno</v>
          </cell>
          <cell r="U1817" t="str">
            <v>Gre</v>
          </cell>
        </row>
        <row r="1818">
          <cell r="J1818" t="str">
            <v>42-04-04-00-1810</v>
          </cell>
          <cell r="K1818" t="str">
            <v>42-2783</v>
          </cell>
          <cell r="L1818" t="str">
            <v>42-04-04-00-1810</v>
          </cell>
          <cell r="M1818" t="str">
            <v>Mueble lavaplatos 3 puertas, 1 lavaplatos acero inox., 2 fuentes, 1 secador  1 llave combinación color barniz oscuro</v>
          </cell>
          <cell r="O1818" t="str">
            <v>MUEBLES DE COCINA</v>
          </cell>
          <cell r="P1818">
            <v>150000</v>
          </cell>
          <cell r="T1818" t="str">
            <v>Bueno</v>
          </cell>
          <cell r="U1818" t="str">
            <v>N/T</v>
          </cell>
        </row>
        <row r="1819">
          <cell r="J1819" t="str">
            <v>42-04-04-00-1811</v>
          </cell>
          <cell r="K1819" t="str">
            <v>42-2784</v>
          </cell>
          <cell r="L1819" t="str">
            <v>42-04-04-00-1811</v>
          </cell>
          <cell r="M1819" t="str">
            <v>Mueble cocina 2 puertas con cubierta postformado color barniz oscuro</v>
          </cell>
          <cell r="O1819" t="str">
            <v>MUEBLES DE COCINA</v>
          </cell>
          <cell r="P1819">
            <v>135000</v>
          </cell>
          <cell r="T1819" t="str">
            <v>Bueno</v>
          </cell>
          <cell r="U1819" t="str">
            <v>N/T</v>
          </cell>
        </row>
        <row r="1820">
          <cell r="J1820" t="str">
            <v>42-04-04-00-1812</v>
          </cell>
          <cell r="K1820" t="str">
            <v>42-2785</v>
          </cell>
          <cell r="L1820" t="str">
            <v>42-04-04-00-1812</v>
          </cell>
          <cell r="M1820" t="str">
            <v>Mueble cocina 4 puertas, 4 cajones con cubierta postformado color barniz oscuro</v>
          </cell>
          <cell r="O1820" t="str">
            <v>MUEBLES DE COCINA</v>
          </cell>
          <cell r="P1820">
            <v>256451</v>
          </cell>
          <cell r="T1820" t="str">
            <v>Bueno</v>
          </cell>
          <cell r="U1820" t="str">
            <v>N/T</v>
          </cell>
        </row>
        <row r="1821">
          <cell r="J1821" t="str">
            <v>42-04-04-00-1813</v>
          </cell>
          <cell r="K1821" t="str">
            <v>42-2786</v>
          </cell>
          <cell r="L1821" t="str">
            <v>42-04-04-00-1813</v>
          </cell>
          <cell r="M1821" t="str">
            <v>Mueble cocina superior, 2 puertas de madera, 3 puertas de vidrio color barniz oscuro</v>
          </cell>
          <cell r="O1821" t="str">
            <v>MUEBLES DE COCINA</v>
          </cell>
          <cell r="P1821">
            <v>634584</v>
          </cell>
          <cell r="T1821" t="str">
            <v>Bueno</v>
          </cell>
          <cell r="U1821" t="str">
            <v>N/T</v>
          </cell>
        </row>
        <row r="1822">
          <cell r="J1822" t="str">
            <v>42-04-07-00-1814</v>
          </cell>
          <cell r="K1822" t="str">
            <v>42-2787</v>
          </cell>
          <cell r="L1822" t="str">
            <v>42-04-07-00-1814</v>
          </cell>
          <cell r="M1822" t="str">
            <v>Plafón</v>
          </cell>
          <cell r="O1822" t="str">
            <v>OTROS</v>
          </cell>
          <cell r="P1822">
            <v>30000</v>
          </cell>
          <cell r="T1822" t="str">
            <v>Bueno</v>
          </cell>
          <cell r="U1822" t="str">
            <v>N/T</v>
          </cell>
        </row>
        <row r="1823">
          <cell r="J1823" t="str">
            <v>42-04-07-00-1815</v>
          </cell>
          <cell r="K1823" t="str">
            <v>42-2788</v>
          </cell>
          <cell r="L1823" t="str">
            <v>42-04-07-00-1815</v>
          </cell>
          <cell r="M1823" t="str">
            <v>Plafón</v>
          </cell>
          <cell r="O1823" t="str">
            <v>OTROS</v>
          </cell>
          <cell r="P1823">
            <v>30000</v>
          </cell>
          <cell r="T1823" t="str">
            <v>Bueno</v>
          </cell>
          <cell r="U1823" t="str">
            <v>N/T</v>
          </cell>
        </row>
        <row r="1824">
          <cell r="J1824" t="str">
            <v>42-04-07-00-1816</v>
          </cell>
          <cell r="K1824" t="str">
            <v>42-39 B</v>
          </cell>
          <cell r="L1824" t="str">
            <v>42-04-07-00-1816</v>
          </cell>
          <cell r="M1824" t="str">
            <v>Banca de madera color gris con respaldo</v>
          </cell>
          <cell r="O1824" t="str">
            <v>OTROS</v>
          </cell>
          <cell r="P1824">
            <v>79000</v>
          </cell>
          <cell r="T1824" t="str">
            <v>Bueno</v>
          </cell>
          <cell r="U1824" t="str">
            <v>N/T</v>
          </cell>
        </row>
        <row r="1825">
          <cell r="J1825" t="str">
            <v>42-04-07-00-1817</v>
          </cell>
          <cell r="K1825" t="str">
            <v>42-3380</v>
          </cell>
          <cell r="L1825" t="str">
            <v>42-04-07-00-1817</v>
          </cell>
          <cell r="M1825" t="str">
            <v>Banca de madera color gris con respaldo</v>
          </cell>
          <cell r="O1825" t="str">
            <v>OTROS</v>
          </cell>
          <cell r="P1825">
            <v>79000</v>
          </cell>
          <cell r="T1825" t="str">
            <v>Bueno</v>
          </cell>
          <cell r="U1825" t="str">
            <v>N/T</v>
          </cell>
        </row>
        <row r="1826">
          <cell r="J1826" t="str">
            <v>42-05-02-02-1818</v>
          </cell>
          <cell r="K1826" t="str">
            <v>42-3424</v>
          </cell>
          <cell r="L1826" t="str">
            <v>42-05-02-02-1818</v>
          </cell>
          <cell r="M1826" t="str">
            <v>Fondo Aluminio 40 Lts Ac. Hogar.</v>
          </cell>
          <cell r="O1826" t="str">
            <v>EQUIPOS DE COCINA</v>
          </cell>
          <cell r="P1826">
            <v>34000</v>
          </cell>
          <cell r="T1826" t="str">
            <v>Bueno</v>
          </cell>
          <cell r="U1826" t="str">
            <v>N/T</v>
          </cell>
        </row>
        <row r="1827">
          <cell r="J1827" t="str">
            <v>42-04-02-00-1819</v>
          </cell>
          <cell r="K1827" t="str">
            <v>42-1173</v>
          </cell>
          <cell r="L1827" t="str">
            <v>42-04-02-00-1819</v>
          </cell>
          <cell r="M1827" t="str">
            <v>Silla de madera barniz caoba, respaldo de 4 palos tornados</v>
          </cell>
          <cell r="O1827" t="str">
            <v>SILLAS</v>
          </cell>
          <cell r="P1827">
            <v>17850</v>
          </cell>
          <cell r="T1827" t="str">
            <v>Bueno</v>
          </cell>
          <cell r="U1827" t="str">
            <v>N/T</v>
          </cell>
        </row>
        <row r="1828">
          <cell r="J1828" t="str">
            <v>42-04-02-00-1820</v>
          </cell>
          <cell r="K1828" t="str">
            <v>42-1174</v>
          </cell>
          <cell r="L1828" t="str">
            <v>42-04-02-00-1820</v>
          </cell>
          <cell r="M1828" t="str">
            <v>Silla de madera barniz caoba, respaldo de 4 palos tornados</v>
          </cell>
          <cell r="O1828" t="str">
            <v>SILLAS</v>
          </cell>
          <cell r="P1828">
            <v>17850</v>
          </cell>
          <cell r="T1828" t="str">
            <v>Bueno</v>
          </cell>
          <cell r="U1828" t="str">
            <v>N/T</v>
          </cell>
        </row>
        <row r="1829">
          <cell r="J1829" t="str">
            <v>42-04-02-00-1821</v>
          </cell>
          <cell r="K1829" t="str">
            <v>42-1175</v>
          </cell>
          <cell r="L1829" t="str">
            <v>42-04-02-00-1821</v>
          </cell>
          <cell r="M1829" t="str">
            <v>Silla de madera barniz caoba, respaldo de 4 palos tornados</v>
          </cell>
          <cell r="O1829" t="str">
            <v>SILLAS</v>
          </cell>
          <cell r="P1829">
            <v>17850</v>
          </cell>
          <cell r="T1829" t="str">
            <v>Bueno</v>
          </cell>
          <cell r="U1829" t="str">
            <v>N/T</v>
          </cell>
        </row>
        <row r="1830">
          <cell r="J1830" t="str">
            <v>42-04-02-00-1822</v>
          </cell>
          <cell r="K1830" t="str">
            <v>42-1176</v>
          </cell>
          <cell r="L1830" t="str">
            <v>42-04-02-00-1822</v>
          </cell>
          <cell r="M1830" t="str">
            <v>Silla de madera barniz caoba, respaldo de 4 palos tornados</v>
          </cell>
          <cell r="O1830" t="str">
            <v>SILLAS</v>
          </cell>
          <cell r="P1830">
            <v>17850</v>
          </cell>
          <cell r="T1830" t="str">
            <v>Bueno</v>
          </cell>
          <cell r="U1830" t="str">
            <v>N/T</v>
          </cell>
        </row>
        <row r="1831">
          <cell r="J1831" t="str">
            <v>42-04-02-00-1823</v>
          </cell>
          <cell r="K1831" t="str">
            <v>42-1177</v>
          </cell>
          <cell r="L1831" t="str">
            <v>42-04-02-00-1823</v>
          </cell>
          <cell r="M1831" t="str">
            <v>Silla de madera barniz caoba, respaldo de 4 palos tornados</v>
          </cell>
          <cell r="O1831" t="str">
            <v>SILLAS</v>
          </cell>
          <cell r="P1831">
            <v>17850</v>
          </cell>
          <cell r="T1831" t="str">
            <v>Bueno</v>
          </cell>
          <cell r="U1831" t="str">
            <v>N/T</v>
          </cell>
        </row>
        <row r="1832">
          <cell r="J1832" t="str">
            <v>42-04-02-00-1824</v>
          </cell>
          <cell r="K1832" t="str">
            <v>42-1178</v>
          </cell>
          <cell r="L1832" t="str">
            <v>42-04-02-00-1824</v>
          </cell>
          <cell r="M1832" t="str">
            <v>Silla de madera barniz caoba, respaldo de 4 palos tornados</v>
          </cell>
          <cell r="O1832" t="str">
            <v>SILLAS</v>
          </cell>
          <cell r="P1832">
            <v>17850</v>
          </cell>
          <cell r="T1832" t="str">
            <v>Bueno</v>
          </cell>
          <cell r="U1832" t="str">
            <v>N/T</v>
          </cell>
        </row>
        <row r="1833">
          <cell r="J1833" t="str">
            <v>42-05-02-02-1825</v>
          </cell>
          <cell r="K1833" t="str">
            <v>42-736</v>
          </cell>
          <cell r="L1833" t="str">
            <v>42-05-02-02-1825</v>
          </cell>
          <cell r="M1833" t="str">
            <v>Cocina de fierro Industrial con 8 platos a gas marca Oppia de Deo serie  2438 Mod. K8</v>
          </cell>
          <cell r="O1833" t="str">
            <v>EQUIPOS DE COCINA</v>
          </cell>
          <cell r="P1833">
            <v>490000</v>
          </cell>
          <cell r="T1833" t="str">
            <v>Regular</v>
          </cell>
          <cell r="U1833" t="str">
            <v>Oppia Deo</v>
          </cell>
        </row>
        <row r="1834">
          <cell r="J1834" t="str">
            <v>42-05-02-02-1826</v>
          </cell>
          <cell r="K1834" t="str">
            <v>42-737</v>
          </cell>
          <cell r="L1834" t="str">
            <v>42-05-02-02-1826</v>
          </cell>
          <cell r="M1834" t="str">
            <v>Cocina a gas Industrial 7 quemadores, 1 horno marca Oppia S.I.C. serie  7993 Mod. 600-1</v>
          </cell>
          <cell r="O1834" t="str">
            <v>EQUIPOS DE COCINA</v>
          </cell>
          <cell r="P1834">
            <v>159980</v>
          </cell>
          <cell r="T1834" t="str">
            <v>Bueno</v>
          </cell>
          <cell r="U1834" t="str">
            <v>Oppia Deo</v>
          </cell>
        </row>
        <row r="1835">
          <cell r="J1835" t="str">
            <v>42-05-02-02-1827</v>
          </cell>
          <cell r="K1835" t="str">
            <v>42-739B</v>
          </cell>
          <cell r="L1835" t="str">
            <v>42-05-02-02-1827</v>
          </cell>
          <cell r="M1835" t="str">
            <v>Marmita de acero inox. sin marca</v>
          </cell>
          <cell r="O1835" t="str">
            <v>EQUIPOS DE COCINA</v>
          </cell>
          <cell r="P1835">
            <v>5000</v>
          </cell>
          <cell r="T1835" t="str">
            <v>Bueno</v>
          </cell>
          <cell r="U1835" t="str">
            <v>N/T</v>
          </cell>
        </row>
        <row r="1836">
          <cell r="J1836" t="str">
            <v>42-05-02-02-1828</v>
          </cell>
          <cell r="K1836" t="str">
            <v>42-740</v>
          </cell>
          <cell r="L1836" t="str">
            <v>42-05-02-02-1828</v>
          </cell>
          <cell r="M1836" t="str">
            <v>Carro térmico 4 puertas, eléctrico con 36 bandejas, 1 plato de sopa,  1 plato de postre, 12 bandejas de acero inoxidable</v>
          </cell>
          <cell r="O1836" t="str">
            <v>EQUIPOS DE COCINA</v>
          </cell>
          <cell r="P1836">
            <v>95648</v>
          </cell>
          <cell r="T1836" t="str">
            <v>Regular</v>
          </cell>
          <cell r="U1836" t="str">
            <v>N/T</v>
          </cell>
        </row>
        <row r="1837">
          <cell r="J1837" t="str">
            <v>42-05-01-01-1829</v>
          </cell>
          <cell r="K1837" t="str">
            <v>42-3302</v>
          </cell>
          <cell r="L1837" t="str">
            <v>42-05-01-01-1829</v>
          </cell>
          <cell r="M1837" t="str">
            <v>Freezer Consul Mod. CVU20BBDMS S/Nº CVU20BBDMSJJ8732950EU</v>
          </cell>
          <cell r="O1837" t="str">
            <v>EQUIPO DE OFICINA</v>
          </cell>
          <cell r="P1837">
            <v>202300</v>
          </cell>
          <cell r="T1837" t="str">
            <v>Bueno</v>
          </cell>
          <cell r="U1837" t="str">
            <v>Consul</v>
          </cell>
        </row>
        <row r="1838">
          <cell r="J1838" t="str">
            <v>42-05-02-01-1830</v>
          </cell>
          <cell r="K1838" t="str">
            <v>42-2522</v>
          </cell>
          <cell r="L1838" t="str">
            <v>42-05-02-01-1830</v>
          </cell>
          <cell r="M1838" t="str">
            <v>Termo marca Thermolar 12 Lts color rojo</v>
          </cell>
          <cell r="O1838" t="str">
            <v>EQUIPOS CLINICOS</v>
          </cell>
          <cell r="P1838">
            <v>25000</v>
          </cell>
          <cell r="T1838" t="str">
            <v>Bueno</v>
          </cell>
          <cell r="U1838" t="str">
            <v>Thermolar</v>
          </cell>
        </row>
        <row r="1839">
          <cell r="J1839" t="str">
            <v>42-05-02-06-1831</v>
          </cell>
          <cell r="K1839" t="str">
            <v>42-2052</v>
          </cell>
          <cell r="L1839" t="str">
            <v>42-05-02-06-1831</v>
          </cell>
          <cell r="M1839" t="str">
            <v>Banco de sierra con motor Leardy Somer 0,75 cv</v>
          </cell>
          <cell r="N1839">
            <v>1</v>
          </cell>
          <cell r="O1839" t="str">
            <v>HERRAMIENTAS</v>
          </cell>
          <cell r="P1839">
            <v>120000</v>
          </cell>
          <cell r="T1839" t="str">
            <v>Bueno</v>
          </cell>
          <cell r="U1839" t="str">
            <v>Leardy Somer</v>
          </cell>
        </row>
        <row r="1840">
          <cell r="J1840" t="str">
            <v>42-05-02-06-1832</v>
          </cell>
          <cell r="K1840" t="str">
            <v>42-1625</v>
          </cell>
          <cell r="L1840" t="str">
            <v>42-05-02-06-1832</v>
          </cell>
          <cell r="M1840" t="str">
            <v>Cautil eléctrico s/marca 50 W</v>
          </cell>
          <cell r="N1840">
            <v>1</v>
          </cell>
          <cell r="O1840" t="str">
            <v>HERRAMIENTAS</v>
          </cell>
          <cell r="P1840">
            <v>1400</v>
          </cell>
          <cell r="T1840" t="str">
            <v>Bueno</v>
          </cell>
          <cell r="U1840" t="str">
            <v>N/T</v>
          </cell>
        </row>
        <row r="1841">
          <cell r="J1841" t="str">
            <v>42-05-02-06-1833</v>
          </cell>
          <cell r="K1841" t="str">
            <v>42-1573</v>
          </cell>
          <cell r="L1841" t="str">
            <v>42-05-02-06-1833</v>
          </cell>
          <cell r="M1841" t="str">
            <v>Equipo de soldar a gas marca Gasjet, manguera, boquilla y regulador</v>
          </cell>
          <cell r="O1841" t="str">
            <v>HERRAMIENTAS</v>
          </cell>
          <cell r="P1841">
            <v>26000</v>
          </cell>
          <cell r="T1841" t="str">
            <v>Bueno</v>
          </cell>
          <cell r="U1841" t="str">
            <v>Gasjet</v>
          </cell>
        </row>
        <row r="1842">
          <cell r="J1842" t="str">
            <v>42-05-02-06-1834</v>
          </cell>
          <cell r="K1842" t="str">
            <v>42-1719</v>
          </cell>
          <cell r="L1842" t="str">
            <v>42-05-02-06-1834</v>
          </cell>
          <cell r="M1842" t="str">
            <v>Equipo soldadora de arco marca Indura 250</v>
          </cell>
          <cell r="N1842">
            <v>1</v>
          </cell>
          <cell r="O1842" t="str">
            <v>HERRAMIENTAS</v>
          </cell>
          <cell r="P1842">
            <v>180000</v>
          </cell>
          <cell r="T1842" t="str">
            <v>Bueno</v>
          </cell>
          <cell r="U1842" t="str">
            <v>Indura</v>
          </cell>
        </row>
        <row r="1843">
          <cell r="J1843" t="str">
            <v>42-05-02-06-1835</v>
          </cell>
          <cell r="K1843" t="str">
            <v>42-1628</v>
          </cell>
          <cell r="L1843" t="str">
            <v>42-05-02-06-1835</v>
          </cell>
          <cell r="M1843" t="str">
            <v>Esmeril de banco Power Tool 1/2 HP Mod. E6600</v>
          </cell>
          <cell r="N1843">
            <v>1</v>
          </cell>
          <cell r="O1843" t="str">
            <v>HERRAMIENTAS</v>
          </cell>
          <cell r="P1843">
            <v>18000</v>
          </cell>
          <cell r="T1843" t="str">
            <v>Bueno</v>
          </cell>
          <cell r="U1843" t="str">
            <v>Power Tool</v>
          </cell>
        </row>
        <row r="1844">
          <cell r="J1844" t="str">
            <v>42-05-02-06-1836</v>
          </cell>
          <cell r="K1844" t="str">
            <v>42-2054</v>
          </cell>
          <cell r="L1844" t="str">
            <v>42-05-02-06-1836</v>
          </cell>
          <cell r="M1844" t="str">
            <v>Galletero Mister Tool Mod. S1M - 115  670 Watts</v>
          </cell>
          <cell r="N1844">
            <v>1</v>
          </cell>
          <cell r="O1844" t="str">
            <v>HERRAMIENTAS</v>
          </cell>
          <cell r="P1844">
            <v>25000</v>
          </cell>
          <cell r="T1844" t="str">
            <v>Malo</v>
          </cell>
          <cell r="U1844" t="str">
            <v>Mister Tool</v>
          </cell>
        </row>
        <row r="1845">
          <cell r="J1845" t="str">
            <v>42-05-02-06-1837</v>
          </cell>
          <cell r="K1845" t="str">
            <v>42-1767</v>
          </cell>
          <cell r="L1845" t="str">
            <v>42-05-02-06-1837</v>
          </cell>
          <cell r="M1845" t="str">
            <v>Prensa carpintera tipo C, 2 "</v>
          </cell>
          <cell r="N1845">
            <v>1</v>
          </cell>
          <cell r="O1845" t="str">
            <v>HERRAMIENTAS</v>
          </cell>
          <cell r="P1845">
            <v>2000</v>
          </cell>
          <cell r="T1845" t="str">
            <v>Bueno</v>
          </cell>
          <cell r="U1845" t="str">
            <v>N/T</v>
          </cell>
        </row>
        <row r="1846">
          <cell r="J1846" t="str">
            <v>42-05-02-06-1838</v>
          </cell>
          <cell r="K1846" t="str">
            <v>42-1768</v>
          </cell>
          <cell r="L1846" t="str">
            <v>42-05-02-06-1838</v>
          </cell>
          <cell r="M1846" t="str">
            <v>Prensa carpintera tipo C, 2 "</v>
          </cell>
          <cell r="N1846">
            <v>1</v>
          </cell>
          <cell r="O1846" t="str">
            <v>HERRAMIENTAS</v>
          </cell>
          <cell r="P1846">
            <v>2000</v>
          </cell>
          <cell r="T1846" t="str">
            <v>Bueno</v>
          </cell>
          <cell r="U1846" t="str">
            <v>N/T</v>
          </cell>
        </row>
        <row r="1847">
          <cell r="J1847" t="str">
            <v>42-05-02-06-1839</v>
          </cell>
          <cell r="K1847" t="str">
            <v>42-2257</v>
          </cell>
          <cell r="L1847" t="str">
            <v>42-05-02-06-1839</v>
          </cell>
          <cell r="M1847" t="str">
            <v>Sierra circular 7 ¼ pulgadas,  marca BLACK &amp; DECKER</v>
          </cell>
          <cell r="N1847">
            <v>1</v>
          </cell>
          <cell r="O1847" t="str">
            <v>HERRAMIENTAS</v>
          </cell>
          <cell r="P1847">
            <v>3000</v>
          </cell>
          <cell r="T1847" t="str">
            <v>Malo</v>
          </cell>
          <cell r="U1847" t="str">
            <v>Black &amp; Deker</v>
          </cell>
        </row>
        <row r="1848">
          <cell r="J1848" t="str">
            <v>42-05-02-06-1840</v>
          </cell>
          <cell r="K1848" t="str">
            <v>42-1758</v>
          </cell>
          <cell r="L1848" t="str">
            <v>42-05-02-06-1840</v>
          </cell>
          <cell r="M1848" t="str">
            <v>Soplete gas licuado c/ cautil  marca Jacwall</v>
          </cell>
          <cell r="N1848">
            <v>1</v>
          </cell>
          <cell r="O1848" t="str">
            <v>HERRAMIENTAS</v>
          </cell>
          <cell r="P1848">
            <v>20000</v>
          </cell>
          <cell r="T1848" t="str">
            <v>Regular</v>
          </cell>
          <cell r="U1848" t="str">
            <v>Jacwall</v>
          </cell>
        </row>
        <row r="1849">
          <cell r="J1849" t="str">
            <v>42-05-02-06-1841</v>
          </cell>
          <cell r="K1849" t="str">
            <v>42-1653</v>
          </cell>
          <cell r="L1849" t="str">
            <v>42-05-02-06-1841</v>
          </cell>
          <cell r="M1849" t="str">
            <v>Taladro banco pedestal marca Power Tool Mod. T-6816 16 mm.</v>
          </cell>
          <cell r="N1849">
            <v>1</v>
          </cell>
          <cell r="O1849" t="str">
            <v>HERRAMIENTAS</v>
          </cell>
          <cell r="P1849">
            <v>60000</v>
          </cell>
          <cell r="T1849" t="str">
            <v>Bueno</v>
          </cell>
          <cell r="U1849" t="str">
            <v>Power Tool</v>
          </cell>
        </row>
        <row r="1850">
          <cell r="J1850" t="str">
            <v>42-05-02-06-1842</v>
          </cell>
          <cell r="K1850" t="str">
            <v>42-1175</v>
          </cell>
          <cell r="L1850" t="str">
            <v>42-05-02-06-1842</v>
          </cell>
          <cell r="M1850" t="str">
            <v>Taladro eléctrico marca Bosch 13 mm. 700 w. Mod. PSB-600</v>
          </cell>
          <cell r="N1850">
            <v>1</v>
          </cell>
          <cell r="O1850" t="str">
            <v>HERRAMIENTAS</v>
          </cell>
          <cell r="P1850">
            <v>25000</v>
          </cell>
          <cell r="T1850" t="str">
            <v>Malo</v>
          </cell>
          <cell r="U1850" t="str">
            <v>Bosch</v>
          </cell>
        </row>
        <row r="1851">
          <cell r="J1851" t="str">
            <v>42-05-02-06-1843</v>
          </cell>
          <cell r="K1851" t="str">
            <v>42-1721</v>
          </cell>
          <cell r="L1851" t="str">
            <v>42-05-02-06-1843</v>
          </cell>
          <cell r="M1851" t="str">
            <v xml:space="preserve">Taladro manual marca Stanley 02-253 profesional </v>
          </cell>
          <cell r="N1851">
            <v>1</v>
          </cell>
          <cell r="O1851" t="str">
            <v>HERRAMIENTAS</v>
          </cell>
          <cell r="P1851">
            <v>6500</v>
          </cell>
          <cell r="T1851" t="str">
            <v>Malo</v>
          </cell>
          <cell r="U1851" t="str">
            <v>Stanley</v>
          </cell>
        </row>
        <row r="1852">
          <cell r="J1852" t="str">
            <v>42-05-02-06-1844</v>
          </cell>
          <cell r="K1852" t="str">
            <v>42-1722</v>
          </cell>
          <cell r="L1852" t="str">
            <v>42-05-02-06-1844</v>
          </cell>
          <cell r="M1852" t="str">
            <v xml:space="preserve">Tornillo mecánico marca Schulz 6 ” </v>
          </cell>
          <cell r="N1852">
            <v>1</v>
          </cell>
          <cell r="O1852" t="str">
            <v>HERRAMIENTAS</v>
          </cell>
          <cell r="P1852">
            <v>18000</v>
          </cell>
          <cell r="T1852" t="str">
            <v>Bueno</v>
          </cell>
          <cell r="U1852" t="str">
            <v>Schulz</v>
          </cell>
        </row>
        <row r="1853">
          <cell r="J1853" t="str">
            <v>42-05-01-01-1845</v>
          </cell>
          <cell r="K1853" t="str">
            <v>42-2056</v>
          </cell>
          <cell r="L1853" t="str">
            <v>42-05-01-01-1845</v>
          </cell>
          <cell r="M1853" t="str">
            <v>Calentador gas Superser color negro</v>
          </cell>
          <cell r="O1853" t="str">
            <v>EQUIPO DE OFICINA</v>
          </cell>
          <cell r="P1853">
            <v>20000</v>
          </cell>
          <cell r="T1853" t="str">
            <v>Bueno</v>
          </cell>
          <cell r="U1853" t="str">
            <v>Superser</v>
          </cell>
        </row>
        <row r="1854">
          <cell r="J1854" t="str">
            <v>42-05-01-01-1846</v>
          </cell>
          <cell r="K1854" t="str">
            <v>42-3348</v>
          </cell>
          <cell r="L1854" t="str">
            <v>42-05-01-01-1846</v>
          </cell>
          <cell r="M1854" t="str">
            <v>Televisor IRT 14" Mod. TCR 1428 S/Nº 00125</v>
          </cell>
          <cell r="O1854" t="str">
            <v>EQUIPO DE OFICINA</v>
          </cell>
          <cell r="P1854">
            <v>10000</v>
          </cell>
          <cell r="T1854" t="str">
            <v>Malo</v>
          </cell>
          <cell r="U1854" t="str">
            <v>TSR</v>
          </cell>
        </row>
        <row r="1855">
          <cell r="J1855" t="str">
            <v>42-05-02-05-1847</v>
          </cell>
          <cell r="K1855" t="str">
            <v>42-2057</v>
          </cell>
          <cell r="L1855" t="str">
            <v>42-05-02-05-1847</v>
          </cell>
          <cell r="M1855" t="str">
            <v>Botiquin metálico 50x50 con 1 puerta vidrio color rojo</v>
          </cell>
          <cell r="O1855" t="str">
            <v>EQUIPOS DE SEGURIDAD</v>
          </cell>
          <cell r="P1855">
            <v>5000</v>
          </cell>
          <cell r="T1855" t="str">
            <v>Bueno</v>
          </cell>
          <cell r="U1855" t="str">
            <v>N/T</v>
          </cell>
        </row>
        <row r="1856">
          <cell r="J1856" t="str">
            <v>42-05-02-01-1848</v>
          </cell>
          <cell r="K1856" t="str">
            <v>42-3176</v>
          </cell>
          <cell r="L1856" t="str">
            <v>42-05-02-01-1848</v>
          </cell>
          <cell r="M1856" t="str">
            <v>Camilla metálica color blanco 181x60x56 cms.</v>
          </cell>
          <cell r="O1856" t="str">
            <v>EQUIPOS CLINICOS</v>
          </cell>
          <cell r="P1856">
            <v>10000</v>
          </cell>
          <cell r="T1856" t="str">
            <v>Bueno</v>
          </cell>
          <cell r="U1856" t="str">
            <v>N/T</v>
          </cell>
        </row>
        <row r="1857">
          <cell r="J1857" t="str">
            <v>42-04-07-00-1849</v>
          </cell>
          <cell r="K1857" t="str">
            <v>42-2074</v>
          </cell>
          <cell r="L1857" t="str">
            <v>42-04-07-00-1849</v>
          </cell>
          <cell r="M1857" t="str">
            <v>Carro metálico c/4 ruedas 123x66x76 cms.</v>
          </cell>
          <cell r="O1857" t="str">
            <v>OTROS</v>
          </cell>
          <cell r="P1857">
            <v>8000</v>
          </cell>
          <cell r="T1857" t="str">
            <v>Bueno</v>
          </cell>
          <cell r="U1857" t="str">
            <v>N/T</v>
          </cell>
        </row>
        <row r="1858">
          <cell r="J1858" t="str">
            <v>42-04-06-00-1850</v>
          </cell>
          <cell r="K1858" t="str">
            <v>42-2075</v>
          </cell>
          <cell r="L1858" t="str">
            <v>42-04-06-00-1850</v>
          </cell>
          <cell r="M1858" t="str">
            <v>Closet Trupan c/2 puertas corredizas 175x63x60 cms.</v>
          </cell>
          <cell r="O1858" t="str">
            <v>REPISA</v>
          </cell>
          <cell r="P1858">
            <v>10000</v>
          </cell>
          <cell r="T1858" t="str">
            <v>Bueno</v>
          </cell>
          <cell r="U1858" t="str">
            <v>N/T</v>
          </cell>
        </row>
        <row r="1859">
          <cell r="J1859" t="str">
            <v>42-04-03-00-1851</v>
          </cell>
          <cell r="K1859" t="str">
            <v>42-3175</v>
          </cell>
          <cell r="L1859" t="str">
            <v>42-04-03-00-1851</v>
          </cell>
          <cell r="M1859" t="str">
            <v>Escritorio madera 3 cajones barniz oscuro 140x70x74 cms.</v>
          </cell>
          <cell r="O1859" t="str">
            <v>ESCRITORIOS</v>
          </cell>
          <cell r="P1859">
            <v>12000</v>
          </cell>
          <cell r="T1859" t="str">
            <v>Bueno</v>
          </cell>
          <cell r="U1859" t="str">
            <v>N/T</v>
          </cell>
        </row>
        <row r="1860">
          <cell r="J1860" t="str">
            <v>42-04-07-00-1852</v>
          </cell>
          <cell r="K1860" t="str">
            <v>42-2086</v>
          </cell>
          <cell r="L1860" t="str">
            <v>42-04-07-00-1852</v>
          </cell>
          <cell r="M1860" t="str">
            <v>Espejo marco madera 43x43 cms</v>
          </cell>
          <cell r="O1860" t="str">
            <v>OTROS</v>
          </cell>
          <cell r="P1860">
            <v>3000</v>
          </cell>
          <cell r="T1860" t="str">
            <v>Bueno</v>
          </cell>
          <cell r="U1860" t="str">
            <v>N/T</v>
          </cell>
        </row>
        <row r="1861">
          <cell r="J1861" t="str">
            <v>42-04-07-00-1853</v>
          </cell>
          <cell r="K1861" t="str">
            <v>42-1772</v>
          </cell>
          <cell r="L1861" t="str">
            <v>42-04-07-00-1853</v>
          </cell>
          <cell r="M1861" t="str">
            <v>Lámpara portátil 5 mts.</v>
          </cell>
          <cell r="N1861">
            <v>1</v>
          </cell>
          <cell r="O1861" t="str">
            <v>OTROS</v>
          </cell>
          <cell r="P1861">
            <v>2500</v>
          </cell>
          <cell r="T1861" t="str">
            <v>Bueno</v>
          </cell>
          <cell r="U1861" t="str">
            <v>N/T</v>
          </cell>
        </row>
        <row r="1862">
          <cell r="J1862" t="str">
            <v>42-04-06-00-1854</v>
          </cell>
          <cell r="K1862" t="str">
            <v>42-2079</v>
          </cell>
          <cell r="L1862" t="str">
            <v>42-04-06-00-1854</v>
          </cell>
          <cell r="M1862" t="str">
            <v>Mueble madera 2 puertas 90x40x143 cms. color plomo</v>
          </cell>
          <cell r="O1862" t="str">
            <v>REPISA</v>
          </cell>
          <cell r="P1862">
            <v>10000</v>
          </cell>
          <cell r="T1862" t="str">
            <v>Bueno</v>
          </cell>
          <cell r="U1862" t="str">
            <v>N/T</v>
          </cell>
        </row>
        <row r="1863">
          <cell r="J1863" t="str">
            <v>42-04-06-00-1855</v>
          </cell>
          <cell r="K1863" t="str">
            <v>42-3174</v>
          </cell>
          <cell r="L1863" t="str">
            <v>42-04-06-00-1855</v>
          </cell>
          <cell r="M1863" t="str">
            <v>Mueble madera 2 puertas 90x40x143 cms. color plomo</v>
          </cell>
          <cell r="O1863" t="str">
            <v>REPISA</v>
          </cell>
          <cell r="P1863">
            <v>10000</v>
          </cell>
          <cell r="T1863" t="str">
            <v>Bueno</v>
          </cell>
          <cell r="U1863" t="str">
            <v>N/T</v>
          </cell>
        </row>
        <row r="1864">
          <cell r="J1864" t="str">
            <v>42-04-01-00-1856</v>
          </cell>
          <cell r="K1864" t="str">
            <v>42-165</v>
          </cell>
          <cell r="L1864" t="str">
            <v>42-04-01-00-1856</v>
          </cell>
          <cell r="M1864" t="str">
            <v>Mesón de trabajo cubierta de formalita, 2 ptas. correderas 221x56x82 cm.</v>
          </cell>
          <cell r="O1864" t="str">
            <v>MESAS</v>
          </cell>
          <cell r="P1864">
            <v>12000</v>
          </cell>
          <cell r="T1864" t="str">
            <v>Malo</v>
          </cell>
          <cell r="U1864" t="str">
            <v>N/T</v>
          </cell>
        </row>
        <row r="1865">
          <cell r="J1865" t="str">
            <v>42-05-01-01-1857</v>
          </cell>
          <cell r="K1865" t="str">
            <v>42-2080</v>
          </cell>
          <cell r="L1865" t="str">
            <v>42-05-01-01-1857</v>
          </cell>
          <cell r="M1865" t="str">
            <v>Pizarra blanca c/ marco aluminio 60x40 cms.</v>
          </cell>
          <cell r="O1865" t="str">
            <v>EQUIPO DE OFICINA</v>
          </cell>
          <cell r="P1865">
            <v>5000</v>
          </cell>
          <cell r="T1865" t="str">
            <v>Bueno</v>
          </cell>
          <cell r="U1865" t="str">
            <v>N/T</v>
          </cell>
        </row>
        <row r="1866">
          <cell r="J1866" t="str">
            <v>42-04-06-00-1858</v>
          </cell>
          <cell r="K1866" t="str">
            <v>42-218</v>
          </cell>
          <cell r="L1866" t="str">
            <v>42-04-06-00-1858</v>
          </cell>
          <cell r="M1866" t="str">
            <v>Repisa de madera color blanco, 3 divisiones de 84x95 cms.</v>
          </cell>
          <cell r="O1866" t="str">
            <v>REPISA</v>
          </cell>
          <cell r="P1866">
            <v>5000</v>
          </cell>
          <cell r="T1866" t="str">
            <v>Bueno</v>
          </cell>
          <cell r="U1866" t="str">
            <v>N/T</v>
          </cell>
        </row>
        <row r="1867">
          <cell r="J1867" t="str">
            <v>42-04-06-00-1859</v>
          </cell>
          <cell r="K1867" t="str">
            <v>42-2101</v>
          </cell>
          <cell r="L1867" t="str">
            <v>42-04-06-00-1859</v>
          </cell>
          <cell r="M1867" t="str">
            <v>Vitrina metalica blanca c/2 puertas vidrio 90x80 cms.</v>
          </cell>
          <cell r="O1867" t="str">
            <v>REPISA</v>
          </cell>
          <cell r="P1867">
            <v>10000</v>
          </cell>
          <cell r="T1867" t="str">
            <v>Bueno</v>
          </cell>
          <cell r="U1867" t="str">
            <v>N/T</v>
          </cell>
        </row>
        <row r="1868">
          <cell r="J1868" t="str">
            <v>42-04-02-00-1860</v>
          </cell>
          <cell r="K1868" t="str">
            <v>42-296</v>
          </cell>
          <cell r="L1868" t="str">
            <v>42-04-02-00-1860</v>
          </cell>
          <cell r="M1868" t="str">
            <v>Silla de madera tapizada en pergamoide color café oscuro</v>
          </cell>
          <cell r="O1868" t="str">
            <v>SILLAS</v>
          </cell>
          <cell r="P1868">
            <v>12000</v>
          </cell>
          <cell r="T1868" t="str">
            <v>Bueno</v>
          </cell>
          <cell r="U1868" t="str">
            <v>N/T</v>
          </cell>
        </row>
        <row r="1869">
          <cell r="J1869" t="str">
            <v>42-05-02-05-1861</v>
          </cell>
          <cell r="K1869" t="str">
            <v>42-3349</v>
          </cell>
          <cell r="L1869" t="str">
            <v>42-05-02-05-1861</v>
          </cell>
          <cell r="M1869" t="str">
            <v>Extintor incendio tipo ABC 4 Kgs.</v>
          </cell>
          <cell r="O1869" t="str">
            <v>EQUIPOS DE SEGURIDAD</v>
          </cell>
          <cell r="P1869">
            <v>25000</v>
          </cell>
          <cell r="T1869" t="str">
            <v>Bueno</v>
          </cell>
          <cell r="U1869" t="str">
            <v>N/T</v>
          </cell>
        </row>
        <row r="1870">
          <cell r="J1870" t="str">
            <v>42-05-02-06-1862</v>
          </cell>
          <cell r="K1870" t="str">
            <v>42-2875</v>
          </cell>
          <cell r="L1870" t="str">
            <v>42-05-02-06-1862</v>
          </cell>
          <cell r="M1870" t="str">
            <v>Huincha de medir Power Tape Professional 5 mts.</v>
          </cell>
          <cell r="N1870">
            <v>1</v>
          </cell>
          <cell r="O1870" t="str">
            <v>HERRAMIENTAS</v>
          </cell>
          <cell r="P1870">
            <v>1200</v>
          </cell>
          <cell r="T1870" t="str">
            <v>Bueno</v>
          </cell>
          <cell r="U1870" t="str">
            <v>B</v>
          </cell>
        </row>
        <row r="1871">
          <cell r="J1871" t="str">
            <v>FN-05-02-06-1863</v>
          </cell>
          <cell r="K1871" t="str">
            <v>42-2876</v>
          </cell>
          <cell r="L1871" t="str">
            <v>FN-05-02-06-1863</v>
          </cell>
          <cell r="M1871" t="str">
            <v>Probadores de corriente</v>
          </cell>
          <cell r="N1871">
            <v>1</v>
          </cell>
          <cell r="O1871" t="str">
            <v>HERRAMIENTAS FUNGIBLE / NOMINABLE</v>
          </cell>
          <cell r="P1871">
            <v>8500</v>
          </cell>
          <cell r="T1871" t="str">
            <v>Bueno</v>
          </cell>
          <cell r="U1871" t="str">
            <v>B</v>
          </cell>
        </row>
        <row r="1872">
          <cell r="J1872" t="str">
            <v>42-05-02-06-1864</v>
          </cell>
          <cell r="K1872" t="str">
            <v>42-2877</v>
          </cell>
          <cell r="L1872" t="str">
            <v>42-05-02-06-1864</v>
          </cell>
          <cell r="M1872" t="str">
            <v>Lima Triangular 4"</v>
          </cell>
          <cell r="N1872">
            <v>1</v>
          </cell>
          <cell r="O1872" t="str">
            <v>HERRAMIENTAS</v>
          </cell>
          <cell r="P1872">
            <v>2500</v>
          </cell>
          <cell r="T1872" t="str">
            <v>Bueno</v>
          </cell>
          <cell r="U1872" t="str">
            <v>B</v>
          </cell>
        </row>
        <row r="1873">
          <cell r="J1873" t="str">
            <v>42-05-02-06-1865</v>
          </cell>
          <cell r="K1873" t="str">
            <v>42-2878</v>
          </cell>
          <cell r="L1873" t="str">
            <v>42-05-02-06-1865</v>
          </cell>
          <cell r="M1873" t="str">
            <v>Lima plana 8" marca Nicholson</v>
          </cell>
          <cell r="N1873">
            <v>1</v>
          </cell>
          <cell r="O1873" t="str">
            <v>HERRAMIENTAS</v>
          </cell>
          <cell r="P1873">
            <v>3000</v>
          </cell>
          <cell r="T1873" t="str">
            <v>Bueno</v>
          </cell>
          <cell r="U1873" t="str">
            <v>B</v>
          </cell>
        </row>
        <row r="1874">
          <cell r="J1874" t="str">
            <v>42-05-02-01-1866</v>
          </cell>
          <cell r="K1874" t="str">
            <v>42-1622</v>
          </cell>
          <cell r="L1874" t="str">
            <v>42-05-02-01-1866</v>
          </cell>
          <cell r="M1874" t="str">
            <v>Aspirador soplador portátil, uso manual Black &amp; Decker P40/20</v>
          </cell>
          <cell r="N1874">
            <v>1</v>
          </cell>
          <cell r="O1874" t="str">
            <v>EQUIPOS CLINICOS</v>
          </cell>
          <cell r="P1874">
            <v>12000</v>
          </cell>
          <cell r="T1874" t="str">
            <v>Bueno</v>
          </cell>
          <cell r="U1874" t="str">
            <v>Black &amp; Decker</v>
          </cell>
        </row>
        <row r="1875">
          <cell r="J1875" t="str">
            <v>42-05-02-06-1867</v>
          </cell>
          <cell r="K1875" t="str">
            <v>42-1646</v>
          </cell>
          <cell r="L1875" t="str">
            <v>42-05-02-06-1867</v>
          </cell>
          <cell r="M1875" t="str">
            <v>Caja Herramientas Stanley 19 "</v>
          </cell>
          <cell r="N1875">
            <v>1</v>
          </cell>
          <cell r="O1875" t="str">
            <v>HERRAMIENTAS</v>
          </cell>
          <cell r="P1875">
            <v>12000</v>
          </cell>
          <cell r="T1875" t="str">
            <v>Bueno</v>
          </cell>
          <cell r="U1875" t="str">
            <v>Stanley</v>
          </cell>
        </row>
        <row r="1876">
          <cell r="J1876" t="str">
            <v>42-05-02-06-1868</v>
          </cell>
          <cell r="K1876" t="str">
            <v>42-2058</v>
          </cell>
          <cell r="L1876" t="str">
            <v>42-05-02-06-1868</v>
          </cell>
          <cell r="M1876" t="str">
            <v>Chuzo 1 1/4 " x 1,45 cms. c/punta y pala marca Truper 150 BAP</v>
          </cell>
          <cell r="N1876">
            <v>1</v>
          </cell>
          <cell r="O1876" t="str">
            <v>HERRAMIENTAS</v>
          </cell>
          <cell r="P1876">
            <v>8000</v>
          </cell>
          <cell r="T1876" t="str">
            <v>Bueno</v>
          </cell>
          <cell r="U1876" t="str">
            <v>Truper</v>
          </cell>
        </row>
        <row r="1877">
          <cell r="J1877" t="str">
            <v>42-05-02-06-1869</v>
          </cell>
          <cell r="K1877" t="str">
            <v>42-1724</v>
          </cell>
          <cell r="L1877" t="str">
            <v>42-05-02-06-1869</v>
          </cell>
          <cell r="M1877" t="str">
            <v>Combo grande profesional 14 lbs.</v>
          </cell>
          <cell r="N1877">
            <v>1</v>
          </cell>
          <cell r="O1877" t="str">
            <v>HERRAMIENTAS</v>
          </cell>
          <cell r="P1877">
            <v>8000</v>
          </cell>
          <cell r="T1877" t="str">
            <v>Bueno</v>
          </cell>
          <cell r="U1877" t="str">
            <v>N/T</v>
          </cell>
        </row>
        <row r="1878">
          <cell r="J1878" t="str">
            <v>42-05-02-06-1870</v>
          </cell>
          <cell r="K1878" t="str">
            <v>42-2059</v>
          </cell>
          <cell r="L1878" t="str">
            <v>42-05-02-06-1870</v>
          </cell>
          <cell r="M1878" t="str">
            <v>Desmurrador Tramontina</v>
          </cell>
          <cell r="N1878">
            <v>1</v>
          </cell>
          <cell r="O1878" t="str">
            <v>HERRAMIENTAS</v>
          </cell>
          <cell r="P1878">
            <v>6000</v>
          </cell>
          <cell r="T1878" t="str">
            <v>Bueno</v>
          </cell>
          <cell r="U1878" t="str">
            <v>Tramontina</v>
          </cell>
        </row>
        <row r="1879">
          <cell r="J1879" t="str">
            <v>42-05-02-06-1871</v>
          </cell>
          <cell r="K1879" t="str">
            <v>42-1630</v>
          </cell>
          <cell r="L1879" t="str">
            <v>42-05-02-06-1871</v>
          </cell>
          <cell r="M1879" t="str">
            <v>Expansor y cortador de tubos de 3/16 a 5/8 marca Stanley Mod. 93-040</v>
          </cell>
          <cell r="N1879">
            <v>1</v>
          </cell>
          <cell r="O1879" t="str">
            <v>HERRAMIENTAS</v>
          </cell>
          <cell r="P1879">
            <v>12000</v>
          </cell>
          <cell r="T1879" t="str">
            <v>Bueno</v>
          </cell>
          <cell r="U1879" t="str">
            <v>Stanley</v>
          </cell>
        </row>
        <row r="1880">
          <cell r="J1880" t="str">
            <v>42-05-01-01-1872</v>
          </cell>
          <cell r="K1880" t="str">
            <v>42-1631</v>
          </cell>
          <cell r="L1880" t="str">
            <v>42-05-01-01-1872</v>
          </cell>
          <cell r="M1880" t="str">
            <v>Extractor de poleas de 3 brazos 6 ”</v>
          </cell>
          <cell r="N1880">
            <v>1</v>
          </cell>
          <cell r="O1880" t="str">
            <v>EQUIPO DE OFICINA</v>
          </cell>
          <cell r="P1880">
            <v>10000</v>
          </cell>
          <cell r="T1880" t="str">
            <v>Bueno</v>
          </cell>
          <cell r="U1880" t="str">
            <v>N/T</v>
          </cell>
        </row>
        <row r="1881">
          <cell r="J1881" t="str">
            <v>42-05-02-06-1873</v>
          </cell>
          <cell r="K1881" t="str">
            <v>42-1627</v>
          </cell>
          <cell r="L1881" t="str">
            <v>42-05-02-06-1873</v>
          </cell>
          <cell r="M1881" t="str">
            <v>Grasera palanca 500 cc marca Pressol</v>
          </cell>
          <cell r="N1881">
            <v>1</v>
          </cell>
          <cell r="O1881" t="str">
            <v>HERRAMIENTAS</v>
          </cell>
          <cell r="P1881">
            <v>6000</v>
          </cell>
          <cell r="T1881" t="str">
            <v>Bueno</v>
          </cell>
          <cell r="U1881" t="str">
            <v>Pressol</v>
          </cell>
        </row>
        <row r="1882">
          <cell r="J1882" t="str">
            <v>42-05-02-06-1874</v>
          </cell>
          <cell r="K1882" t="str">
            <v>42-2060</v>
          </cell>
          <cell r="L1882" t="str">
            <v>42-05-02-06-1874</v>
          </cell>
          <cell r="M1882" t="str">
            <v>Guadaña Tramontina 24 "</v>
          </cell>
          <cell r="N1882">
            <v>1</v>
          </cell>
          <cell r="O1882" t="str">
            <v>HERRAMIENTAS</v>
          </cell>
          <cell r="P1882">
            <v>10000</v>
          </cell>
          <cell r="T1882" t="str">
            <v>Bueno</v>
          </cell>
          <cell r="U1882" t="str">
            <v>Tramontina</v>
          </cell>
        </row>
        <row r="1883">
          <cell r="J1883" t="str">
            <v>42-05-02-06-1875</v>
          </cell>
          <cell r="K1883" t="str">
            <v>42-1632</v>
          </cell>
          <cell r="L1883" t="str">
            <v>42-05-02-06-1875</v>
          </cell>
          <cell r="M1883" t="str">
            <v>Herramientas de precisión marca SNCM 5 piezas</v>
          </cell>
          <cell r="N1883">
            <v>1</v>
          </cell>
          <cell r="O1883" t="str">
            <v>HERRAMIENTAS</v>
          </cell>
          <cell r="P1883">
            <v>10000</v>
          </cell>
          <cell r="T1883" t="str">
            <v>Bueno</v>
          </cell>
          <cell r="U1883" t="str">
            <v>CNCM</v>
          </cell>
        </row>
        <row r="1884">
          <cell r="J1884" t="str">
            <v>42-05-02-06-1876</v>
          </cell>
          <cell r="K1884" t="str">
            <v>42-1640</v>
          </cell>
          <cell r="L1884" t="str">
            <v>42-05-02-06-1876</v>
          </cell>
          <cell r="M1884" t="str">
            <v>Juego dados 24 piezas marca Force ( Milimetrico )</v>
          </cell>
          <cell r="N1884">
            <v>1</v>
          </cell>
          <cell r="O1884" t="str">
            <v>HERRAMIENTAS</v>
          </cell>
          <cell r="P1884">
            <v>30000</v>
          </cell>
          <cell r="T1884" t="str">
            <v>Bueno</v>
          </cell>
          <cell r="U1884" t="str">
            <v>Force</v>
          </cell>
        </row>
        <row r="1885">
          <cell r="J1885" t="str">
            <v>42-05-02-06-1877</v>
          </cell>
          <cell r="K1885" t="str">
            <v>42-1641</v>
          </cell>
          <cell r="L1885" t="str">
            <v>42-05-02-06-1877</v>
          </cell>
          <cell r="M1885" t="str">
            <v>Juego dados 24 piezas marca Force ( Pulgadas )</v>
          </cell>
          <cell r="N1885">
            <v>1</v>
          </cell>
          <cell r="O1885" t="str">
            <v>HERRAMIENTAS</v>
          </cell>
          <cell r="P1885">
            <v>30000</v>
          </cell>
          <cell r="T1885" t="str">
            <v>Bueno</v>
          </cell>
          <cell r="U1885" t="str">
            <v>Force</v>
          </cell>
        </row>
        <row r="1886">
          <cell r="J1886" t="str">
            <v>42-05-02-06-1878</v>
          </cell>
          <cell r="K1886" t="str">
            <v>42-1729</v>
          </cell>
          <cell r="L1886" t="str">
            <v>42-05-02-06-1878</v>
          </cell>
          <cell r="M1886" t="str">
            <v>Juego de llaves punta y corona Stanley 11 pzas  86-084 ( 10 mm a 32 mm )</v>
          </cell>
          <cell r="N1886">
            <v>1</v>
          </cell>
          <cell r="O1886" t="str">
            <v>HERRAMIENTAS</v>
          </cell>
          <cell r="P1886">
            <v>11000</v>
          </cell>
          <cell r="T1886" t="str">
            <v>Bueno</v>
          </cell>
          <cell r="U1886" t="str">
            <v>Stanley</v>
          </cell>
        </row>
        <row r="1887">
          <cell r="J1887" t="str">
            <v>42-05-02-06-1879</v>
          </cell>
          <cell r="K1887" t="str">
            <v>42-1728</v>
          </cell>
          <cell r="L1887" t="str">
            <v>42-05-02-06-1879</v>
          </cell>
          <cell r="M1887" t="str">
            <v>Juego de llaves punta y corona Stanley 14 pzas  86-082 ( 3/8 a 1 " )</v>
          </cell>
          <cell r="N1887">
            <v>1</v>
          </cell>
          <cell r="O1887" t="str">
            <v>HERRAMIENTAS</v>
          </cell>
          <cell r="P1887">
            <v>10000</v>
          </cell>
          <cell r="T1887" t="str">
            <v>Bueno</v>
          </cell>
          <cell r="U1887" t="str">
            <v>Stanley</v>
          </cell>
        </row>
        <row r="1888">
          <cell r="J1888" t="str">
            <v>42-05-02-06-1880</v>
          </cell>
          <cell r="K1888" t="str">
            <v>42-1732</v>
          </cell>
          <cell r="L1888" t="str">
            <v>42-05-02-06-1880</v>
          </cell>
          <cell r="M1888" t="str">
            <v>Juego llaves Allen 10 pzas. marca Irimo ( pulg. )</v>
          </cell>
          <cell r="N1888">
            <v>1</v>
          </cell>
          <cell r="O1888" t="str">
            <v>HERRAMIENTAS</v>
          </cell>
          <cell r="P1888">
            <v>8000</v>
          </cell>
          <cell r="T1888" t="str">
            <v>Bueno</v>
          </cell>
          <cell r="U1888" t="str">
            <v>Lrimo</v>
          </cell>
        </row>
        <row r="1889">
          <cell r="J1889" t="str">
            <v>42-05-02-06-1881</v>
          </cell>
          <cell r="K1889" t="str">
            <v>42-1733</v>
          </cell>
          <cell r="L1889" t="str">
            <v>42-05-02-06-1881</v>
          </cell>
          <cell r="M1889" t="str">
            <v>Juego llaves Allen 7 pzas. marca Stanley ( pulg. )</v>
          </cell>
          <cell r="N1889">
            <v>1</v>
          </cell>
          <cell r="O1889" t="str">
            <v>HERRAMIENTAS</v>
          </cell>
          <cell r="P1889">
            <v>8000</v>
          </cell>
          <cell r="T1889" t="str">
            <v>Bueno</v>
          </cell>
          <cell r="U1889" t="str">
            <v>Stanley</v>
          </cell>
        </row>
        <row r="1890">
          <cell r="J1890" t="str">
            <v>42-05-02-06-1882</v>
          </cell>
          <cell r="K1890" t="str">
            <v>42-1734</v>
          </cell>
          <cell r="L1890" t="str">
            <v>42-05-02-06-1882</v>
          </cell>
          <cell r="M1890" t="str">
            <v>Juego llaves estrella 7 piezas ( mm ) Taiwan</v>
          </cell>
          <cell r="N1890">
            <v>1</v>
          </cell>
          <cell r="O1890" t="str">
            <v>HERRAMIENTAS</v>
          </cell>
          <cell r="P1890">
            <v>12000</v>
          </cell>
          <cell r="T1890" t="str">
            <v>Bueno</v>
          </cell>
          <cell r="U1890" t="str">
            <v>Taiwan</v>
          </cell>
        </row>
        <row r="1891">
          <cell r="J1891" t="str">
            <v>42-05-02-06-1883</v>
          </cell>
          <cell r="K1891" t="str">
            <v>42-2089</v>
          </cell>
          <cell r="L1891" t="str">
            <v>42-05-02-06-1883</v>
          </cell>
          <cell r="M1891" t="str">
            <v>Lima plana 8x3/4 "</v>
          </cell>
          <cell r="N1891">
            <v>1</v>
          </cell>
          <cell r="O1891" t="str">
            <v>HERRAMIENTAS</v>
          </cell>
          <cell r="P1891">
            <v>1500</v>
          </cell>
          <cell r="T1891" t="str">
            <v>Bueno</v>
          </cell>
          <cell r="U1891" t="str">
            <v>N/T</v>
          </cell>
        </row>
        <row r="1892">
          <cell r="J1892" t="str">
            <v>42-05-02-06-1884</v>
          </cell>
          <cell r="K1892" t="str">
            <v>42-1750</v>
          </cell>
          <cell r="L1892" t="str">
            <v>42-05-02-06-1884</v>
          </cell>
          <cell r="M1892" t="str">
            <v>Lima plana rectangular acero 8 ” profesional  Nicholson</v>
          </cell>
          <cell r="N1892">
            <v>1</v>
          </cell>
          <cell r="O1892" t="str">
            <v>HERRAMIENTAS</v>
          </cell>
          <cell r="P1892">
            <v>1800</v>
          </cell>
          <cell r="T1892" t="str">
            <v>Bueno</v>
          </cell>
          <cell r="U1892" t="str">
            <v>Nicholson</v>
          </cell>
        </row>
        <row r="1893">
          <cell r="J1893" t="str">
            <v>42-05-02-06-1885</v>
          </cell>
          <cell r="K1893" t="str">
            <v>42-2106</v>
          </cell>
          <cell r="L1893" t="str">
            <v>42-05-02-06-1885</v>
          </cell>
          <cell r="M1893" t="str">
            <v>Lima plana 3/4 x 10 "</v>
          </cell>
          <cell r="N1893">
            <v>1</v>
          </cell>
          <cell r="O1893" t="str">
            <v>HERRAMIENTAS</v>
          </cell>
          <cell r="P1893">
            <v>1200</v>
          </cell>
          <cell r="T1893" t="str">
            <v>Bueno</v>
          </cell>
          <cell r="U1893" t="str">
            <v>N/T</v>
          </cell>
        </row>
        <row r="1894">
          <cell r="J1894" t="str">
            <v>42-05-02-06-1886</v>
          </cell>
          <cell r="K1894" t="str">
            <v>42-1751</v>
          </cell>
          <cell r="L1894" t="str">
            <v>42-05-02-06-1886</v>
          </cell>
          <cell r="M1894" t="str">
            <v>Lima redonda bastarda acero 10 ”  Nicholson</v>
          </cell>
          <cell r="N1894">
            <v>1</v>
          </cell>
          <cell r="O1894" t="str">
            <v>HERRAMIENTAS</v>
          </cell>
          <cell r="P1894">
            <v>1600</v>
          </cell>
          <cell r="T1894" t="str">
            <v>Bueno</v>
          </cell>
          <cell r="U1894" t="str">
            <v>Nicholson</v>
          </cell>
        </row>
        <row r="1895">
          <cell r="J1895" t="str">
            <v>42-05-02-06-1887</v>
          </cell>
          <cell r="K1895" t="str">
            <v>42-1752</v>
          </cell>
          <cell r="L1895" t="str">
            <v>42-05-02-06-1887</v>
          </cell>
          <cell r="M1895" t="str">
            <v>Lima triangular acero 8 ” profesional Nicholson</v>
          </cell>
          <cell r="N1895">
            <v>1</v>
          </cell>
          <cell r="O1895" t="str">
            <v>HERRAMIENTAS</v>
          </cell>
          <cell r="P1895">
            <v>1000</v>
          </cell>
          <cell r="T1895" t="str">
            <v>Bueno</v>
          </cell>
          <cell r="U1895" t="str">
            <v>Nicholson</v>
          </cell>
        </row>
        <row r="1896">
          <cell r="J1896" t="str">
            <v>42-05-02-06-1888</v>
          </cell>
          <cell r="K1896" t="str">
            <v>42-1738</v>
          </cell>
          <cell r="L1896" t="str">
            <v>42-05-02-06-1888</v>
          </cell>
          <cell r="M1896" t="str">
            <v>Llave ajustable francesa 10 ” marca Stanley</v>
          </cell>
          <cell r="N1896">
            <v>1</v>
          </cell>
          <cell r="O1896" t="str">
            <v>HERRAMIENTAS</v>
          </cell>
          <cell r="P1896">
            <v>2200</v>
          </cell>
          <cell r="T1896" t="str">
            <v>Bueno</v>
          </cell>
          <cell r="U1896" t="str">
            <v>Stanley</v>
          </cell>
        </row>
        <row r="1897">
          <cell r="J1897" t="str">
            <v>42-05-02-06-1889</v>
          </cell>
          <cell r="K1897" t="str">
            <v>42-1745</v>
          </cell>
          <cell r="L1897" t="str">
            <v>42-05-02-06-1889</v>
          </cell>
          <cell r="M1897" t="str">
            <v>Caimán 10 ”  Stanley</v>
          </cell>
          <cell r="N1897">
            <v>1</v>
          </cell>
          <cell r="O1897" t="str">
            <v>HERRAMIENTAS</v>
          </cell>
          <cell r="P1897">
            <v>8500</v>
          </cell>
          <cell r="T1897" t="str">
            <v>Regular</v>
          </cell>
          <cell r="U1897" t="str">
            <v>Stanley</v>
          </cell>
        </row>
        <row r="1898">
          <cell r="J1898" t="str">
            <v>42-05-02-06-1890</v>
          </cell>
          <cell r="K1898" t="str">
            <v>42-1735</v>
          </cell>
          <cell r="L1898" t="str">
            <v>42-05-02-06-1890</v>
          </cell>
          <cell r="M1898" t="str">
            <v>Llave Stilson 14 “ marca Stanley</v>
          </cell>
          <cell r="N1898">
            <v>1</v>
          </cell>
          <cell r="O1898" t="str">
            <v>HERRAMIENTAS</v>
          </cell>
          <cell r="P1898">
            <v>18000</v>
          </cell>
          <cell r="T1898" t="str">
            <v>Bueno</v>
          </cell>
          <cell r="U1898" t="str">
            <v>Stanley</v>
          </cell>
        </row>
        <row r="1899">
          <cell r="J1899" t="str">
            <v>42-05-02-06-1891</v>
          </cell>
          <cell r="K1899" t="str">
            <v>42-1739</v>
          </cell>
          <cell r="L1899" t="str">
            <v>42-05-02-06-1891</v>
          </cell>
          <cell r="M1899" t="str">
            <v>Llave Stilson 24 ” marca Stanley</v>
          </cell>
          <cell r="N1899">
            <v>1</v>
          </cell>
          <cell r="O1899" t="str">
            <v>HERRAMIENTAS</v>
          </cell>
          <cell r="P1899">
            <v>25000</v>
          </cell>
          <cell r="T1899" t="str">
            <v>Bueno</v>
          </cell>
          <cell r="U1899" t="str">
            <v>Stanley</v>
          </cell>
        </row>
        <row r="1900">
          <cell r="J1900" t="str">
            <v>42-05-02-06-1892</v>
          </cell>
          <cell r="K1900" t="str">
            <v>42-1726</v>
          </cell>
          <cell r="L1900" t="str">
            <v>42-05-02-06-1892</v>
          </cell>
          <cell r="M1900" t="str">
            <v xml:space="preserve">Martillo mecánico Famastil 1 lb. </v>
          </cell>
          <cell r="N1900">
            <v>1</v>
          </cell>
          <cell r="O1900" t="str">
            <v>HERRAMIENTAS</v>
          </cell>
          <cell r="P1900">
            <v>2000</v>
          </cell>
          <cell r="T1900" t="str">
            <v>Bueno</v>
          </cell>
          <cell r="U1900" t="str">
            <v>Famastil</v>
          </cell>
        </row>
        <row r="1901">
          <cell r="J1901" t="str">
            <v>42-05-02-06-1893</v>
          </cell>
          <cell r="K1901" t="str">
            <v>42-1725</v>
          </cell>
          <cell r="L1901" t="str">
            <v>42-05-02-06-1893</v>
          </cell>
          <cell r="M1901" t="str">
            <v xml:space="preserve">Martillo mecánico Famastil 1 lbs. </v>
          </cell>
          <cell r="N1901">
            <v>1</v>
          </cell>
          <cell r="O1901" t="str">
            <v>HERRAMIENTAS</v>
          </cell>
          <cell r="P1901">
            <v>2000</v>
          </cell>
          <cell r="T1901" t="str">
            <v>Bueno</v>
          </cell>
          <cell r="U1901" t="str">
            <v>Famastil</v>
          </cell>
        </row>
        <row r="1902">
          <cell r="J1902" t="str">
            <v>42-05-02-06-1894</v>
          </cell>
          <cell r="K1902" t="str">
            <v>42-1727</v>
          </cell>
          <cell r="L1902" t="str">
            <v>42-05-02-06-1894</v>
          </cell>
          <cell r="M1902" t="str">
            <v>Mazo desabollador de goma 3/4 lb. roc 12 oz</v>
          </cell>
          <cell r="N1902">
            <v>1</v>
          </cell>
          <cell r="O1902" t="str">
            <v>HERRAMIENTAS</v>
          </cell>
          <cell r="P1902">
            <v>4000</v>
          </cell>
          <cell r="T1902" t="str">
            <v>Bueno</v>
          </cell>
          <cell r="U1902" t="str">
            <v>N/T</v>
          </cell>
        </row>
        <row r="1903">
          <cell r="J1903" t="str">
            <v>42-05-02-06-1895</v>
          </cell>
          <cell r="K1903" t="str">
            <v>42-1648</v>
          </cell>
          <cell r="L1903" t="str">
            <v>42-05-02-06-1895</v>
          </cell>
          <cell r="M1903" t="str">
            <v>Nivel de aluminio Stanley 18 "</v>
          </cell>
          <cell r="N1903">
            <v>1</v>
          </cell>
          <cell r="O1903" t="str">
            <v>HERRAMIENTAS</v>
          </cell>
          <cell r="P1903">
            <v>2500</v>
          </cell>
          <cell r="T1903" t="str">
            <v>Regular</v>
          </cell>
          <cell r="U1903" t="str">
            <v>Stanley</v>
          </cell>
        </row>
        <row r="1904">
          <cell r="J1904" t="str">
            <v>FN-05-02-06-1896</v>
          </cell>
          <cell r="K1904" t="str">
            <v>42-1649</v>
          </cell>
          <cell r="L1904" t="str">
            <v>FN-05-02-06-1896</v>
          </cell>
          <cell r="M1904" t="str">
            <v>Pelador de cable eléctrico Stanley 9 "</v>
          </cell>
          <cell r="N1904">
            <v>1</v>
          </cell>
          <cell r="O1904" t="str">
            <v>HERRAMIENTAS FUNGIBLE / NOMINABLE</v>
          </cell>
          <cell r="P1904">
            <v>3200</v>
          </cell>
          <cell r="T1904" t="str">
            <v>Bueno</v>
          </cell>
          <cell r="U1904" t="str">
            <v>Stanley</v>
          </cell>
        </row>
        <row r="1905">
          <cell r="J1905" t="str">
            <v>42-05-02-06-1897</v>
          </cell>
          <cell r="K1905" t="str">
            <v>42-1651</v>
          </cell>
          <cell r="L1905" t="str">
            <v>42-05-02-06-1897</v>
          </cell>
          <cell r="M1905" t="str">
            <v>Prensa “C” abertura de 4 pulgadas</v>
          </cell>
          <cell r="N1905">
            <v>1</v>
          </cell>
          <cell r="O1905" t="str">
            <v>HERRAMIENTAS</v>
          </cell>
          <cell r="P1905">
            <v>3000</v>
          </cell>
          <cell r="T1905" t="str">
            <v>Bueno</v>
          </cell>
          <cell r="U1905" t="str">
            <v>N/T</v>
          </cell>
        </row>
        <row r="1906">
          <cell r="J1906" t="str">
            <v>42-05-02-06-1898</v>
          </cell>
          <cell r="K1906" t="str">
            <v>42-1652</v>
          </cell>
          <cell r="L1906" t="str">
            <v>42-05-02-06-1898</v>
          </cell>
          <cell r="M1906" t="str">
            <v>Sierra para metal Stanley mango ajustable 12 ”</v>
          </cell>
          <cell r="N1906">
            <v>1</v>
          </cell>
          <cell r="O1906" t="str">
            <v>HERRAMIENTAS</v>
          </cell>
          <cell r="P1906">
            <v>4000</v>
          </cell>
          <cell r="T1906" t="str">
            <v>Bueno</v>
          </cell>
          <cell r="U1906" t="str">
            <v>Stanley</v>
          </cell>
        </row>
        <row r="1907">
          <cell r="J1907" t="str">
            <v>42-05-02-06-1899</v>
          </cell>
          <cell r="K1907" t="str">
            <v>42-1654</v>
          </cell>
          <cell r="L1907" t="str">
            <v>42-05-02-06-1899</v>
          </cell>
          <cell r="M1907" t="str">
            <v>Tenaza remachadora manual Stanley 10 "</v>
          </cell>
          <cell r="N1907">
            <v>1</v>
          </cell>
          <cell r="O1907" t="str">
            <v>HERRAMIENTAS</v>
          </cell>
          <cell r="P1907">
            <v>2600</v>
          </cell>
          <cell r="T1907" t="str">
            <v>Bueno</v>
          </cell>
          <cell r="U1907" t="str">
            <v>Stanley</v>
          </cell>
        </row>
        <row r="1908">
          <cell r="J1908" t="str">
            <v>42-05-02-06-1900</v>
          </cell>
          <cell r="K1908" t="str">
            <v>42-1655</v>
          </cell>
          <cell r="L1908" t="str">
            <v>42-05-02-06-1900</v>
          </cell>
          <cell r="M1908" t="str">
            <v>Tijera corta lata marca Cocaco 12”</v>
          </cell>
          <cell r="N1908">
            <v>1</v>
          </cell>
          <cell r="O1908" t="str">
            <v>HERRAMIENTAS</v>
          </cell>
          <cell r="P1908">
            <v>3800</v>
          </cell>
          <cell r="T1908" t="str">
            <v>Bueno</v>
          </cell>
          <cell r="U1908" t="str">
            <v>Cocaco</v>
          </cell>
        </row>
        <row r="1909">
          <cell r="J1909" t="str">
            <v>42-05-02-06-1901</v>
          </cell>
          <cell r="K1909" t="str">
            <v>42-2863</v>
          </cell>
          <cell r="L1909" t="str">
            <v>42-05-02-06-1901</v>
          </cell>
          <cell r="M1909" t="str">
            <v>Alicate universal 8" marca Hurricane</v>
          </cell>
          <cell r="N1909">
            <v>1</v>
          </cell>
          <cell r="O1909" t="str">
            <v>HERRAMIENTAS</v>
          </cell>
          <cell r="P1909">
            <v>2000</v>
          </cell>
          <cell r="T1909" t="str">
            <v>Bueno</v>
          </cell>
          <cell r="U1909" t="str">
            <v>Hurricane</v>
          </cell>
        </row>
        <row r="1910">
          <cell r="J1910" t="str">
            <v>42-05-02-06-1902</v>
          </cell>
          <cell r="K1910" t="str">
            <v>42-2864</v>
          </cell>
          <cell r="L1910" t="str">
            <v>42-05-02-06-1902</v>
          </cell>
          <cell r="M1910" t="str">
            <v>Alicate universal 8" marca Stanley</v>
          </cell>
          <cell r="N1910">
            <v>1</v>
          </cell>
          <cell r="O1910" t="str">
            <v>HERRAMIENTAS</v>
          </cell>
          <cell r="P1910">
            <v>3200</v>
          </cell>
          <cell r="T1910" t="str">
            <v>Bueno</v>
          </cell>
          <cell r="U1910" t="str">
            <v>Stanley</v>
          </cell>
        </row>
        <row r="1911">
          <cell r="J1911" t="str">
            <v>42-05-02-06-1903</v>
          </cell>
          <cell r="K1911" t="str">
            <v>42-2865</v>
          </cell>
          <cell r="L1911" t="str">
            <v>42-05-02-06-1903</v>
          </cell>
          <cell r="M1911" t="str">
            <v>Alicate de punta 6"</v>
          </cell>
          <cell r="N1911">
            <v>1</v>
          </cell>
          <cell r="O1911" t="str">
            <v>HERRAMIENTAS</v>
          </cell>
          <cell r="P1911">
            <v>1600</v>
          </cell>
          <cell r="T1911" t="str">
            <v>Bueno</v>
          </cell>
          <cell r="U1911" t="str">
            <v>N/T</v>
          </cell>
        </row>
        <row r="1912">
          <cell r="J1912" t="str">
            <v>42-05-02-06-1904</v>
          </cell>
          <cell r="K1912" t="str">
            <v>42-2866</v>
          </cell>
          <cell r="L1912" t="str">
            <v>42-05-02-06-1904</v>
          </cell>
          <cell r="M1912" t="str">
            <v>Llave de gasfiter sin marca</v>
          </cell>
          <cell r="N1912">
            <v>1</v>
          </cell>
          <cell r="O1912" t="str">
            <v>HERRAMIENTAS</v>
          </cell>
          <cell r="P1912">
            <v>2500</v>
          </cell>
          <cell r="T1912" t="str">
            <v>Bueno</v>
          </cell>
          <cell r="U1912" t="str">
            <v>N/T</v>
          </cell>
        </row>
        <row r="1913">
          <cell r="J1913" t="str">
            <v>42-05-02-06-1905</v>
          </cell>
          <cell r="K1913" t="str">
            <v>42-1552</v>
          </cell>
          <cell r="L1913" t="str">
            <v>42-05-02-06-1905</v>
          </cell>
          <cell r="M1913" t="str">
            <v>Aceitera manual, tubo fijo de 350 cc.</v>
          </cell>
          <cell r="N1913">
            <v>1</v>
          </cell>
          <cell r="O1913" t="str">
            <v>HERRAMIENTAS</v>
          </cell>
          <cell r="P1913">
            <v>3500</v>
          </cell>
          <cell r="T1913" t="str">
            <v>Malo</v>
          </cell>
          <cell r="U1913" t="str">
            <v>N/T</v>
          </cell>
        </row>
        <row r="1914">
          <cell r="J1914" t="str">
            <v>42-05-02-06-1906</v>
          </cell>
          <cell r="K1914" t="str">
            <v>42-2090</v>
          </cell>
          <cell r="L1914" t="str">
            <v>42-05-02-06-1906</v>
          </cell>
          <cell r="M1914" t="str">
            <v>Alargador de 4 mts.</v>
          </cell>
          <cell r="N1914">
            <v>1</v>
          </cell>
          <cell r="O1914" t="str">
            <v>HERRAMIENTAS</v>
          </cell>
          <cell r="P1914">
            <v>3500</v>
          </cell>
          <cell r="T1914" t="str">
            <v>Bueno</v>
          </cell>
          <cell r="U1914" t="str">
            <v>N/T</v>
          </cell>
        </row>
        <row r="1915">
          <cell r="J1915" t="str">
            <v>42-05-02-06-1907</v>
          </cell>
          <cell r="K1915" t="str">
            <v>42-1553</v>
          </cell>
          <cell r="L1915" t="str">
            <v>42-05-02-06-1907</v>
          </cell>
          <cell r="M1915" t="str">
            <v>Alicate cortante 6 "</v>
          </cell>
          <cell r="N1915">
            <v>1</v>
          </cell>
          <cell r="O1915" t="str">
            <v>HERRAMIENTAS</v>
          </cell>
          <cell r="P1915">
            <v>2200</v>
          </cell>
          <cell r="T1915" t="str">
            <v>Bueno</v>
          </cell>
          <cell r="U1915" t="str">
            <v>N/T</v>
          </cell>
        </row>
        <row r="1916">
          <cell r="J1916" t="str">
            <v>42-05-02-06-1908</v>
          </cell>
          <cell r="K1916" t="str">
            <v>42-1554</v>
          </cell>
          <cell r="L1916" t="str">
            <v>42-05-02-06-1908</v>
          </cell>
          <cell r="M1916" t="str">
            <v>Alicate de punta con cortante marca Hurricane 6 "</v>
          </cell>
          <cell r="N1916">
            <v>1</v>
          </cell>
          <cell r="O1916" t="str">
            <v>HERRAMIENTAS</v>
          </cell>
          <cell r="P1916">
            <v>2000</v>
          </cell>
          <cell r="T1916" t="str">
            <v>Bueno</v>
          </cell>
          <cell r="U1916" t="str">
            <v>Hurricane</v>
          </cell>
        </row>
        <row r="1917">
          <cell r="J1917" t="str">
            <v>42-05-02-06-1909</v>
          </cell>
          <cell r="K1917" t="str">
            <v>42-1755</v>
          </cell>
          <cell r="L1917" t="str">
            <v>42-05-02-06-1909</v>
          </cell>
          <cell r="M1917" t="str">
            <v>Alicate pelacables 9 ”  Stanley</v>
          </cell>
          <cell r="N1917">
            <v>1</v>
          </cell>
          <cell r="O1917" t="str">
            <v>HERRAMIENTAS</v>
          </cell>
          <cell r="P1917">
            <v>2600</v>
          </cell>
          <cell r="T1917" t="str">
            <v>Bueno</v>
          </cell>
          <cell r="U1917" t="str">
            <v>Stanley</v>
          </cell>
        </row>
        <row r="1918">
          <cell r="J1918" t="str">
            <v>42-05-02-06-1910</v>
          </cell>
          <cell r="K1918" t="str">
            <v>42-1754</v>
          </cell>
          <cell r="L1918" t="str">
            <v>42-05-02-06-1910</v>
          </cell>
          <cell r="M1918" t="str">
            <v>Alicate seguro interior recto</v>
          </cell>
          <cell r="N1918">
            <v>1</v>
          </cell>
          <cell r="O1918" t="str">
            <v>HERRAMIENTAS</v>
          </cell>
          <cell r="P1918">
            <v>2800</v>
          </cell>
          <cell r="T1918" t="str">
            <v>Bueno</v>
          </cell>
          <cell r="U1918" t="str">
            <v>N/T</v>
          </cell>
        </row>
        <row r="1919">
          <cell r="J1919" t="str">
            <v>42-05-02-06-1911</v>
          </cell>
          <cell r="K1919" t="str">
            <v>42-2108</v>
          </cell>
          <cell r="L1919" t="str">
            <v>42-05-02-06-1911</v>
          </cell>
          <cell r="M1919" t="str">
            <v>Alicate cortante</v>
          </cell>
          <cell r="N1919">
            <v>1</v>
          </cell>
          <cell r="O1919" t="str">
            <v>HERRAMIENTAS</v>
          </cell>
          <cell r="P1919">
            <v>1800</v>
          </cell>
          <cell r="T1919" t="str">
            <v>Bueno</v>
          </cell>
          <cell r="U1919" t="str">
            <v>N/T</v>
          </cell>
        </row>
        <row r="1920">
          <cell r="J1920" t="str">
            <v>42-05-02-06-1912</v>
          </cell>
          <cell r="K1920" t="str">
            <v>42-2110</v>
          </cell>
          <cell r="L1920" t="str">
            <v>42-05-02-06-1912</v>
          </cell>
          <cell r="M1920" t="str">
            <v>Alicate punta plana</v>
          </cell>
          <cell r="N1920">
            <v>1</v>
          </cell>
          <cell r="O1920" t="str">
            <v>HERRAMIENTAS</v>
          </cell>
          <cell r="P1920">
            <v>1500</v>
          </cell>
          <cell r="T1920" t="str">
            <v>Bueno</v>
          </cell>
          <cell r="U1920" t="str">
            <v>N/T</v>
          </cell>
        </row>
        <row r="1921">
          <cell r="J1921" t="str">
            <v>42-05-02-05-1913</v>
          </cell>
          <cell r="K1921" t="str">
            <v>42-2082</v>
          </cell>
          <cell r="L1921" t="str">
            <v>42-05-02-05-1913</v>
          </cell>
          <cell r="M1921" t="str">
            <v>Cinturón de seguridad marca Inseg</v>
          </cell>
          <cell r="N1921">
            <v>1</v>
          </cell>
          <cell r="O1921" t="str">
            <v>EQUIPOS DE SEGURIDAD</v>
          </cell>
          <cell r="P1921">
            <v>6000</v>
          </cell>
          <cell r="T1921" t="str">
            <v>Bueno</v>
          </cell>
          <cell r="U1921" t="str">
            <v>Inseg</v>
          </cell>
        </row>
        <row r="1922">
          <cell r="J1922" t="str">
            <v>42-05-02-06-1914</v>
          </cell>
          <cell r="K1922" t="str">
            <v>42-1773</v>
          </cell>
          <cell r="L1922" t="str">
            <v>42-05-02-06-1914</v>
          </cell>
          <cell r="M1922" t="str">
            <v>Cordón alargador 15 mts. color naranjo</v>
          </cell>
          <cell r="N1922">
            <v>1</v>
          </cell>
          <cell r="O1922" t="str">
            <v>HERRAMIENTAS</v>
          </cell>
          <cell r="P1922">
            <v>10000</v>
          </cell>
          <cell r="T1922" t="str">
            <v>Bueno</v>
          </cell>
          <cell r="U1922" t="str">
            <v>N/T</v>
          </cell>
        </row>
        <row r="1923">
          <cell r="J1923" t="str">
            <v>42-05-02-06-1915</v>
          </cell>
          <cell r="K1923" t="str">
            <v>42-2063</v>
          </cell>
          <cell r="L1923" t="str">
            <v>42-05-02-06-1915</v>
          </cell>
          <cell r="M1923" t="str">
            <v>Cortadora de cerámica Great Neck 16 "</v>
          </cell>
          <cell r="N1923">
            <v>1</v>
          </cell>
          <cell r="O1923" t="str">
            <v>HERRAMIENTAS</v>
          </cell>
          <cell r="P1923">
            <v>24000</v>
          </cell>
          <cell r="T1923" t="str">
            <v>Bueno</v>
          </cell>
          <cell r="U1923" t="str">
            <v>Great Neck</v>
          </cell>
        </row>
        <row r="1924">
          <cell r="J1924" t="str">
            <v>42-05-02-06-1916</v>
          </cell>
          <cell r="K1924" t="str">
            <v>42-2064</v>
          </cell>
          <cell r="L1924" t="str">
            <v>42-05-02-06-1916</v>
          </cell>
          <cell r="M1924" t="str">
            <v>Escalera aluminio 2 cuerpos 3 mts.</v>
          </cell>
          <cell r="N1924">
            <v>1</v>
          </cell>
          <cell r="O1924" t="str">
            <v>HERRAMIENTAS</v>
          </cell>
          <cell r="P1924">
            <v>50000</v>
          </cell>
          <cell r="T1924" t="str">
            <v>Bueno</v>
          </cell>
          <cell r="U1924" t="str">
            <v>N/T</v>
          </cell>
        </row>
        <row r="1925">
          <cell r="J1925" t="str">
            <v>42-05-02-06-1917</v>
          </cell>
          <cell r="K1925" t="str">
            <v>42-3345</v>
          </cell>
          <cell r="L1925" t="str">
            <v>42-05-02-06-1917</v>
          </cell>
          <cell r="M1925" t="str">
            <v>Escalera tijera aluminio 2 mts.</v>
          </cell>
          <cell r="N1925">
            <v>1</v>
          </cell>
          <cell r="O1925" t="str">
            <v>HERRAMIENTAS</v>
          </cell>
          <cell r="P1925">
            <v>45000</v>
          </cell>
          <cell r="T1925" t="str">
            <v>Bueno</v>
          </cell>
          <cell r="U1925" t="str">
            <v>N/T</v>
          </cell>
        </row>
        <row r="1926">
          <cell r="J1926" t="str">
            <v>42-05-02-06-1918</v>
          </cell>
          <cell r="K1926" t="str">
            <v>42-3344</v>
          </cell>
          <cell r="L1926" t="str">
            <v>42-05-02-06-1918</v>
          </cell>
          <cell r="M1926" t="str">
            <v>Escalera tijera aluminio 1,25 mts.</v>
          </cell>
          <cell r="N1926">
            <v>1</v>
          </cell>
          <cell r="O1926" t="str">
            <v>HERRAMIENTAS</v>
          </cell>
          <cell r="P1926">
            <v>25000</v>
          </cell>
          <cell r="T1926" t="str">
            <v>Bueno</v>
          </cell>
          <cell r="U1926" t="str">
            <v>N/T</v>
          </cell>
        </row>
        <row r="1927">
          <cell r="J1927" t="str">
            <v>42-05-02-06-1919</v>
          </cell>
          <cell r="K1927" t="str">
            <v>42-2065</v>
          </cell>
          <cell r="L1927" t="str">
            <v>42-05-02-06-1919</v>
          </cell>
          <cell r="M1927" t="str">
            <v>Escalera aluminio tijera 1,85 mts.</v>
          </cell>
          <cell r="N1927">
            <v>1</v>
          </cell>
          <cell r="O1927" t="str">
            <v>HERRAMIENTAS</v>
          </cell>
          <cell r="P1927">
            <v>20000</v>
          </cell>
          <cell r="T1927" t="str">
            <v>Bueno</v>
          </cell>
          <cell r="U1927" t="str">
            <v>N/T</v>
          </cell>
        </row>
        <row r="1928">
          <cell r="J1928" t="str">
            <v>42-05-02-06-1920</v>
          </cell>
          <cell r="K1928" t="str">
            <v>42-1753</v>
          </cell>
          <cell r="L1928" t="str">
            <v>42-05-02-06-1920</v>
          </cell>
          <cell r="M1928" t="str">
            <v>Escofina carpintero bastarda 10 ”  Nicholson</v>
          </cell>
          <cell r="N1928">
            <v>1</v>
          </cell>
          <cell r="O1928" t="str">
            <v>HERRAMIENTAS</v>
          </cell>
          <cell r="P1928">
            <v>2500</v>
          </cell>
          <cell r="T1928" t="str">
            <v>Bueno</v>
          </cell>
          <cell r="U1928" t="str">
            <v>Nicholson</v>
          </cell>
        </row>
        <row r="1929">
          <cell r="J1929" t="str">
            <v>42-05-02-06-1921</v>
          </cell>
          <cell r="K1929" t="str">
            <v>42-1763</v>
          </cell>
          <cell r="L1929" t="str">
            <v>42-05-02-06-1921</v>
          </cell>
          <cell r="M1929" t="str">
            <v>Escuadra carpintero acero 10 ” Stanley</v>
          </cell>
          <cell r="N1929">
            <v>1</v>
          </cell>
          <cell r="O1929" t="str">
            <v>HERRAMIENTAS</v>
          </cell>
          <cell r="P1929">
            <v>2200</v>
          </cell>
          <cell r="T1929" t="str">
            <v>Bueno</v>
          </cell>
          <cell r="U1929" t="str">
            <v>Stanley</v>
          </cell>
        </row>
        <row r="1930">
          <cell r="J1930" t="str">
            <v>42-05-02-06-1922</v>
          </cell>
          <cell r="K1930" t="str">
            <v>42-2083</v>
          </cell>
          <cell r="L1930" t="str">
            <v>42-05-02-06-1922</v>
          </cell>
          <cell r="M1930" t="str">
            <v>Escuadra con nivel 10 " Stanley</v>
          </cell>
          <cell r="N1930">
            <v>1</v>
          </cell>
          <cell r="O1930" t="str">
            <v>HERRAMIENTAS</v>
          </cell>
          <cell r="P1930">
            <v>3600</v>
          </cell>
          <cell r="T1930" t="str">
            <v>Bueno</v>
          </cell>
          <cell r="U1930" t="str">
            <v>Stanley</v>
          </cell>
        </row>
        <row r="1931">
          <cell r="J1931" t="str">
            <v>42-05-02-06-1923</v>
          </cell>
          <cell r="K1931" t="str">
            <v>42-2084</v>
          </cell>
          <cell r="L1931" t="str">
            <v>42-05-02-06-1923</v>
          </cell>
          <cell r="M1931" t="str">
            <v>Escuadra de 10 "  Diamond 250 mm.</v>
          </cell>
          <cell r="N1931">
            <v>1</v>
          </cell>
          <cell r="O1931" t="str">
            <v>HERRAMIENTAS</v>
          </cell>
          <cell r="P1931">
            <v>2200</v>
          </cell>
          <cell r="T1931" t="str">
            <v>Bueno</v>
          </cell>
          <cell r="U1931" t="str">
            <v>Diamond</v>
          </cell>
        </row>
        <row r="1932">
          <cell r="J1932" t="str">
            <v>42-05-02-06-1924</v>
          </cell>
          <cell r="K1932" t="str">
            <v>42-1757</v>
          </cell>
          <cell r="L1932" t="str">
            <v>42-05-02-06-1924</v>
          </cell>
          <cell r="M1932" t="str">
            <v>Expansor y cortador de tubo de cobre 3/16 a 5/8 "  Stanley</v>
          </cell>
          <cell r="N1932">
            <v>1</v>
          </cell>
          <cell r="O1932" t="str">
            <v>HERRAMIENTAS</v>
          </cell>
          <cell r="P1932">
            <v>12000</v>
          </cell>
          <cell r="T1932" t="str">
            <v>Bueno</v>
          </cell>
          <cell r="U1932" t="str">
            <v>Stanley</v>
          </cell>
        </row>
        <row r="1933">
          <cell r="J1933" t="str">
            <v>42-05-02-06-1925</v>
          </cell>
          <cell r="K1933" t="str">
            <v>42-1765</v>
          </cell>
          <cell r="L1933" t="str">
            <v>42-05-02-06-1925</v>
          </cell>
          <cell r="M1933" t="str">
            <v>Huincha de medir metálica 5 mts. Chalimex</v>
          </cell>
          <cell r="N1933">
            <v>1</v>
          </cell>
          <cell r="O1933" t="str">
            <v>HERRAMIENTAS</v>
          </cell>
          <cell r="P1933">
            <v>1200</v>
          </cell>
          <cell r="T1933" t="str">
            <v>Bueno</v>
          </cell>
          <cell r="U1933" t="str">
            <v>Chalimex</v>
          </cell>
        </row>
        <row r="1934">
          <cell r="J1934" t="str">
            <v>42-05-02-06-1926</v>
          </cell>
          <cell r="K1934" t="str">
            <v>42-2066</v>
          </cell>
          <cell r="L1934" t="str">
            <v>42-05-02-06-1926</v>
          </cell>
          <cell r="M1934" t="str">
            <v>Juego de llave estrella Force 9 pzas.</v>
          </cell>
          <cell r="N1934">
            <v>1</v>
          </cell>
          <cell r="O1934" t="str">
            <v>HERRAMIENTAS</v>
          </cell>
          <cell r="P1934">
            <v>12000</v>
          </cell>
          <cell r="T1934" t="str">
            <v>Bueno</v>
          </cell>
          <cell r="U1934" t="str">
            <v>Force</v>
          </cell>
        </row>
        <row r="1935">
          <cell r="J1935" t="str">
            <v>42-05-02-06-1927</v>
          </cell>
          <cell r="K1935" t="str">
            <v>42-2092</v>
          </cell>
          <cell r="L1935" t="str">
            <v>42-05-02-06-1927</v>
          </cell>
          <cell r="M1935" t="str">
            <v>Martillo original bellota</v>
          </cell>
          <cell r="N1935">
            <v>1</v>
          </cell>
          <cell r="O1935" t="str">
            <v>HERRAMIENTAS</v>
          </cell>
          <cell r="P1935">
            <v>3500</v>
          </cell>
          <cell r="T1935" t="str">
            <v>Bueno</v>
          </cell>
          <cell r="U1935" t="str">
            <v>Bellota</v>
          </cell>
        </row>
        <row r="1936">
          <cell r="J1936" t="str">
            <v>42-05-02-05-1928</v>
          </cell>
          <cell r="K1936" t="str">
            <v>42-2111</v>
          </cell>
          <cell r="L1936" t="str">
            <v>42-05-02-05-1928</v>
          </cell>
          <cell r="M1936" t="str">
            <v>Mascara de protección</v>
          </cell>
          <cell r="N1936">
            <v>1</v>
          </cell>
          <cell r="O1936" t="str">
            <v>EQUIPOS DE SEGURIDAD</v>
          </cell>
          <cell r="P1936">
            <v>6000</v>
          </cell>
          <cell r="T1936" t="str">
            <v>Bueno</v>
          </cell>
          <cell r="U1936" t="str">
            <v>N/T</v>
          </cell>
        </row>
        <row r="1937">
          <cell r="J1937" t="str">
            <v>42-05-02-05-1929</v>
          </cell>
          <cell r="K1937" t="str">
            <v>42-2102</v>
          </cell>
          <cell r="L1937" t="str">
            <v>42-05-02-05-1929</v>
          </cell>
          <cell r="M1937" t="str">
            <v>Mascara de soldar</v>
          </cell>
          <cell r="N1937">
            <v>1</v>
          </cell>
          <cell r="O1937" t="str">
            <v>EQUIPOS DE SEGURIDAD</v>
          </cell>
          <cell r="P1937">
            <v>8000</v>
          </cell>
          <cell r="T1937" t="str">
            <v>Malo</v>
          </cell>
          <cell r="U1937" t="str">
            <v>N/T</v>
          </cell>
        </row>
        <row r="1938">
          <cell r="J1938" t="str">
            <v>42-05-02-05-1930</v>
          </cell>
          <cell r="K1938" t="str">
            <v>42-2112</v>
          </cell>
          <cell r="L1938" t="str">
            <v>42-05-02-05-1930</v>
          </cell>
          <cell r="M1938" t="str">
            <v>Overol cuerpo completo</v>
          </cell>
          <cell r="N1938">
            <v>1</v>
          </cell>
          <cell r="O1938" t="str">
            <v>EQUIPOS DE SEGURIDAD</v>
          </cell>
          <cell r="P1938">
            <v>10000</v>
          </cell>
          <cell r="T1938" t="str">
            <v>Bueno</v>
          </cell>
          <cell r="U1938" t="str">
            <v>N/T</v>
          </cell>
        </row>
        <row r="1939">
          <cell r="J1939" t="str">
            <v>42-05-02-06-1931</v>
          </cell>
          <cell r="K1939" t="str">
            <v>42-2093</v>
          </cell>
          <cell r="L1939" t="str">
            <v>42-05-02-06-1931</v>
          </cell>
          <cell r="M1939" t="str">
            <v>Pala Carrilana 10 " 3/4</v>
          </cell>
          <cell r="N1939">
            <v>1</v>
          </cell>
          <cell r="O1939" t="str">
            <v>HERRAMIENTAS</v>
          </cell>
          <cell r="P1939">
            <v>6000</v>
          </cell>
          <cell r="T1939" t="str">
            <v>Bueno</v>
          </cell>
          <cell r="U1939" t="str">
            <v>N/T</v>
          </cell>
        </row>
        <row r="1940">
          <cell r="J1940" t="str">
            <v>42-05-02-06-1932</v>
          </cell>
          <cell r="K1940" t="str">
            <v>42-2094</v>
          </cell>
          <cell r="L1940" t="str">
            <v>42-05-02-06-1932</v>
          </cell>
          <cell r="M1940" t="str">
            <v>Pala Ollera 8 "</v>
          </cell>
          <cell r="N1940">
            <v>1</v>
          </cell>
          <cell r="O1940" t="str">
            <v>HERRAMIENTAS</v>
          </cell>
          <cell r="P1940">
            <v>4800</v>
          </cell>
          <cell r="T1940" t="str">
            <v>Bueno</v>
          </cell>
          <cell r="U1940" t="str">
            <v>N/T</v>
          </cell>
        </row>
        <row r="1941">
          <cell r="J1941" t="str">
            <v>42-05-02-06-1933</v>
          </cell>
          <cell r="K1941" t="str">
            <v>42-1766</v>
          </cell>
          <cell r="L1941" t="str">
            <v>42-05-02-06-1933</v>
          </cell>
          <cell r="M1941" t="str">
            <v>Pie de metro 150 mm. marca Diamond</v>
          </cell>
          <cell r="N1941">
            <v>1</v>
          </cell>
          <cell r="O1941" t="str">
            <v>HERRAMIENTAS</v>
          </cell>
          <cell r="P1941">
            <v>10000</v>
          </cell>
          <cell r="T1941" t="str">
            <v>Bueno</v>
          </cell>
          <cell r="U1941" t="str">
            <v>Diamond</v>
          </cell>
        </row>
        <row r="1942">
          <cell r="J1942" t="str">
            <v>42-05-02-06-1934</v>
          </cell>
          <cell r="K1942" t="str">
            <v>42-2113</v>
          </cell>
          <cell r="L1942" t="str">
            <v>42-05-02-06-1934</v>
          </cell>
          <cell r="M1942" t="str">
            <v>Pistola de silicona</v>
          </cell>
          <cell r="N1942">
            <v>1</v>
          </cell>
          <cell r="O1942" t="str">
            <v>HERRAMIENTAS</v>
          </cell>
          <cell r="P1942">
            <v>2600</v>
          </cell>
          <cell r="T1942" t="str">
            <v>Bueno</v>
          </cell>
          <cell r="U1942" t="str">
            <v>N/T</v>
          </cell>
        </row>
        <row r="1943">
          <cell r="J1943" t="str">
            <v>42-05-02-06-1935</v>
          </cell>
          <cell r="K1943" t="str">
            <v>42-2067</v>
          </cell>
          <cell r="L1943" t="str">
            <v>42-05-02-06-1935</v>
          </cell>
          <cell r="M1943" t="str">
            <v>Prensa de sujeción de cadena Vise Grip 18 "</v>
          </cell>
          <cell r="N1943">
            <v>1</v>
          </cell>
          <cell r="O1943" t="str">
            <v>HERRAMIENTAS</v>
          </cell>
          <cell r="P1943">
            <v>8000</v>
          </cell>
          <cell r="T1943" t="str">
            <v>Bueno</v>
          </cell>
          <cell r="U1943" t="str">
            <v>Vise Grip</v>
          </cell>
        </row>
        <row r="1944">
          <cell r="J1944" t="str">
            <v>42-05-02-06-1936</v>
          </cell>
          <cell r="K1944" t="str">
            <v>42-2797</v>
          </cell>
          <cell r="L1944" t="str">
            <v>42-05-02-06-1936</v>
          </cell>
          <cell r="M1944" t="str">
            <v>Llave francesa 15"</v>
          </cell>
          <cell r="N1944">
            <v>1</v>
          </cell>
          <cell r="O1944" t="str">
            <v>HERRAMIENTAS</v>
          </cell>
          <cell r="P1944">
            <v>2500</v>
          </cell>
          <cell r="T1944" t="str">
            <v>Bueno</v>
          </cell>
          <cell r="U1944" t="str">
            <v>N/T</v>
          </cell>
        </row>
        <row r="1945">
          <cell r="J1945" t="str">
            <v>42-05-02-06-1937</v>
          </cell>
          <cell r="K1945" t="str">
            <v>42-2799</v>
          </cell>
          <cell r="L1945" t="str">
            <v>42-05-02-06-1937</v>
          </cell>
          <cell r="M1945" t="str">
            <v>Juego dados marca Stanley 29 piezas con maletín ( Milimetricos )</v>
          </cell>
          <cell r="N1945">
            <v>1</v>
          </cell>
          <cell r="O1945" t="str">
            <v>HERRAMIENTAS</v>
          </cell>
          <cell r="P1945">
            <v>30000</v>
          </cell>
          <cell r="T1945" t="str">
            <v>Bueno</v>
          </cell>
          <cell r="U1945" t="str">
            <v>Stanley</v>
          </cell>
        </row>
        <row r="1946">
          <cell r="J1946" t="str">
            <v>42-05-02-06-1938</v>
          </cell>
          <cell r="K1946" t="str">
            <v>42-2800</v>
          </cell>
          <cell r="L1946" t="str">
            <v>42-05-02-06-1938</v>
          </cell>
          <cell r="M1946" t="str">
            <v>Juego dados marca Stanley 27 piezas con maletín ( Pulgadas )</v>
          </cell>
          <cell r="N1946">
            <v>1</v>
          </cell>
          <cell r="O1946" t="str">
            <v>HERRAMIENTAS</v>
          </cell>
          <cell r="P1946">
            <v>30000</v>
          </cell>
          <cell r="T1946" t="str">
            <v>Bueno</v>
          </cell>
          <cell r="U1946" t="str">
            <v>Stanley</v>
          </cell>
        </row>
        <row r="1947">
          <cell r="J1947" t="str">
            <v>42-05-02-06-1939</v>
          </cell>
          <cell r="K1947" t="str">
            <v>42-1764</v>
          </cell>
          <cell r="L1947" t="str">
            <v>42-05-02-06-1939</v>
          </cell>
          <cell r="M1947" t="str">
            <v>Regla de acero 500 mm. ( China )</v>
          </cell>
          <cell r="N1947">
            <v>1</v>
          </cell>
          <cell r="O1947" t="str">
            <v>HERRAMIENTAS</v>
          </cell>
          <cell r="P1947">
            <v>5000</v>
          </cell>
          <cell r="T1947" t="str">
            <v>Bueno</v>
          </cell>
          <cell r="U1947" t="str">
            <v>N/T</v>
          </cell>
        </row>
        <row r="1948">
          <cell r="J1948" t="str">
            <v>42-05-02-06-1940</v>
          </cell>
          <cell r="K1948" t="str">
            <v>42-1568</v>
          </cell>
          <cell r="L1948" t="str">
            <v>42-05-02-06-1940</v>
          </cell>
          <cell r="M1948" t="str">
            <v>Caja de herramientas Stanley 19 "</v>
          </cell>
          <cell r="N1948">
            <v>1</v>
          </cell>
          <cell r="O1948" t="str">
            <v>HERRAMIENTAS</v>
          </cell>
          <cell r="P1948">
            <v>12000</v>
          </cell>
          <cell r="T1948" t="str">
            <v>Bueno</v>
          </cell>
          <cell r="U1948" t="str">
            <v>Stanley</v>
          </cell>
        </row>
        <row r="1949">
          <cell r="J1949" t="str">
            <v>42-05-02-06-1941</v>
          </cell>
          <cell r="K1949" t="str">
            <v>42-1566</v>
          </cell>
          <cell r="L1949" t="str">
            <v>42-05-02-06-1941</v>
          </cell>
          <cell r="M1949" t="str">
            <v>Llave ajustable ( gásfiter, pico de loro ) 10 "</v>
          </cell>
          <cell r="N1949">
            <v>1</v>
          </cell>
          <cell r="O1949" t="str">
            <v>HERRAMIENTAS</v>
          </cell>
          <cell r="P1949">
            <v>4500</v>
          </cell>
          <cell r="T1949" t="str">
            <v>Bueno</v>
          </cell>
          <cell r="U1949" t="str">
            <v>N/T</v>
          </cell>
        </row>
        <row r="1950">
          <cell r="J1950" t="str">
            <v>42-05-02-06-1942</v>
          </cell>
          <cell r="K1950" t="str">
            <v>42-2870</v>
          </cell>
          <cell r="L1950" t="str">
            <v>42-05-02-06-1942</v>
          </cell>
          <cell r="M1950" t="str">
            <v>Jgo. Atornilladores Stanley ( 2 Paleta, 1 Cruz )</v>
          </cell>
          <cell r="N1950">
            <v>1</v>
          </cell>
          <cell r="O1950" t="str">
            <v>HERRAMIENTAS</v>
          </cell>
          <cell r="P1950">
            <v>3000</v>
          </cell>
          <cell r="T1950" t="str">
            <v>Bueno</v>
          </cell>
          <cell r="U1950" t="str">
            <v>Stanley</v>
          </cell>
        </row>
        <row r="1951">
          <cell r="J1951" t="str">
            <v>42-05-02-06-1943</v>
          </cell>
          <cell r="K1951" t="str">
            <v>42-967</v>
          </cell>
          <cell r="L1951" t="str">
            <v>42-05-02-06-1943</v>
          </cell>
          <cell r="M1951" t="str">
            <v>Taladro de pecho marca Makita 16 mm. S/Nº 107846E</v>
          </cell>
          <cell r="N1951">
            <v>1</v>
          </cell>
          <cell r="O1951" t="str">
            <v>HERRAMIENTAS</v>
          </cell>
          <cell r="P1951">
            <v>6000</v>
          </cell>
          <cell r="T1951" t="str">
            <v>Bueno</v>
          </cell>
          <cell r="U1951" t="str">
            <v>Makita</v>
          </cell>
        </row>
        <row r="1952">
          <cell r="J1952" t="str">
            <v>42-05-02-06-1944</v>
          </cell>
          <cell r="K1952" t="str">
            <v>42-2238</v>
          </cell>
          <cell r="L1952" t="str">
            <v>42-05-02-06-1944</v>
          </cell>
          <cell r="M1952" t="str">
            <v>Escuadra metálica de 29 cms.</v>
          </cell>
          <cell r="N1952">
            <v>1</v>
          </cell>
          <cell r="O1952" t="str">
            <v>HERRAMIENTAS</v>
          </cell>
          <cell r="P1952">
            <v>2500</v>
          </cell>
          <cell r="T1952" t="str">
            <v>Bueno</v>
          </cell>
          <cell r="U1952" t="str">
            <v>N/T</v>
          </cell>
        </row>
        <row r="1953">
          <cell r="J1953" t="str">
            <v>42-05-02-02-1945</v>
          </cell>
          <cell r="K1953" t="str">
            <v>42-2239</v>
          </cell>
          <cell r="L1953" t="str">
            <v>42-05-02-02-1945</v>
          </cell>
          <cell r="M1953" t="str">
            <v>Azadón</v>
          </cell>
          <cell r="N1953">
            <v>1</v>
          </cell>
          <cell r="O1953" t="str">
            <v>EQUIPOS DE COCINA</v>
          </cell>
          <cell r="P1953">
            <v>2000</v>
          </cell>
          <cell r="T1953" t="str">
            <v>Bueno</v>
          </cell>
          <cell r="U1953" t="str">
            <v>N/T</v>
          </cell>
        </row>
        <row r="1954">
          <cell r="J1954" t="str">
            <v>42-05-02-06-1946</v>
          </cell>
          <cell r="K1954" t="str">
            <v>42-2241B</v>
          </cell>
          <cell r="L1954" t="str">
            <v>42-05-02-06-1946</v>
          </cell>
          <cell r="M1954" t="str">
            <v>Hacha de mano</v>
          </cell>
          <cell r="N1954">
            <v>1</v>
          </cell>
          <cell r="O1954" t="str">
            <v>HERRAMIENTAS</v>
          </cell>
          <cell r="P1954">
            <v>8000</v>
          </cell>
          <cell r="T1954" t="str">
            <v>Bueno</v>
          </cell>
          <cell r="U1954" t="str">
            <v>N/T</v>
          </cell>
        </row>
        <row r="1955">
          <cell r="J1955" t="str">
            <v>42-05-02-06-1947</v>
          </cell>
          <cell r="K1955" t="str">
            <v>42-2242</v>
          </cell>
          <cell r="L1955" t="str">
            <v>42-05-02-06-1947</v>
          </cell>
          <cell r="M1955" t="str">
            <v>Serrucho carpintero 50 cms. Alemán</v>
          </cell>
          <cell r="N1955">
            <v>1</v>
          </cell>
          <cell r="O1955" t="str">
            <v>HERRAMIENTAS</v>
          </cell>
          <cell r="P1955">
            <v>4500</v>
          </cell>
          <cell r="T1955" t="str">
            <v>Regular</v>
          </cell>
          <cell r="U1955" t="str">
            <v>N/T</v>
          </cell>
        </row>
        <row r="1956">
          <cell r="J1956" t="str">
            <v>42-05-02-06-1948</v>
          </cell>
          <cell r="K1956" t="str">
            <v>42-2243</v>
          </cell>
          <cell r="L1956" t="str">
            <v>42-05-02-06-1948</v>
          </cell>
          <cell r="M1956" t="str">
            <v>Serrucho marca Ramada</v>
          </cell>
          <cell r="N1956">
            <v>1</v>
          </cell>
          <cell r="O1956" t="str">
            <v>HERRAMIENTAS</v>
          </cell>
          <cell r="P1956">
            <v>5000</v>
          </cell>
          <cell r="T1956" t="str">
            <v>Bueno</v>
          </cell>
          <cell r="U1956" t="str">
            <v>Ramada</v>
          </cell>
        </row>
        <row r="1957">
          <cell r="J1957" t="str">
            <v>42-05-02-06-1949</v>
          </cell>
          <cell r="K1957" t="str">
            <v>42-2251</v>
          </cell>
          <cell r="L1957" t="str">
            <v>42-05-02-06-1949</v>
          </cell>
          <cell r="M1957" t="str">
            <v>Combo de 4 libras</v>
          </cell>
          <cell r="N1957">
            <v>1</v>
          </cell>
          <cell r="O1957" t="str">
            <v>HERRAMIENTAS</v>
          </cell>
          <cell r="P1957">
            <v>5000</v>
          </cell>
          <cell r="T1957" t="str">
            <v>Bueno</v>
          </cell>
          <cell r="U1957" t="str">
            <v>N/T</v>
          </cell>
        </row>
        <row r="1958">
          <cell r="J1958" t="str">
            <v>42-05-02-06-1950</v>
          </cell>
          <cell r="K1958" t="str">
            <v>42-2253</v>
          </cell>
          <cell r="L1958" t="str">
            <v>42-05-02-06-1950</v>
          </cell>
          <cell r="M1958" t="str">
            <v>Grasera</v>
          </cell>
          <cell r="N1958">
            <v>1</v>
          </cell>
          <cell r="O1958" t="str">
            <v>HERRAMIENTAS</v>
          </cell>
          <cell r="P1958">
            <v>3500</v>
          </cell>
          <cell r="T1958" t="str">
            <v>Bueno</v>
          </cell>
          <cell r="U1958" t="str">
            <v>N/T</v>
          </cell>
        </row>
        <row r="1959">
          <cell r="J1959" t="str">
            <v>42-05-02-06-1951</v>
          </cell>
          <cell r="K1959" t="str">
            <v>42-2258</v>
          </cell>
          <cell r="L1959" t="str">
            <v>42-05-02-06-1951</v>
          </cell>
          <cell r="M1959" t="str">
            <v>Cepillo para madera marca Stanley Nº 6 metálico de 46 cms.</v>
          </cell>
          <cell r="N1959">
            <v>1</v>
          </cell>
          <cell r="O1959" t="str">
            <v>HERRAMIENTAS</v>
          </cell>
          <cell r="P1959">
            <v>18000</v>
          </cell>
          <cell r="T1959" t="str">
            <v>Bueno</v>
          </cell>
          <cell r="U1959" t="str">
            <v>Stanley</v>
          </cell>
        </row>
        <row r="1960">
          <cell r="J1960" t="str">
            <v>42-05-02-06-1952</v>
          </cell>
          <cell r="K1960" t="str">
            <v>42-2260</v>
          </cell>
          <cell r="L1960" t="str">
            <v>42-05-02-06-1952</v>
          </cell>
          <cell r="M1960" t="str">
            <v>Juego de dados 21 piezas Cromo Vanadium</v>
          </cell>
          <cell r="N1960">
            <v>1</v>
          </cell>
          <cell r="O1960" t="str">
            <v>HERRAMIENTAS</v>
          </cell>
          <cell r="P1960">
            <v>12000</v>
          </cell>
          <cell r="T1960" t="str">
            <v>Bueno</v>
          </cell>
          <cell r="U1960" t="str">
            <v>Cromo Vanadiun</v>
          </cell>
        </row>
        <row r="1961">
          <cell r="J1961" t="str">
            <v>42-05-02-06-1953</v>
          </cell>
          <cell r="K1961" t="str">
            <v>42-3168</v>
          </cell>
          <cell r="L1961" t="str">
            <v>42-05-02-06-1953</v>
          </cell>
          <cell r="M1961" t="str">
            <v>Serrucho marca Bahco Prize cut</v>
          </cell>
          <cell r="N1961">
            <v>1</v>
          </cell>
          <cell r="O1961" t="str">
            <v>HERRAMIENTAS</v>
          </cell>
          <cell r="P1961">
            <v>10000</v>
          </cell>
          <cell r="T1961" t="str">
            <v>Bueno</v>
          </cell>
          <cell r="U1961" t="str">
            <v>Bahco Prize Cut</v>
          </cell>
        </row>
        <row r="1962">
          <cell r="J1962" t="str">
            <v>42-05-02-06-1954</v>
          </cell>
          <cell r="K1962" t="str">
            <v>42-3169</v>
          </cell>
          <cell r="L1962" t="str">
            <v>42-05-02-06-1954</v>
          </cell>
          <cell r="M1962" t="str">
            <v>Tijera cortar pasto Ultra</v>
          </cell>
          <cell r="N1962">
            <v>1</v>
          </cell>
          <cell r="O1962" t="str">
            <v>HERRAMIENTAS</v>
          </cell>
          <cell r="P1962">
            <v>3800</v>
          </cell>
          <cell r="T1962" t="str">
            <v>Bueno</v>
          </cell>
          <cell r="U1962" t="str">
            <v>Ultra</v>
          </cell>
        </row>
        <row r="1963">
          <cell r="J1963" t="str">
            <v>42-05-02-06-1955</v>
          </cell>
          <cell r="K1963" t="str">
            <v>42-3170</v>
          </cell>
          <cell r="L1963" t="str">
            <v>42-05-02-06-1955</v>
          </cell>
          <cell r="M1963" t="str">
            <v>Taladro eléctrico marca Skill 600 watt Mod. 6438 S/Nº F012643855</v>
          </cell>
          <cell r="N1963">
            <v>1</v>
          </cell>
          <cell r="O1963" t="str">
            <v>HERRAMIENTAS</v>
          </cell>
          <cell r="P1963">
            <v>30000</v>
          </cell>
          <cell r="T1963" t="str">
            <v>Bueno</v>
          </cell>
          <cell r="U1963" t="str">
            <v>Skill</v>
          </cell>
        </row>
        <row r="1964">
          <cell r="J1964" t="str">
            <v>42-05-02-06-1956</v>
          </cell>
          <cell r="K1964" t="str">
            <v>42-2062</v>
          </cell>
          <cell r="L1964" t="str">
            <v>42-05-02-06-1956</v>
          </cell>
          <cell r="M1964" t="str">
            <v>Llave Francesa 18" ( China )</v>
          </cell>
          <cell r="N1964">
            <v>1</v>
          </cell>
          <cell r="O1964" t="str">
            <v>HERRAMIENTAS</v>
          </cell>
          <cell r="P1964">
            <v>2500</v>
          </cell>
          <cell r="T1964" t="str">
            <v>Bueno</v>
          </cell>
          <cell r="U1964" t="str">
            <v>N/T</v>
          </cell>
        </row>
        <row r="1965">
          <cell r="J1965" t="str">
            <v>42-05-02-06-1957</v>
          </cell>
          <cell r="K1965" t="str">
            <v>42-950</v>
          </cell>
          <cell r="L1965" t="str">
            <v>42-05-02-06-1957</v>
          </cell>
          <cell r="M1965" t="str">
            <v>Hacha para picar leña marca Casco</v>
          </cell>
          <cell r="N1965">
            <v>1</v>
          </cell>
          <cell r="O1965" t="str">
            <v>HERRAMIENTAS</v>
          </cell>
          <cell r="P1965">
            <v>8000</v>
          </cell>
          <cell r="T1965" t="str">
            <v>Bueno</v>
          </cell>
          <cell r="U1965" t="str">
            <v>Casco</v>
          </cell>
        </row>
        <row r="1966">
          <cell r="J1966" t="str">
            <v>42-05-02-06-1958</v>
          </cell>
          <cell r="K1966" t="str">
            <v>42-2249</v>
          </cell>
          <cell r="L1966" t="str">
            <v>42-05-02-06-1958</v>
          </cell>
          <cell r="M1966" t="str">
            <v>Carretilla de 90 Kgs. con rueda de goma</v>
          </cell>
          <cell r="N1966">
            <v>1</v>
          </cell>
          <cell r="O1966" t="str">
            <v>HERRAMIENTAS</v>
          </cell>
          <cell r="P1966">
            <v>28000</v>
          </cell>
          <cell r="T1966" t="str">
            <v>Regular</v>
          </cell>
          <cell r="U1966" t="str">
            <v>N/T</v>
          </cell>
        </row>
        <row r="1967">
          <cell r="J1967" t="str">
            <v>42-04-06-00-1959</v>
          </cell>
          <cell r="K1967" t="str">
            <v>42-2482</v>
          </cell>
          <cell r="L1967" t="str">
            <v>42-04-06-00-1959</v>
          </cell>
          <cell r="M1967" t="str">
            <v>Repisa madera color blanco 18 divisiones 145x25x41 cms.</v>
          </cell>
          <cell r="O1967" t="str">
            <v>REPISA</v>
          </cell>
          <cell r="P1967">
            <v>10000</v>
          </cell>
          <cell r="T1967" t="str">
            <v>Bueno</v>
          </cell>
          <cell r="U1967" t="str">
            <v>N/T</v>
          </cell>
        </row>
        <row r="1968">
          <cell r="J1968" t="str">
            <v>42-04-06-00-1960</v>
          </cell>
          <cell r="K1968" t="str">
            <v>42-3242</v>
          </cell>
          <cell r="L1968" t="str">
            <v>42-04-06-00-1960</v>
          </cell>
          <cell r="M1968" t="str">
            <v>Vitrina metálica color blanco</v>
          </cell>
          <cell r="O1968" t="str">
            <v>REPISA</v>
          </cell>
          <cell r="P1968">
            <v>5000</v>
          </cell>
          <cell r="T1968" t="str">
            <v>Bueno</v>
          </cell>
          <cell r="U1968" t="str">
            <v>N/T</v>
          </cell>
        </row>
        <row r="1969">
          <cell r="J1969" t="str">
            <v>42-06-01-00-1961</v>
          </cell>
          <cell r="K1969" t="str">
            <v>42-3346</v>
          </cell>
          <cell r="L1969" t="str">
            <v>42-06-01-00-1961</v>
          </cell>
          <cell r="M1969" t="str">
            <v>Computador Intel P4 S/Nº CS506CEN09</v>
          </cell>
          <cell r="O1969" t="str">
            <v>EQUIPOS COMPUTACIONALES Y PERIFÉRICOS</v>
          </cell>
          <cell r="P1969">
            <v>160000</v>
          </cell>
          <cell r="T1969" t="str">
            <v>Bueno</v>
          </cell>
          <cell r="U1969" t="str">
            <v>Intel</v>
          </cell>
        </row>
        <row r="1970">
          <cell r="J1970" t="str">
            <v>42-06-01-00-1962</v>
          </cell>
          <cell r="K1970" t="str">
            <v>42-2910</v>
          </cell>
          <cell r="L1970" t="str">
            <v>42-06-01-00-1962</v>
          </cell>
          <cell r="M1970" t="str">
            <v>Monitor Dell Mod. Nº E551c S/Nº CN-046765-64180-3AL-00Y5</v>
          </cell>
          <cell r="O1970" t="str">
            <v>EQUIPOS COMPUTACIONALES Y PERIFÉRICOS</v>
          </cell>
          <cell r="P1970">
            <v>14000</v>
          </cell>
          <cell r="T1970" t="str">
            <v>Bueno</v>
          </cell>
          <cell r="U1970" t="str">
            <v>Dell</v>
          </cell>
        </row>
        <row r="1971">
          <cell r="J1971" t="str">
            <v>42-06-01-00-1963</v>
          </cell>
          <cell r="K1971" t="str">
            <v>42-2568</v>
          </cell>
          <cell r="L1971" t="str">
            <v>42-06-01-00-1963</v>
          </cell>
          <cell r="M1971" t="str">
            <v>Teclado Aopen Mod.  KB821 S/Nº 329001365CM1</v>
          </cell>
          <cell r="O1971" t="str">
            <v>EQUIPOS COMPUTACIONALES Y PERIFÉRICOS</v>
          </cell>
          <cell r="P1971">
            <v>4000</v>
          </cell>
          <cell r="T1971" t="str">
            <v>Bueno</v>
          </cell>
          <cell r="U1971" t="str">
            <v>Acpen</v>
          </cell>
        </row>
        <row r="1972">
          <cell r="J1972" t="str">
            <v>42-06-01-00-1964</v>
          </cell>
          <cell r="K1972" t="str">
            <v>42-2569</v>
          </cell>
          <cell r="L1972" t="str">
            <v>42-06-01-00-1964</v>
          </cell>
          <cell r="M1972" t="str">
            <v>Mouse marca Aopen Mod. W-23G</v>
          </cell>
          <cell r="O1972" t="str">
            <v>EQUIPOS COMPUTACIONALES Y PERIFÉRICOS</v>
          </cell>
          <cell r="P1972">
            <v>3000</v>
          </cell>
          <cell r="T1972" t="str">
            <v>Bueno</v>
          </cell>
          <cell r="U1972" t="str">
            <v>Acpen</v>
          </cell>
        </row>
        <row r="1973">
          <cell r="J1973" t="str">
            <v>42-06-01-00-1965</v>
          </cell>
          <cell r="K1973" t="str">
            <v>42-2796</v>
          </cell>
          <cell r="L1973" t="str">
            <v>42-06-01-00-1965</v>
          </cell>
          <cell r="M1973" t="str">
            <v>Impresora Compaq Mod. IJ 600</v>
          </cell>
          <cell r="O1973" t="str">
            <v>EQUIPOS COMPUTACIONALES Y PERIFÉRICOS</v>
          </cell>
          <cell r="P1973">
            <v>25000</v>
          </cell>
          <cell r="T1973" t="str">
            <v>Malo</v>
          </cell>
          <cell r="U1973" t="str">
            <v>Compaq</v>
          </cell>
        </row>
        <row r="1974">
          <cell r="J1974" t="str">
            <v>42-05-02-05-1966</v>
          </cell>
          <cell r="K1974" t="str">
            <v>42-1785</v>
          </cell>
          <cell r="L1974" t="str">
            <v>42-05-02-05-1966</v>
          </cell>
          <cell r="M1974" t="str">
            <v>Unidad de respaldo de energía American power conversión Mod. Back- UPS AVR 500 Serie BBO211004388</v>
          </cell>
          <cell r="N1974">
            <v>1</v>
          </cell>
          <cell r="O1974" t="str">
            <v>EQUIPOS DE SEGURIDAD</v>
          </cell>
          <cell r="P1974">
            <v>50000</v>
          </cell>
          <cell r="T1974" t="str">
            <v>Bueno</v>
          </cell>
          <cell r="U1974" t="str">
            <v>American power</v>
          </cell>
        </row>
        <row r="1975">
          <cell r="J1975" t="str">
            <v>42-05-02-03-1967</v>
          </cell>
          <cell r="K1975" t="str">
            <v>42-2120</v>
          </cell>
          <cell r="L1975" t="str">
            <v>42-05-02-03-1967</v>
          </cell>
          <cell r="M1975" t="str">
            <v>Radio intercomunicadora marca Motorola Mod. T 5320 S/Nº 03211-0091835 con cargador</v>
          </cell>
          <cell r="N1975">
            <v>1</v>
          </cell>
          <cell r="O1975" t="str">
            <v>EQUIPOS DE COMUNICACIÓN</v>
          </cell>
          <cell r="P1975">
            <v>10000</v>
          </cell>
          <cell r="T1975" t="str">
            <v>Regular</v>
          </cell>
          <cell r="U1975" t="str">
            <v>Motorola</v>
          </cell>
        </row>
        <row r="1976">
          <cell r="J1976" t="str">
            <v>42-05-01-01-1968</v>
          </cell>
          <cell r="K1976" t="str">
            <v>42-2330</v>
          </cell>
          <cell r="L1976" t="str">
            <v>42-05-01-01-1968</v>
          </cell>
          <cell r="M1976" t="str">
            <v>Radio CD marca IRT modelo RCD 1110 S/Nº 4250142</v>
          </cell>
          <cell r="N1976">
            <v>1</v>
          </cell>
          <cell r="O1976" t="str">
            <v>EQUIPO DE OFICINA</v>
          </cell>
          <cell r="P1976">
            <v>37502</v>
          </cell>
          <cell r="T1976" t="str">
            <v>Bueno</v>
          </cell>
          <cell r="U1976" t="str">
            <v>IRT</v>
          </cell>
        </row>
        <row r="1977">
          <cell r="J1977" t="str">
            <v>42-05-01-01-1969</v>
          </cell>
          <cell r="K1977" t="str">
            <v>42-3347</v>
          </cell>
          <cell r="L1977" t="str">
            <v>42-05-01-01-1969</v>
          </cell>
          <cell r="M1977" t="str">
            <v>Estufa a gas marca Cimet</v>
          </cell>
          <cell r="O1977" t="str">
            <v>EQUIPO DE OFICINA</v>
          </cell>
          <cell r="P1977">
            <v>45000</v>
          </cell>
          <cell r="T1977" t="str">
            <v>Bueno</v>
          </cell>
          <cell r="U1977" t="str">
            <v>Cimet</v>
          </cell>
        </row>
        <row r="1978">
          <cell r="J1978" t="str">
            <v>42-05-02-01-1970</v>
          </cell>
          <cell r="K1978" t="str">
            <v>42-2068</v>
          </cell>
          <cell r="L1978" t="str">
            <v>42-05-02-01-1970</v>
          </cell>
          <cell r="M1978" t="str">
            <v>Multitester Fluke-179</v>
          </cell>
          <cell r="N1978">
            <v>1</v>
          </cell>
          <cell r="O1978" t="str">
            <v>EQUIPOS CLINICOS</v>
          </cell>
          <cell r="P1978">
            <v>60000</v>
          </cell>
          <cell r="T1978" t="str">
            <v>Bueno</v>
          </cell>
          <cell r="U1978" t="str">
            <v>Fluke</v>
          </cell>
        </row>
        <row r="1979">
          <cell r="J1979" t="str">
            <v>42-05-02-06-1971</v>
          </cell>
          <cell r="K1979" t="str">
            <v>42-2069</v>
          </cell>
          <cell r="L1979" t="str">
            <v>42-05-02-06-1971</v>
          </cell>
          <cell r="M1979" t="str">
            <v>Probador de diferencial catex</v>
          </cell>
          <cell r="N1979">
            <v>1</v>
          </cell>
          <cell r="O1979" t="str">
            <v>HERRAMIENTAS</v>
          </cell>
          <cell r="P1979">
            <v>25000</v>
          </cell>
          <cell r="T1979" t="str">
            <v>Bueno</v>
          </cell>
          <cell r="U1979" t="str">
            <v>Catex</v>
          </cell>
        </row>
        <row r="1980">
          <cell r="J1980" t="str">
            <v>42-05-02-01-1972</v>
          </cell>
          <cell r="K1980" t="str">
            <v>42-2070</v>
          </cell>
          <cell r="L1980" t="str">
            <v>42-05-02-01-1972</v>
          </cell>
          <cell r="M1980" t="str">
            <v>Tacómetro RS 163-5348</v>
          </cell>
          <cell r="N1980">
            <v>1</v>
          </cell>
          <cell r="O1980" t="str">
            <v>EQUIPOS CLINICOS</v>
          </cell>
          <cell r="P1980">
            <v>25000</v>
          </cell>
          <cell r="T1980" t="str">
            <v>Bueno</v>
          </cell>
          <cell r="U1980" t="str">
            <v>N/T</v>
          </cell>
        </row>
        <row r="1981">
          <cell r="J1981" t="str">
            <v>42-05-02-01-1973</v>
          </cell>
          <cell r="K1981" t="str">
            <v>42-2071</v>
          </cell>
          <cell r="L1981" t="str">
            <v>42-05-02-01-1973</v>
          </cell>
          <cell r="M1981" t="str">
            <v>Micrómetro de 25 mm. marca Starrett</v>
          </cell>
          <cell r="N1981">
            <v>1</v>
          </cell>
          <cell r="O1981" t="str">
            <v>EQUIPOS CLINICOS</v>
          </cell>
          <cell r="P1981">
            <v>12000</v>
          </cell>
          <cell r="T1981" t="str">
            <v>Bueno</v>
          </cell>
          <cell r="U1981" t="str">
            <v>Starrett</v>
          </cell>
        </row>
        <row r="1982">
          <cell r="J1982" t="str">
            <v>42-05-02-06-1974</v>
          </cell>
          <cell r="K1982" t="str">
            <v>42-2118</v>
          </cell>
          <cell r="L1982" t="str">
            <v>42-05-02-06-1974</v>
          </cell>
          <cell r="M1982" t="str">
            <v>Engrapadora marca Stanley Heavy duty Sharpshooter</v>
          </cell>
          <cell r="N1982">
            <v>1</v>
          </cell>
          <cell r="O1982" t="str">
            <v>HERRAMIENTAS</v>
          </cell>
          <cell r="P1982">
            <v>8000</v>
          </cell>
          <cell r="T1982" t="str">
            <v>Bueno</v>
          </cell>
          <cell r="U1982" t="str">
            <v>Stanley</v>
          </cell>
        </row>
        <row r="1983">
          <cell r="J1983" t="str">
            <v>42-04-03-00-1975</v>
          </cell>
          <cell r="K1983" t="str">
            <v>42-3316</v>
          </cell>
          <cell r="L1983" t="str">
            <v>42-04-03-00-1975</v>
          </cell>
          <cell r="M1983" t="str">
            <v>Escritorio masisa enchapada eucaliptus, 3 cajones 130x70x73 cms.</v>
          </cell>
          <cell r="O1983" t="str">
            <v>ESCRITORIOS</v>
          </cell>
          <cell r="P1983">
            <v>18000</v>
          </cell>
          <cell r="T1983" t="str">
            <v>Bueno</v>
          </cell>
          <cell r="U1983" t="str">
            <v>N/T</v>
          </cell>
        </row>
        <row r="1984">
          <cell r="J1984" t="str">
            <v>42-05-02-01-1976</v>
          </cell>
          <cell r="K1984" t="str">
            <v>42-1644</v>
          </cell>
          <cell r="L1984" t="str">
            <v>42-05-02-01-1976</v>
          </cell>
          <cell r="M1984" t="str">
            <v>Lámpara articulada con lupa</v>
          </cell>
          <cell r="O1984" t="str">
            <v>EQUIPOS CLINICOS</v>
          </cell>
          <cell r="P1984">
            <v>25000</v>
          </cell>
          <cell r="T1984" t="str">
            <v>Malo</v>
          </cell>
          <cell r="U1984" t="str">
            <v>N/T</v>
          </cell>
        </row>
        <row r="1985">
          <cell r="J1985" t="str">
            <v>42-04-05-00-1977</v>
          </cell>
          <cell r="K1985" t="str">
            <v>42-3172</v>
          </cell>
          <cell r="L1985" t="str">
            <v>42-04-05-00-1977</v>
          </cell>
          <cell r="M1985" t="str">
            <v>Kardex 2 cajones color verde</v>
          </cell>
          <cell r="O1985" t="str">
            <v>KARDEX</v>
          </cell>
          <cell r="P1985">
            <v>5000</v>
          </cell>
          <cell r="T1985" t="str">
            <v>Bueno</v>
          </cell>
          <cell r="U1985" t="str">
            <v>N/T</v>
          </cell>
        </row>
        <row r="1986">
          <cell r="J1986" t="str">
            <v>42-04-05-00-1978</v>
          </cell>
          <cell r="K1986" t="str">
            <v>42-3173</v>
          </cell>
          <cell r="L1986" t="str">
            <v>42-04-05-00-1978</v>
          </cell>
          <cell r="M1986" t="str">
            <v>Kardex 2 cajones color plomo</v>
          </cell>
          <cell r="O1986" t="str">
            <v>KARDEX</v>
          </cell>
          <cell r="P1986">
            <v>5000</v>
          </cell>
          <cell r="T1986" t="str">
            <v>Bueno</v>
          </cell>
          <cell r="U1986" t="str">
            <v>N/T</v>
          </cell>
        </row>
        <row r="1987">
          <cell r="J1987" t="str">
            <v>42-04-06-00-1979</v>
          </cell>
          <cell r="K1987" t="str">
            <v>42-2097</v>
          </cell>
          <cell r="L1987" t="str">
            <v>42-04-06-00-1979</v>
          </cell>
          <cell r="M1987" t="str">
            <v>Mueble madera barniz 6 divisiones</v>
          </cell>
          <cell r="O1987" t="str">
            <v>REPISA</v>
          </cell>
          <cell r="P1987">
            <v>5000</v>
          </cell>
          <cell r="T1987" t="str">
            <v>Bueno</v>
          </cell>
          <cell r="U1987" t="str">
            <v>N/T</v>
          </cell>
        </row>
        <row r="1988">
          <cell r="J1988" t="str">
            <v>42-05-01-01-1980</v>
          </cell>
          <cell r="K1988" t="str">
            <v>42-2088</v>
          </cell>
          <cell r="L1988" t="str">
            <v>42-05-01-01-1980</v>
          </cell>
          <cell r="M1988" t="str">
            <v>Perforador Torre color verde</v>
          </cell>
          <cell r="N1988">
            <v>1</v>
          </cell>
          <cell r="O1988" t="str">
            <v>EQUIPO DE OFICINA</v>
          </cell>
          <cell r="P1988">
            <v>3000</v>
          </cell>
          <cell r="T1988" t="str">
            <v>Bueno</v>
          </cell>
          <cell r="U1988" t="str">
            <v>N/T</v>
          </cell>
        </row>
        <row r="1989">
          <cell r="J1989" t="str">
            <v>42-04-02-00-1981</v>
          </cell>
          <cell r="K1989" t="str">
            <v>42-3177</v>
          </cell>
          <cell r="L1989" t="str">
            <v>42-04-02-00-1981</v>
          </cell>
          <cell r="M1989" t="str">
            <v>Silla metálica,  apoyo pies con pergamoide color negro</v>
          </cell>
          <cell r="O1989" t="str">
            <v>SILLAS</v>
          </cell>
          <cell r="P1989">
            <v>12000</v>
          </cell>
          <cell r="T1989" t="str">
            <v>Bueno</v>
          </cell>
          <cell r="U1989" t="str">
            <v>N/T</v>
          </cell>
        </row>
        <row r="1990">
          <cell r="J1990" t="str">
            <v>42-04-02-00-1982</v>
          </cell>
          <cell r="K1990" t="str">
            <v>42-1025</v>
          </cell>
          <cell r="L1990" t="str">
            <v>42-04-02-00-1982</v>
          </cell>
          <cell r="M1990" t="str">
            <v>Silla de madera color plomo</v>
          </cell>
          <cell r="O1990" t="str">
            <v>SILLAS</v>
          </cell>
          <cell r="P1990">
            <v>3000</v>
          </cell>
          <cell r="T1990" t="str">
            <v>Bueno</v>
          </cell>
          <cell r="U1990" t="str">
            <v>N/T</v>
          </cell>
        </row>
        <row r="1991">
          <cell r="J1991" t="str">
            <v>42-04-06-00-1983</v>
          </cell>
          <cell r="K1991" t="str">
            <v>42-2473</v>
          </cell>
          <cell r="L1991" t="str">
            <v>42-04-06-00-1983</v>
          </cell>
          <cell r="M1991" t="str">
            <v>Repisa madera con 2 compartimentos color blanco y soportes metálicos 54x57x33 cms.</v>
          </cell>
          <cell r="O1991" t="str">
            <v>REPISA</v>
          </cell>
          <cell r="P1991">
            <v>5000</v>
          </cell>
          <cell r="T1991" t="str">
            <v>Regular</v>
          </cell>
          <cell r="U1991" t="str">
            <v>N/T</v>
          </cell>
        </row>
        <row r="1992">
          <cell r="J1992" t="str">
            <v>42-05-02-05-1984</v>
          </cell>
          <cell r="K1992" t="str">
            <v>42-3382</v>
          </cell>
          <cell r="L1992" t="str">
            <v>42-05-02-05-1984</v>
          </cell>
          <cell r="M1992" t="str">
            <v>Extintor incendio tipo ABC 6 Kgs.</v>
          </cell>
          <cell r="O1992" t="str">
            <v>EQUIPOS DE SEGURIDAD</v>
          </cell>
          <cell r="P1992">
            <v>25000</v>
          </cell>
          <cell r="T1992" t="str">
            <v>Bueno</v>
          </cell>
          <cell r="U1992" t="str">
            <v>N/T</v>
          </cell>
        </row>
        <row r="1993">
          <cell r="J1993" t="str">
            <v>42-05-01-01-1985</v>
          </cell>
          <cell r="K1993" t="str">
            <v>42-1995</v>
          </cell>
          <cell r="L1993" t="str">
            <v>42-05-01-01-1985</v>
          </cell>
          <cell r="M1993" t="str">
            <v>Citófono/ teléfono marca Nortel Network, Modelo 7000</v>
          </cell>
          <cell r="O1993" t="str">
            <v>EQUIPO DE OFICINA</v>
          </cell>
          <cell r="P1993">
            <v>36000</v>
          </cell>
          <cell r="T1993" t="str">
            <v>Bueno</v>
          </cell>
          <cell r="U1993" t="str">
            <v>Nortel Network</v>
          </cell>
        </row>
        <row r="1994">
          <cell r="J1994" t="str">
            <v>42-04-07-00-1986</v>
          </cell>
          <cell r="K1994" t="str">
            <v>42-215</v>
          </cell>
          <cell r="L1994" t="str">
            <v>42-04-07-00-1986</v>
          </cell>
          <cell r="M1994" t="str">
            <v>Caja para guardar llaves color barniz natural de 100x54 cms.</v>
          </cell>
          <cell r="O1994" t="str">
            <v>OTROS</v>
          </cell>
          <cell r="P1994">
            <v>5000</v>
          </cell>
          <cell r="T1994" t="str">
            <v>Bueno</v>
          </cell>
          <cell r="U1994" t="str">
            <v>N/T</v>
          </cell>
        </row>
        <row r="1995">
          <cell r="J1995" t="str">
            <v>42-04-01-00-1987</v>
          </cell>
          <cell r="K1995" t="str">
            <v>42-2077</v>
          </cell>
          <cell r="L1995" t="str">
            <v>42-04-01-00-1987</v>
          </cell>
          <cell r="M1995" t="str">
            <v>Mesón en metal y madera de 86x72x87 cms. con 3 cajones.</v>
          </cell>
          <cell r="O1995" t="str">
            <v>MESAS</v>
          </cell>
          <cell r="P1995">
            <v>18000</v>
          </cell>
          <cell r="T1995" t="str">
            <v>Bueno</v>
          </cell>
          <cell r="U1995" t="str">
            <v>N/T</v>
          </cell>
        </row>
        <row r="1996">
          <cell r="J1996" t="str">
            <v>42-04-01-00-1988</v>
          </cell>
          <cell r="K1996" t="str">
            <v>42-2078</v>
          </cell>
          <cell r="L1996" t="str">
            <v>42-04-01-00-1988</v>
          </cell>
          <cell r="M1996" t="str">
            <v>Mesón metálico con cubierta de melamina de 127x70x81 cms.</v>
          </cell>
          <cell r="O1996" t="str">
            <v>MESAS</v>
          </cell>
          <cell r="P1996">
            <v>12000</v>
          </cell>
          <cell r="T1996" t="str">
            <v>Bueno</v>
          </cell>
          <cell r="U1996" t="str">
            <v>N/T</v>
          </cell>
        </row>
        <row r="1997">
          <cell r="J1997" t="str">
            <v>42-05-01-01-1989</v>
          </cell>
          <cell r="K1997" t="str">
            <v>42-2100</v>
          </cell>
          <cell r="L1997" t="str">
            <v>42-05-01-01-1989</v>
          </cell>
          <cell r="M1997" t="str">
            <v>Pizarra blanca con borde aluminio 150x100 cms.</v>
          </cell>
          <cell r="O1997" t="str">
            <v>EQUIPO DE OFICINA</v>
          </cell>
          <cell r="P1997">
            <v>25000</v>
          </cell>
          <cell r="T1997" t="str">
            <v>Bueno</v>
          </cell>
          <cell r="U1997" t="str">
            <v>N/T</v>
          </cell>
        </row>
        <row r="1998">
          <cell r="J1998" t="str">
            <v>42-04-06-00-1990</v>
          </cell>
          <cell r="K1998" t="str">
            <v>42-2122</v>
          </cell>
          <cell r="L1998" t="str">
            <v>42-04-06-00-1990</v>
          </cell>
          <cell r="M1998" t="str">
            <v>Repisa c/soporte metálico melamina blanca</v>
          </cell>
          <cell r="O1998" t="str">
            <v>REPISA</v>
          </cell>
          <cell r="P1998">
            <v>5000</v>
          </cell>
          <cell r="T1998" t="str">
            <v>Bueno</v>
          </cell>
          <cell r="U1998" t="str">
            <v>N/T</v>
          </cell>
        </row>
        <row r="1999">
          <cell r="J1999" t="str">
            <v>42-04-06-00-1991</v>
          </cell>
          <cell r="K1999" t="str">
            <v>42-2081</v>
          </cell>
          <cell r="L1999" t="str">
            <v>42-04-06-00-1991</v>
          </cell>
          <cell r="M1999" t="str">
            <v>Repisa de melamina blanca con 2 soportes metálicos 51x36 cms.</v>
          </cell>
          <cell r="O1999" t="str">
            <v>REPISA</v>
          </cell>
          <cell r="P1999">
            <v>3000</v>
          </cell>
          <cell r="T1999" t="str">
            <v>Bueno</v>
          </cell>
          <cell r="U1999" t="str">
            <v>N/T</v>
          </cell>
        </row>
        <row r="2000">
          <cell r="J2000" t="str">
            <v>42-04-06-00-1992</v>
          </cell>
          <cell r="K2000" t="str">
            <v>42-2099</v>
          </cell>
          <cell r="L2000" t="str">
            <v>42-04-06-00-1992</v>
          </cell>
          <cell r="M2000" t="str">
            <v>Repisa madera enchapada c/ 2 soportes metálicos 128x28 cms.</v>
          </cell>
          <cell r="O2000" t="str">
            <v>REPISA</v>
          </cell>
          <cell r="P2000">
            <v>5000</v>
          </cell>
          <cell r="T2000" t="str">
            <v>Bueno</v>
          </cell>
          <cell r="U2000" t="str">
            <v>N/T</v>
          </cell>
        </row>
        <row r="2001">
          <cell r="J2001" t="str">
            <v>42-04-02-00-1993</v>
          </cell>
          <cell r="K2001" t="str">
            <v>42-1996</v>
          </cell>
          <cell r="L2001" t="str">
            <v>42-04-02-00-1993</v>
          </cell>
          <cell r="M2001" t="str">
            <v>Silla Ergonometrica color azul, 5 ruedas ( MEL )</v>
          </cell>
          <cell r="O2001" t="str">
            <v>SILLAS</v>
          </cell>
          <cell r="P2001">
            <v>54000</v>
          </cell>
          <cell r="T2001" t="str">
            <v>Bueno</v>
          </cell>
          <cell r="U2001" t="str">
            <v>N/T</v>
          </cell>
        </row>
        <row r="2002">
          <cell r="J2002" t="str">
            <v>42-04-07-00-1994</v>
          </cell>
          <cell r="K2002" t="str">
            <v>42-2123</v>
          </cell>
          <cell r="L2002" t="str">
            <v>42-04-07-00-1994</v>
          </cell>
          <cell r="M2002" t="str">
            <v>Dispensador jabón marca Pisa</v>
          </cell>
          <cell r="O2002" t="str">
            <v>OTROS</v>
          </cell>
          <cell r="P2002">
            <v>17000</v>
          </cell>
          <cell r="T2002" t="str">
            <v>Bueno</v>
          </cell>
          <cell r="U2002" t="str">
            <v>N/T</v>
          </cell>
        </row>
        <row r="2003">
          <cell r="J2003" t="str">
            <v>42-05-02-06-1995</v>
          </cell>
          <cell r="K2003" t="str">
            <v>Nº invent</v>
          </cell>
          <cell r="L2003" t="str">
            <v>42-05-02-06-1995</v>
          </cell>
          <cell r="M2003" t="str">
            <v>Maquina cortadora de pasto c/motor marca Yard Machines 5,0 Hp 22 "</v>
          </cell>
          <cell r="N2003">
            <v>1</v>
          </cell>
          <cell r="O2003" t="str">
            <v>HERRAMIENTAS</v>
          </cell>
          <cell r="P2003">
            <v>180000</v>
          </cell>
          <cell r="T2003" t="str">
            <v>mala</v>
          </cell>
          <cell r="U2003" t="str">
            <v>Yard</v>
          </cell>
        </row>
        <row r="2004">
          <cell r="J2004" t="str">
            <v>42-04-01-00-1996</v>
          </cell>
          <cell r="K2004" t="str">
            <v>42-2979</v>
          </cell>
          <cell r="L2004" t="str">
            <v>42-04-01-00-1996</v>
          </cell>
          <cell r="M2004" t="str">
            <v>Mesa/Bandeja acceso lateral, ac./ inox. con pedestal metálico 4 ruedas</v>
          </cell>
          <cell r="O2004" t="str">
            <v>MESAS</v>
          </cell>
          <cell r="P2004">
            <v>20000</v>
          </cell>
          <cell r="T2004" t="str">
            <v>Bueno</v>
          </cell>
          <cell r="U2004" t="str">
            <v>N/T</v>
          </cell>
        </row>
        <row r="2005">
          <cell r="J2005" t="str">
            <v>42-06-01-00-1997</v>
          </cell>
          <cell r="K2005" t="str">
            <v>42-1404</v>
          </cell>
          <cell r="L2005" t="str">
            <v>42-06-01-00-1997</v>
          </cell>
          <cell r="M2005" t="str">
            <v>CPU marca AST</v>
          </cell>
          <cell r="O2005" t="str">
            <v>EQUIPOS COMPUTACIONALES Y PERIFÉRICOS</v>
          </cell>
          <cell r="P2005">
            <v>25000</v>
          </cell>
          <cell r="T2005" t="str">
            <v>Malo</v>
          </cell>
          <cell r="U2005" t="str">
            <v>M</v>
          </cell>
        </row>
        <row r="2006">
          <cell r="J2006" t="str">
            <v>42-06-01-00-1998</v>
          </cell>
          <cell r="K2006" t="str">
            <v>42-1450</v>
          </cell>
          <cell r="L2006" t="str">
            <v>42-06-01-00-1998</v>
          </cell>
          <cell r="M2006" t="str">
            <v>CPU Tat Hamade</v>
          </cell>
          <cell r="O2006" t="str">
            <v>EQUIPOS COMPUTACIONALES Y PERIFÉRICOS</v>
          </cell>
          <cell r="P2006">
            <v>25000</v>
          </cell>
          <cell r="T2006" t="str">
            <v>Malo</v>
          </cell>
          <cell r="U2006" t="str">
            <v>Tat Hamade</v>
          </cell>
        </row>
        <row r="2007">
          <cell r="J2007" t="str">
            <v>42-05-01-01-1999</v>
          </cell>
          <cell r="K2007" t="str">
            <v>42-388</v>
          </cell>
          <cell r="L2007" t="str">
            <v>42-05-01-01-1999</v>
          </cell>
          <cell r="M2007" t="str">
            <v>Autoclave Pelton &amp; Crane omni clave Mod. OCR</v>
          </cell>
          <cell r="N2007">
            <v>1</v>
          </cell>
          <cell r="O2007" t="str">
            <v>EQUIPO DE OFICINA</v>
          </cell>
          <cell r="P2007">
            <v>5000</v>
          </cell>
          <cell r="T2007" t="str">
            <v>Malo</v>
          </cell>
          <cell r="U2007" t="str">
            <v>Pelton&amp;Crane</v>
          </cell>
        </row>
        <row r="2008">
          <cell r="J2008" t="str">
            <v>42-05-02-01-2000</v>
          </cell>
          <cell r="K2008" t="str">
            <v>42-380</v>
          </cell>
          <cell r="L2008" t="str">
            <v>42-05-02-01-2000</v>
          </cell>
          <cell r="M2008" t="str">
            <v>Pedestal dental marca Cila Nª 0736</v>
          </cell>
          <cell r="N2008">
            <v>1</v>
          </cell>
          <cell r="O2008" t="str">
            <v>EQUIPOS CLINICOS</v>
          </cell>
          <cell r="P2008">
            <v>15000</v>
          </cell>
          <cell r="T2008" t="str">
            <v>Malo</v>
          </cell>
          <cell r="U2008" t="str">
            <v>Cila</v>
          </cell>
        </row>
        <row r="2009">
          <cell r="J2009" t="str">
            <v>42-05-02-01-2001</v>
          </cell>
          <cell r="K2009" t="str">
            <v>42-389</v>
          </cell>
          <cell r="L2009" t="str">
            <v>42-05-02-01-2001</v>
          </cell>
          <cell r="M2009" t="str">
            <v>Pedestal dental marca Cila Nª 0661</v>
          </cell>
          <cell r="N2009">
            <v>1</v>
          </cell>
          <cell r="O2009" t="str">
            <v>EQUIPOS CLINICOS</v>
          </cell>
          <cell r="P2009">
            <v>15000</v>
          </cell>
          <cell r="T2009" t="str">
            <v>Malo</v>
          </cell>
          <cell r="U2009" t="str">
            <v>Cila</v>
          </cell>
        </row>
        <row r="2010">
          <cell r="J2010" t="str">
            <v>42-05-02-01-2002</v>
          </cell>
          <cell r="K2010" t="str">
            <v>42-80</v>
          </cell>
          <cell r="L2010" t="str">
            <v>42-05-02-01-2002</v>
          </cell>
          <cell r="M2010" t="str">
            <v>Master medic. Onda corta Mod. MM - 1000</v>
          </cell>
          <cell r="N2010">
            <v>1</v>
          </cell>
          <cell r="O2010" t="str">
            <v>EQUIPOS CLINICOS</v>
          </cell>
          <cell r="P2010">
            <v>6000</v>
          </cell>
          <cell r="T2010" t="str">
            <v>Malo</v>
          </cell>
          <cell r="U2010" t="str">
            <v>Onda</v>
          </cell>
        </row>
        <row r="2011">
          <cell r="J2011" t="str">
            <v>42-04-02-00-2003</v>
          </cell>
          <cell r="K2011" t="str">
            <v>42-67</v>
          </cell>
          <cell r="L2011" t="str">
            <v>42-04-02-00-2003</v>
          </cell>
          <cell r="M2011" t="str">
            <v>Silla metálica / madera esponja</v>
          </cell>
          <cell r="O2011" t="str">
            <v>SILLAS</v>
          </cell>
          <cell r="P2011">
            <v>3000</v>
          </cell>
          <cell r="T2011" t="str">
            <v>Malo</v>
          </cell>
          <cell r="U2011" t="str">
            <v>N/T</v>
          </cell>
        </row>
        <row r="2012">
          <cell r="J2012" t="str">
            <v>42-04-02-00-2004</v>
          </cell>
          <cell r="K2012" t="str">
            <v>42-1388</v>
          </cell>
          <cell r="L2012" t="str">
            <v>42-04-02-00-2004</v>
          </cell>
          <cell r="M2012" t="str">
            <v>Silla de ruedas marca Simac</v>
          </cell>
          <cell r="O2012" t="str">
            <v>SILLAS</v>
          </cell>
          <cell r="P2012">
            <v>5000</v>
          </cell>
          <cell r="T2012" t="str">
            <v>Malo</v>
          </cell>
          <cell r="U2012" t="str">
            <v>Simac</v>
          </cell>
        </row>
        <row r="2013">
          <cell r="J2013" t="str">
            <v>42-04-02-00-2005</v>
          </cell>
          <cell r="K2013" t="str">
            <v>42-1317</v>
          </cell>
          <cell r="L2013" t="str">
            <v>42-04-02-00-2005</v>
          </cell>
          <cell r="M2013" t="str">
            <v>Parte de silla con respaldo</v>
          </cell>
          <cell r="O2013" t="str">
            <v>SILLAS</v>
          </cell>
          <cell r="P2013">
            <v>5000</v>
          </cell>
          <cell r="T2013" t="str">
            <v>Malo</v>
          </cell>
          <cell r="U2013" t="str">
            <v>N/T</v>
          </cell>
        </row>
        <row r="2014">
          <cell r="J2014" t="str">
            <v>42-05-01-01-2006</v>
          </cell>
          <cell r="K2014" t="str">
            <v>42-700C</v>
          </cell>
          <cell r="L2014" t="str">
            <v>42-05-01-01-2006</v>
          </cell>
          <cell r="M2014" t="str">
            <v>Estufa eléctrica a cuarzo Somela</v>
          </cell>
          <cell r="O2014" t="str">
            <v>EQUIPO DE OFICINA</v>
          </cell>
          <cell r="P2014">
            <v>1000</v>
          </cell>
          <cell r="T2014" t="str">
            <v>Malo</v>
          </cell>
          <cell r="U2014" t="str">
            <v>Somela</v>
          </cell>
        </row>
        <row r="2015">
          <cell r="J2015" t="str">
            <v>42-05-02-06-2007</v>
          </cell>
          <cell r="K2015" t="str">
            <v>42-3530</v>
          </cell>
          <cell r="L2015" t="str">
            <v>42-05-02-06-2007</v>
          </cell>
          <cell r="M2015" t="str">
            <v>Abrillantadora T/W 17"  BF 522  para lustrar pisos</v>
          </cell>
          <cell r="N2015">
            <v>1</v>
          </cell>
          <cell r="O2015" t="str">
            <v>HERRAMIENTAS</v>
          </cell>
          <cell r="P2015">
            <v>284410</v>
          </cell>
          <cell r="T2015" t="str">
            <v>Buena</v>
          </cell>
          <cell r="U2015" t="str">
            <v xml:space="preserve">Luster </v>
          </cell>
        </row>
        <row r="2016">
          <cell r="J2016" t="str">
            <v>42-05-01-02-2008</v>
          </cell>
          <cell r="K2016" t="str">
            <v>42-1821</v>
          </cell>
          <cell r="L2016" t="str">
            <v>42-05-01-02-2008</v>
          </cell>
          <cell r="M2016" t="str">
            <v>A Orillas del Río Piedra me senté y lloré, Paulo Coelho.</v>
          </cell>
          <cell r="O2016" t="str">
            <v>LITERATURA</v>
          </cell>
          <cell r="P2016">
            <v>10000</v>
          </cell>
          <cell r="T2016" t="str">
            <v>Bueno</v>
          </cell>
          <cell r="U2016" t="str">
            <v>N/T</v>
          </cell>
        </row>
        <row r="2017">
          <cell r="J2017" t="str">
            <v>42-05-01-02-2009</v>
          </cell>
          <cell r="K2017" t="str">
            <v>42-1825</v>
          </cell>
          <cell r="L2017" t="str">
            <v>42-05-01-02-2009</v>
          </cell>
          <cell r="M2017" t="str">
            <v>Cita en el Azul Profundo, Roberto Ampuero.</v>
          </cell>
          <cell r="O2017" t="str">
            <v>LITERATURA</v>
          </cell>
          <cell r="P2017">
            <v>5000</v>
          </cell>
          <cell r="T2017" t="str">
            <v>Bueno</v>
          </cell>
          <cell r="U2017" t="str">
            <v>N/T</v>
          </cell>
        </row>
        <row r="2018">
          <cell r="J2018" t="str">
            <v>42-05-01-02-2010</v>
          </cell>
          <cell r="K2018" t="str">
            <v>42-1827</v>
          </cell>
          <cell r="L2018" t="str">
            <v>42-05-01-02-2010</v>
          </cell>
          <cell r="M2018" t="str">
            <v>Difícil envoltorio, Mónica Echeverría.</v>
          </cell>
          <cell r="O2018" t="str">
            <v>LITERATURA</v>
          </cell>
          <cell r="P2018">
            <v>5800</v>
          </cell>
          <cell r="T2018" t="str">
            <v>Bueno</v>
          </cell>
          <cell r="U2018" t="str">
            <v>N/T</v>
          </cell>
        </row>
        <row r="2019">
          <cell r="J2019" t="str">
            <v>42-05-01-02-2011</v>
          </cell>
          <cell r="K2019" t="str">
            <v>42-1828</v>
          </cell>
          <cell r="L2019" t="str">
            <v>42-05-01-02-2011</v>
          </cell>
          <cell r="M2019" t="str">
            <v>Mil Soles, Dominique Lampierre.</v>
          </cell>
          <cell r="O2019" t="str">
            <v>LITERATURA</v>
          </cell>
          <cell r="P2019">
            <v>8600</v>
          </cell>
          <cell r="T2019" t="str">
            <v>Bueno</v>
          </cell>
          <cell r="U2019" t="str">
            <v>N/T</v>
          </cell>
        </row>
        <row r="2020">
          <cell r="J2020" t="str">
            <v>42-05-01-02-2012</v>
          </cell>
          <cell r="K2020" t="str">
            <v>42-1831</v>
          </cell>
          <cell r="L2020" t="str">
            <v>42-05-01-02-2012</v>
          </cell>
          <cell r="M2020" t="str">
            <v>El Jinete Polaco, Antonio Nuñez Molina.</v>
          </cell>
          <cell r="O2020" t="str">
            <v>LITERATURA</v>
          </cell>
          <cell r="P2020">
            <v>6400</v>
          </cell>
          <cell r="T2020" t="str">
            <v>Bueno</v>
          </cell>
          <cell r="U2020" t="str">
            <v>N/T</v>
          </cell>
        </row>
        <row r="2021">
          <cell r="J2021" t="str">
            <v>42-05-01-02-2013</v>
          </cell>
          <cell r="K2021" t="str">
            <v>42-1834</v>
          </cell>
          <cell r="L2021" t="str">
            <v>42-05-01-02-2013</v>
          </cell>
          <cell r="M2021" t="str">
            <v>Póstuma, Lina Meruame.</v>
          </cell>
          <cell r="O2021" t="str">
            <v>LITERATURA</v>
          </cell>
          <cell r="P2021">
            <v>5300</v>
          </cell>
          <cell r="T2021" t="str">
            <v>Bueno</v>
          </cell>
          <cell r="U2021" t="str">
            <v>N/T</v>
          </cell>
        </row>
        <row r="2022">
          <cell r="J2022" t="str">
            <v>42-05-01-02-2014</v>
          </cell>
          <cell r="K2022" t="str">
            <v>42-1836</v>
          </cell>
          <cell r="L2022" t="str">
            <v>42-05-01-02-2014</v>
          </cell>
          <cell r="M2022" t="str">
            <v>Los Ojos del Tuareg, Alberto Vásquez Figueroa.</v>
          </cell>
          <cell r="O2022" t="str">
            <v>LITERATURA</v>
          </cell>
          <cell r="P2022">
            <v>5700</v>
          </cell>
          <cell r="T2022" t="str">
            <v>Bueno</v>
          </cell>
          <cell r="U2022" t="str">
            <v>N/T</v>
          </cell>
        </row>
        <row r="2023">
          <cell r="J2023" t="str">
            <v>42-05-01-02-2015</v>
          </cell>
          <cell r="K2023" t="str">
            <v>42-1837</v>
          </cell>
          <cell r="L2023" t="str">
            <v>42-05-01-02-2015</v>
          </cell>
          <cell r="M2023" t="str">
            <v>Intensidad, Dean Koontz.</v>
          </cell>
          <cell r="O2023" t="str">
            <v>LITERATURA</v>
          </cell>
          <cell r="P2023">
            <v>3200</v>
          </cell>
          <cell r="T2023" t="str">
            <v>Bueno</v>
          </cell>
          <cell r="U2023" t="str">
            <v>N/T</v>
          </cell>
        </row>
        <row r="2024">
          <cell r="J2024" t="str">
            <v>42-05-01-02-2016</v>
          </cell>
          <cell r="K2024" t="str">
            <v>42-1838</v>
          </cell>
          <cell r="L2024" t="str">
            <v>42-05-01-02-2016</v>
          </cell>
          <cell r="M2024" t="str">
            <v>Terapia Mortal, Michael Palmer.</v>
          </cell>
          <cell r="O2024" t="str">
            <v>LITERATURA</v>
          </cell>
          <cell r="P2024">
            <v>4300</v>
          </cell>
          <cell r="T2024" t="str">
            <v>Bueno</v>
          </cell>
          <cell r="U2024" t="str">
            <v>N/T</v>
          </cell>
        </row>
        <row r="2025">
          <cell r="J2025" t="str">
            <v>42-05-01-02-2017</v>
          </cell>
          <cell r="K2025" t="str">
            <v>42-1842</v>
          </cell>
          <cell r="L2025" t="str">
            <v>42-05-01-02-2017</v>
          </cell>
          <cell r="M2025" t="str">
            <v xml:space="preserve">Mister X, Peter Straub </v>
          </cell>
          <cell r="O2025" t="str">
            <v>LITERATURA</v>
          </cell>
          <cell r="P2025">
            <v>5500</v>
          </cell>
          <cell r="T2025" t="str">
            <v>Bueno</v>
          </cell>
          <cell r="U2025" t="str">
            <v>N/T</v>
          </cell>
        </row>
        <row r="2026">
          <cell r="J2026" t="str">
            <v>42-05-01-02-2018</v>
          </cell>
          <cell r="K2026" t="str">
            <v>42-1844</v>
          </cell>
          <cell r="L2026" t="str">
            <v>42-05-01-02-2018</v>
          </cell>
          <cell r="M2026" t="str">
            <v>La Estrella robada, Mary Higgins Clark.</v>
          </cell>
          <cell r="O2026" t="str">
            <v>LITERATURA</v>
          </cell>
          <cell r="P2026">
            <v>5400</v>
          </cell>
          <cell r="T2026" t="str">
            <v>Bueno</v>
          </cell>
          <cell r="U2026" t="str">
            <v>N/T</v>
          </cell>
        </row>
        <row r="2027">
          <cell r="J2027" t="str">
            <v>42-05-01-02-2019</v>
          </cell>
          <cell r="K2027" t="str">
            <v>42-1845</v>
          </cell>
          <cell r="L2027" t="str">
            <v>42-05-01-02-2019</v>
          </cell>
          <cell r="M2027" t="str">
            <v>Dulces Guerreros Cubanos, Nolberto Fuentes.</v>
          </cell>
          <cell r="O2027" t="str">
            <v>LITERATURA</v>
          </cell>
          <cell r="P2027">
            <v>6400</v>
          </cell>
          <cell r="T2027" t="str">
            <v>Bueno</v>
          </cell>
          <cell r="U2027" t="str">
            <v>N/T</v>
          </cell>
        </row>
        <row r="2028">
          <cell r="J2028" t="str">
            <v>42-05-01-02-2020</v>
          </cell>
          <cell r="K2028" t="str">
            <v>42-1846</v>
          </cell>
          <cell r="L2028" t="str">
            <v>42-05-01-02-2020</v>
          </cell>
          <cell r="M2028" t="str">
            <v>Un Asesino en Internet, Phillip Finch.</v>
          </cell>
          <cell r="O2028" t="str">
            <v>LITERATURA</v>
          </cell>
          <cell r="P2028">
            <v>6300</v>
          </cell>
          <cell r="T2028" t="str">
            <v>Bueno</v>
          </cell>
          <cell r="U2028" t="str">
            <v>N/T</v>
          </cell>
        </row>
        <row r="2029">
          <cell r="J2029" t="str">
            <v>42-05-01-02-2021</v>
          </cell>
          <cell r="K2029" t="str">
            <v>42-1846 B</v>
          </cell>
          <cell r="L2029" t="str">
            <v>42-05-01-02-2021</v>
          </cell>
          <cell r="M2029" t="str">
            <v>Un Asesino en Internet, Phillip Finch.</v>
          </cell>
          <cell r="O2029" t="str">
            <v>LITERATURA</v>
          </cell>
          <cell r="P2029">
            <v>6200</v>
          </cell>
          <cell r="T2029" t="str">
            <v>Bueno</v>
          </cell>
          <cell r="U2029" t="str">
            <v>N/T</v>
          </cell>
        </row>
        <row r="2030">
          <cell r="J2030" t="str">
            <v>42-05-01-02-2022</v>
          </cell>
          <cell r="K2030" t="str">
            <v>42-1847</v>
          </cell>
          <cell r="L2030" t="str">
            <v>42-05-01-02-2022</v>
          </cell>
          <cell r="M2030" t="str">
            <v>Presuntamente Inocente, Scott Turow.</v>
          </cell>
          <cell r="O2030" t="str">
            <v>LITERATURA</v>
          </cell>
          <cell r="P2030">
            <v>6200</v>
          </cell>
          <cell r="T2030" t="str">
            <v>Bueno</v>
          </cell>
          <cell r="U2030" t="str">
            <v>N/T</v>
          </cell>
        </row>
        <row r="2031">
          <cell r="J2031" t="str">
            <v>42-05-01-02-2023</v>
          </cell>
          <cell r="K2031" t="str">
            <v>42-2654</v>
          </cell>
          <cell r="L2031" t="str">
            <v>42-05-01-02-2023</v>
          </cell>
          <cell r="M2031" t="str">
            <v>Antología, Pablo Neruda</v>
          </cell>
          <cell r="O2031" t="str">
            <v>LITERATURA</v>
          </cell>
          <cell r="P2031">
            <v>6800</v>
          </cell>
          <cell r="T2031" t="str">
            <v>Bueno</v>
          </cell>
          <cell r="U2031" t="str">
            <v>N/T</v>
          </cell>
        </row>
        <row r="2032">
          <cell r="J2032" t="str">
            <v>42-05-01-02-2024</v>
          </cell>
          <cell r="K2032" t="str">
            <v>42-2655</v>
          </cell>
          <cell r="L2032" t="str">
            <v>42-05-01-02-2024</v>
          </cell>
          <cell r="M2032" t="str">
            <v>Un Yanqui en la corte del Rey Arturo, Mark Twain</v>
          </cell>
          <cell r="O2032" t="str">
            <v>LITERATURA</v>
          </cell>
          <cell r="P2032">
            <v>7300</v>
          </cell>
          <cell r="T2032" t="str">
            <v>Bueno</v>
          </cell>
          <cell r="U2032" t="str">
            <v>N/T</v>
          </cell>
        </row>
        <row r="2033">
          <cell r="J2033" t="str">
            <v>42-05-01-02-2025</v>
          </cell>
          <cell r="K2033" t="str">
            <v>42-2657</v>
          </cell>
          <cell r="L2033" t="str">
            <v>42-05-01-02-2025</v>
          </cell>
          <cell r="M2033" t="str">
            <v>Hamlet y el mercader de Venecia, Shakespeare</v>
          </cell>
          <cell r="O2033" t="str">
            <v>LITERATURA</v>
          </cell>
          <cell r="P2033">
            <v>6500</v>
          </cell>
          <cell r="T2033" t="str">
            <v>Bueno</v>
          </cell>
          <cell r="U2033" t="str">
            <v>N/T</v>
          </cell>
        </row>
        <row r="2034">
          <cell r="J2034" t="str">
            <v>42-05-01-02-2026</v>
          </cell>
          <cell r="K2034" t="str">
            <v>42-2658</v>
          </cell>
          <cell r="L2034" t="str">
            <v>42-05-01-02-2026</v>
          </cell>
          <cell r="M2034" t="str">
            <v>La Regenta, Leopoldo Alas</v>
          </cell>
          <cell r="O2034" t="str">
            <v>LITERATURA</v>
          </cell>
          <cell r="P2034">
            <v>6500</v>
          </cell>
          <cell r="T2034" t="str">
            <v>Bueno</v>
          </cell>
          <cell r="U2034" t="str">
            <v>N/T</v>
          </cell>
        </row>
        <row r="2035">
          <cell r="J2035" t="str">
            <v>42-05-01-02-2027</v>
          </cell>
          <cell r="K2035" t="str">
            <v>42-2659</v>
          </cell>
          <cell r="L2035" t="str">
            <v>42-05-01-02-2027</v>
          </cell>
          <cell r="M2035" t="str">
            <v>Claudia y David, Rose Franken</v>
          </cell>
          <cell r="O2035" t="str">
            <v>LITERATURA</v>
          </cell>
          <cell r="P2035">
            <v>7500</v>
          </cell>
          <cell r="T2035" t="str">
            <v>Bueno</v>
          </cell>
          <cell r="U2035" t="str">
            <v>N/T</v>
          </cell>
        </row>
        <row r="2036">
          <cell r="J2036" t="str">
            <v>42-05-01-02-2028</v>
          </cell>
          <cell r="K2036" t="str">
            <v>42-3263</v>
          </cell>
          <cell r="L2036" t="str">
            <v>42-05-01-02-2028</v>
          </cell>
          <cell r="M2036" t="str">
            <v>Los hermanos Karamazov, Fedor Dostoyevski</v>
          </cell>
          <cell r="O2036" t="str">
            <v>LITERATURA</v>
          </cell>
          <cell r="P2036">
            <v>8900</v>
          </cell>
          <cell r="T2036" t="str">
            <v>Bueno</v>
          </cell>
          <cell r="U2036" t="str">
            <v>N/T</v>
          </cell>
        </row>
        <row r="2037">
          <cell r="J2037" t="str">
            <v>42-05-01-01-2029</v>
          </cell>
          <cell r="K2037" t="str">
            <v>42-2016</v>
          </cell>
          <cell r="L2037" t="str">
            <v>42-05-01-01-2029</v>
          </cell>
          <cell r="M2037" t="str">
            <v>Extractor de aire marca Decor 300</v>
          </cell>
          <cell r="O2037" t="str">
            <v>EQUIPO DE OFICINA</v>
          </cell>
          <cell r="P2037">
            <v>25000</v>
          </cell>
          <cell r="T2037" t="str">
            <v>Buena</v>
          </cell>
          <cell r="U2037" t="str">
            <v>Decor</v>
          </cell>
        </row>
        <row r="2038">
          <cell r="J2038" t="str">
            <v>42-05-01-01-2030</v>
          </cell>
          <cell r="K2038" t="str">
            <v>42-3205</v>
          </cell>
          <cell r="L2038" t="str">
            <v>42-05-01-01-2030</v>
          </cell>
          <cell r="M2038" t="str">
            <v>Horno microondas Samsung Mod. M1736N S/Nº 7MAP202538B</v>
          </cell>
          <cell r="O2038" t="str">
            <v>EQUIPO DE OFICINA</v>
          </cell>
          <cell r="P2038">
            <v>44018</v>
          </cell>
          <cell r="T2038" t="str">
            <v>Buena</v>
          </cell>
          <cell r="U2038" t="str">
            <v>Samsung</v>
          </cell>
        </row>
        <row r="2039">
          <cell r="J2039" t="str">
            <v>42-04-07-00-2031</v>
          </cell>
          <cell r="K2039" t="str">
            <v>42-3210</v>
          </cell>
          <cell r="L2039" t="str">
            <v>42-04-07-00-2031</v>
          </cell>
          <cell r="M2039" t="str">
            <v>Meson metálico con cubierta postformado</v>
          </cell>
          <cell r="O2039" t="str">
            <v>OTROS</v>
          </cell>
          <cell r="P2039">
            <v>115771</v>
          </cell>
          <cell r="T2039" t="str">
            <v>Buena</v>
          </cell>
          <cell r="U2039" t="str">
            <v>N/T</v>
          </cell>
        </row>
        <row r="2040">
          <cell r="J2040" t="str">
            <v>42-04-04-00-2032</v>
          </cell>
          <cell r="K2040" t="str">
            <v>42-2846</v>
          </cell>
          <cell r="L2040" t="str">
            <v>42-04-04-00-2032</v>
          </cell>
          <cell r="M2040" t="str">
            <v>Mueble melamina blanco con 4 puertas cubierta postformado 1 lavaplatos marca Cemco acero inox. con 1 fuentón, 1 secador, 1 llave combinación</v>
          </cell>
          <cell r="O2040" t="str">
            <v>MUEBLES DE COCINA</v>
          </cell>
          <cell r="P2040">
            <v>96511</v>
          </cell>
          <cell r="T2040" t="str">
            <v>Buena</v>
          </cell>
          <cell r="U2040" t="str">
            <v>N/T</v>
          </cell>
        </row>
        <row r="2041">
          <cell r="J2041" t="str">
            <v>42-04-07-00-2033</v>
          </cell>
          <cell r="K2041" t="str">
            <v>42-3207</v>
          </cell>
          <cell r="L2041" t="str">
            <v>42-04-07-00-2033</v>
          </cell>
          <cell r="M2041" t="str">
            <v>Taburete metálico asiento tevinil color negro</v>
          </cell>
          <cell r="O2041" t="str">
            <v>OTROS</v>
          </cell>
          <cell r="P2041">
            <v>86522</v>
          </cell>
          <cell r="T2041" t="str">
            <v>Buena</v>
          </cell>
          <cell r="U2041" t="str">
            <v>Tevinil</v>
          </cell>
        </row>
        <row r="2042">
          <cell r="J2042" t="str">
            <v>42-04-07-00-2034</v>
          </cell>
          <cell r="K2042" t="str">
            <v>42-3208</v>
          </cell>
          <cell r="L2042" t="str">
            <v>42-04-07-00-2034</v>
          </cell>
          <cell r="M2042" t="str">
            <v>Taburete metálico asiento tevinil color negro</v>
          </cell>
          <cell r="O2042" t="str">
            <v>OTROS</v>
          </cell>
          <cell r="P2042">
            <v>86522</v>
          </cell>
          <cell r="T2042" t="str">
            <v>Buena</v>
          </cell>
          <cell r="U2042" t="str">
            <v>Tevinil</v>
          </cell>
        </row>
        <row r="2043">
          <cell r="J2043" t="str">
            <v>42-04-07-00-2035</v>
          </cell>
          <cell r="K2043" t="str">
            <v>42-3209</v>
          </cell>
          <cell r="L2043" t="str">
            <v>42-04-07-00-2035</v>
          </cell>
          <cell r="M2043" t="str">
            <v>Taburete metálico asiento tevinil color negro</v>
          </cell>
          <cell r="O2043" t="str">
            <v>OTROS</v>
          </cell>
          <cell r="P2043">
            <v>86522</v>
          </cell>
          <cell r="T2043" t="str">
            <v>Buena</v>
          </cell>
          <cell r="U2043" t="str">
            <v>Tevinil</v>
          </cell>
        </row>
        <row r="2044">
          <cell r="J2044" t="str">
            <v>42-05-02-07-2036</v>
          </cell>
          <cell r="K2044" t="str">
            <v>42-1245</v>
          </cell>
          <cell r="L2044" t="str">
            <v>42-05-02-07-2036</v>
          </cell>
          <cell r="M2044" t="str">
            <v>Guitarra Tizona Nº 15852</v>
          </cell>
          <cell r="O2044" t="str">
            <v>EQUIPOS DE AUDIO</v>
          </cell>
          <cell r="P2044">
            <v>68000</v>
          </cell>
          <cell r="T2044" t="str">
            <v>Bueno</v>
          </cell>
          <cell r="U2044" t="str">
            <v>Tizona</v>
          </cell>
        </row>
        <row r="2045">
          <cell r="J2045" t="str">
            <v>42-05-02-07-2037</v>
          </cell>
          <cell r="K2045" t="str">
            <v>42-1246</v>
          </cell>
          <cell r="L2045" t="str">
            <v>42-05-02-07-2037</v>
          </cell>
          <cell r="M2045" t="str">
            <v>Guitarra Tizona Nº 15181</v>
          </cell>
          <cell r="O2045" t="str">
            <v>EQUIPOS DE AUDIO</v>
          </cell>
          <cell r="P2045">
            <v>68000</v>
          </cell>
          <cell r="T2045" t="str">
            <v>Bueno</v>
          </cell>
          <cell r="U2045" t="str">
            <v>Tizona</v>
          </cell>
        </row>
        <row r="2046">
          <cell r="J2046" t="str">
            <v>42-05-02-07-2038</v>
          </cell>
          <cell r="K2046" t="str">
            <v>42-1247</v>
          </cell>
          <cell r="L2046" t="str">
            <v>42-05-02-07-2038</v>
          </cell>
          <cell r="M2046" t="str">
            <v>Guitarra Tizona Nº 203664</v>
          </cell>
          <cell r="O2046" t="str">
            <v>EQUIPOS DE AUDIO</v>
          </cell>
          <cell r="P2046">
            <v>68000</v>
          </cell>
          <cell r="T2046" t="str">
            <v>Bueno</v>
          </cell>
          <cell r="U2046" t="str">
            <v>Tizona</v>
          </cell>
        </row>
        <row r="2047">
          <cell r="J2047" t="str">
            <v>42-05-02-07-2039</v>
          </cell>
          <cell r="K2047" t="str">
            <v>42-1496</v>
          </cell>
          <cell r="L2047" t="str">
            <v>42-05-02-07-2039</v>
          </cell>
          <cell r="M2047" t="str">
            <v>Guitarra Tizona Nº 203667</v>
          </cell>
          <cell r="O2047" t="str">
            <v>EQUIPOS DE AUDIO</v>
          </cell>
          <cell r="P2047">
            <v>68000</v>
          </cell>
          <cell r="T2047" t="str">
            <v>Bueno</v>
          </cell>
          <cell r="U2047" t="str">
            <v>Tizona</v>
          </cell>
        </row>
        <row r="2048">
          <cell r="J2048" t="str">
            <v>42-05-02-07-2040</v>
          </cell>
          <cell r="K2048" t="str">
            <v>42-1594</v>
          </cell>
          <cell r="L2048" t="str">
            <v>42-05-02-07-2040</v>
          </cell>
          <cell r="M2048" t="str">
            <v>Guitarra Tizona Nº 204441</v>
          </cell>
          <cell r="O2048" t="str">
            <v>EQUIPOS DE AUDIO</v>
          </cell>
          <cell r="P2048">
            <v>68000</v>
          </cell>
          <cell r="T2048" t="str">
            <v>Bueno</v>
          </cell>
          <cell r="U2048" t="str">
            <v>Tizona</v>
          </cell>
        </row>
        <row r="2049">
          <cell r="J2049" t="str">
            <v>42-05-02-07-2041</v>
          </cell>
          <cell r="K2049" t="str">
            <v>42-2853</v>
          </cell>
          <cell r="L2049" t="str">
            <v>42-05-02-07-2041</v>
          </cell>
          <cell r="M2049" t="str">
            <v>Guitarra Tizona Nº 15680</v>
          </cell>
          <cell r="O2049" t="str">
            <v>EQUIPOS DE AUDIO</v>
          </cell>
          <cell r="P2049">
            <v>68000</v>
          </cell>
          <cell r="T2049" t="str">
            <v>Bueno</v>
          </cell>
          <cell r="U2049" t="str">
            <v>Tizona</v>
          </cell>
        </row>
        <row r="2050">
          <cell r="J2050" t="str">
            <v>42-05-02-07-2042</v>
          </cell>
          <cell r="K2050" t="str">
            <v>42-2376</v>
          </cell>
          <cell r="L2050" t="str">
            <v>42-05-02-07-2042</v>
          </cell>
          <cell r="M2050" t="str">
            <v>Pandero con parche hexagonal</v>
          </cell>
          <cell r="O2050" t="str">
            <v>EQUIPOS DE AUDIO</v>
          </cell>
          <cell r="P2050">
            <v>7500</v>
          </cell>
          <cell r="T2050" t="str">
            <v>Bueno</v>
          </cell>
          <cell r="U2050" t="str">
            <v>N/T</v>
          </cell>
        </row>
        <row r="2051">
          <cell r="J2051" t="str">
            <v>42-05-02-07-2043</v>
          </cell>
          <cell r="K2051" t="str">
            <v>42-3243</v>
          </cell>
          <cell r="L2051" t="str">
            <v>42-05-02-07-2043</v>
          </cell>
          <cell r="M2051" t="str">
            <v>Pandero con parche hexagonal</v>
          </cell>
          <cell r="O2051" t="str">
            <v>EQUIPOS DE AUDIO</v>
          </cell>
          <cell r="P2051">
            <v>7500</v>
          </cell>
          <cell r="T2051" t="str">
            <v>Bueno</v>
          </cell>
          <cell r="U2051" t="str">
            <v>N/T</v>
          </cell>
        </row>
        <row r="2052">
          <cell r="J2052" t="str">
            <v>42-05-02-07-2044</v>
          </cell>
          <cell r="K2052" t="str">
            <v>42-1250</v>
          </cell>
          <cell r="L2052" t="str">
            <v>42-05-02-07-2044</v>
          </cell>
          <cell r="M2052" t="str">
            <v>Triángulo acero grande</v>
          </cell>
          <cell r="O2052" t="str">
            <v>EQUIPOS DE AUDIO</v>
          </cell>
          <cell r="P2052">
            <v>6900</v>
          </cell>
          <cell r="T2052" t="str">
            <v>Bueno</v>
          </cell>
          <cell r="U2052" t="str">
            <v>N/T</v>
          </cell>
        </row>
        <row r="2053">
          <cell r="J2053" t="str">
            <v>42-05-02-07-2045</v>
          </cell>
          <cell r="K2053" t="str">
            <v>42-1251</v>
          </cell>
          <cell r="L2053" t="str">
            <v>42-05-02-07-2045</v>
          </cell>
          <cell r="M2053" t="str">
            <v>Tormento con base</v>
          </cell>
          <cell r="O2053" t="str">
            <v>EQUIPOS DE AUDIO</v>
          </cell>
          <cell r="P2053">
            <v>30000</v>
          </cell>
          <cell r="T2053" t="str">
            <v>Bueno</v>
          </cell>
          <cell r="U2053" t="str">
            <v>N/T</v>
          </cell>
        </row>
        <row r="2054">
          <cell r="J2054" t="str">
            <v>42-05-02-07-2046</v>
          </cell>
          <cell r="K2054" t="str">
            <v>42-1253</v>
          </cell>
          <cell r="L2054" t="str">
            <v>42-05-02-07-2046</v>
          </cell>
          <cell r="M2054" t="str">
            <v>Flauta Hohner</v>
          </cell>
          <cell r="O2054" t="str">
            <v>EQUIPOS DE AUDIO</v>
          </cell>
          <cell r="P2054">
            <v>15000</v>
          </cell>
          <cell r="T2054" t="str">
            <v>Bueno</v>
          </cell>
          <cell r="U2054" t="str">
            <v>N/T</v>
          </cell>
        </row>
        <row r="2055">
          <cell r="J2055" t="str">
            <v>42-05-02-07-2047</v>
          </cell>
          <cell r="K2055" t="str">
            <v>42-1254</v>
          </cell>
          <cell r="L2055" t="str">
            <v>42-05-02-07-2047</v>
          </cell>
          <cell r="M2055" t="str">
            <v>Acordeón marca Baile</v>
          </cell>
          <cell r="O2055" t="str">
            <v>EQUIPOS DE AUDIO</v>
          </cell>
          <cell r="P2055">
            <v>50000</v>
          </cell>
          <cell r="T2055" t="str">
            <v>Bueno</v>
          </cell>
          <cell r="U2055" t="str">
            <v>Baile</v>
          </cell>
        </row>
        <row r="2056">
          <cell r="J2056" t="str">
            <v>42-05-02-07-2048</v>
          </cell>
          <cell r="K2056" t="str">
            <v>42-1497</v>
          </cell>
          <cell r="L2056" t="str">
            <v>42-05-02-07-2048</v>
          </cell>
          <cell r="M2056" t="str">
            <v>Bombo chilote</v>
          </cell>
          <cell r="O2056" t="str">
            <v>EQUIPOS DE AUDIO</v>
          </cell>
          <cell r="P2056">
            <v>37000</v>
          </cell>
          <cell r="T2056" t="str">
            <v>Bueno</v>
          </cell>
          <cell r="U2056" t="str">
            <v>N/T</v>
          </cell>
        </row>
        <row r="2057">
          <cell r="J2057" t="str">
            <v>42-05-02-07-2049</v>
          </cell>
          <cell r="K2057" t="str">
            <v>42-1255</v>
          </cell>
          <cell r="L2057" t="str">
            <v>42-05-02-07-2049</v>
          </cell>
          <cell r="M2057" t="str">
            <v>Quena</v>
          </cell>
          <cell r="O2057" t="str">
            <v>EQUIPOS DE AUDIO</v>
          </cell>
          <cell r="P2057">
            <v>15000</v>
          </cell>
          <cell r="T2057" t="str">
            <v>Bueno</v>
          </cell>
          <cell r="U2057" t="str">
            <v>N/T</v>
          </cell>
        </row>
        <row r="2058">
          <cell r="J2058" t="str">
            <v>FN-05-02-07-2050</v>
          </cell>
          <cell r="K2058" t="str">
            <v>42-2854</v>
          </cell>
          <cell r="L2058" t="str">
            <v>FN-05-02-07-2050</v>
          </cell>
          <cell r="M2058" t="str">
            <v>Maraca</v>
          </cell>
          <cell r="O2058" t="str">
            <v>EQUIPOS DE AUDIO FUNGIBLE / NOMINABLE</v>
          </cell>
          <cell r="P2058">
            <v>25000</v>
          </cell>
          <cell r="T2058" t="str">
            <v>Bueno</v>
          </cell>
          <cell r="U2058" t="str">
            <v>N/T</v>
          </cell>
        </row>
        <row r="2059">
          <cell r="J2059" t="str">
            <v>42-05-01-01-2051</v>
          </cell>
          <cell r="K2059" t="str">
            <v>42-2377</v>
          </cell>
          <cell r="L2059" t="str">
            <v>42-05-01-01-2051</v>
          </cell>
          <cell r="M2059" t="str">
            <v>Radio CD marca Recco Mod. RRC158CB</v>
          </cell>
          <cell r="O2059" t="str">
            <v>EQUIPO DE OFICINA</v>
          </cell>
          <cell r="P2059">
            <v>53710</v>
          </cell>
          <cell r="T2059" t="str">
            <v>Bueno</v>
          </cell>
          <cell r="U2059" t="str">
            <v>Recco</v>
          </cell>
        </row>
        <row r="2060">
          <cell r="J2060" t="str">
            <v>42-03-00-00-2052</v>
          </cell>
          <cell r="K2060" t="str">
            <v>42-2860</v>
          </cell>
          <cell r="L2060" t="str">
            <v>42-03-00-00-2052</v>
          </cell>
          <cell r="M2060" t="str">
            <v>Ambulancia marca Mercedes Benz modelo Sprinter 313 CDI motor Nº 61198170056402 Chasis Nº 8AC9036627A-956913, Año Fab. 2007 Patente WZ 76-63</v>
          </cell>
          <cell r="O2060" t="str">
            <v>VEHICULOS</v>
          </cell>
          <cell r="P2060">
            <v>21150000</v>
          </cell>
          <cell r="T2060" t="str">
            <v>Bueno</v>
          </cell>
          <cell r="U2060" t="str">
            <v>Mercedes Benz</v>
          </cell>
        </row>
        <row r="2061">
          <cell r="J2061" t="str">
            <v>42-03-02-00-2053</v>
          </cell>
          <cell r="K2061" t="str">
            <v>42-2861</v>
          </cell>
          <cell r="L2061" t="str">
            <v>42-03-02-00-2053</v>
          </cell>
          <cell r="M2061" t="str">
            <v>Radio CD marca Blaupunkt Mod. Laguna CD36 con antena y parlantes</v>
          </cell>
          <cell r="O2061" t="str">
            <v>EQUIPOS DE VEHICULO</v>
          </cell>
          <cell r="P2061">
            <v>107000</v>
          </cell>
          <cell r="T2061" t="str">
            <v>Regular</v>
          </cell>
          <cell r="U2061" t="str">
            <v>Blaupunkt</v>
          </cell>
        </row>
        <row r="2062">
          <cell r="J2062" t="str">
            <v>42-05-02-03-2054</v>
          </cell>
          <cell r="K2062" t="str">
            <v>42-2862</v>
          </cell>
          <cell r="L2062" t="str">
            <v>42-05-02-03-2054</v>
          </cell>
          <cell r="M2062" t="str">
            <v>Radio comunicaciones marca Motorola Mod. EM 400</v>
          </cell>
          <cell r="O2062" t="str">
            <v>EQUIPOS DE COMUNICACIÓN</v>
          </cell>
          <cell r="P2062">
            <v>17000</v>
          </cell>
          <cell r="T2062" t="str">
            <v>Bueno</v>
          </cell>
          <cell r="U2062" t="str">
            <v>Motorola</v>
          </cell>
        </row>
        <row r="2063">
          <cell r="J2063" t="str">
            <v>42-05-02-01-2055</v>
          </cell>
          <cell r="K2063" t="str">
            <v>42-2824</v>
          </cell>
          <cell r="L2063" t="str">
            <v>42-05-02-01-2055</v>
          </cell>
          <cell r="M2063" t="str">
            <v>Monitor desfibrilador marca Zoll Mseries</v>
          </cell>
          <cell r="O2063" t="str">
            <v>EQUIPOS CLINICOS</v>
          </cell>
          <cell r="P2063">
            <v>7783552</v>
          </cell>
          <cell r="T2063" t="str">
            <v>Bueno</v>
          </cell>
          <cell r="U2063" t="str">
            <v>Zoll Mseries</v>
          </cell>
        </row>
        <row r="2064">
          <cell r="J2064" t="str">
            <v>42-05-02-01-2056</v>
          </cell>
          <cell r="K2064" t="str">
            <v>42-2825</v>
          </cell>
          <cell r="L2064" t="str">
            <v>42-05-02-01-2056</v>
          </cell>
          <cell r="M2064" t="str">
            <v>Monitor de signos vitales marca Mec 1200 S/Nº CC74-2375R-2825</v>
          </cell>
          <cell r="O2064" t="str">
            <v>EQUIPOS CLINICOS</v>
          </cell>
          <cell r="P2064">
            <v>650000</v>
          </cell>
          <cell r="T2064" t="str">
            <v>Malo</v>
          </cell>
          <cell r="U2064" t="str">
            <v>Mec</v>
          </cell>
        </row>
        <row r="2065">
          <cell r="J2065" t="str">
            <v>42-05-02-01-2057</v>
          </cell>
          <cell r="K2065" t="str">
            <v>42-2826</v>
          </cell>
          <cell r="L2065" t="str">
            <v>42-05-02-01-2057</v>
          </cell>
          <cell r="M2065" t="str">
            <v>Aspirador portatil marca Wein Mann Mod. Accuvac S/Nº 19670</v>
          </cell>
          <cell r="O2065" t="str">
            <v>EQUIPOS CLINICOS</v>
          </cell>
          <cell r="P2065">
            <v>497000</v>
          </cell>
          <cell r="T2065" t="str">
            <v>Bueno</v>
          </cell>
          <cell r="U2065" t="str">
            <v>Wein Mann</v>
          </cell>
        </row>
        <row r="2066">
          <cell r="J2066" t="str">
            <v>42-05-02-01-2058</v>
          </cell>
          <cell r="K2066" t="str">
            <v>42-2827</v>
          </cell>
          <cell r="L2066" t="str">
            <v>42-05-02-01-2058</v>
          </cell>
          <cell r="M2066" t="str">
            <v>Oxicapnografo portatil marca Nonin Mod. 9847</v>
          </cell>
          <cell r="O2066" t="str">
            <v>EQUIPOS CLINICOS</v>
          </cell>
          <cell r="P2066">
            <v>50000</v>
          </cell>
          <cell r="T2066" t="str">
            <v>Bueno</v>
          </cell>
          <cell r="U2066" t="str">
            <v>Nonin</v>
          </cell>
        </row>
        <row r="2067">
          <cell r="J2067" t="str">
            <v>42-05-02-01-2059</v>
          </cell>
          <cell r="K2067" t="str">
            <v>42-2828</v>
          </cell>
          <cell r="L2067" t="str">
            <v>42-05-02-01-2059</v>
          </cell>
          <cell r="M2067" t="str">
            <v>Electrocardiógrafo Mindray Mod. DECG-03A S/Nº SE300B3A02B/10740620</v>
          </cell>
          <cell r="O2067" t="str">
            <v>EQUIPOS CLINICOS</v>
          </cell>
          <cell r="P2067">
            <v>1100000</v>
          </cell>
          <cell r="T2067" t="str">
            <v>Bueno</v>
          </cell>
          <cell r="U2067" t="str">
            <v>Mindray</v>
          </cell>
        </row>
        <row r="2068">
          <cell r="J2068" t="str">
            <v>42-05-02-01-2060</v>
          </cell>
          <cell r="K2068" t="str">
            <v>42-2970</v>
          </cell>
          <cell r="L2068" t="str">
            <v>42-05-02-01-2060</v>
          </cell>
          <cell r="M2068" t="str">
            <v>Hemoglucotest Accu-Chek S/Nº 8180306352</v>
          </cell>
          <cell r="O2068" t="str">
            <v>EQUIPOS CLINICOS</v>
          </cell>
          <cell r="P2068">
            <v>60000</v>
          </cell>
          <cell r="T2068" t="str">
            <v>Bueno</v>
          </cell>
          <cell r="U2068" t="str">
            <v>Accu-Chek</v>
          </cell>
        </row>
        <row r="2069">
          <cell r="J2069" t="str">
            <v>42-05-02-01-2061</v>
          </cell>
          <cell r="K2069" t="str">
            <v>42-3331</v>
          </cell>
          <cell r="L2069" t="str">
            <v>42-05-02-01-2061</v>
          </cell>
          <cell r="M2069" t="str">
            <v>Bomba infusión continua Samtronic S/Nº 33100L/10</v>
          </cell>
          <cell r="O2069" t="str">
            <v>EQUIPOS CLINICOS</v>
          </cell>
          <cell r="P2069">
            <v>185000</v>
          </cell>
          <cell r="T2069" t="str">
            <v>Bueno</v>
          </cell>
          <cell r="U2069" t="str">
            <v>Samtronic</v>
          </cell>
        </row>
        <row r="2070">
          <cell r="J2070" t="str">
            <v>42-05-02-01-2062</v>
          </cell>
          <cell r="K2070" t="str">
            <v>42-3332</v>
          </cell>
          <cell r="L2070" t="str">
            <v>42-05-02-01-2062</v>
          </cell>
          <cell r="M2070" t="str">
            <v>Flujómetro oxigeno Western Mod. OPA-820-B S/Nº M418340-0700060</v>
          </cell>
          <cell r="O2070" t="str">
            <v>EQUIPOS CLINICOS</v>
          </cell>
          <cell r="P2070">
            <v>17000</v>
          </cell>
          <cell r="T2070" t="str">
            <v>Bueno</v>
          </cell>
          <cell r="U2070" t="str">
            <v xml:space="preserve">Western </v>
          </cell>
        </row>
        <row r="2071">
          <cell r="J2071" t="str">
            <v>42-05-02-01-2063</v>
          </cell>
          <cell r="K2071" t="str">
            <v>42-3333</v>
          </cell>
          <cell r="L2071" t="str">
            <v>42-05-02-01-2063</v>
          </cell>
          <cell r="M2071" t="str">
            <v>Flujómetro oxigeno Victor Medical Mod. HB-15-870-1 S/Nº 0781-3324</v>
          </cell>
          <cell r="O2071" t="str">
            <v>EQUIPOS CLINICOS</v>
          </cell>
          <cell r="P2071">
            <v>17000</v>
          </cell>
          <cell r="T2071" t="str">
            <v>Bueno</v>
          </cell>
          <cell r="U2071" t="str">
            <v>Victor Medical</v>
          </cell>
        </row>
        <row r="2072">
          <cell r="J2072" t="str">
            <v>42-04-07-00-2064</v>
          </cell>
          <cell r="K2072" t="str">
            <v>42-1304</v>
          </cell>
          <cell r="L2072" t="str">
            <v>42-04-07-00-2064</v>
          </cell>
          <cell r="M2072" t="str">
            <v>Cama 1 plaza</v>
          </cell>
          <cell r="O2072" t="str">
            <v>OTROS</v>
          </cell>
          <cell r="P2072">
            <v>90000</v>
          </cell>
          <cell r="T2072" t="str">
            <v>Bueno</v>
          </cell>
          <cell r="U2072" t="str">
            <v>N/T</v>
          </cell>
        </row>
        <row r="2073">
          <cell r="J2073" t="str">
            <v>42-04-07-00-2065</v>
          </cell>
          <cell r="K2073" t="str">
            <v>42-944</v>
          </cell>
          <cell r="L2073" t="str">
            <v>42-04-07-00-2065</v>
          </cell>
          <cell r="M2073" t="str">
            <v>Camarote 1 plaza</v>
          </cell>
          <cell r="O2073" t="str">
            <v>OTROS</v>
          </cell>
          <cell r="P2073">
            <v>130000</v>
          </cell>
          <cell r="T2073" t="str">
            <v>Bueno</v>
          </cell>
          <cell r="U2073" t="str">
            <v>N/T</v>
          </cell>
        </row>
        <row r="2074">
          <cell r="J2074" t="str">
            <v>42-04-03-00-2066</v>
          </cell>
          <cell r="K2074" t="str">
            <v>42-3261</v>
          </cell>
          <cell r="L2074" t="str">
            <v>42-04-03-00-2066</v>
          </cell>
          <cell r="M2074" t="str">
            <v>Escritorio computación masisa enchapada</v>
          </cell>
          <cell r="O2074" t="str">
            <v>ESCRITORIOS</v>
          </cell>
          <cell r="P2074">
            <v>77350</v>
          </cell>
          <cell r="T2074" t="str">
            <v>Bueno</v>
          </cell>
          <cell r="U2074" t="str">
            <v>N/T</v>
          </cell>
        </row>
        <row r="2075">
          <cell r="J2075" t="str">
            <v>42-04-05-00-2067</v>
          </cell>
          <cell r="K2075" t="str">
            <v>42-3229</v>
          </cell>
          <cell r="L2075" t="str">
            <v>42-04-05-00-2067</v>
          </cell>
          <cell r="M2075" t="str">
            <v>Kardex metálico 2 cajones color blanco</v>
          </cell>
          <cell r="O2075" t="str">
            <v>KARDEX</v>
          </cell>
          <cell r="P2075">
            <v>185459</v>
          </cell>
          <cell r="T2075" t="str">
            <v>Bueno</v>
          </cell>
          <cell r="U2075" t="str">
            <v>N/T</v>
          </cell>
        </row>
        <row r="2076">
          <cell r="J2076" t="str">
            <v>42-04-07-00-2068</v>
          </cell>
          <cell r="K2076" t="str">
            <v>42-1054</v>
          </cell>
          <cell r="L2076" t="str">
            <v>42-04-07-00-2068</v>
          </cell>
          <cell r="M2076" t="str">
            <v>Loker metálico verde / plomo marca Mindugar</v>
          </cell>
          <cell r="O2076" t="str">
            <v>OTROS</v>
          </cell>
          <cell r="P2076">
            <v>37500</v>
          </cell>
          <cell r="T2076" t="str">
            <v>Bueno</v>
          </cell>
          <cell r="U2076" t="str">
            <v>N/T</v>
          </cell>
        </row>
        <row r="2077">
          <cell r="J2077" t="str">
            <v>42-04-01-00-2069</v>
          </cell>
          <cell r="K2077" t="str">
            <v>42-3236</v>
          </cell>
          <cell r="L2077" t="str">
            <v>42-04-01-00-2069</v>
          </cell>
          <cell r="M2077" t="str">
            <v>Mesa casino 75x120 cms., cubierta de formalita crema</v>
          </cell>
          <cell r="O2077" t="str">
            <v>MESAS</v>
          </cell>
          <cell r="P2077">
            <v>45788</v>
          </cell>
          <cell r="T2077" t="str">
            <v>Bueno</v>
          </cell>
          <cell r="U2077" t="str">
            <v>N/T</v>
          </cell>
        </row>
        <row r="2078">
          <cell r="J2078" t="str">
            <v>42-04-04-00-2070</v>
          </cell>
          <cell r="K2078" t="str">
            <v>42-3233</v>
          </cell>
          <cell r="L2078" t="str">
            <v>42-04-04-00-2070</v>
          </cell>
          <cell r="M2078" t="str">
            <v>Mueble melamina blanco, 1 lavaplatos con llave combinación, 4 puertas</v>
          </cell>
          <cell r="O2078" t="str">
            <v>MUEBLES DE COCINA</v>
          </cell>
          <cell r="P2078">
            <v>56700</v>
          </cell>
          <cell r="T2078" t="str">
            <v>Bueno</v>
          </cell>
          <cell r="U2078" t="str">
            <v>N/T</v>
          </cell>
        </row>
        <row r="2079">
          <cell r="J2079" t="str">
            <v>42-05-01-01-2071</v>
          </cell>
          <cell r="K2079" t="str">
            <v>42-3234</v>
          </cell>
          <cell r="L2079" t="str">
            <v>42-05-01-01-2071</v>
          </cell>
          <cell r="M2079" t="str">
            <v>Pizarra marco madera 121x81 cms.</v>
          </cell>
          <cell r="O2079" t="str">
            <v>EQUIPO DE OFICINA</v>
          </cell>
          <cell r="P2079">
            <v>29750</v>
          </cell>
          <cell r="T2079" t="str">
            <v>Bueno</v>
          </cell>
          <cell r="U2079" t="str">
            <v>N/T</v>
          </cell>
        </row>
        <row r="2080">
          <cell r="J2080" t="str">
            <v>42-04-07-00-2072</v>
          </cell>
          <cell r="K2080" t="str">
            <v>42-2127</v>
          </cell>
          <cell r="L2080" t="str">
            <v>42-04-07-00-2072</v>
          </cell>
          <cell r="M2080" t="str">
            <v>Plano urbano de Loncoche con marco de madera burdeo y vidrio de 114x77 cms.</v>
          </cell>
          <cell r="O2080" t="str">
            <v>OTROS</v>
          </cell>
          <cell r="P2080">
            <v>30000</v>
          </cell>
          <cell r="T2080" t="str">
            <v>Bueno</v>
          </cell>
          <cell r="U2080" t="str">
            <v>N/T</v>
          </cell>
        </row>
        <row r="2081">
          <cell r="J2081" t="str">
            <v>42-04-02-00-2073</v>
          </cell>
          <cell r="K2081" t="str">
            <v>42-909</v>
          </cell>
          <cell r="L2081" t="str">
            <v>42-04-02-00-2073</v>
          </cell>
          <cell r="M2081" t="str">
            <v>Silla mixta con asiento y respaldo color café</v>
          </cell>
          <cell r="O2081" t="str">
            <v>SILLAS</v>
          </cell>
          <cell r="P2081">
            <v>17850</v>
          </cell>
          <cell r="T2081" t="str">
            <v>Bueno</v>
          </cell>
          <cell r="U2081" t="str">
            <v>N/T</v>
          </cell>
        </row>
        <row r="2082">
          <cell r="J2082" t="str">
            <v>42-04-02-00-2074</v>
          </cell>
          <cell r="K2082" t="str">
            <v>42-913</v>
          </cell>
          <cell r="L2082" t="str">
            <v>42-04-02-00-2074</v>
          </cell>
          <cell r="M2082" t="str">
            <v>Silla mixta con asiento y respaldo color café</v>
          </cell>
          <cell r="O2082" t="str">
            <v>SILLAS</v>
          </cell>
          <cell r="P2082">
            <v>17850</v>
          </cell>
          <cell r="T2082" t="str">
            <v>Bueno</v>
          </cell>
          <cell r="U2082" t="str">
            <v>N/T</v>
          </cell>
        </row>
        <row r="2083">
          <cell r="J2083" t="str">
            <v>42-04-02-00-2075</v>
          </cell>
          <cell r="K2083" t="str">
            <v>42-2342</v>
          </cell>
          <cell r="L2083" t="str">
            <v>42-04-02-00-2075</v>
          </cell>
          <cell r="M2083" t="str">
            <v>Silla mixta con asiento y respaldo color café</v>
          </cell>
          <cell r="O2083" t="str">
            <v>SILLAS</v>
          </cell>
          <cell r="P2083">
            <v>17850</v>
          </cell>
          <cell r="T2083" t="str">
            <v>Bueno</v>
          </cell>
          <cell r="U2083" t="str">
            <v>N/T</v>
          </cell>
        </row>
        <row r="2084">
          <cell r="J2084" t="str">
            <v>42-04-02-00-2076</v>
          </cell>
          <cell r="K2084" t="str">
            <v>42-3184</v>
          </cell>
          <cell r="L2084" t="str">
            <v>42-04-02-00-2076</v>
          </cell>
          <cell r="M2084" t="str">
            <v>Silla mixta con asiento y respaldo color café</v>
          </cell>
          <cell r="O2084" t="str">
            <v>SILLAS</v>
          </cell>
          <cell r="P2084">
            <v>17850</v>
          </cell>
          <cell r="T2084" t="str">
            <v>Bueno</v>
          </cell>
          <cell r="U2084" t="str">
            <v>N/T</v>
          </cell>
        </row>
        <row r="2085">
          <cell r="J2085" t="str">
            <v>42-04-02-00-2077</v>
          </cell>
          <cell r="K2085" t="str">
            <v>42-3256</v>
          </cell>
          <cell r="L2085" t="str">
            <v>42-04-02-00-2077</v>
          </cell>
          <cell r="M2085" t="str">
            <v>Silla mixta con asiento y respaldo color café</v>
          </cell>
          <cell r="O2085" t="str">
            <v>SILLAS</v>
          </cell>
          <cell r="P2085">
            <v>17850</v>
          </cell>
          <cell r="T2085" t="str">
            <v>Bueno</v>
          </cell>
          <cell r="U2085" t="str">
            <v>N/T</v>
          </cell>
        </row>
        <row r="2086">
          <cell r="J2086" t="str">
            <v>42-04-02-00-2078</v>
          </cell>
          <cell r="K2086" t="str">
            <v>42-3258</v>
          </cell>
          <cell r="L2086" t="str">
            <v>42-04-02-00-2078</v>
          </cell>
          <cell r="M2086" t="str">
            <v>Silla mixta con asiento y respaldo color café</v>
          </cell>
          <cell r="O2086" t="str">
            <v>SILLAS</v>
          </cell>
          <cell r="P2086">
            <v>17850</v>
          </cell>
          <cell r="T2086" t="str">
            <v>Bueno</v>
          </cell>
          <cell r="U2086" t="str">
            <v>N/T</v>
          </cell>
        </row>
        <row r="2087">
          <cell r="J2087" t="str">
            <v>42-04-02-00-2079</v>
          </cell>
          <cell r="K2087" t="str">
            <v>42-3260</v>
          </cell>
          <cell r="L2087" t="str">
            <v>42-04-02-00-2079</v>
          </cell>
          <cell r="M2087" t="str">
            <v>Silla computación 5 ruedas color café claro</v>
          </cell>
          <cell r="O2087" t="str">
            <v>SILLAS</v>
          </cell>
          <cell r="P2087">
            <v>42500</v>
          </cell>
          <cell r="T2087" t="str">
            <v>Bueno</v>
          </cell>
          <cell r="U2087" t="str">
            <v>N/T</v>
          </cell>
        </row>
        <row r="2088">
          <cell r="J2088" t="str">
            <v>42-04-07-00-2080</v>
          </cell>
          <cell r="K2088" t="str">
            <v>42-3232</v>
          </cell>
          <cell r="L2088" t="str">
            <v>42-04-07-00-2080</v>
          </cell>
          <cell r="M2088" t="str">
            <v>Velador metalico 1 puerta color blanco</v>
          </cell>
          <cell r="O2088" t="str">
            <v>OTROS</v>
          </cell>
          <cell r="P2088">
            <v>29895</v>
          </cell>
          <cell r="T2088" t="str">
            <v>Bueno</v>
          </cell>
          <cell r="U2088" t="str">
            <v>N/T</v>
          </cell>
        </row>
        <row r="2089">
          <cell r="J2089" t="str">
            <v>42-04-06-00-2081</v>
          </cell>
          <cell r="K2089" t="str">
            <v>42-3227</v>
          </cell>
          <cell r="L2089" t="str">
            <v>42-04-06-00-2081</v>
          </cell>
          <cell r="M2089" t="str">
            <v>Vitrina metálica 2 puertas</v>
          </cell>
          <cell r="O2089" t="str">
            <v>REPISA</v>
          </cell>
          <cell r="P2089">
            <v>145214</v>
          </cell>
          <cell r="T2089" t="str">
            <v>Bueno</v>
          </cell>
          <cell r="U2089" t="str">
            <v>N/T</v>
          </cell>
        </row>
        <row r="2090">
          <cell r="J2090" t="str">
            <v>42-05-02-05-2082</v>
          </cell>
          <cell r="K2090" t="str">
            <v>42-3259</v>
          </cell>
          <cell r="L2090" t="str">
            <v>42-05-02-05-2082</v>
          </cell>
          <cell r="M2090" t="str">
            <v>Extintor incendio ABC 6 Kgs.</v>
          </cell>
          <cell r="O2090" t="str">
            <v>EQUIPOS DE SEGURIDAD</v>
          </cell>
          <cell r="P2090">
            <v>39533</v>
          </cell>
          <cell r="T2090" t="str">
            <v>Bueno</v>
          </cell>
          <cell r="U2090" t="str">
            <v>N/T</v>
          </cell>
        </row>
        <row r="2091">
          <cell r="J2091" t="str">
            <v>42-05-02-03-2083</v>
          </cell>
          <cell r="K2091" t="str">
            <v>42-1946</v>
          </cell>
          <cell r="L2091" t="str">
            <v>42-05-02-03-2083</v>
          </cell>
          <cell r="M2091" t="str">
            <v>Equipo radio trasmisor Motorola Modelo GM-300 con adaptador DC</v>
          </cell>
          <cell r="O2091" t="str">
            <v>EQUIPOS DE COMUNICACIÓN</v>
          </cell>
          <cell r="P2091">
            <v>107100</v>
          </cell>
          <cell r="T2091" t="str">
            <v>Bueno</v>
          </cell>
          <cell r="U2091" t="str">
            <v>N/T</v>
          </cell>
        </row>
        <row r="2092">
          <cell r="J2092" t="str">
            <v>42-05-02-03-2084</v>
          </cell>
          <cell r="K2092" t="str">
            <v>42-3244</v>
          </cell>
          <cell r="L2092" t="str">
            <v>42-05-02-03-2084</v>
          </cell>
          <cell r="M2092" t="str">
            <v>Radio comunicación marca Motorola EP 450 Mod. LAH65KDC9AA2AN S/Nº 442TJSP676</v>
          </cell>
          <cell r="O2092" t="str">
            <v>EQUIPOS DE COMUNICACIÓN</v>
          </cell>
          <cell r="P2092">
            <v>200000</v>
          </cell>
          <cell r="T2092" t="str">
            <v>Bueno</v>
          </cell>
          <cell r="U2092" t="str">
            <v>N/T</v>
          </cell>
        </row>
        <row r="2093">
          <cell r="J2093" t="str">
            <v>42-05-02-03-2085</v>
          </cell>
          <cell r="K2093" t="str">
            <v>42-3245</v>
          </cell>
          <cell r="L2093" t="str">
            <v>42-05-02-03-2085</v>
          </cell>
          <cell r="M2093" t="str">
            <v>Cargador baterias radio Motorola Mod. WPLN4137BR 8249MTB04 S/Nº 377673 0836</v>
          </cell>
          <cell r="N2093">
            <v>1</v>
          </cell>
          <cell r="O2093" t="str">
            <v>EQUIPOS DE COMUNICACIÓN</v>
          </cell>
          <cell r="P2093">
            <v>150000</v>
          </cell>
          <cell r="T2093" t="str">
            <v>Bueno</v>
          </cell>
          <cell r="U2093" t="str">
            <v>N/T</v>
          </cell>
        </row>
        <row r="2094">
          <cell r="J2094" t="str">
            <v>42-04-06-00-2086</v>
          </cell>
          <cell r="K2094" t="str">
            <v>42-3235</v>
          </cell>
          <cell r="L2094" t="str">
            <v>42-04-06-00-2086</v>
          </cell>
          <cell r="M2094" t="str">
            <v>Mueble madera enchapada 3 divisiones color barniz natural 135x31x130 cm</v>
          </cell>
          <cell r="O2094" t="str">
            <v>REPISA</v>
          </cell>
          <cell r="P2094">
            <v>118200</v>
          </cell>
          <cell r="T2094" t="str">
            <v>Bueno</v>
          </cell>
          <cell r="U2094" t="str">
            <v>N/T</v>
          </cell>
        </row>
        <row r="2095">
          <cell r="J2095" t="str">
            <v>42-04-06-00-2087</v>
          </cell>
          <cell r="K2095" t="str">
            <v>42-1022</v>
          </cell>
          <cell r="L2095" t="str">
            <v>42-04-06-00-2087</v>
          </cell>
          <cell r="M2095" t="str">
            <v>Estante mediano con 2 puertas color blanco invierno con candado</v>
          </cell>
          <cell r="O2095" t="str">
            <v>REPISA</v>
          </cell>
          <cell r="P2095">
            <v>45847</v>
          </cell>
          <cell r="T2095" t="str">
            <v>Bueno</v>
          </cell>
          <cell r="U2095" t="str">
            <v>N/T</v>
          </cell>
        </row>
        <row r="2096">
          <cell r="J2096" t="str">
            <v>42-04-07-00-2088</v>
          </cell>
          <cell r="K2096" t="str">
            <v xml:space="preserve">42-3519 </v>
          </cell>
          <cell r="L2096" t="str">
            <v>42-04-07-00-2088</v>
          </cell>
          <cell r="M2096" t="str">
            <v>Sillón para descanso, tipo Bergere, 3 posiciones, color negro</v>
          </cell>
          <cell r="O2096" t="str">
            <v>OTROS</v>
          </cell>
          <cell r="P2096">
            <v>916300</v>
          </cell>
          <cell r="Q2096" t="str">
            <v>SKU 185397X</v>
          </cell>
          <cell r="R2096" t="str">
            <v>Bergere single</v>
          </cell>
          <cell r="S2096" t="str">
            <v xml:space="preserve">Proy. MEL </v>
          </cell>
          <cell r="T2096" t="str">
            <v>Bueno</v>
          </cell>
          <cell r="U2096" t="str">
            <v>Metarus</v>
          </cell>
        </row>
        <row r="2097">
          <cell r="J2097" t="str">
            <v>42-04-07-00-2089</v>
          </cell>
          <cell r="K2097" t="str">
            <v>42-3520</v>
          </cell>
          <cell r="L2097" t="str">
            <v>42-04-07-00-2089</v>
          </cell>
          <cell r="M2097" t="str">
            <v>Sillón para descanso, tipo Bergere, 3 posiciones, color negro</v>
          </cell>
          <cell r="O2097" t="str">
            <v>OTROS</v>
          </cell>
          <cell r="P2097">
            <v>916300</v>
          </cell>
          <cell r="Q2097" t="str">
            <v>SKU 185397X</v>
          </cell>
          <cell r="R2097" t="str">
            <v>Bergere single</v>
          </cell>
          <cell r="S2097" t="str">
            <v xml:space="preserve">Proy. MEL </v>
          </cell>
          <cell r="T2097" t="str">
            <v>Bueno</v>
          </cell>
          <cell r="U2097" t="str">
            <v>Metarus</v>
          </cell>
        </row>
        <row r="2098">
          <cell r="J2098" t="str">
            <v>42-04-07-00-2090</v>
          </cell>
          <cell r="K2098" t="str">
            <v>42-3521</v>
          </cell>
          <cell r="L2098" t="str">
            <v>42-04-07-00-2090</v>
          </cell>
          <cell r="M2098" t="str">
            <v>Sillón para descanso, tipo Bergere, 3 posiciones, color negro</v>
          </cell>
          <cell r="O2098" t="str">
            <v>OTROS</v>
          </cell>
          <cell r="P2098">
            <v>916300</v>
          </cell>
          <cell r="Q2098" t="str">
            <v>SKU 185397X</v>
          </cell>
          <cell r="R2098" t="str">
            <v>Bergere single</v>
          </cell>
          <cell r="S2098" t="str">
            <v xml:space="preserve">Proy. MEL </v>
          </cell>
          <cell r="T2098" t="str">
            <v>Bueno</v>
          </cell>
          <cell r="U2098" t="str">
            <v>Metarus</v>
          </cell>
        </row>
        <row r="2099">
          <cell r="J2099" t="str">
            <v>42-05-01-01-2091</v>
          </cell>
          <cell r="K2099" t="str">
            <v>42-2905</v>
          </cell>
          <cell r="L2099" t="str">
            <v>42-05-01-01-2091</v>
          </cell>
          <cell r="M2099" t="str">
            <v>Radio CD marca RCA Modelo RCD002 Cod. 0636</v>
          </cell>
          <cell r="N2099">
            <v>1</v>
          </cell>
          <cell r="O2099" t="str">
            <v>EQUIPO DE OFICINA</v>
          </cell>
          <cell r="P2099">
            <v>53710</v>
          </cell>
          <cell r="T2099" t="str">
            <v>Bueno</v>
          </cell>
          <cell r="U2099" t="str">
            <v>RCA</v>
          </cell>
        </row>
        <row r="2100">
          <cell r="J2100" t="str">
            <v>42-04-03-00-2092</v>
          </cell>
          <cell r="K2100" t="str">
            <v>42-2964</v>
          </cell>
          <cell r="L2100" t="str">
            <v>42-04-03-00-2092</v>
          </cell>
          <cell r="M2100" t="str">
            <v>Escritorio Enchapado Color Blanco con 3 cajones 143x59x78 cms.</v>
          </cell>
          <cell r="O2100" t="str">
            <v>ESCRITORIOS</v>
          </cell>
          <cell r="P2100">
            <v>77350</v>
          </cell>
          <cell r="T2100" t="str">
            <v>Bueno</v>
          </cell>
          <cell r="U2100" t="str">
            <v>N/T</v>
          </cell>
        </row>
        <row r="2101">
          <cell r="J2101" t="str">
            <v>42-04-06-00-2093</v>
          </cell>
          <cell r="K2101" t="str">
            <v>42-2963</v>
          </cell>
          <cell r="L2101" t="str">
            <v>42-04-06-00-2093</v>
          </cell>
          <cell r="M2101" t="str">
            <v>Repisa masisa enchapada 2 compartimentos 181x30x44 cms.</v>
          </cell>
          <cell r="O2101" t="str">
            <v>REPISA</v>
          </cell>
          <cell r="P2101">
            <v>36141</v>
          </cell>
          <cell r="T2101" t="str">
            <v>Bueno</v>
          </cell>
          <cell r="U2101" t="str">
            <v>N/T</v>
          </cell>
        </row>
        <row r="2102">
          <cell r="J2102" t="str">
            <v>42-04-02-00-2094</v>
          </cell>
          <cell r="K2102" t="str">
            <v>42-1997</v>
          </cell>
          <cell r="L2102" t="str">
            <v>42-04-02-00-2094</v>
          </cell>
          <cell r="M2102" t="str">
            <v>Silla Ergonometrica color azul, 5 ruedas ( MEL )</v>
          </cell>
          <cell r="O2102" t="str">
            <v>SILLAS</v>
          </cell>
          <cell r="P2102">
            <v>42500</v>
          </cell>
          <cell r="T2102" t="str">
            <v>Bueno</v>
          </cell>
          <cell r="U2102" t="str">
            <v>N/T</v>
          </cell>
        </row>
        <row r="2103">
          <cell r="J2103" t="str">
            <v>42-05-01-01-2095</v>
          </cell>
          <cell r="K2103" t="str">
            <v>42-2965</v>
          </cell>
          <cell r="L2103" t="str">
            <v>42-05-01-01-2095</v>
          </cell>
          <cell r="M2103" t="str">
            <v>Perforador Isofit PP-35</v>
          </cell>
          <cell r="O2103" t="str">
            <v>EQUIPO DE OFICINA</v>
          </cell>
          <cell r="P2103">
            <v>2300</v>
          </cell>
          <cell r="T2103" t="str">
            <v>Bueno</v>
          </cell>
          <cell r="U2103" t="str">
            <v>Isofit PP-35</v>
          </cell>
        </row>
        <row r="2104">
          <cell r="J2104" t="str">
            <v>42-05-01-01-2096</v>
          </cell>
          <cell r="K2104" t="str">
            <v>42-1101</v>
          </cell>
          <cell r="L2104" t="str">
            <v>42-05-01-01-2096</v>
          </cell>
          <cell r="M2104" t="str">
            <v>Guillotina color azul</v>
          </cell>
          <cell r="O2104" t="str">
            <v>EQUIPO DE OFICINA</v>
          </cell>
          <cell r="P2104">
            <v>37980</v>
          </cell>
          <cell r="T2104" t="str">
            <v>Regular</v>
          </cell>
          <cell r="U2104" t="str">
            <v>N/T</v>
          </cell>
        </row>
        <row r="2105">
          <cell r="J2105" t="str">
            <v>42-04-07-00-2097</v>
          </cell>
          <cell r="K2105" t="str">
            <v>42-3239</v>
          </cell>
          <cell r="L2105" t="str">
            <v>42-04-07-00-2097</v>
          </cell>
          <cell r="M2105" t="str">
            <v>Banquetas de polipropileno con 2 asientos color azul</v>
          </cell>
          <cell r="O2105" t="str">
            <v>OTROS</v>
          </cell>
          <cell r="P2105">
            <v>34510</v>
          </cell>
          <cell r="T2105" t="str">
            <v>Bueno</v>
          </cell>
          <cell r="U2105" t="str">
            <v>N/T</v>
          </cell>
        </row>
        <row r="2106">
          <cell r="J2106" t="str">
            <v>42-04-07-00-2098</v>
          </cell>
          <cell r="K2106" t="str">
            <v>42-1458 B</v>
          </cell>
          <cell r="L2106" t="str">
            <v>42-04-07-00-2098</v>
          </cell>
          <cell r="M2106" t="str">
            <v>Sillón de living chico de cañamazo con soporte de fierro negro a la vista</v>
          </cell>
          <cell r="O2106" t="str">
            <v>OTROS</v>
          </cell>
          <cell r="P2106">
            <v>90890</v>
          </cell>
          <cell r="T2106" t="str">
            <v>Bueno</v>
          </cell>
          <cell r="U2106" t="str">
            <v>N/T</v>
          </cell>
        </row>
        <row r="2107">
          <cell r="J2107" t="str">
            <v>42-04-05-00-2099</v>
          </cell>
          <cell r="K2107" t="str">
            <v>42-53</v>
          </cell>
          <cell r="L2107" t="str">
            <v>42-04-05-00-2099</v>
          </cell>
          <cell r="M2107" t="str">
            <v>Kardex metálico 2 gavetas</v>
          </cell>
          <cell r="O2107" t="str">
            <v>KARDEX</v>
          </cell>
          <cell r="P2107">
            <v>85616</v>
          </cell>
          <cell r="T2107" t="str">
            <v>Regular</v>
          </cell>
          <cell r="U2107" t="str">
            <v>N/T</v>
          </cell>
        </row>
        <row r="2108">
          <cell r="J2108" t="str">
            <v>42-05-02-05-2100</v>
          </cell>
          <cell r="K2108" t="str">
            <v>42-3314</v>
          </cell>
          <cell r="L2108" t="str">
            <v>42-05-02-05-2100</v>
          </cell>
          <cell r="M2108" t="str">
            <v>Extintor incendio tipo ABC 6 Kgs.</v>
          </cell>
          <cell r="O2108" t="str">
            <v>EQUIPOS DE SEGURIDAD</v>
          </cell>
          <cell r="P2108">
            <v>28990</v>
          </cell>
          <cell r="T2108" t="str">
            <v>Bueno</v>
          </cell>
          <cell r="U2108" t="str">
            <v>N/T</v>
          </cell>
        </row>
        <row r="2109">
          <cell r="J2109" t="str">
            <v>42-04-07-00-2101</v>
          </cell>
          <cell r="K2109" t="str">
            <v>42-1091B</v>
          </cell>
          <cell r="L2109" t="str">
            <v>42-04-07-00-2101</v>
          </cell>
          <cell r="M2109" t="str">
            <v>Loker metálico verde-plomo marca Mindugar</v>
          </cell>
          <cell r="O2109" t="str">
            <v>OTROS</v>
          </cell>
          <cell r="P2109">
            <v>35000</v>
          </cell>
          <cell r="T2109" t="str">
            <v>Bueno</v>
          </cell>
          <cell r="U2109" t="str">
            <v>N/T</v>
          </cell>
        </row>
        <row r="2110">
          <cell r="J2110" t="str">
            <v>42-04-07-00-2102</v>
          </cell>
          <cell r="K2110" t="str">
            <v>42-1057</v>
          </cell>
          <cell r="L2110" t="str">
            <v>42-04-07-00-2102</v>
          </cell>
          <cell r="M2110" t="str">
            <v>Loker metálico verde-plomo marca Mindugar</v>
          </cell>
          <cell r="O2110" t="str">
            <v>OTROS</v>
          </cell>
          <cell r="P2110">
            <v>35000</v>
          </cell>
          <cell r="T2110" t="str">
            <v>Bueno</v>
          </cell>
          <cell r="U2110" t="str">
            <v>N/T</v>
          </cell>
        </row>
        <row r="2111">
          <cell r="J2111" t="str">
            <v>42-04-06-00-2103</v>
          </cell>
          <cell r="K2111" t="str">
            <v>42-3240</v>
          </cell>
          <cell r="L2111" t="str">
            <v>42-04-06-00-2103</v>
          </cell>
          <cell r="M2111" t="str">
            <v>Mueble masisa enchapada 3 compartimentos barniz natural 146x36x132 cm</v>
          </cell>
          <cell r="O2111" t="str">
            <v>REPISA</v>
          </cell>
          <cell r="P2111">
            <v>103845</v>
          </cell>
          <cell r="T2111" t="str">
            <v>Bueno</v>
          </cell>
          <cell r="U2111" t="str">
            <v>N/T</v>
          </cell>
        </row>
        <row r="2112">
          <cell r="J2112" t="str">
            <v>42-04-06-00-2104</v>
          </cell>
          <cell r="K2112" t="str">
            <v>42-3241</v>
          </cell>
          <cell r="L2112" t="str">
            <v>42-04-06-00-2104</v>
          </cell>
          <cell r="M2112" t="str">
            <v>Mueble masisa enchapada 3 compartimentos barniz natural 90x36x130 cm</v>
          </cell>
          <cell r="O2112" t="str">
            <v>REPISA</v>
          </cell>
          <cell r="P2112">
            <v>89545</v>
          </cell>
          <cell r="T2112" t="str">
            <v>Bueno</v>
          </cell>
          <cell r="U2112" t="str">
            <v>N/T</v>
          </cell>
        </row>
        <row r="2113">
          <cell r="J2113" t="str">
            <v>42-04-06-00-2105</v>
          </cell>
          <cell r="K2113" t="str">
            <v>42-2343</v>
          </cell>
          <cell r="L2113" t="str">
            <v>42-04-06-00-2105</v>
          </cell>
          <cell r="M2113" t="str">
            <v>Mueble melamina blanco, 2 cajones, 2 puertas</v>
          </cell>
          <cell r="O2113" t="str">
            <v>REPISA</v>
          </cell>
          <cell r="P2113">
            <v>65548</v>
          </cell>
          <cell r="T2113" t="str">
            <v>Bueno</v>
          </cell>
          <cell r="U2113" t="str">
            <v>N/T</v>
          </cell>
        </row>
        <row r="2114">
          <cell r="J2114" t="str">
            <v>42-06-01-00-2106</v>
          </cell>
          <cell r="K2114" t="str">
            <v>42-3280</v>
          </cell>
          <cell r="L2114" t="str">
            <v>42-06-01-00-2106</v>
          </cell>
          <cell r="M2114" t="str">
            <v>Impresora HP Laser Jet P1005 Mod. CB410A S/Nº BRBS898H9D</v>
          </cell>
          <cell r="O2114" t="str">
            <v>EQUIPOS COMPUTACIONALES Y PERIFÉRICOS</v>
          </cell>
          <cell r="P2114">
            <v>230709</v>
          </cell>
          <cell r="T2114" t="str">
            <v>Bueno</v>
          </cell>
          <cell r="U2114" t="str">
            <v xml:space="preserve">HP Laser Jet </v>
          </cell>
        </row>
        <row r="2115">
          <cell r="J2115" t="str">
            <v>42-05-01-01-2107</v>
          </cell>
          <cell r="K2115" t="str">
            <v>42-3285</v>
          </cell>
          <cell r="L2115" t="str">
            <v>42-05-01-01-2107</v>
          </cell>
          <cell r="M2115" t="str">
            <v>Mini componente Sony Mod. HCD-EC68USB S/Nº 9178601</v>
          </cell>
          <cell r="N2115">
            <v>1</v>
          </cell>
          <cell r="O2115" t="str">
            <v>EQUIPO DE OFICINA</v>
          </cell>
          <cell r="P2115">
            <v>250490</v>
          </cell>
          <cell r="T2115" t="str">
            <v>Bueno</v>
          </cell>
          <cell r="U2115" t="str">
            <v>Sony</v>
          </cell>
        </row>
        <row r="2116">
          <cell r="J2116" t="str">
            <v>42-05-01-01-2108</v>
          </cell>
          <cell r="K2116" t="str">
            <v>42-3288</v>
          </cell>
          <cell r="L2116" t="str">
            <v>42-05-01-01-2108</v>
          </cell>
          <cell r="M2116" t="str">
            <v>Radio CD Daewoo MP3 S/Nº SA8408001153</v>
          </cell>
          <cell r="N2116">
            <v>1</v>
          </cell>
          <cell r="O2116" t="str">
            <v>EQUIPO DE OFICINA</v>
          </cell>
          <cell r="P2116">
            <v>53710</v>
          </cell>
          <cell r="T2116" t="str">
            <v>Bueno</v>
          </cell>
          <cell r="U2116" t="str">
            <v>Daewoo</v>
          </cell>
        </row>
        <row r="2117">
          <cell r="J2117" t="str">
            <v>42-05-02-01-2109</v>
          </cell>
          <cell r="K2117" t="str">
            <v>42-3292</v>
          </cell>
          <cell r="L2117" t="str">
            <v>42-05-02-01-2109</v>
          </cell>
          <cell r="M2117" t="str">
            <v>Balón terapeútico color azul</v>
          </cell>
          <cell r="N2117">
            <v>1</v>
          </cell>
          <cell r="O2117" t="str">
            <v>EQUIPOS CLINICOS</v>
          </cell>
          <cell r="P2117">
            <v>37000</v>
          </cell>
          <cell r="T2117" t="str">
            <v>Bueno</v>
          </cell>
          <cell r="U2117" t="str">
            <v>N/T</v>
          </cell>
        </row>
        <row r="2118">
          <cell r="J2118" t="str">
            <v>42-05-02-01-2110</v>
          </cell>
          <cell r="K2118" t="str">
            <v>42-3360</v>
          </cell>
          <cell r="L2118" t="str">
            <v>42-05-02-01-2110</v>
          </cell>
          <cell r="M2118" t="str">
            <v>Balón terapeútico color azul</v>
          </cell>
          <cell r="N2118">
            <v>1</v>
          </cell>
          <cell r="O2118" t="str">
            <v>EQUIPOS CLINICOS</v>
          </cell>
          <cell r="P2118">
            <v>37000</v>
          </cell>
          <cell r="T2118" t="str">
            <v>Malo</v>
          </cell>
          <cell r="U2118" t="str">
            <v>N/T</v>
          </cell>
        </row>
        <row r="2119">
          <cell r="J2119" t="str">
            <v>42-05-02-01-2111</v>
          </cell>
          <cell r="K2119" t="str">
            <v>42-3361</v>
          </cell>
          <cell r="L2119" t="str">
            <v>42-05-02-01-2111</v>
          </cell>
          <cell r="M2119" t="str">
            <v>Balón terapeútico color azul</v>
          </cell>
          <cell r="N2119">
            <v>1</v>
          </cell>
          <cell r="O2119" t="str">
            <v>EQUIPOS CLINICOS</v>
          </cell>
          <cell r="P2119">
            <v>37000</v>
          </cell>
          <cell r="T2119" t="str">
            <v>Malo</v>
          </cell>
          <cell r="U2119" t="str">
            <v>N/T</v>
          </cell>
        </row>
        <row r="2120">
          <cell r="J2120" t="str">
            <v>42-04-03-00-2112</v>
          </cell>
          <cell r="K2120" t="str">
            <v>42-3281</v>
          </cell>
          <cell r="L2120" t="str">
            <v>42-04-03-00-2112</v>
          </cell>
          <cell r="M2120" t="str">
            <v>Escritorio computación 1 cajón c/llave, color cerezo/negro</v>
          </cell>
          <cell r="O2120" t="str">
            <v>ESCRITORIOS</v>
          </cell>
          <cell r="P2120">
            <v>80300</v>
          </cell>
          <cell r="T2120" t="str">
            <v>Bueno</v>
          </cell>
          <cell r="U2120" t="str">
            <v>N/T</v>
          </cell>
        </row>
        <row r="2121">
          <cell r="J2121" t="str">
            <v>42-04-02-00-2113</v>
          </cell>
          <cell r="K2121" t="str">
            <v>42-3286</v>
          </cell>
          <cell r="L2121" t="str">
            <v>42-04-02-00-2113</v>
          </cell>
          <cell r="M2121" t="str">
            <v>Mesa infantil mixta con melamina color amarillo, c/ 4 sillas mixtas ( 2 rojas, 2 amarillas )</v>
          </cell>
          <cell r="O2121" t="str">
            <v>SILLAS</v>
          </cell>
          <cell r="P2121">
            <v>8951</v>
          </cell>
          <cell r="T2121" t="str">
            <v>Bueno</v>
          </cell>
          <cell r="U2121" t="str">
            <v>N/T</v>
          </cell>
        </row>
        <row r="2122">
          <cell r="J2122" t="str">
            <v>42-04-06-00-2114</v>
          </cell>
          <cell r="K2122" t="str">
            <v>42-3283</v>
          </cell>
          <cell r="L2122" t="str">
            <v>42-04-06-00-2114</v>
          </cell>
          <cell r="M2122" t="str">
            <v>Mueble masisa enchapada eucaliptus 2 puertas correderas c/llave</v>
          </cell>
          <cell r="O2122" t="str">
            <v>REPISA</v>
          </cell>
          <cell r="P2122">
            <v>96545</v>
          </cell>
          <cell r="T2122" t="str">
            <v>Bueno</v>
          </cell>
          <cell r="U2122" t="str">
            <v>N/T</v>
          </cell>
        </row>
        <row r="2123">
          <cell r="J2123" t="str">
            <v>42-04-07-00-2115</v>
          </cell>
          <cell r="K2123" t="str">
            <v>42-3291</v>
          </cell>
          <cell r="L2123" t="str">
            <v>42-04-07-00-2115</v>
          </cell>
          <cell r="M2123" t="str">
            <v>Mural con pertinencia intercultural</v>
          </cell>
          <cell r="O2123" t="str">
            <v>OTROS</v>
          </cell>
          <cell r="P2123">
            <v>25000</v>
          </cell>
          <cell r="T2123" t="str">
            <v>Bueno</v>
          </cell>
          <cell r="U2123" t="str">
            <v>N/T</v>
          </cell>
        </row>
        <row r="2124">
          <cell r="J2124" t="str">
            <v>42-04-07-00-2116</v>
          </cell>
          <cell r="K2124" t="str">
            <v>42-3284</v>
          </cell>
          <cell r="L2124" t="str">
            <v>42-04-07-00-2116</v>
          </cell>
          <cell r="M2124" t="str">
            <v>Respisa masisa enchapada eucaliptus 4 divisiones</v>
          </cell>
          <cell r="O2124" t="str">
            <v>OTROS</v>
          </cell>
          <cell r="P2124">
            <v>32264</v>
          </cell>
          <cell r="T2124" t="str">
            <v>Bueno</v>
          </cell>
          <cell r="U2124" t="str">
            <v>N/T</v>
          </cell>
        </row>
        <row r="2125">
          <cell r="J2125" t="str">
            <v>42-04-06-00-2117</v>
          </cell>
          <cell r="K2125" t="str">
            <v>42-3287</v>
          </cell>
          <cell r="L2125" t="str">
            <v>42-04-06-00-2117</v>
          </cell>
          <cell r="M2125" t="str">
            <v>Repisa masisa enchapada eucaliptus 3 divisiones</v>
          </cell>
          <cell r="O2125" t="str">
            <v>REPISA</v>
          </cell>
          <cell r="P2125">
            <v>36141</v>
          </cell>
          <cell r="T2125" t="str">
            <v>Bueno</v>
          </cell>
          <cell r="U2125" t="str">
            <v>N/T</v>
          </cell>
        </row>
        <row r="2126">
          <cell r="J2126" t="str">
            <v>42-04-02-00-2118</v>
          </cell>
          <cell r="K2126" t="str">
            <v>42-3282</v>
          </cell>
          <cell r="L2126" t="str">
            <v>42-04-02-00-2118</v>
          </cell>
          <cell r="M2126" t="str">
            <v>Silla computación con apoya brazos, 5 ruedas, color azul</v>
          </cell>
          <cell r="O2126" t="str">
            <v>SILLAS</v>
          </cell>
          <cell r="P2126">
            <v>42500</v>
          </cell>
          <cell r="T2126" t="str">
            <v>Bueno</v>
          </cell>
          <cell r="U2126" t="str">
            <v>N/T</v>
          </cell>
        </row>
        <row r="2127">
          <cell r="J2127" t="str">
            <v>42-04-02-00-2119</v>
          </cell>
          <cell r="K2127" t="str">
            <v>42-433</v>
          </cell>
          <cell r="L2127" t="str">
            <v>42-04-02-00-2119</v>
          </cell>
          <cell r="M2127" t="str">
            <v>Silla mixta asiento y respaldo en formalita</v>
          </cell>
          <cell r="O2127" t="str">
            <v>SILLAS</v>
          </cell>
          <cell r="P2127">
            <v>17850</v>
          </cell>
          <cell r="T2127" t="str">
            <v>Bueno</v>
          </cell>
          <cell r="U2127" t="str">
            <v>N/T</v>
          </cell>
        </row>
        <row r="2128">
          <cell r="J2128" t="str">
            <v>42-04-02-00-2120</v>
          </cell>
          <cell r="K2128" t="str">
            <v>42-930</v>
          </cell>
          <cell r="L2128" t="str">
            <v>42-04-02-00-2120</v>
          </cell>
          <cell r="M2128" t="str">
            <v>Silla mixta asiento y respaldo en formalita crema</v>
          </cell>
          <cell r="O2128" t="str">
            <v>SILLAS</v>
          </cell>
          <cell r="P2128">
            <v>17850</v>
          </cell>
          <cell r="T2128" t="str">
            <v>Bueno</v>
          </cell>
          <cell r="U2128" t="str">
            <v>N/T</v>
          </cell>
        </row>
        <row r="2129">
          <cell r="J2129" t="str">
            <v>42-05-01-01-2121</v>
          </cell>
          <cell r="K2129" t="str">
            <v>42-3499</v>
          </cell>
          <cell r="L2129" t="str">
            <v>42-05-01-01-2121</v>
          </cell>
          <cell r="M2129" t="str">
            <v>Citófono/ teléfono marca Nortel Network, Modelo 7000</v>
          </cell>
          <cell r="O2129" t="str">
            <v>EQUIPO DE OFICINA</v>
          </cell>
          <cell r="P2129">
            <v>36000</v>
          </cell>
          <cell r="T2129" t="str">
            <v>Bueno</v>
          </cell>
          <cell r="U2129" t="str">
            <v>Nortel Network</v>
          </cell>
        </row>
        <row r="2130">
          <cell r="J2130" t="str">
            <v>42-04-03-00-2122</v>
          </cell>
          <cell r="K2130" t="str">
            <v>42-1929</v>
          </cell>
          <cell r="L2130" t="str">
            <v>42-04-03-00-2122</v>
          </cell>
          <cell r="M2130" t="str">
            <v>Escritorio 3 cajones color natural 120x65x75 cms.</v>
          </cell>
          <cell r="O2130" t="str">
            <v>ESCRITORIOS</v>
          </cell>
          <cell r="P2130">
            <v>88350</v>
          </cell>
          <cell r="T2130" t="str">
            <v>Bueno</v>
          </cell>
          <cell r="U2130" t="str">
            <v>Olidata</v>
          </cell>
        </row>
        <row r="2131">
          <cell r="J2131" t="str">
            <v>42-04-07-00-2123</v>
          </cell>
          <cell r="K2131" t="str">
            <v>42-342</v>
          </cell>
          <cell r="L2131" t="str">
            <v>42-04-07-00-2123</v>
          </cell>
          <cell r="M2131" t="str">
            <v>Lámpara cuello flexible color blanca</v>
          </cell>
          <cell r="O2131" t="str">
            <v>OTROS</v>
          </cell>
          <cell r="P2131">
            <v>32130</v>
          </cell>
          <cell r="T2131" t="str">
            <v>Bueno</v>
          </cell>
          <cell r="U2131" t="str">
            <v>N/T</v>
          </cell>
        </row>
        <row r="2132">
          <cell r="J2132" t="str">
            <v>42-04-01-00-2124</v>
          </cell>
          <cell r="K2132" t="str">
            <v>42-373</v>
          </cell>
          <cell r="L2132" t="str">
            <v>42-04-01-00-2124</v>
          </cell>
          <cell r="M2132" t="str">
            <v>Mesa de madera con cubierta de formalita color negro</v>
          </cell>
          <cell r="O2132" t="str">
            <v>MESAS</v>
          </cell>
          <cell r="P2132">
            <v>44030</v>
          </cell>
          <cell r="T2132" t="str">
            <v>Bueno</v>
          </cell>
          <cell r="U2132" t="str">
            <v>N/T</v>
          </cell>
        </row>
        <row r="2133">
          <cell r="J2133" t="str">
            <v>42-04-02-00-2125</v>
          </cell>
          <cell r="K2133" t="str">
            <v>42-2734</v>
          </cell>
          <cell r="L2133" t="str">
            <v>42-04-02-00-2125</v>
          </cell>
          <cell r="M2133" t="str">
            <v>Silla giratoria regulable con pistón de aire color plomo</v>
          </cell>
          <cell r="O2133" t="str">
            <v>SILLAS</v>
          </cell>
          <cell r="P2133">
            <v>42500</v>
          </cell>
          <cell r="T2133" t="str">
            <v>Bueno</v>
          </cell>
          <cell r="U2133" t="str">
            <v>N/T</v>
          </cell>
        </row>
        <row r="2134">
          <cell r="J2134" t="str">
            <v>42-04-02-00-2126</v>
          </cell>
          <cell r="K2134" t="str">
            <v>42-2830</v>
          </cell>
          <cell r="L2134" t="str">
            <v>42-04-02-00-2126</v>
          </cell>
          <cell r="M2134" t="str">
            <v>Silla conputación G lift 5 ruedas color azul</v>
          </cell>
          <cell r="O2134" t="str">
            <v>SILLAS</v>
          </cell>
          <cell r="P2134">
            <v>42500</v>
          </cell>
          <cell r="T2134" t="str">
            <v>Bueno</v>
          </cell>
          <cell r="U2134" t="str">
            <v>N/T</v>
          </cell>
        </row>
        <row r="2135">
          <cell r="J2135" t="str">
            <v>42-05-02-01-2127</v>
          </cell>
          <cell r="K2135" t="str">
            <v>42-335</v>
          </cell>
          <cell r="L2135" t="str">
            <v>42-05-02-01-2127</v>
          </cell>
          <cell r="M2135" t="str">
            <v>Escabel mixto 2 peldaños color blanco</v>
          </cell>
          <cell r="O2135" t="str">
            <v>EQUIPOS CLINICOS</v>
          </cell>
          <cell r="P2135">
            <v>17150</v>
          </cell>
          <cell r="T2135" t="str">
            <v>Bueno</v>
          </cell>
          <cell r="U2135" t="str">
            <v>N/T</v>
          </cell>
        </row>
        <row r="2136">
          <cell r="J2136" t="str">
            <v>42-05-02-01-2128</v>
          </cell>
          <cell r="K2136" t="str">
            <v>42-325</v>
          </cell>
          <cell r="L2136" t="str">
            <v>42-05-02-01-2128</v>
          </cell>
          <cell r="M2136" t="str">
            <v>Escabel mixto 2 peldaños color negro y blanco</v>
          </cell>
          <cell r="O2136" t="str">
            <v>EQUIPOS CLINICOS</v>
          </cell>
          <cell r="P2136">
            <v>17150</v>
          </cell>
          <cell r="T2136" t="str">
            <v>Bueno</v>
          </cell>
          <cell r="U2136" t="str">
            <v>N/T</v>
          </cell>
        </row>
        <row r="2137">
          <cell r="J2137" t="str">
            <v>42-05-02-01-2129</v>
          </cell>
          <cell r="K2137" t="str">
            <v>42-301</v>
          </cell>
          <cell r="L2137" t="str">
            <v>42-05-02-01-2129</v>
          </cell>
          <cell r="M2137" t="str">
            <v>Mesa ginecológica color blanco con colchoneta color café</v>
          </cell>
          <cell r="O2137" t="str">
            <v>EQUIPOS CLINICOS</v>
          </cell>
          <cell r="P2137">
            <v>45788</v>
          </cell>
          <cell r="T2137" t="str">
            <v>Bueno</v>
          </cell>
          <cell r="U2137" t="str">
            <v>N/T</v>
          </cell>
        </row>
        <row r="2138">
          <cell r="J2138" t="str">
            <v>42-04-02-00-2130</v>
          </cell>
          <cell r="K2138" t="str">
            <v>42-332</v>
          </cell>
          <cell r="L2138" t="str">
            <v>42-04-02-00-2130</v>
          </cell>
          <cell r="M2138" t="str">
            <v>Silla de madera color blanco</v>
          </cell>
          <cell r="O2138" t="str">
            <v>SILLAS</v>
          </cell>
          <cell r="P2138">
            <v>7500</v>
          </cell>
          <cell r="T2138" t="str">
            <v>Bueno</v>
          </cell>
          <cell r="U2138" t="str">
            <v>N/T</v>
          </cell>
        </row>
        <row r="2139">
          <cell r="J2139" t="str">
            <v>42-04-06-00-2131</v>
          </cell>
          <cell r="K2139" t="str">
            <v>42-334</v>
          </cell>
          <cell r="L2139" t="str">
            <v>42-04-06-00-2131</v>
          </cell>
          <cell r="M2139" t="str">
            <v>Vitrina metálica color blanco de vidrio, 2 puertas de 50x62x26 cms.</v>
          </cell>
          <cell r="O2139" t="str">
            <v>REPISA</v>
          </cell>
          <cell r="P2139">
            <v>145214</v>
          </cell>
          <cell r="T2139" t="str">
            <v>Bueno</v>
          </cell>
          <cell r="U2139" t="str">
            <v>N/T</v>
          </cell>
        </row>
        <row r="2140">
          <cell r="J2140" t="str">
            <v>42-05-01-01-2132</v>
          </cell>
          <cell r="K2140" t="str">
            <v>42-1974</v>
          </cell>
          <cell r="L2140" t="str">
            <v>42-05-01-01-2132</v>
          </cell>
          <cell r="M2140" t="str">
            <v>Citófono/ teléfono marca Nortel Network, Modelo 7000</v>
          </cell>
          <cell r="O2140" t="str">
            <v>EQUIPO DE OFICINA</v>
          </cell>
          <cell r="P2140">
            <v>36000</v>
          </cell>
          <cell r="T2140" t="str">
            <v>Bueno</v>
          </cell>
          <cell r="U2140" t="str">
            <v>Nortel Network</v>
          </cell>
        </row>
        <row r="2141">
          <cell r="J2141" t="str">
            <v>42-04-03-00-2133</v>
          </cell>
          <cell r="K2141" t="str">
            <v>42-322</v>
          </cell>
          <cell r="L2141" t="str">
            <v>42-04-03-00-2133</v>
          </cell>
          <cell r="M2141" t="str">
            <v>Escritorio mixto barniz natural 2 cajones de 150x75x80 cms.</v>
          </cell>
          <cell r="O2141" t="str">
            <v>ESCRITORIOS</v>
          </cell>
          <cell r="P2141">
            <v>88350</v>
          </cell>
          <cell r="T2141" t="str">
            <v>Bueno</v>
          </cell>
          <cell r="U2141" t="str">
            <v>N/T</v>
          </cell>
        </row>
        <row r="2142">
          <cell r="J2142" t="str">
            <v>42-04-06-00-2134</v>
          </cell>
          <cell r="K2142" t="str">
            <v>42-3343</v>
          </cell>
          <cell r="L2142" t="str">
            <v>42-04-06-00-2134</v>
          </cell>
          <cell r="M2142" t="str">
            <v>Repisa enchapada 3 divisiones barniz natural 40x50x22 cms.</v>
          </cell>
          <cell r="O2142" t="str">
            <v>REPISA</v>
          </cell>
          <cell r="P2142">
            <v>120000</v>
          </cell>
          <cell r="T2142" t="str">
            <v>Bueno</v>
          </cell>
          <cell r="U2142" t="str">
            <v>N/T</v>
          </cell>
        </row>
        <row r="2143">
          <cell r="J2143" t="str">
            <v>42-04-02-00-2135</v>
          </cell>
          <cell r="K2143" t="str">
            <v>42-323</v>
          </cell>
          <cell r="L2143" t="str">
            <v>42-04-02-00-2135</v>
          </cell>
          <cell r="M2143" t="str">
            <v>Silla de madera color blanco</v>
          </cell>
          <cell r="O2143" t="str">
            <v>SILLAS</v>
          </cell>
          <cell r="P2143">
            <v>17850</v>
          </cell>
          <cell r="T2143" t="str">
            <v>Malo</v>
          </cell>
          <cell r="U2143" t="str">
            <v>N/T</v>
          </cell>
        </row>
        <row r="2144">
          <cell r="J2144" t="str">
            <v>42-04-02-00-2136</v>
          </cell>
          <cell r="K2144" t="str">
            <v>42-258 B</v>
          </cell>
          <cell r="L2144" t="str">
            <v>42-04-02-00-2136</v>
          </cell>
          <cell r="M2144" t="str">
            <v>Silla mixta barniz natural</v>
          </cell>
          <cell r="O2144" t="str">
            <v>SILLAS</v>
          </cell>
          <cell r="P2144">
            <v>17850</v>
          </cell>
          <cell r="T2144" t="str">
            <v>Bueno</v>
          </cell>
          <cell r="U2144" t="str">
            <v>N/T</v>
          </cell>
        </row>
        <row r="2145">
          <cell r="J2145" t="str">
            <v>42-04-02-00-2137</v>
          </cell>
          <cell r="K2145" t="str">
            <v>42-2001</v>
          </cell>
          <cell r="L2145" t="str">
            <v>42-04-02-00-2137</v>
          </cell>
          <cell r="M2145" t="str">
            <v>Silla Ergonometrica color azul, 5 ruedas ( MEL )</v>
          </cell>
          <cell r="O2145" t="str">
            <v>SILLAS</v>
          </cell>
          <cell r="P2145">
            <v>42500</v>
          </cell>
          <cell r="T2145" t="str">
            <v>Bueno</v>
          </cell>
          <cell r="U2145" t="str">
            <v>N/T</v>
          </cell>
        </row>
        <row r="2146">
          <cell r="J2146" t="str">
            <v>42-04-07-00-2138</v>
          </cell>
          <cell r="K2146" t="str">
            <v>42-1047</v>
          </cell>
          <cell r="L2146" t="str">
            <v>42-04-07-00-2138</v>
          </cell>
          <cell r="M2146" t="str">
            <v>Loker metálico plomo puerta verde marca Mindugar</v>
          </cell>
          <cell r="O2146" t="str">
            <v>OTROS</v>
          </cell>
          <cell r="P2146">
            <v>92220</v>
          </cell>
          <cell r="T2146" t="str">
            <v>Bueno</v>
          </cell>
          <cell r="U2146" t="str">
            <v>N/T</v>
          </cell>
        </row>
        <row r="2147">
          <cell r="J2147" t="str">
            <v>42-04-07-00-2139</v>
          </cell>
          <cell r="K2147" t="str">
            <v>42-298</v>
          </cell>
          <cell r="L2147" t="str">
            <v>42-04-07-00-2139</v>
          </cell>
          <cell r="M2147" t="str">
            <v>Diván estructura metálica tapizado en pergamoide verde 200x60x56 cms.</v>
          </cell>
          <cell r="O2147" t="str">
            <v>OTROS</v>
          </cell>
          <cell r="P2147">
            <v>202300</v>
          </cell>
          <cell r="T2147" t="str">
            <v>Bueno</v>
          </cell>
          <cell r="U2147" t="str">
            <v>N/T</v>
          </cell>
        </row>
        <row r="2148">
          <cell r="J2148" t="str">
            <v>42-05-02-01-2140</v>
          </cell>
          <cell r="K2148" t="str">
            <v>42-3204</v>
          </cell>
          <cell r="L2148" t="str">
            <v>42-05-02-01-2140</v>
          </cell>
          <cell r="M2148" t="str">
            <v>Pesa adulto marca Seca Cap. Max. 140 Kgs</v>
          </cell>
          <cell r="O2148" t="str">
            <v>EQUIPOS CLINICOS</v>
          </cell>
          <cell r="P2148">
            <v>165648</v>
          </cell>
          <cell r="T2148" t="str">
            <v>Malo</v>
          </cell>
          <cell r="U2148" t="str">
            <v>N/T</v>
          </cell>
        </row>
        <row r="2149">
          <cell r="J2149" t="str">
            <v>42-04-06-00-2141</v>
          </cell>
          <cell r="K2149" t="str">
            <v>42-324</v>
          </cell>
          <cell r="L2149" t="str">
            <v>42-04-06-00-2141</v>
          </cell>
          <cell r="M2149" t="str">
            <v>Vitrina metálica mural 2 puertas de vidrio de 98x80x34 cms.</v>
          </cell>
          <cell r="O2149" t="str">
            <v>REPISA</v>
          </cell>
          <cell r="P2149">
            <v>145214</v>
          </cell>
          <cell r="T2149" t="str">
            <v>Bueno</v>
          </cell>
          <cell r="U2149" t="str">
            <v>N/T</v>
          </cell>
        </row>
        <row r="2150">
          <cell r="J2150" t="str">
            <v>42-04-07-00-2142</v>
          </cell>
          <cell r="K2150" t="str">
            <v>42-2715</v>
          </cell>
          <cell r="L2150" t="str">
            <v>42-04-07-00-2142</v>
          </cell>
          <cell r="M2150" t="str">
            <v>Mural blanco con plumavit 200x51 cms.</v>
          </cell>
          <cell r="O2150" t="str">
            <v>OTROS</v>
          </cell>
          <cell r="P2150">
            <v>29750</v>
          </cell>
          <cell r="T2150" t="str">
            <v>Bueno</v>
          </cell>
          <cell r="U2150" t="str">
            <v>N/T</v>
          </cell>
        </row>
        <row r="2151">
          <cell r="J2151" t="str">
            <v>42-05-01-01-2143</v>
          </cell>
          <cell r="K2151" t="str">
            <v>42-1972</v>
          </cell>
          <cell r="L2151" t="str">
            <v>42-05-01-01-2143</v>
          </cell>
          <cell r="M2151" t="str">
            <v>Citófono/ teléfono marca Nortel Network, Modelo 7000</v>
          </cell>
          <cell r="O2151" t="str">
            <v>EQUIPO DE OFICINA</v>
          </cell>
          <cell r="P2151">
            <v>36000</v>
          </cell>
          <cell r="T2151" t="str">
            <v>Bueno</v>
          </cell>
          <cell r="U2151" t="str">
            <v>Nortel Network</v>
          </cell>
        </row>
        <row r="2152">
          <cell r="J2152" t="str">
            <v>42-05-01-01-2144</v>
          </cell>
          <cell r="K2152" t="str">
            <v>42-1972</v>
          </cell>
          <cell r="L2152" t="str">
            <v>42-05-01-01-2144</v>
          </cell>
          <cell r="M2152" t="str">
            <v>Citófono/ teléfono marca Nortel Network, Modelo 7000</v>
          </cell>
          <cell r="O2152" t="str">
            <v>EQUIPO DE OFICINA</v>
          </cell>
          <cell r="P2152">
            <v>36000</v>
          </cell>
          <cell r="T2152" t="str">
            <v>Bueno</v>
          </cell>
          <cell r="U2152" t="str">
            <v>Nortel Network</v>
          </cell>
        </row>
        <row r="2153">
          <cell r="J2153" t="str">
            <v>NN-06-01-00-2145</v>
          </cell>
          <cell r="K2153" t="str">
            <v>SC-00001</v>
          </cell>
          <cell r="L2153" t="str">
            <v>NN-06-01-00-2145</v>
          </cell>
          <cell r="M2153" t="str">
            <v>Notebook marca Olidata Modelo Nº U41IL1 S/Nº SZSU41IL191600197</v>
          </cell>
          <cell r="O2153" t="str">
            <v>EQUIPOS COMPUTACIONALES Y PERIFÉRICOS EN ARRIENDO</v>
          </cell>
          <cell r="P2153">
            <v>400000</v>
          </cell>
          <cell r="T2153" t="str">
            <v>Bueno</v>
          </cell>
          <cell r="U2153" t="str">
            <v>Olidata</v>
          </cell>
        </row>
        <row r="2154">
          <cell r="J2154" t="str">
            <v>NN-06-01-00-2146</v>
          </cell>
          <cell r="K2154" t="str">
            <v>SC-00002</v>
          </cell>
          <cell r="L2154" t="str">
            <v>NN-06-01-00-2146</v>
          </cell>
          <cell r="M2154" t="str">
            <v>Notebook marca Olidata Modelo Nº U41IL1 S/Nº SZSU41IL191600193</v>
          </cell>
          <cell r="O2154" t="str">
            <v>EQUIPOS COMPUTACIONALES Y PERIFÉRICOS EN ARRIENDO</v>
          </cell>
          <cell r="P2154">
            <v>400000</v>
          </cell>
          <cell r="T2154" t="str">
            <v>Bueno</v>
          </cell>
          <cell r="U2154" t="str">
            <v>Olidata</v>
          </cell>
        </row>
        <row r="2155">
          <cell r="J2155" t="str">
            <v>NN-06-01-00-2147</v>
          </cell>
          <cell r="K2155" t="str">
            <v>SC-00003</v>
          </cell>
          <cell r="L2155" t="str">
            <v>NN-06-01-00-2147</v>
          </cell>
          <cell r="M2155" t="str">
            <v>Computador marca Olidata Nº ID A 72596</v>
          </cell>
          <cell r="O2155" t="str">
            <v>EQUIPOS COMPUTACIONALES Y PERIFÉRICOS EN ARRIENDO</v>
          </cell>
          <cell r="P2155">
            <v>142800</v>
          </cell>
          <cell r="T2155" t="str">
            <v>Bueno</v>
          </cell>
          <cell r="U2155" t="str">
            <v>Olidata</v>
          </cell>
        </row>
        <row r="2156">
          <cell r="J2156" t="str">
            <v>NN-06-01-00-2148</v>
          </cell>
          <cell r="K2156" t="str">
            <v>SC-00004</v>
          </cell>
          <cell r="L2156" t="str">
            <v>NN-06-01-00-2148</v>
          </cell>
          <cell r="M2156" t="str">
            <v>Monitor LCD Olidata 17" Mod. 7005L11 S/Nº 75LN11-75K2372-01566D</v>
          </cell>
          <cell r="O2156" t="str">
            <v>EQUIPOS COMPUTACIONALES Y PERIFÉRICOS EN ARRIENDO</v>
          </cell>
          <cell r="P2156">
            <v>14000</v>
          </cell>
          <cell r="T2156" t="str">
            <v>Bueno</v>
          </cell>
          <cell r="U2156" t="str">
            <v>Olidata</v>
          </cell>
        </row>
        <row r="2157">
          <cell r="J2157" t="str">
            <v>NN-06-01-00-2149</v>
          </cell>
          <cell r="K2157" t="str">
            <v>SC-00005</v>
          </cell>
          <cell r="L2157" t="str">
            <v>NN-06-01-00-2149</v>
          </cell>
          <cell r="M2157" t="str">
            <v>Teclado Olidata Mod. K 7563 S/Nº K 75630703004119</v>
          </cell>
          <cell r="O2157" t="str">
            <v>EQUIPOS COMPUTACIONALES Y PERIFÉRICOS EN ARRIENDO</v>
          </cell>
          <cell r="P2157">
            <v>4000</v>
          </cell>
          <cell r="T2157" t="str">
            <v>Bueno</v>
          </cell>
          <cell r="U2157" t="str">
            <v>Olidata</v>
          </cell>
        </row>
        <row r="2158">
          <cell r="J2158" t="str">
            <v>NN-06-01-00-2150</v>
          </cell>
          <cell r="K2158" t="str">
            <v>SC-00006</v>
          </cell>
          <cell r="L2158" t="str">
            <v>NN-06-01-00-2150</v>
          </cell>
          <cell r="M2158" t="str">
            <v>Mouse Optico Olidata Mod- KM 8920</v>
          </cell>
          <cell r="O2158" t="str">
            <v>EQUIPOS COMPUTACIONALES Y PERIFÉRICOS EN ARRIENDO</v>
          </cell>
          <cell r="P2158">
            <v>3000</v>
          </cell>
          <cell r="T2158" t="str">
            <v>Bueno</v>
          </cell>
          <cell r="U2158" t="str">
            <v>Olidata</v>
          </cell>
        </row>
        <row r="2159">
          <cell r="J2159" t="str">
            <v>42-06-01-00-2151</v>
          </cell>
          <cell r="K2159" t="str">
            <v>SC-00007</v>
          </cell>
          <cell r="L2159" t="str">
            <v>42-06-01-00-2151</v>
          </cell>
          <cell r="M2159" t="str">
            <v>Fotocopiadora Toshiba E-Studio 35 Mod. DP-3500 Nº CUK255868</v>
          </cell>
          <cell r="O2159" t="str">
            <v>EQUIPOS COMPUTACIONALES Y PERIFÉRICOS</v>
          </cell>
          <cell r="P2159">
            <v>230000</v>
          </cell>
          <cell r="T2159" t="str">
            <v>Bueno</v>
          </cell>
          <cell r="U2159" t="str">
            <v>Toshiba</v>
          </cell>
        </row>
        <row r="2160">
          <cell r="J2160" t="str">
            <v>42-05-01-01-2152</v>
          </cell>
          <cell r="K2160" t="str">
            <v>SC-00008</v>
          </cell>
          <cell r="L2160" t="str">
            <v>42-05-01-01-2152</v>
          </cell>
          <cell r="M2160" t="str">
            <v>Porta Scotch Grande color Negro</v>
          </cell>
          <cell r="O2160" t="str">
            <v>EQUIPO DE OFICINA</v>
          </cell>
          <cell r="P2160">
            <v>4000</v>
          </cell>
          <cell r="T2160" t="str">
            <v>Malo</v>
          </cell>
          <cell r="U2160" t="str">
            <v>N/T</v>
          </cell>
        </row>
        <row r="2161">
          <cell r="J2161" t="str">
            <v>FN-04-07-00-2153</v>
          </cell>
          <cell r="K2161" t="str">
            <v>SC-00009</v>
          </cell>
          <cell r="L2161" t="str">
            <v>FN-04-07-00-2153</v>
          </cell>
          <cell r="M2161" t="str">
            <v>Porta cortinas metálico</v>
          </cell>
          <cell r="O2161" t="str">
            <v>OTROS FUNGIBLE / NOMINABLE</v>
          </cell>
          <cell r="P2161">
            <v>2000</v>
          </cell>
          <cell r="T2161" t="str">
            <v>Bueno</v>
          </cell>
          <cell r="U2161" t="str">
            <v>N/T</v>
          </cell>
        </row>
        <row r="2162">
          <cell r="J2162" t="str">
            <v>FN-04-07-00-2154</v>
          </cell>
          <cell r="K2162" t="str">
            <v>SC-00010</v>
          </cell>
          <cell r="L2162" t="str">
            <v>FN-04-07-00-2154</v>
          </cell>
          <cell r="M2162" t="str">
            <v>Cortinas de chinz verdes</v>
          </cell>
          <cell r="O2162" t="str">
            <v>OTROS FUNGIBLE / NOMINABLE</v>
          </cell>
          <cell r="P2162">
            <v>6800</v>
          </cell>
          <cell r="T2162" t="str">
            <v>Bueno</v>
          </cell>
          <cell r="U2162" t="str">
            <v>N/T</v>
          </cell>
        </row>
        <row r="2163">
          <cell r="J2163" t="str">
            <v>42-05-01-01-2155</v>
          </cell>
          <cell r="K2163" t="str">
            <v>SC-00011</v>
          </cell>
          <cell r="L2163" t="str">
            <v>42-05-01-01-2155</v>
          </cell>
          <cell r="M2163" t="str">
            <v>Corchetera Marca Torre color Negro</v>
          </cell>
          <cell r="O2163" t="str">
            <v>EQUIPO DE OFICINA</v>
          </cell>
          <cell r="P2163">
            <v>4000</v>
          </cell>
          <cell r="T2163" t="str">
            <v>Bueno</v>
          </cell>
          <cell r="U2163" t="str">
            <v>Torre</v>
          </cell>
        </row>
        <row r="2164">
          <cell r="J2164" t="str">
            <v>42-04-07-00-2156</v>
          </cell>
          <cell r="K2164" t="str">
            <v>SC-00012</v>
          </cell>
          <cell r="L2164" t="str">
            <v>42-04-07-00-2156</v>
          </cell>
          <cell r="M2164" t="str">
            <v>Basurero plástico color blanco</v>
          </cell>
          <cell r="O2164" t="str">
            <v>OTROS</v>
          </cell>
          <cell r="P2164">
            <v>2500</v>
          </cell>
          <cell r="T2164" t="str">
            <v>Bueno</v>
          </cell>
          <cell r="U2164" t="str">
            <v>N/T</v>
          </cell>
        </row>
        <row r="2165">
          <cell r="J2165" t="str">
            <v>42-04-07-00-2157</v>
          </cell>
          <cell r="K2165" t="str">
            <v>SC-00013</v>
          </cell>
          <cell r="L2165" t="str">
            <v>42-04-07-00-2157</v>
          </cell>
          <cell r="M2165" t="str">
            <v>Porta jabón</v>
          </cell>
          <cell r="O2165" t="str">
            <v>OTROS</v>
          </cell>
          <cell r="P2165">
            <v>4000</v>
          </cell>
          <cell r="T2165" t="str">
            <v>Bueno</v>
          </cell>
          <cell r="U2165" t="str">
            <v>N/T</v>
          </cell>
        </row>
        <row r="2166">
          <cell r="J2166" t="str">
            <v>42-04-07-00-2158</v>
          </cell>
          <cell r="K2166" t="str">
            <v>SC-00014</v>
          </cell>
          <cell r="L2166" t="str">
            <v>42-04-07-00-2158</v>
          </cell>
          <cell r="M2166" t="str">
            <v>Porta toalla</v>
          </cell>
          <cell r="O2166" t="str">
            <v>OTROS</v>
          </cell>
          <cell r="P2166">
            <v>4000</v>
          </cell>
          <cell r="T2166" t="str">
            <v>Bueno</v>
          </cell>
          <cell r="U2166" t="str">
            <v>N/T</v>
          </cell>
        </row>
        <row r="2167">
          <cell r="J2167" t="str">
            <v>42-04-07-00-2159</v>
          </cell>
          <cell r="K2167" t="str">
            <v>SC-00015</v>
          </cell>
          <cell r="L2167" t="str">
            <v>42-04-07-00-2159</v>
          </cell>
          <cell r="M2167" t="str">
            <v>Porta confort</v>
          </cell>
          <cell r="O2167" t="str">
            <v>OTROS</v>
          </cell>
          <cell r="P2167">
            <v>4000</v>
          </cell>
          <cell r="T2167" t="str">
            <v>Bueno</v>
          </cell>
          <cell r="U2167" t="str">
            <v>N/T</v>
          </cell>
        </row>
        <row r="2168">
          <cell r="J2168" t="str">
            <v>42-04-07-00-2160</v>
          </cell>
          <cell r="K2168" t="str">
            <v>SC-00016</v>
          </cell>
          <cell r="L2168" t="str">
            <v>42-04-07-00-2160</v>
          </cell>
          <cell r="M2168" t="str">
            <v>Basurero plástico c/tapa color blanco</v>
          </cell>
          <cell r="O2168" t="str">
            <v>OTROS</v>
          </cell>
          <cell r="P2168">
            <v>3400</v>
          </cell>
          <cell r="T2168" t="str">
            <v>Bueno</v>
          </cell>
          <cell r="U2168" t="str">
            <v>N/T</v>
          </cell>
        </row>
        <row r="2169">
          <cell r="J2169" t="str">
            <v>42-06-01-00-2161</v>
          </cell>
          <cell r="K2169" t="str">
            <v>SC-00017</v>
          </cell>
          <cell r="L2169" t="str">
            <v>42-06-01-00-2161</v>
          </cell>
          <cell r="M2169" t="str">
            <v>Computador HP S/Nº MXL7420MSQ ( INDRA )</v>
          </cell>
          <cell r="O2169" t="str">
            <v>EQUIPOS COMPUTACIONALES Y PERIFÉRICOS</v>
          </cell>
          <cell r="P2169">
            <v>142800</v>
          </cell>
          <cell r="T2169" t="str">
            <v>Bueno</v>
          </cell>
          <cell r="U2169" t="str">
            <v>Indra</v>
          </cell>
        </row>
        <row r="2170">
          <cell r="J2170" t="str">
            <v>42-06-01-00-2162</v>
          </cell>
          <cell r="K2170" t="str">
            <v>SC-00018</v>
          </cell>
          <cell r="L2170" t="str">
            <v>42-06-01-00-2162</v>
          </cell>
          <cell r="M2170" t="str">
            <v>Monitor Samsung Sync Master Mod. 720n S/Nº MJ17H9FP763090F  ( INDRA )</v>
          </cell>
          <cell r="O2170" t="str">
            <v>EQUIPOS COMPUTACIONALES Y PERIFÉRICOS</v>
          </cell>
          <cell r="P2170">
            <v>14000</v>
          </cell>
          <cell r="T2170" t="str">
            <v>Bueno</v>
          </cell>
          <cell r="U2170" t="str">
            <v>Samsung</v>
          </cell>
        </row>
        <row r="2171">
          <cell r="J2171" t="str">
            <v>42-06-01-00-2163</v>
          </cell>
          <cell r="K2171" t="str">
            <v>SC-00019</v>
          </cell>
          <cell r="L2171" t="str">
            <v>42-06-01-00-2163</v>
          </cell>
          <cell r="M2171" t="str">
            <v>Teclado HP Mod. KB 0316 S/Nº BC3370BVBUQ1XY ( INDRA )</v>
          </cell>
          <cell r="O2171" t="str">
            <v>EQUIPOS COMPUTACIONALES Y PERIFÉRICOS</v>
          </cell>
          <cell r="P2171">
            <v>4000</v>
          </cell>
          <cell r="T2171" t="str">
            <v>Bueno</v>
          </cell>
          <cell r="U2171" t="str">
            <v>Indra</v>
          </cell>
        </row>
        <row r="2172">
          <cell r="J2172" t="str">
            <v>42-06-01-00-2164</v>
          </cell>
          <cell r="K2172" t="str">
            <v>SC-00020</v>
          </cell>
          <cell r="L2172" t="str">
            <v>42-06-01-00-2164</v>
          </cell>
          <cell r="M2172" t="str">
            <v>Mouse HP Mod. M-SBF 96 S/Nº FB7330AN3V02D2M ( INDRA )</v>
          </cell>
          <cell r="O2172" t="str">
            <v>EQUIPOS COMPUTACIONALES Y PERIFÉRICOS</v>
          </cell>
          <cell r="P2172">
            <v>3000</v>
          </cell>
          <cell r="T2172" t="str">
            <v>Bueno</v>
          </cell>
          <cell r="U2172" t="str">
            <v>Indra</v>
          </cell>
        </row>
        <row r="2173">
          <cell r="J2173" t="str">
            <v>42-05-01-01-2165</v>
          </cell>
          <cell r="K2173" t="str">
            <v>SC-00021</v>
          </cell>
          <cell r="L2173" t="str">
            <v>42-05-01-01-2165</v>
          </cell>
          <cell r="M2173" t="str">
            <v>Impresora HP Laser Jet P2035n Mod. CE462A S/Nº BRBS95LG41 ( INDRA )</v>
          </cell>
          <cell r="O2173" t="str">
            <v>EQUIPO DE OFICINA</v>
          </cell>
          <cell r="P2173">
            <v>78057</v>
          </cell>
          <cell r="T2173" t="str">
            <v>Bueno</v>
          </cell>
          <cell r="U2173" t="str">
            <v>Hp Laser</v>
          </cell>
        </row>
        <row r="2174">
          <cell r="J2174" t="str">
            <v>NN-06-01-00-2166</v>
          </cell>
          <cell r="K2174" t="str">
            <v>SC-00022</v>
          </cell>
          <cell r="L2174" t="str">
            <v>NN-06-01-00-2166</v>
          </cell>
          <cell r="M2174" t="str">
            <v>Computador Olidata Nº ID A 2601 S/Nº 008920-000351</v>
          </cell>
          <cell r="O2174" t="str">
            <v>EQUIPOS COMPUTACIONALES Y PERIFÉRICOS EN ARRIENDO</v>
          </cell>
          <cell r="P2174">
            <v>142800</v>
          </cell>
          <cell r="T2174" t="str">
            <v>Bueno</v>
          </cell>
          <cell r="U2174" t="str">
            <v>Olidata</v>
          </cell>
        </row>
        <row r="2175">
          <cell r="J2175" t="str">
            <v>NN-06-01-00-2167</v>
          </cell>
          <cell r="K2175" t="str">
            <v>SC-00023</v>
          </cell>
          <cell r="L2175" t="str">
            <v>NN-06-01-00-2167</v>
          </cell>
          <cell r="M2175" t="str">
            <v>Monitor LCD Olidata 17" Mod.7005L11 S/Nº 75L11N-75K2372-02063E</v>
          </cell>
          <cell r="O2175" t="str">
            <v>EQUIPOS COMPUTACIONALES Y PERIFÉRICOS EN ARRIENDO</v>
          </cell>
          <cell r="P2175">
            <v>14000</v>
          </cell>
          <cell r="T2175" t="str">
            <v>Bueno</v>
          </cell>
          <cell r="U2175" t="str">
            <v>Olidata</v>
          </cell>
        </row>
        <row r="2176">
          <cell r="J2176" t="str">
            <v>NN-06-01-00-2168</v>
          </cell>
          <cell r="K2176" t="str">
            <v>SC-00024</v>
          </cell>
          <cell r="L2176" t="str">
            <v>NN-06-01-00-2168</v>
          </cell>
          <cell r="M2176" t="str">
            <v>Teclado Olidata Mod. K 7563 S/Nº K75630703002140</v>
          </cell>
          <cell r="O2176" t="str">
            <v>EQUIPOS COMPUTACIONALES Y PERIFÉRICOS EN ARRIENDO</v>
          </cell>
          <cell r="P2176">
            <v>4000</v>
          </cell>
          <cell r="T2176" t="str">
            <v>Bueno</v>
          </cell>
          <cell r="U2176" t="str">
            <v>Olidata</v>
          </cell>
        </row>
        <row r="2177">
          <cell r="J2177" t="str">
            <v>NN-06-01-00-2169</v>
          </cell>
          <cell r="K2177" t="str">
            <v>SC-00025</v>
          </cell>
          <cell r="L2177" t="str">
            <v>NN-06-01-00-2169</v>
          </cell>
          <cell r="M2177" t="str">
            <v>Mouse optico Olidata Mod. KM 8920</v>
          </cell>
          <cell r="O2177" t="str">
            <v>EQUIPOS COMPUTACIONALES Y PERIFÉRICOS EN ARRIENDO</v>
          </cell>
          <cell r="P2177">
            <v>3000</v>
          </cell>
          <cell r="T2177" t="str">
            <v>Bueno</v>
          </cell>
          <cell r="U2177" t="str">
            <v>Olidata</v>
          </cell>
        </row>
        <row r="2178">
          <cell r="J2178" t="str">
            <v>42-05-01-01-2170</v>
          </cell>
          <cell r="K2178" t="str">
            <v>SC-00026</v>
          </cell>
          <cell r="L2178" t="str">
            <v>42-05-01-01-2170</v>
          </cell>
          <cell r="M2178" t="str">
            <v>Porta timbres color verde</v>
          </cell>
          <cell r="O2178" t="str">
            <v>EQUIPO DE OFICINA</v>
          </cell>
          <cell r="P2178">
            <v>4998</v>
          </cell>
          <cell r="T2178" t="str">
            <v>Bueno</v>
          </cell>
          <cell r="U2178" t="str">
            <v>N/T</v>
          </cell>
        </row>
        <row r="2179">
          <cell r="J2179" t="str">
            <v>42-05-01-01-2171</v>
          </cell>
          <cell r="K2179" t="str">
            <v>SC-00027</v>
          </cell>
          <cell r="L2179" t="str">
            <v>42-05-01-01-2171</v>
          </cell>
          <cell r="M2179" t="str">
            <v>Porta scotch</v>
          </cell>
          <cell r="O2179" t="str">
            <v>EQUIPO DE OFICINA</v>
          </cell>
          <cell r="P2179">
            <v>1230</v>
          </cell>
          <cell r="T2179" t="str">
            <v>Bueno</v>
          </cell>
          <cell r="U2179" t="str">
            <v>N/T</v>
          </cell>
        </row>
        <row r="2180">
          <cell r="J2180" t="str">
            <v>42-05-01-01-2172</v>
          </cell>
          <cell r="K2180" t="str">
            <v>SC-00028</v>
          </cell>
          <cell r="L2180" t="str">
            <v>42-05-01-01-2172</v>
          </cell>
          <cell r="M2180" t="str">
            <v>Corchetera marca Torre chica color negro</v>
          </cell>
          <cell r="O2180" t="str">
            <v>EQUIPO DE OFICINA</v>
          </cell>
          <cell r="P2180">
            <v>3439</v>
          </cell>
          <cell r="T2180" t="str">
            <v>Bueno</v>
          </cell>
          <cell r="U2180" t="str">
            <v>Torre</v>
          </cell>
        </row>
        <row r="2181">
          <cell r="J2181" t="str">
            <v>NN-06-01-00-2173</v>
          </cell>
          <cell r="K2181" t="str">
            <v>SC-00029</v>
          </cell>
          <cell r="L2181" t="str">
            <v>NN-06-01-00-2173</v>
          </cell>
          <cell r="M2181" t="str">
            <v>Computador Olidata Nº ID A 2601 S/Nº 008920-000351</v>
          </cell>
          <cell r="O2181" t="str">
            <v>EQUIPOS COMPUTACIONALES Y PERIFÉRICOS EN ARRIENDO</v>
          </cell>
          <cell r="P2181">
            <v>340000</v>
          </cell>
          <cell r="T2181" t="str">
            <v>Bueno</v>
          </cell>
          <cell r="U2181" t="str">
            <v>Olidata</v>
          </cell>
        </row>
        <row r="2182">
          <cell r="J2182" t="str">
            <v>NN-06-01-00-2174</v>
          </cell>
          <cell r="K2182" t="str">
            <v>SC-00030</v>
          </cell>
          <cell r="L2182" t="str">
            <v>NN-06-01-00-2174</v>
          </cell>
          <cell r="M2182" t="str">
            <v>Monitor LCD Olidata 17" Mod.7005L11 S/Nº 75L11N-75K2372-02063E</v>
          </cell>
          <cell r="O2182" t="str">
            <v>EQUIPOS COMPUTACIONALES Y PERIFÉRICOS EN ARRIENDO</v>
          </cell>
          <cell r="P2182">
            <v>14000</v>
          </cell>
          <cell r="T2182" t="str">
            <v>Bueno</v>
          </cell>
          <cell r="U2182" t="str">
            <v>Olidata</v>
          </cell>
        </row>
        <row r="2183">
          <cell r="J2183" t="str">
            <v>NN-06-01-00-2175</v>
          </cell>
          <cell r="K2183" t="str">
            <v>SC-00031</v>
          </cell>
          <cell r="L2183" t="str">
            <v>NN-06-01-00-2175</v>
          </cell>
          <cell r="M2183" t="str">
            <v>Teclado Olidata Mod. K 7563 S/Nº K75630703002140</v>
          </cell>
          <cell r="O2183" t="str">
            <v>EQUIPOS COMPUTACIONALES Y PERIFÉRICOS EN ARRIENDO</v>
          </cell>
          <cell r="P2183">
            <v>4000</v>
          </cell>
          <cell r="T2183" t="str">
            <v>Bueno</v>
          </cell>
          <cell r="U2183" t="str">
            <v>Olidata</v>
          </cell>
        </row>
        <row r="2184">
          <cell r="J2184" t="str">
            <v>NN-06-01-00-2176</v>
          </cell>
          <cell r="K2184" t="str">
            <v>SC-00032</v>
          </cell>
          <cell r="L2184" t="str">
            <v>NN-06-01-00-2176</v>
          </cell>
          <cell r="M2184" t="str">
            <v>Mouse optico Olidata Mod. KM 8920</v>
          </cell>
          <cell r="O2184" t="str">
            <v>EQUIPOS COMPUTACIONALES Y PERIFÉRICOS EN ARRIENDO</v>
          </cell>
          <cell r="P2184">
            <v>3000</v>
          </cell>
          <cell r="T2184" t="str">
            <v>Bueno</v>
          </cell>
          <cell r="U2184" t="str">
            <v>Olidata</v>
          </cell>
        </row>
        <row r="2185">
          <cell r="J2185" t="str">
            <v>NN-06-01-00-2177</v>
          </cell>
          <cell r="K2185" t="str">
            <v>SC-00033</v>
          </cell>
          <cell r="L2185" t="str">
            <v>NN-06-01-00-2177</v>
          </cell>
          <cell r="M2185" t="str">
            <v>Computador Olidata Nº ID A 2601 S/Nº 008920-000351</v>
          </cell>
          <cell r="O2185" t="str">
            <v>EQUIPOS COMPUTACIONALES Y PERIFÉRICOS EN ARRIENDO</v>
          </cell>
          <cell r="P2185">
            <v>340000</v>
          </cell>
          <cell r="T2185" t="str">
            <v>Bueno</v>
          </cell>
          <cell r="U2185" t="str">
            <v>Olidata</v>
          </cell>
        </row>
        <row r="2186">
          <cell r="J2186" t="str">
            <v>NN-06-01-00-2178</v>
          </cell>
          <cell r="K2186" t="str">
            <v>SC-00034</v>
          </cell>
          <cell r="L2186" t="str">
            <v>NN-06-01-00-2178</v>
          </cell>
          <cell r="M2186" t="str">
            <v>Monitor LCD Olidata 17" Mod.7005L11 S/Nº 75L11N-75K2372-02063E</v>
          </cell>
          <cell r="O2186" t="str">
            <v>EQUIPOS COMPUTACIONALES Y PERIFÉRICOS EN ARRIENDO</v>
          </cell>
          <cell r="P2186">
            <v>14000</v>
          </cell>
          <cell r="T2186" t="str">
            <v>Bueno</v>
          </cell>
          <cell r="U2186" t="str">
            <v>Olidata</v>
          </cell>
        </row>
        <row r="2187">
          <cell r="J2187" t="str">
            <v>NN-06-01-00-2179</v>
          </cell>
          <cell r="K2187" t="str">
            <v>SC-00035</v>
          </cell>
          <cell r="L2187" t="str">
            <v>NN-06-01-00-2179</v>
          </cell>
          <cell r="M2187" t="str">
            <v>Teclado Olidata Mod. K 7563 S/Nº K75630703002140</v>
          </cell>
          <cell r="O2187" t="str">
            <v>EQUIPOS COMPUTACIONALES Y PERIFÉRICOS EN ARRIENDO</v>
          </cell>
          <cell r="P2187">
            <v>4000</v>
          </cell>
          <cell r="T2187" t="str">
            <v>Bueno</v>
          </cell>
          <cell r="U2187" t="str">
            <v>Olidata</v>
          </cell>
        </row>
        <row r="2188">
          <cell r="J2188" t="str">
            <v>NN-06-01-00-2180</v>
          </cell>
          <cell r="K2188" t="str">
            <v>SC-00036</v>
          </cell>
          <cell r="L2188" t="str">
            <v>NN-06-01-00-2180</v>
          </cell>
          <cell r="M2188" t="str">
            <v>Mouse optico Olidata Mod. KM 8920</v>
          </cell>
          <cell r="O2188" t="str">
            <v>EQUIPOS COMPUTACIONALES Y PERIFÉRICOS EN ARRIENDO</v>
          </cell>
          <cell r="P2188">
            <v>3000</v>
          </cell>
          <cell r="T2188" t="str">
            <v>Bueno</v>
          </cell>
          <cell r="U2188" t="str">
            <v>Olidata</v>
          </cell>
        </row>
        <row r="2189">
          <cell r="J2189" t="str">
            <v>NN-06-01-00-2181</v>
          </cell>
          <cell r="K2189" t="str">
            <v>SC-00037</v>
          </cell>
          <cell r="L2189" t="str">
            <v>NN-06-01-00-2181</v>
          </cell>
          <cell r="M2189" t="str">
            <v>Computador Olidata S/Nº 008953-000168</v>
          </cell>
          <cell r="O2189" t="str">
            <v>EQUIPOS COMPUTACIONALES Y PERIFÉRICOS EN ARRIENDO</v>
          </cell>
          <cell r="P2189">
            <v>340000</v>
          </cell>
          <cell r="T2189" t="str">
            <v>Bueno</v>
          </cell>
          <cell r="U2189" t="str">
            <v>Olidata</v>
          </cell>
        </row>
        <row r="2190">
          <cell r="J2190" t="str">
            <v>NN-06-01-00-2182</v>
          </cell>
          <cell r="K2190" t="str">
            <v>SC-00038</v>
          </cell>
          <cell r="L2190" t="str">
            <v>NN-06-01-00-2182</v>
          </cell>
          <cell r="M2190" t="str">
            <v>Monitor LCD Olidata 17" Mod. 7005L11 S/Nº 75L11N-7415572-019057</v>
          </cell>
          <cell r="O2190" t="str">
            <v>EQUIPOS COMPUTACIONALES Y PERIFÉRICOS EN ARRIENDO</v>
          </cell>
          <cell r="P2190">
            <v>14000</v>
          </cell>
          <cell r="T2190" t="str">
            <v>Bueno</v>
          </cell>
          <cell r="U2190" t="str">
            <v>Olidata</v>
          </cell>
        </row>
        <row r="2191">
          <cell r="J2191" t="str">
            <v>NN-06-01-00-2183</v>
          </cell>
          <cell r="K2191" t="str">
            <v>SC-00039</v>
          </cell>
          <cell r="L2191" t="str">
            <v>NN-06-01-00-2183</v>
          </cell>
          <cell r="M2191" t="str">
            <v>Teclado Olidata Mod. K 7563 S/Nº K75630703019982</v>
          </cell>
          <cell r="O2191" t="str">
            <v>EQUIPOS COMPUTACIONALES Y PERIFÉRICOS EN ARRIENDO</v>
          </cell>
          <cell r="P2191">
            <v>4000</v>
          </cell>
          <cell r="T2191" t="str">
            <v>Bueno</v>
          </cell>
          <cell r="U2191" t="str">
            <v>Olidata</v>
          </cell>
        </row>
        <row r="2192">
          <cell r="J2192" t="str">
            <v>42-06-01-00-2184</v>
          </cell>
          <cell r="K2192" t="str">
            <v>SC-00040</v>
          </cell>
          <cell r="L2192" t="str">
            <v>42-06-01-00-2184</v>
          </cell>
          <cell r="M2192" t="str">
            <v>Mouse optico Mod. KM 8920</v>
          </cell>
          <cell r="O2192" t="str">
            <v>EQUIPOS COMPUTACIONALES Y PERIFÉRICOS</v>
          </cell>
          <cell r="P2192">
            <v>3000</v>
          </cell>
          <cell r="T2192" t="str">
            <v>Bueno</v>
          </cell>
          <cell r="U2192" t="str">
            <v>Olidata</v>
          </cell>
        </row>
        <row r="2193">
          <cell r="J2193" t="str">
            <v>NN-06-01-00-2185</v>
          </cell>
          <cell r="K2193" t="str">
            <v>SC-00041</v>
          </cell>
          <cell r="L2193" t="str">
            <v>NN-06-01-00-2185</v>
          </cell>
          <cell r="M2193" t="str">
            <v>Computador Olidata S/Nº 012109-000002</v>
          </cell>
          <cell r="O2193" t="str">
            <v>EQUIPOS COMPUTACIONALES Y PERIFÉRICOS EN ARRIENDO</v>
          </cell>
          <cell r="P2193">
            <v>340000</v>
          </cell>
          <cell r="T2193" t="str">
            <v>Bueno</v>
          </cell>
          <cell r="U2193" t="str">
            <v>Olidata</v>
          </cell>
        </row>
        <row r="2194">
          <cell r="J2194" t="str">
            <v>NN-06-01-00-2186</v>
          </cell>
          <cell r="K2194" t="str">
            <v>SC-00042</v>
          </cell>
          <cell r="L2194" t="str">
            <v>NN-06-01-00-2186</v>
          </cell>
          <cell r="M2194" t="str">
            <v>Monitor LCD Olidata 17" Mod.7009S S/Nº 7009S-95D2594-006476</v>
          </cell>
          <cell r="O2194" t="str">
            <v>EQUIPOS COMPUTACIONALES Y PERIFÉRICOS EN ARRIENDO</v>
          </cell>
          <cell r="P2194">
            <v>14000</v>
          </cell>
          <cell r="T2194" t="str">
            <v>Bueno</v>
          </cell>
          <cell r="U2194" t="str">
            <v>Olidata</v>
          </cell>
        </row>
        <row r="2195">
          <cell r="J2195" t="str">
            <v>NN-06-01-00-2187</v>
          </cell>
          <cell r="K2195" t="str">
            <v>SC-00043</v>
          </cell>
          <cell r="L2195" t="str">
            <v>NN-06-01-00-2187</v>
          </cell>
          <cell r="M2195" t="str">
            <v>Teclado Olidata Mod. K 5015 S/Nº K50150906022204</v>
          </cell>
          <cell r="O2195" t="str">
            <v>EQUIPOS COMPUTACIONALES Y PERIFÉRICOS EN ARRIENDO</v>
          </cell>
          <cell r="P2195">
            <v>4000</v>
          </cell>
          <cell r="T2195" t="str">
            <v>Bueno</v>
          </cell>
          <cell r="U2195" t="str">
            <v>Olidata</v>
          </cell>
        </row>
        <row r="2196">
          <cell r="J2196" t="str">
            <v>NN-06-01-00-2188</v>
          </cell>
          <cell r="K2196" t="str">
            <v>SC-00044</v>
          </cell>
          <cell r="L2196" t="str">
            <v>NN-06-01-00-2188</v>
          </cell>
          <cell r="M2196" t="str">
            <v>Mouse optico Olidata Mod. KM 8942</v>
          </cell>
          <cell r="O2196" t="str">
            <v>EQUIPOS COMPUTACIONALES Y PERIFÉRICOS EN ARRIENDO</v>
          </cell>
          <cell r="P2196">
            <v>3000</v>
          </cell>
          <cell r="T2196" t="str">
            <v>Bueno</v>
          </cell>
          <cell r="U2196" t="str">
            <v>Olidata</v>
          </cell>
        </row>
        <row r="2197">
          <cell r="J2197" t="str">
            <v>NN-06-01-00-2189</v>
          </cell>
          <cell r="K2197" t="str">
            <v>SC-00045</v>
          </cell>
          <cell r="L2197" t="str">
            <v>NN-06-01-00-2189</v>
          </cell>
          <cell r="M2197" t="str">
            <v>Computador Olidata S/Nº 012109-000001</v>
          </cell>
          <cell r="O2197" t="str">
            <v>EQUIPOS COMPUTACIONALES Y PERIFÉRICOS EN ARRIENDO</v>
          </cell>
          <cell r="P2197">
            <v>340000</v>
          </cell>
          <cell r="T2197" t="str">
            <v>Bueno</v>
          </cell>
          <cell r="U2197" t="str">
            <v>Olidata</v>
          </cell>
        </row>
        <row r="2198">
          <cell r="J2198" t="str">
            <v>NN-06-01-00-2190</v>
          </cell>
          <cell r="K2198" t="str">
            <v>SC-00046</v>
          </cell>
          <cell r="L2198" t="str">
            <v>NN-06-01-00-2190</v>
          </cell>
          <cell r="M2198" t="str">
            <v>Monitor LCD Olidata 17" Mod.7009S S/Nº 7009S-95D2594-00629Y</v>
          </cell>
          <cell r="O2198" t="str">
            <v>EQUIPOS COMPUTACIONALES Y PERIFÉRICOS EN ARRIENDO</v>
          </cell>
          <cell r="P2198">
            <v>14000</v>
          </cell>
          <cell r="T2198" t="str">
            <v>Bueno</v>
          </cell>
          <cell r="U2198" t="str">
            <v>Olidata</v>
          </cell>
        </row>
        <row r="2199">
          <cell r="J2199" t="str">
            <v>NN-06-01-00-2191</v>
          </cell>
          <cell r="K2199" t="str">
            <v>SC-00047</v>
          </cell>
          <cell r="L2199" t="str">
            <v>NN-06-01-00-2191</v>
          </cell>
          <cell r="M2199" t="str">
            <v>Teclado Olidata Mod. K 5015 S/Nº K50150906022217</v>
          </cell>
          <cell r="O2199" t="str">
            <v>EQUIPOS COMPUTACIONALES Y PERIFÉRICOS EN ARRIENDO</v>
          </cell>
          <cell r="P2199">
            <v>4000</v>
          </cell>
          <cell r="T2199" t="str">
            <v>Bueno</v>
          </cell>
          <cell r="U2199" t="str">
            <v>Olidata</v>
          </cell>
        </row>
        <row r="2200">
          <cell r="J2200" t="str">
            <v>42-04-07-00-2192</v>
          </cell>
          <cell r="K2200" t="str">
            <v>SC-00048</v>
          </cell>
          <cell r="L2200" t="str">
            <v>42-04-07-00-2192</v>
          </cell>
          <cell r="M2200" t="str">
            <v>Canastillo doble de alambre para documentos</v>
          </cell>
          <cell r="O2200" t="str">
            <v>OTROS</v>
          </cell>
          <cell r="P2200">
            <v>15000</v>
          </cell>
          <cell r="T2200" t="str">
            <v>Bueno</v>
          </cell>
          <cell r="U2200" t="str">
            <v>N/T</v>
          </cell>
        </row>
        <row r="2201">
          <cell r="J2201" t="str">
            <v>42-04-07-00-2193</v>
          </cell>
          <cell r="K2201" t="str">
            <v>SC-00049</v>
          </cell>
          <cell r="L2201" t="str">
            <v>42-04-07-00-2193</v>
          </cell>
          <cell r="M2201" t="str">
            <v>Canastillos de alambres simples para documentos</v>
          </cell>
          <cell r="O2201" t="str">
            <v>OTROS</v>
          </cell>
          <cell r="P2201">
            <v>15000</v>
          </cell>
          <cell r="T2201" t="str">
            <v>Bueno</v>
          </cell>
          <cell r="U2201" t="str">
            <v>N/T</v>
          </cell>
        </row>
        <row r="2202">
          <cell r="J2202" t="str">
            <v>42-05-01-01-2194</v>
          </cell>
          <cell r="K2202" t="str">
            <v>SC-00050</v>
          </cell>
          <cell r="L2202" t="str">
            <v>42-05-01-01-2194</v>
          </cell>
          <cell r="M2202" t="str">
            <v>Corchetera marca Torre color negra</v>
          </cell>
          <cell r="O2202" t="str">
            <v>EQUIPO DE OFICINA</v>
          </cell>
          <cell r="P2202">
            <v>3500</v>
          </cell>
          <cell r="T2202" t="str">
            <v>Bueno</v>
          </cell>
          <cell r="U2202" t="str">
            <v>Torre</v>
          </cell>
        </row>
        <row r="2203">
          <cell r="J2203" t="str">
            <v>42-04-07-00-2195</v>
          </cell>
          <cell r="K2203" t="str">
            <v>SC-00051</v>
          </cell>
          <cell r="L2203" t="str">
            <v>42-04-07-00-2195</v>
          </cell>
          <cell r="M2203" t="str">
            <v>Cortinas color café claro</v>
          </cell>
          <cell r="O2203" t="str">
            <v>OTROS</v>
          </cell>
          <cell r="P2203">
            <v>10000</v>
          </cell>
          <cell r="T2203" t="str">
            <v>Bueno</v>
          </cell>
          <cell r="U2203" t="str">
            <v>N/T</v>
          </cell>
        </row>
        <row r="2204">
          <cell r="J2204" t="str">
            <v>42-04-07-00-2196</v>
          </cell>
          <cell r="K2204" t="str">
            <v>SC-00052</v>
          </cell>
          <cell r="L2204" t="str">
            <v>42-04-07-00-2196</v>
          </cell>
          <cell r="M2204" t="str">
            <v xml:space="preserve">Maletin Saxoline color burdeo </v>
          </cell>
          <cell r="O2204" t="str">
            <v>OTROS</v>
          </cell>
          <cell r="P2204">
            <v>17000</v>
          </cell>
          <cell r="T2204" t="str">
            <v>Regular</v>
          </cell>
          <cell r="U2204" t="str">
            <v>Saxoline</v>
          </cell>
        </row>
        <row r="2205">
          <cell r="J2205" t="str">
            <v>42-04-07-00-2197</v>
          </cell>
          <cell r="K2205" t="str">
            <v>SC-00053</v>
          </cell>
          <cell r="L2205" t="str">
            <v>42-04-07-00-2197</v>
          </cell>
          <cell r="M2205" t="str">
            <v>Mural marco madera y plumavit 80x42 cms.</v>
          </cell>
          <cell r="O2205" t="str">
            <v>OTROS</v>
          </cell>
          <cell r="P2205">
            <v>25000</v>
          </cell>
          <cell r="T2205" t="str">
            <v>Bueno</v>
          </cell>
          <cell r="U2205" t="str">
            <v>N/T</v>
          </cell>
        </row>
        <row r="2206">
          <cell r="J2206" t="str">
            <v>42-04-07-00-2198</v>
          </cell>
          <cell r="K2206" t="str">
            <v>SC-00054</v>
          </cell>
          <cell r="L2206" t="str">
            <v>42-04-07-00-2198</v>
          </cell>
          <cell r="M2206" t="str">
            <v>Papelero de madera barniz café</v>
          </cell>
          <cell r="O2206" t="str">
            <v>OTROS</v>
          </cell>
          <cell r="P2206">
            <v>3000</v>
          </cell>
          <cell r="T2206" t="str">
            <v>Bueno</v>
          </cell>
          <cell r="U2206" t="str">
            <v>N/T</v>
          </cell>
        </row>
        <row r="2207">
          <cell r="J2207" t="str">
            <v>42-04-07-00-2199</v>
          </cell>
          <cell r="K2207" t="str">
            <v>SC-00055</v>
          </cell>
          <cell r="L2207" t="str">
            <v>42-04-07-00-2199</v>
          </cell>
          <cell r="M2207" t="str">
            <v>Papelero plástico color blanco</v>
          </cell>
          <cell r="O2207" t="str">
            <v>OTROS</v>
          </cell>
          <cell r="P2207">
            <v>3000</v>
          </cell>
          <cell r="T2207" t="str">
            <v>Bueno</v>
          </cell>
          <cell r="U2207" t="str">
            <v>N/T</v>
          </cell>
        </row>
        <row r="2208">
          <cell r="J2208" t="str">
            <v>42-04-07-00-2200</v>
          </cell>
          <cell r="K2208" t="str">
            <v>SC-00056</v>
          </cell>
          <cell r="L2208" t="str">
            <v>42-04-07-00-2200</v>
          </cell>
          <cell r="M2208" t="str">
            <v>Papelero plástico color azul</v>
          </cell>
          <cell r="O2208" t="str">
            <v>OTROS</v>
          </cell>
          <cell r="P2208">
            <v>3000</v>
          </cell>
          <cell r="T2208" t="str">
            <v>Bueno</v>
          </cell>
          <cell r="U2208" t="str">
            <v>N/T</v>
          </cell>
        </row>
        <row r="2209">
          <cell r="J2209" t="str">
            <v>42-04-07-00-2201</v>
          </cell>
          <cell r="K2209" t="str">
            <v>SC-00057</v>
          </cell>
          <cell r="L2209" t="str">
            <v>42-04-07-00-2201</v>
          </cell>
          <cell r="M2209" t="str">
            <v>Papelero plástico con tapa color blanco</v>
          </cell>
          <cell r="O2209" t="str">
            <v>OTROS</v>
          </cell>
          <cell r="P2209">
            <v>3000</v>
          </cell>
          <cell r="T2209" t="str">
            <v>Bueno</v>
          </cell>
          <cell r="U2209" t="str">
            <v>N/T</v>
          </cell>
        </row>
        <row r="2210">
          <cell r="J2210" t="str">
            <v>42-05-01-01-2202</v>
          </cell>
          <cell r="K2210" t="str">
            <v>SC-00058</v>
          </cell>
          <cell r="L2210" t="str">
            <v>42-05-01-01-2202</v>
          </cell>
          <cell r="M2210" t="str">
            <v>Perforador</v>
          </cell>
          <cell r="O2210" t="str">
            <v>EQUIPO DE OFICINA</v>
          </cell>
          <cell r="P2210">
            <v>11500</v>
          </cell>
          <cell r="T2210" t="str">
            <v>Bueno</v>
          </cell>
          <cell r="U2210" t="str">
            <v>N/T</v>
          </cell>
        </row>
        <row r="2211">
          <cell r="J2211" t="str">
            <v>42-04-07-00-2203</v>
          </cell>
          <cell r="K2211" t="str">
            <v>SC-00059</v>
          </cell>
          <cell r="L2211" t="str">
            <v>42-04-07-00-2203</v>
          </cell>
          <cell r="M2211" t="str">
            <v>Porta cortinas metálico</v>
          </cell>
          <cell r="O2211" t="str">
            <v>OTROS</v>
          </cell>
          <cell r="P2211">
            <v>1500</v>
          </cell>
          <cell r="T2211" t="str">
            <v>Bueno</v>
          </cell>
          <cell r="U2211" t="str">
            <v>N/T</v>
          </cell>
        </row>
        <row r="2212">
          <cell r="J2212" t="str">
            <v>42-05-01-01-2204</v>
          </cell>
          <cell r="K2212" t="str">
            <v>SC-00060</v>
          </cell>
          <cell r="L2212" t="str">
            <v>42-05-01-01-2204</v>
          </cell>
          <cell r="M2212" t="str">
            <v>Porta timbres metálicos</v>
          </cell>
          <cell r="O2212" t="str">
            <v>EQUIPO DE OFICINA</v>
          </cell>
          <cell r="P2212">
            <v>1500</v>
          </cell>
          <cell r="T2212" t="str">
            <v>Bueno</v>
          </cell>
          <cell r="U2212" t="str">
            <v>N/T</v>
          </cell>
        </row>
        <row r="2213">
          <cell r="J2213" t="str">
            <v>42-05-01-01-2205</v>
          </cell>
          <cell r="K2213" t="str">
            <v>SC-00061</v>
          </cell>
          <cell r="L2213" t="str">
            <v>42-05-01-01-2205</v>
          </cell>
          <cell r="M2213" t="str">
            <v>Reloj Mural</v>
          </cell>
          <cell r="N2213">
            <v>1</v>
          </cell>
          <cell r="O2213" t="str">
            <v>EQUIPO DE OFICINA</v>
          </cell>
          <cell r="P2213">
            <v>7500</v>
          </cell>
          <cell r="T2213" t="str">
            <v>Bueno</v>
          </cell>
          <cell r="U2213" t="str">
            <v>N/T</v>
          </cell>
        </row>
        <row r="2214">
          <cell r="J2214" t="str">
            <v>NN-06-01-00-2206</v>
          </cell>
          <cell r="K2214" t="str">
            <v>SC-00062</v>
          </cell>
          <cell r="L2214" t="str">
            <v>NN-06-01-00-2206</v>
          </cell>
          <cell r="M2214" t="str">
            <v>Computador Olidata Nº / ID A 2606</v>
          </cell>
          <cell r="O2214" t="str">
            <v>EQUIPOS COMPUTACIONALES Y PERIFÉRICOS EN ARRIENDO</v>
          </cell>
          <cell r="P2214">
            <v>340000</v>
          </cell>
          <cell r="T2214" t="str">
            <v>Bueno</v>
          </cell>
          <cell r="U2214" t="str">
            <v>Olidata</v>
          </cell>
        </row>
        <row r="2215">
          <cell r="J2215" t="str">
            <v>NN-06-01-00-2207</v>
          </cell>
          <cell r="K2215" t="str">
            <v>SC-00063</v>
          </cell>
          <cell r="L2215" t="str">
            <v>NN-06-01-00-2207</v>
          </cell>
          <cell r="M2215" t="str">
            <v>Monitor LCD Olidata 17" Mod. 7005L11 S/Nº 75L11N-75M2273-00962A</v>
          </cell>
          <cell r="O2215" t="str">
            <v>EQUIPOS COMPUTACIONALES Y PERIFÉRICOS EN ARRIENDO</v>
          </cell>
          <cell r="P2215">
            <v>14000</v>
          </cell>
          <cell r="T2215" t="str">
            <v>Bueno</v>
          </cell>
          <cell r="U2215" t="str">
            <v>Olidata</v>
          </cell>
        </row>
        <row r="2216">
          <cell r="J2216" t="str">
            <v>NN-06-01-00-2208</v>
          </cell>
          <cell r="K2216" t="str">
            <v>SC-00064</v>
          </cell>
          <cell r="L2216" t="str">
            <v>NN-06-01-00-2208</v>
          </cell>
          <cell r="M2216" t="str">
            <v>Teclado Olidata Mod. K 7563 S/Nº K75630703004111</v>
          </cell>
          <cell r="O2216" t="str">
            <v>EQUIPOS COMPUTACIONALES Y PERIFÉRICOS EN ARRIENDO</v>
          </cell>
          <cell r="P2216">
            <v>4000</v>
          </cell>
          <cell r="T2216" t="str">
            <v>Bueno</v>
          </cell>
          <cell r="U2216" t="str">
            <v>Olidata</v>
          </cell>
        </row>
        <row r="2217">
          <cell r="J2217" t="str">
            <v>NN-06-01-00-2209</v>
          </cell>
          <cell r="K2217" t="str">
            <v>SC-00065</v>
          </cell>
          <cell r="L2217" t="str">
            <v>NN-06-01-00-2209</v>
          </cell>
          <cell r="M2217" t="str">
            <v>Mouse óptico Olidata Mod KM 8920</v>
          </cell>
          <cell r="O2217" t="str">
            <v>EQUIPOS COMPUTACIONALES Y PERIFÉRICOS EN ARRIENDO</v>
          </cell>
          <cell r="P2217">
            <v>3000</v>
          </cell>
          <cell r="T2217" t="str">
            <v>Bueno</v>
          </cell>
          <cell r="U2217" t="str">
            <v>Olidata</v>
          </cell>
        </row>
        <row r="2218">
          <cell r="J2218" t="str">
            <v>42-05-01-01-2210</v>
          </cell>
          <cell r="K2218" t="str">
            <v>SC-00066</v>
          </cell>
          <cell r="L2218" t="str">
            <v>42-05-01-01-2210</v>
          </cell>
          <cell r="M2218" t="str">
            <v>Corchetera Color negro Marca Torre</v>
          </cell>
          <cell r="O2218" t="str">
            <v>EQUIPO DE OFICINA</v>
          </cell>
          <cell r="P2218">
            <v>3500</v>
          </cell>
          <cell r="T2218" t="str">
            <v>Bueno</v>
          </cell>
          <cell r="U2218" t="str">
            <v>Torre</v>
          </cell>
        </row>
        <row r="2219">
          <cell r="J2219" t="str">
            <v>42-04-07-00-2211</v>
          </cell>
          <cell r="K2219" t="str">
            <v>SC-00067</v>
          </cell>
          <cell r="L2219" t="str">
            <v>42-04-07-00-2211</v>
          </cell>
          <cell r="M2219" t="str">
            <v>Espejo 115x120 cms.</v>
          </cell>
          <cell r="O2219" t="str">
            <v>OTROS</v>
          </cell>
          <cell r="P2219">
            <v>16650</v>
          </cell>
          <cell r="T2219" t="str">
            <v>Bueno</v>
          </cell>
          <cell r="U2219" t="str">
            <v>N/T</v>
          </cell>
        </row>
        <row r="2220">
          <cell r="J2220" t="str">
            <v>42-05-01-01-2212</v>
          </cell>
          <cell r="K2220" t="str">
            <v>42-1206B</v>
          </cell>
          <cell r="L2220" t="str">
            <v>Reloj de pared</v>
          </cell>
          <cell r="M2220" t="str">
            <v>Reloj de pared marca Metro</v>
          </cell>
          <cell r="N2220">
            <v>1</v>
          </cell>
          <cell r="O2220" t="str">
            <v>EQUIPO DE OFICINA</v>
          </cell>
          <cell r="P2220">
            <v>2900</v>
          </cell>
          <cell r="T2220" t="str">
            <v>Bueno</v>
          </cell>
        </row>
        <row r="2221">
          <cell r="J2221" t="str">
            <v>42-04-07-00-2213</v>
          </cell>
          <cell r="K2221" t="str">
            <v>SC-00069</v>
          </cell>
          <cell r="L2221" t="str">
            <v>42-04-07-00-2213</v>
          </cell>
          <cell r="M2221" t="str">
            <v>Portacortinas</v>
          </cell>
          <cell r="O2221" t="str">
            <v>OTROS</v>
          </cell>
          <cell r="P2221">
            <v>1500</v>
          </cell>
          <cell r="T2221" t="str">
            <v>Bueno</v>
          </cell>
          <cell r="U2221" t="str">
            <v>N/T</v>
          </cell>
        </row>
        <row r="2222">
          <cell r="J2222" t="str">
            <v>FN-04-07-00-2214</v>
          </cell>
          <cell r="K2222" t="str">
            <v>SC-00070</v>
          </cell>
          <cell r="L2222" t="str">
            <v>FN-04-07-00-2214</v>
          </cell>
          <cell r="M2222" t="str">
            <v>Cortinas color crema</v>
          </cell>
          <cell r="O2222" t="str">
            <v>OTROS FUNGIBLE / NOMINABLE</v>
          </cell>
          <cell r="P2222">
            <v>13000</v>
          </cell>
          <cell r="T2222" t="str">
            <v>Bueno</v>
          </cell>
          <cell r="U2222" t="str">
            <v>N/T</v>
          </cell>
        </row>
        <row r="2223">
          <cell r="J2223" t="str">
            <v>FN-04-07-00-2215</v>
          </cell>
          <cell r="K2223" t="str">
            <v>SC-00071</v>
          </cell>
          <cell r="L2223" t="str">
            <v>FN-04-07-00-2215</v>
          </cell>
          <cell r="M2223" t="str">
            <v>Portacortinas separadores de ambiente con 5 cortinas color beige</v>
          </cell>
          <cell r="O2223" t="str">
            <v>OTROS FUNGIBLE / NOMINABLE</v>
          </cell>
          <cell r="P2223">
            <v>1500</v>
          </cell>
          <cell r="T2223" t="str">
            <v>Bueno</v>
          </cell>
          <cell r="U2223" t="str">
            <v>N/T</v>
          </cell>
        </row>
        <row r="2224">
          <cell r="J2224" t="str">
            <v>42-05-02-01-2216</v>
          </cell>
          <cell r="K2224" t="str">
            <v>SC-00072</v>
          </cell>
          <cell r="L2224" t="str">
            <v>42-05-02-01-2216</v>
          </cell>
          <cell r="M2224" t="str">
            <v>Fonendoscopio</v>
          </cell>
          <cell r="O2224" t="str">
            <v>EQUIPOS CLINICOS</v>
          </cell>
          <cell r="P2224">
            <v>22000</v>
          </cell>
          <cell r="T2224" t="str">
            <v>Bueno</v>
          </cell>
          <cell r="U2224" t="str">
            <v>N/T</v>
          </cell>
        </row>
        <row r="2225">
          <cell r="J2225" t="str">
            <v>42-06-01-00-2217</v>
          </cell>
          <cell r="K2225" t="str">
            <v>SC-00073</v>
          </cell>
          <cell r="L2225" t="str">
            <v>42-06-01-00-2217</v>
          </cell>
          <cell r="M2225" t="str">
            <v>Computador RIP Intel Inside Celeron</v>
          </cell>
          <cell r="O2225" t="str">
            <v>EQUIPOS COMPUTACIONALES Y PERIFÉRICOS</v>
          </cell>
          <cell r="P2225">
            <v>340000</v>
          </cell>
          <cell r="T2225" t="str">
            <v>Bueno</v>
          </cell>
          <cell r="U2225" t="str">
            <v>Intel Inside</v>
          </cell>
        </row>
        <row r="2226">
          <cell r="J2226" t="str">
            <v>42-06-01-00-2218</v>
          </cell>
          <cell r="K2226" t="str">
            <v>SC-00074</v>
          </cell>
          <cell r="L2226" t="str">
            <v>42-06-01-00-2218</v>
          </cell>
          <cell r="M2226" t="str">
            <v>Monitor AOC Mod Nº 4V S/Nº 40A2034-615-2A</v>
          </cell>
          <cell r="O2226" t="str">
            <v>EQUIPOS COMPUTACIONALES Y PERIFÉRICOS</v>
          </cell>
          <cell r="P2226">
            <v>14000</v>
          </cell>
          <cell r="T2226" t="str">
            <v>Bueno</v>
          </cell>
          <cell r="U2226" t="str">
            <v>AOC</v>
          </cell>
        </row>
        <row r="2227">
          <cell r="J2227" t="str">
            <v>42-06-01-00-2219</v>
          </cell>
          <cell r="K2227" t="str">
            <v>SC-00075</v>
          </cell>
          <cell r="L2227" t="str">
            <v>42-06-01-00-2219</v>
          </cell>
          <cell r="M2227" t="str">
            <v>Teclado Genius Mod. Nº K639 S/Nº ZM5A39135505</v>
          </cell>
          <cell r="O2227" t="str">
            <v>EQUIPOS COMPUTACIONALES Y PERIFÉRICOS</v>
          </cell>
          <cell r="P2227">
            <v>4000</v>
          </cell>
          <cell r="T2227" t="str">
            <v>Bueno</v>
          </cell>
          <cell r="U2227" t="str">
            <v>Genius</v>
          </cell>
        </row>
        <row r="2228">
          <cell r="J2228" t="str">
            <v>42-06-01-00-2220</v>
          </cell>
          <cell r="K2228" t="str">
            <v>SC-00076</v>
          </cell>
          <cell r="L2228" t="str">
            <v>42-06-01-00-2220</v>
          </cell>
          <cell r="M2228" t="str">
            <v>Mouse A4 Tech Mod OK-720</v>
          </cell>
          <cell r="O2228" t="str">
            <v>EQUIPOS COMPUTACIONALES Y PERIFÉRICOS</v>
          </cell>
          <cell r="P2228">
            <v>3000</v>
          </cell>
          <cell r="T2228" t="str">
            <v>Bueno</v>
          </cell>
          <cell r="U2228" t="str">
            <v>N/T</v>
          </cell>
        </row>
        <row r="2229">
          <cell r="J2229" t="str">
            <v>42-06-01-00-2221</v>
          </cell>
          <cell r="K2229" t="str">
            <v>SC-00077</v>
          </cell>
          <cell r="L2229" t="str">
            <v>42-06-01-00-2221</v>
          </cell>
          <cell r="M2229" t="str">
            <v>Protector de pantalla Kensington</v>
          </cell>
          <cell r="O2229" t="str">
            <v>EQUIPOS COMPUTACIONALES Y PERIFÉRICOS</v>
          </cell>
          <cell r="P2229">
            <v>20000</v>
          </cell>
          <cell r="T2229" t="str">
            <v>Bueno</v>
          </cell>
          <cell r="U2229" t="str">
            <v>Kensington</v>
          </cell>
        </row>
        <row r="2230">
          <cell r="J2230" t="str">
            <v>42-05-02-02-2222</v>
          </cell>
          <cell r="K2230" t="str">
            <v>SC-00078</v>
          </cell>
          <cell r="L2230" t="str">
            <v>42-05-02-02-2222</v>
          </cell>
          <cell r="M2230" t="str">
            <v>Cuchillo de decapitación de acero inoxidable de 30 cms.</v>
          </cell>
          <cell r="O2230" t="str">
            <v>EQUIPOS DE COCINA</v>
          </cell>
          <cell r="P2230">
            <v>15000</v>
          </cell>
          <cell r="T2230" t="str">
            <v>Bueno</v>
          </cell>
          <cell r="U2230" t="str">
            <v>N/T</v>
          </cell>
        </row>
        <row r="2231">
          <cell r="J2231" t="str">
            <v>42-04-07-00-2223</v>
          </cell>
          <cell r="K2231" t="str">
            <v>SC-00079</v>
          </cell>
          <cell r="L2231" t="str">
            <v>42-04-07-00-2223</v>
          </cell>
          <cell r="M2231" t="str">
            <v>Mural plumavit con marco de madera</v>
          </cell>
          <cell r="O2231" t="str">
            <v>OTROS</v>
          </cell>
          <cell r="P2231">
            <v>25000</v>
          </cell>
          <cell r="T2231" t="str">
            <v>Bueno</v>
          </cell>
          <cell r="U2231" t="str">
            <v>N/T</v>
          </cell>
        </row>
        <row r="2232">
          <cell r="J2232" t="str">
            <v>NN-06-01-00-2224</v>
          </cell>
          <cell r="K2232" t="str">
            <v>SC-00080</v>
          </cell>
          <cell r="L2232" t="str">
            <v>NN-06-01-00-2224</v>
          </cell>
          <cell r="M2232" t="str">
            <v>Computador Olidata Nº ID  A 2599 Nº 00146-051-081-586</v>
          </cell>
          <cell r="O2232" t="str">
            <v>EQUIPOS COMPUTACIONALES Y PERIFÉRICOS EN ARRIENDO</v>
          </cell>
          <cell r="P2232">
            <v>340000</v>
          </cell>
          <cell r="T2232" t="str">
            <v>Bueno</v>
          </cell>
          <cell r="U2232" t="str">
            <v>Olidata</v>
          </cell>
        </row>
        <row r="2233">
          <cell r="J2233" t="str">
            <v>NN-06-01-00-2225</v>
          </cell>
          <cell r="K2233" t="str">
            <v>SC-00081</v>
          </cell>
          <cell r="L2233" t="str">
            <v>NN-06-01-00-2225</v>
          </cell>
          <cell r="M2233" t="str">
            <v>Monitor LCD Olidata 17" Mod. 7005L11 S/Nº 75L11N-75K2372-019706</v>
          </cell>
          <cell r="O2233" t="str">
            <v>EQUIPOS COMPUTACIONALES Y PERIFÉRICOS EN ARRIENDO</v>
          </cell>
          <cell r="P2233">
            <v>14000</v>
          </cell>
          <cell r="T2233" t="str">
            <v>Bueno</v>
          </cell>
          <cell r="U2233" t="str">
            <v>Olidata</v>
          </cell>
        </row>
        <row r="2234">
          <cell r="J2234" t="str">
            <v>NN-06-01-00-2226</v>
          </cell>
          <cell r="K2234" t="str">
            <v>SC-00082</v>
          </cell>
          <cell r="L2234" t="str">
            <v>NN-06-01-00-2226</v>
          </cell>
          <cell r="M2234" t="str">
            <v>Teclado Olidata Mod. K 7563 S/Nº K75630703004102</v>
          </cell>
          <cell r="O2234" t="str">
            <v>EQUIPOS COMPUTACIONALES Y PERIFÉRICOS EN ARRIENDO</v>
          </cell>
          <cell r="P2234">
            <v>4000</v>
          </cell>
          <cell r="T2234" t="str">
            <v>Bueno</v>
          </cell>
          <cell r="U2234" t="str">
            <v>Olidata</v>
          </cell>
        </row>
        <row r="2235">
          <cell r="J2235" t="str">
            <v>NN-06-01-00-2227</v>
          </cell>
          <cell r="K2235" t="str">
            <v>SC-00083</v>
          </cell>
          <cell r="L2235" t="str">
            <v>NN-06-01-00-2227</v>
          </cell>
          <cell r="M2235" t="str">
            <v>Mouse Optico Olidata KM 8920</v>
          </cell>
          <cell r="O2235" t="str">
            <v>EQUIPOS COMPUTACIONALES Y PERIFÉRICOS EN ARRIENDO</v>
          </cell>
          <cell r="P2235">
            <v>3000</v>
          </cell>
          <cell r="T2235" t="str">
            <v>Bueno</v>
          </cell>
          <cell r="U2235" t="str">
            <v>Olidata</v>
          </cell>
        </row>
        <row r="2236">
          <cell r="J2236" t="str">
            <v>NN-06-01-00-2228</v>
          </cell>
          <cell r="K2236" t="str">
            <v>SC-00084</v>
          </cell>
          <cell r="L2236" t="str">
            <v>NN-06-01-00-2228</v>
          </cell>
          <cell r="M2236" t="str">
            <v>Computador Olidata Nº ID  A 2611 Nº 00146-051-081-577</v>
          </cell>
          <cell r="O2236" t="str">
            <v>EQUIPOS COMPUTACIONALES Y PERIFÉRICOS EN ARRIENDO</v>
          </cell>
          <cell r="P2236">
            <v>340000</v>
          </cell>
          <cell r="T2236" t="str">
            <v>Bueno</v>
          </cell>
          <cell r="U2236" t="str">
            <v>Olidata</v>
          </cell>
        </row>
        <row r="2237">
          <cell r="J2237" t="str">
            <v>NN-06-01-00-2229</v>
          </cell>
          <cell r="K2237" t="str">
            <v>SC-00085</v>
          </cell>
          <cell r="L2237" t="str">
            <v>NN-06-01-00-2229</v>
          </cell>
          <cell r="M2237" t="str">
            <v>Monitor LCD Olidata 17" Mod. 7005L11 S/Nº 75L11N-75K2372-02025C</v>
          </cell>
          <cell r="O2237" t="str">
            <v>EQUIPOS COMPUTACIONALES Y PERIFÉRICOS EN ARRIENDO</v>
          </cell>
          <cell r="P2237">
            <v>14000</v>
          </cell>
          <cell r="T2237" t="str">
            <v>Bueno</v>
          </cell>
          <cell r="U2237" t="str">
            <v>Olidata</v>
          </cell>
        </row>
        <row r="2238">
          <cell r="J2238" t="str">
            <v>NN-06-01-00-2230</v>
          </cell>
          <cell r="K2238" t="str">
            <v>SC-00086</v>
          </cell>
          <cell r="L2238" t="str">
            <v>NN-06-01-00-2230</v>
          </cell>
          <cell r="M2238" t="str">
            <v>Teclado Olidata Mod. K 7563 S/Nº K75630801001646</v>
          </cell>
          <cell r="O2238" t="str">
            <v>EQUIPOS COMPUTACIONALES Y PERIFÉRICOS EN ARRIENDO</v>
          </cell>
          <cell r="P2238">
            <v>4000</v>
          </cell>
          <cell r="T2238" t="str">
            <v>Bueno</v>
          </cell>
          <cell r="U2238" t="str">
            <v>Olidata</v>
          </cell>
        </row>
        <row r="2239">
          <cell r="J2239" t="str">
            <v>NN-06-01-00-2231</v>
          </cell>
          <cell r="K2239" t="str">
            <v>SC-00087</v>
          </cell>
          <cell r="L2239" t="str">
            <v>NN-06-01-00-2231</v>
          </cell>
          <cell r="M2239" t="str">
            <v>Mouse Optico Olidata KM 8920</v>
          </cell>
          <cell r="O2239" t="str">
            <v>EQUIPOS COMPUTACIONALES Y PERIFÉRICOS EN ARRIENDO</v>
          </cell>
          <cell r="P2239">
            <v>3000</v>
          </cell>
          <cell r="T2239" t="str">
            <v>Bueno</v>
          </cell>
          <cell r="U2239" t="str">
            <v>Olidata</v>
          </cell>
        </row>
        <row r="2240">
          <cell r="J2240" t="str">
            <v>NN-06-01-00-2232</v>
          </cell>
          <cell r="K2240" t="str">
            <v>SC-00088</v>
          </cell>
          <cell r="L2240" t="str">
            <v>NN-06-01-00-2232</v>
          </cell>
          <cell r="M2240" t="str">
            <v>Computador Olidata Nº ID  A 2599 Nº 00146-051-081-586</v>
          </cell>
          <cell r="O2240" t="str">
            <v>EQUIPOS COMPUTACIONALES Y PERIFÉRICOS EN ARRIENDO</v>
          </cell>
          <cell r="P2240">
            <v>340000</v>
          </cell>
          <cell r="T2240" t="str">
            <v>Bueno</v>
          </cell>
          <cell r="U2240" t="str">
            <v>Olidata</v>
          </cell>
        </row>
        <row r="2241">
          <cell r="J2241" t="str">
            <v>NN-06-01-00-2233</v>
          </cell>
          <cell r="K2241" t="str">
            <v>SC-00089</v>
          </cell>
          <cell r="L2241" t="str">
            <v>NN-06-01-00-2233</v>
          </cell>
          <cell r="M2241" t="str">
            <v>Monitor LCD Olidata 17" Mod. 7005L11 S/Nº 75L11N-75K2372-019706</v>
          </cell>
          <cell r="O2241" t="str">
            <v>EQUIPOS COMPUTACIONALES Y PERIFÉRICOS EN ARRIENDO</v>
          </cell>
          <cell r="P2241">
            <v>14000</v>
          </cell>
          <cell r="T2241" t="str">
            <v>Bueno</v>
          </cell>
          <cell r="U2241" t="str">
            <v>Olidata</v>
          </cell>
        </row>
        <row r="2242">
          <cell r="J2242" t="str">
            <v>NN-06-01-00-2234</v>
          </cell>
          <cell r="K2242" t="str">
            <v>SC-00090</v>
          </cell>
          <cell r="L2242" t="str">
            <v>NN-06-01-00-2234</v>
          </cell>
          <cell r="M2242" t="str">
            <v xml:space="preserve">Teclado Olidata Mod. K 3100 S/N 3100100800965 </v>
          </cell>
          <cell r="O2242" t="str">
            <v>EQUIPOS COMPUTACIONALES Y PERIFÉRICOS EN ARRIENDO</v>
          </cell>
          <cell r="P2242">
            <v>4000</v>
          </cell>
          <cell r="T2242" t="str">
            <v>Bueno</v>
          </cell>
          <cell r="U2242" t="str">
            <v>Olidata</v>
          </cell>
        </row>
        <row r="2243">
          <cell r="J2243" t="str">
            <v>NN-06-01-00-2235</v>
          </cell>
          <cell r="K2243" t="str">
            <v>SC-00091</v>
          </cell>
          <cell r="L2243" t="str">
            <v>NN-06-01-00-2235</v>
          </cell>
          <cell r="M2243" t="str">
            <v>Mouse Optico Olidata KM 8920</v>
          </cell>
          <cell r="O2243" t="str">
            <v>EQUIPOS COMPUTACIONALES Y PERIFÉRICOS EN ARRIENDO</v>
          </cell>
          <cell r="P2243">
            <v>3000</v>
          </cell>
          <cell r="T2243" t="str">
            <v>Bueno</v>
          </cell>
          <cell r="U2243" t="str">
            <v>Olidata</v>
          </cell>
        </row>
        <row r="2244">
          <cell r="J2244" t="str">
            <v>42-05-01-01-2236</v>
          </cell>
          <cell r="K2244" t="str">
            <v>SC-00092</v>
          </cell>
          <cell r="L2244" t="str">
            <v>42-05-01-01-2236</v>
          </cell>
          <cell r="M2244" t="str">
            <v>Porta Scotch grande color rojo</v>
          </cell>
          <cell r="O2244" t="str">
            <v>EQUIPO DE OFICINA</v>
          </cell>
          <cell r="P2244">
            <v>4000</v>
          </cell>
          <cell r="T2244" t="str">
            <v>Bueno</v>
          </cell>
          <cell r="U2244" t="str">
            <v>N/T</v>
          </cell>
        </row>
        <row r="2245">
          <cell r="J2245" t="str">
            <v>FN-04-07-00-2237</v>
          </cell>
          <cell r="K2245" t="str">
            <v>SC-00093</v>
          </cell>
          <cell r="L2245" t="str">
            <v>FN-04-07-00-2237</v>
          </cell>
          <cell r="M2245" t="str">
            <v>Basurero plástico c/tapa color blanco</v>
          </cell>
          <cell r="O2245" t="str">
            <v>OTROS FUNGIBLE / NOMINABLE</v>
          </cell>
          <cell r="P2245">
            <v>3000</v>
          </cell>
          <cell r="T2245" t="str">
            <v>Bueno</v>
          </cell>
          <cell r="U2245" t="str">
            <v>N/T</v>
          </cell>
        </row>
        <row r="2246">
          <cell r="J2246" t="str">
            <v>42-05-02-01-2238</v>
          </cell>
          <cell r="K2246" t="str">
            <v>SC-00094</v>
          </cell>
          <cell r="L2246" t="str">
            <v>42-05-02-01-2238</v>
          </cell>
          <cell r="M2246" t="str">
            <v>Tijera marca Lavoro</v>
          </cell>
          <cell r="O2246" t="str">
            <v>EQUIPOS CLINICOS</v>
          </cell>
          <cell r="P2246">
            <v>1500</v>
          </cell>
          <cell r="T2246" t="str">
            <v>Bueno</v>
          </cell>
          <cell r="U2246" t="str">
            <v>N/T</v>
          </cell>
        </row>
        <row r="2247">
          <cell r="J2247" t="str">
            <v>NN-06-01-00-2239</v>
          </cell>
          <cell r="K2247" t="str">
            <v>SC-00095</v>
          </cell>
          <cell r="L2247" t="str">
            <v>NN-06-01-00-2239</v>
          </cell>
          <cell r="M2247" t="str">
            <v>Computador Olidata Nº 010143-000032</v>
          </cell>
          <cell r="O2247" t="str">
            <v>EQUIPOS COMPUTACIONALES Y PERIFÉRICOS EN ARRIENDO</v>
          </cell>
          <cell r="P2247">
            <v>340000</v>
          </cell>
          <cell r="T2247" t="str">
            <v>Bueno</v>
          </cell>
          <cell r="U2247" t="str">
            <v>Olidata</v>
          </cell>
        </row>
        <row r="2248">
          <cell r="J2248" t="str">
            <v>NN-06-01-00-2240</v>
          </cell>
          <cell r="K2248" t="str">
            <v>SC-00096</v>
          </cell>
          <cell r="L2248" t="str">
            <v>NN-06-01-00-2240</v>
          </cell>
          <cell r="M2248" t="str">
            <v>Monitor LCD Olidata 17" Mod.7005L11 S/Nº 7005L11N-83D2733-00710G</v>
          </cell>
          <cell r="O2248" t="str">
            <v>EQUIPOS COMPUTACIONALES Y PERIFÉRICOS EN ARRIENDO</v>
          </cell>
          <cell r="P2248">
            <v>14000</v>
          </cell>
          <cell r="T2248" t="str">
            <v>Bueno</v>
          </cell>
          <cell r="U2248" t="str">
            <v>Olidata</v>
          </cell>
        </row>
        <row r="2249">
          <cell r="J2249" t="str">
            <v>NN-06-01-00-2241</v>
          </cell>
          <cell r="K2249" t="str">
            <v>SC-00097</v>
          </cell>
          <cell r="L2249" t="str">
            <v>NN-06-01-00-2241</v>
          </cell>
          <cell r="M2249" t="str">
            <v>Teclado Olidata Mod. K7563 S/Nº K75630712004846</v>
          </cell>
          <cell r="O2249" t="str">
            <v>EQUIPOS COMPUTACIONALES Y PERIFÉRICOS EN ARRIENDO</v>
          </cell>
          <cell r="P2249">
            <v>4000</v>
          </cell>
          <cell r="T2249" t="str">
            <v>Bueno</v>
          </cell>
          <cell r="U2249" t="str">
            <v>Olidata</v>
          </cell>
        </row>
        <row r="2250">
          <cell r="J2250" t="str">
            <v>NN-06-01-00-2242</v>
          </cell>
          <cell r="K2250" t="str">
            <v>SC-00098</v>
          </cell>
          <cell r="L2250" t="str">
            <v>NN-06-01-00-2242</v>
          </cell>
          <cell r="M2250" t="str">
            <v>Mouse Olidata Mod. KM 8920</v>
          </cell>
          <cell r="O2250" t="str">
            <v>EQUIPOS COMPUTACIONALES Y PERIFÉRICOS EN ARRIENDO</v>
          </cell>
          <cell r="P2250">
            <v>3000</v>
          </cell>
          <cell r="T2250" t="str">
            <v>Bueno</v>
          </cell>
          <cell r="U2250" t="str">
            <v>Olidata</v>
          </cell>
        </row>
        <row r="2251">
          <cell r="J2251" t="str">
            <v>42-05-01-01-2243</v>
          </cell>
          <cell r="K2251" t="str">
            <v>SC-00099</v>
          </cell>
          <cell r="L2251" t="str">
            <v>42-05-01-01-2243</v>
          </cell>
          <cell r="M2251" t="str">
            <v>Perforador</v>
          </cell>
          <cell r="O2251" t="str">
            <v>EQUIPO DE OFICINA</v>
          </cell>
          <cell r="P2251">
            <v>10000</v>
          </cell>
          <cell r="T2251" t="str">
            <v>Bueno</v>
          </cell>
          <cell r="U2251" t="str">
            <v>N/T</v>
          </cell>
        </row>
        <row r="2252">
          <cell r="J2252" t="str">
            <v>42-05-02-01-2244</v>
          </cell>
          <cell r="K2252" t="str">
            <v>SC-00100</v>
          </cell>
          <cell r="L2252" t="str">
            <v>42-05-02-01-2244</v>
          </cell>
          <cell r="M2252" t="str">
            <v xml:space="preserve">Cronómetros digitales </v>
          </cell>
          <cell r="O2252" t="str">
            <v>EQUIPOS CLINICOS</v>
          </cell>
          <cell r="P2252">
            <v>12000</v>
          </cell>
          <cell r="T2252" t="str">
            <v>Bueno</v>
          </cell>
          <cell r="U2252" t="str">
            <v>N/T</v>
          </cell>
        </row>
        <row r="2253">
          <cell r="J2253" t="str">
            <v>42-06-01-00-2245</v>
          </cell>
          <cell r="K2253" t="str">
            <v>SC-00101</v>
          </cell>
          <cell r="L2253" t="str">
            <v>42-06-01-00-2245</v>
          </cell>
          <cell r="M2253" t="str">
            <v>Impresora laser marca Brother Mod.  HL-5340D S/Nº E66820H9J333141 ( Comodato Farmalatina )</v>
          </cell>
          <cell r="O2253" t="str">
            <v>EQUIPOS COMPUTACIONALES Y PERIFÉRICOS</v>
          </cell>
          <cell r="P2253">
            <v>80000</v>
          </cell>
          <cell r="T2253" t="str">
            <v>Bueno</v>
          </cell>
          <cell r="U2253" t="str">
            <v>Brother</v>
          </cell>
        </row>
        <row r="2254">
          <cell r="J2254" t="str">
            <v>42-05-01-01-2246</v>
          </cell>
          <cell r="K2254" t="str">
            <v>SC-00102</v>
          </cell>
          <cell r="L2254" t="str">
            <v>42-05-01-01-2246</v>
          </cell>
          <cell r="M2254" t="str">
            <v>Calculadora Casine CD 801 B</v>
          </cell>
          <cell r="O2254" t="str">
            <v>EQUIPO DE OFICINA</v>
          </cell>
          <cell r="P2254">
            <v>7500</v>
          </cell>
          <cell r="T2254" t="str">
            <v>Bueno</v>
          </cell>
          <cell r="U2254" t="str">
            <v>Casine</v>
          </cell>
        </row>
        <row r="2255">
          <cell r="J2255" t="str">
            <v>42-05-02-01-2247</v>
          </cell>
          <cell r="K2255" t="str">
            <v>SC-00103</v>
          </cell>
          <cell r="L2255" t="str">
            <v>42-05-02-01-2247</v>
          </cell>
          <cell r="M2255" t="str">
            <v>Analizador bioquímica Humastar 180 S/Nº 7203 ( Comodato Farmalatina )</v>
          </cell>
          <cell r="O2255" t="str">
            <v>EQUIPOS CLINICOS</v>
          </cell>
          <cell r="P2255">
            <v>15000000</v>
          </cell>
          <cell r="T2255" t="str">
            <v>Bueno</v>
          </cell>
          <cell r="U2255" t="str">
            <v>N/T</v>
          </cell>
        </row>
        <row r="2256">
          <cell r="J2256" t="str">
            <v>42-06-01-00-2248</v>
          </cell>
          <cell r="K2256" t="str">
            <v>SC-00104</v>
          </cell>
          <cell r="L2256" t="str">
            <v>42-06-01-00-2248</v>
          </cell>
          <cell r="M2256" t="str">
            <v>Computador Amd Sempron Processor 3000</v>
          </cell>
          <cell r="O2256" t="str">
            <v>EQUIPOS COMPUTACIONALES Y PERIFÉRICOS</v>
          </cell>
          <cell r="P2256">
            <v>142800</v>
          </cell>
          <cell r="T2256" t="str">
            <v>Bueno</v>
          </cell>
          <cell r="U2256" t="str">
            <v>Amd Sempron</v>
          </cell>
        </row>
        <row r="2257">
          <cell r="J2257" t="str">
            <v>42-06-01-00-2249</v>
          </cell>
          <cell r="K2257" t="str">
            <v>SC-00105</v>
          </cell>
          <cell r="L2257" t="str">
            <v>42-06-01-00-2249</v>
          </cell>
          <cell r="M2257" t="str">
            <v>Pantalla Acer Mod. Al1511b S/Nº ETL140813552900C52PK15</v>
          </cell>
          <cell r="O2257" t="str">
            <v>EQUIPOS COMPUTACIONALES Y PERIFÉRICOS</v>
          </cell>
          <cell r="P2257">
            <v>14000</v>
          </cell>
          <cell r="T2257" t="str">
            <v>Bueno</v>
          </cell>
          <cell r="U2257" t="str">
            <v>acer mod</v>
          </cell>
        </row>
        <row r="2258">
          <cell r="J2258" t="str">
            <v>42-06-01-00-2250</v>
          </cell>
          <cell r="K2258" t="str">
            <v>SC-00106</v>
          </cell>
          <cell r="L2258" t="str">
            <v>42-06-01-00-2250</v>
          </cell>
          <cell r="M2258" t="str">
            <v>Teclado Benq Mod. 100-P S/Nº 9JP1MP1UCS64719193SB0000</v>
          </cell>
          <cell r="O2258" t="str">
            <v>EQUIPOS COMPUTACIONALES Y PERIFÉRICOS</v>
          </cell>
          <cell r="P2258">
            <v>4000</v>
          </cell>
          <cell r="T2258" t="str">
            <v>Bueno</v>
          </cell>
          <cell r="U2258" t="str">
            <v>Benq</v>
          </cell>
        </row>
        <row r="2259">
          <cell r="J2259" t="str">
            <v>42-06-01-00-2251</v>
          </cell>
          <cell r="K2259" t="str">
            <v>SC-00107</v>
          </cell>
          <cell r="L2259" t="str">
            <v>42-06-01-00-2251</v>
          </cell>
          <cell r="M2259" t="str">
            <v>Mouse Benq Mod. M500-P9U S/Nº 95Q2588P9U64719193SA0000 UPS Mod 1KVA-S S/Nº 3EAJ100107288050045</v>
          </cell>
          <cell r="O2259" t="str">
            <v>EQUIPOS COMPUTACIONALES Y PERIFÉRICOS</v>
          </cell>
          <cell r="P2259">
            <v>3000</v>
          </cell>
          <cell r="T2259" t="str">
            <v>Bueno</v>
          </cell>
          <cell r="U2259" t="str">
            <v>Benq</v>
          </cell>
        </row>
        <row r="2260">
          <cell r="J2260" t="str">
            <v>42-05-02-01-2252</v>
          </cell>
          <cell r="K2260" t="str">
            <v>SC-00108</v>
          </cell>
          <cell r="L2260" t="str">
            <v>42-05-02-01-2252</v>
          </cell>
          <cell r="M2260" t="str">
            <v>Contador hematológico marca Humacount Plus Human ( Farmalatina )</v>
          </cell>
          <cell r="O2260" t="str">
            <v>EQUIPOS CLINICOS</v>
          </cell>
          <cell r="P2260">
            <v>7000000</v>
          </cell>
          <cell r="T2260" t="str">
            <v>Bueno</v>
          </cell>
          <cell r="U2260" t="str">
            <v>N/T</v>
          </cell>
        </row>
        <row r="2261">
          <cell r="J2261" t="str">
            <v>42-05-02-01-2253</v>
          </cell>
          <cell r="K2261" t="str">
            <v>SC-00109</v>
          </cell>
          <cell r="L2261" t="str">
            <v>42-05-02-01-2253</v>
          </cell>
          <cell r="M2261" t="str">
            <v>Microscopio marca Micros Austria modelo MC 300 a  (Departamento Salud Municipal)</v>
          </cell>
          <cell r="O2261" t="str">
            <v>EQUIPOS CLINICOS</v>
          </cell>
          <cell r="P2261">
            <v>1000000</v>
          </cell>
          <cell r="T2261" t="str">
            <v>Bueno</v>
          </cell>
          <cell r="U2261" t="str">
            <v>N/T</v>
          </cell>
        </row>
        <row r="2262">
          <cell r="J2262" t="str">
            <v>42-05-02-01-2254</v>
          </cell>
          <cell r="K2262" t="str">
            <v>SC-00110</v>
          </cell>
          <cell r="L2262" t="str">
            <v>42-05-02-01-2254</v>
          </cell>
          <cell r="M2262" t="str">
            <v>Coagulometro marca Behnk Elektronik  ( Comodato Farmalatina )</v>
          </cell>
          <cell r="O2262" t="str">
            <v>EQUIPOS CLINICOS</v>
          </cell>
          <cell r="P2262">
            <v>1000000</v>
          </cell>
          <cell r="T2262" t="str">
            <v>Bueno</v>
          </cell>
          <cell r="U2262" t="str">
            <v>behnk</v>
          </cell>
        </row>
        <row r="2263">
          <cell r="J2263" t="str">
            <v>42-05-01-01-2255</v>
          </cell>
          <cell r="K2263" t="str">
            <v>SC-00111</v>
          </cell>
          <cell r="L2263" t="str">
            <v>42-05-01-01-2255</v>
          </cell>
          <cell r="M2263" t="str">
            <v>Lector VHS Electa Lab Mod. GE Serie 00550 ( Comodato Farmalatina )</v>
          </cell>
          <cell r="O2263" t="str">
            <v>EQUIPO DE OFICINA</v>
          </cell>
          <cell r="P2263">
            <v>800000</v>
          </cell>
          <cell r="T2263" t="str">
            <v>Bueno</v>
          </cell>
          <cell r="U2263" t="str">
            <v>Electa</v>
          </cell>
        </row>
        <row r="2264">
          <cell r="J2264" t="str">
            <v>42-05-02-01-2256</v>
          </cell>
          <cell r="K2264" t="str">
            <v>SC-00112</v>
          </cell>
          <cell r="L2264" t="str">
            <v>42-05-02-01-2256</v>
          </cell>
          <cell r="M2264" t="str">
            <v>Lector tiras orina Clinitek status Nº identificación 1254 13 BY6075 ( Comodato Valtex )</v>
          </cell>
          <cell r="O2264" t="str">
            <v>EQUIPOS CLINICOS</v>
          </cell>
          <cell r="P2264">
            <v>1000000</v>
          </cell>
          <cell r="T2264" t="str">
            <v>Bueno</v>
          </cell>
          <cell r="U2264" t="str">
            <v>Clinitek</v>
          </cell>
        </row>
        <row r="2265">
          <cell r="J2265" t="str">
            <v>42-04-06-00-2257</v>
          </cell>
          <cell r="K2265" t="str">
            <v>SC-00113</v>
          </cell>
          <cell r="L2265" t="str">
            <v>42-04-06-00-2257</v>
          </cell>
          <cell r="M2265" t="str">
            <v>Mueble c/ 1 cajón, 2 puertas, 1 bandeja corrediza de melamina blanca con cubierta ploma 120 x 70 x 81 cms.  ( Tecnigen )</v>
          </cell>
          <cell r="O2265" t="str">
            <v>REPISA</v>
          </cell>
          <cell r="P2265">
            <v>80000</v>
          </cell>
          <cell r="T2265" t="str">
            <v>Bueno</v>
          </cell>
          <cell r="U2265" t="str">
            <v>N/T</v>
          </cell>
        </row>
        <row r="2266">
          <cell r="J2266" t="str">
            <v>42-04-07-00-2258</v>
          </cell>
          <cell r="K2266" t="str">
            <v>SC-00114</v>
          </cell>
          <cell r="L2266" t="str">
            <v>42-04-07-00-2258</v>
          </cell>
          <cell r="M2266" t="str">
            <v>Basurero plástico c/ tapa color blanco</v>
          </cell>
          <cell r="O2266" t="str">
            <v>OTROS</v>
          </cell>
          <cell r="P2266">
            <v>3500</v>
          </cell>
          <cell r="T2266" t="str">
            <v>Bueno</v>
          </cell>
          <cell r="U2266" t="str">
            <v>N/T</v>
          </cell>
        </row>
        <row r="2267">
          <cell r="J2267" t="str">
            <v>42-05-02-02-2259</v>
          </cell>
          <cell r="K2267" t="str">
            <v>SC-00115</v>
          </cell>
          <cell r="L2267" t="str">
            <v>42-05-02-02-2259</v>
          </cell>
          <cell r="M2267" t="str">
            <v>Olla de porcelana de color celeste tapa azul de 5 lts</v>
          </cell>
          <cell r="O2267" t="str">
            <v>EQUIPOS DE COCINA</v>
          </cell>
          <cell r="P2267">
            <v>5000</v>
          </cell>
          <cell r="T2267" t="str">
            <v>Bueno</v>
          </cell>
          <cell r="U2267" t="str">
            <v>N/T</v>
          </cell>
        </row>
        <row r="2268">
          <cell r="J2268" t="str">
            <v>42-04-06-00-2260</v>
          </cell>
          <cell r="K2268" t="str">
            <v>SC-00116</v>
          </cell>
          <cell r="L2268" t="str">
            <v>42-04-06-00-2260</v>
          </cell>
          <cell r="M2268" t="str">
            <v>Repisa con cubierta de formalita color blanca 2 soportes metálicos ( T. M. )</v>
          </cell>
          <cell r="O2268" t="str">
            <v>REPISA</v>
          </cell>
          <cell r="P2268">
            <v>45000</v>
          </cell>
          <cell r="T2268" t="str">
            <v>Bueno</v>
          </cell>
          <cell r="U2268" t="str">
            <v>N/T</v>
          </cell>
        </row>
        <row r="2269">
          <cell r="J2269" t="str">
            <v>42-04-07-00-2261</v>
          </cell>
          <cell r="K2269" t="str">
            <v>SC-00117</v>
          </cell>
          <cell r="L2269" t="str">
            <v>42-04-07-00-2261</v>
          </cell>
          <cell r="M2269" t="str">
            <v>Papelero plástico con tapa color blanco</v>
          </cell>
          <cell r="O2269" t="str">
            <v>OTROS</v>
          </cell>
          <cell r="P2269">
            <v>3500</v>
          </cell>
          <cell r="T2269" t="str">
            <v>Bueno</v>
          </cell>
          <cell r="U2269" t="str">
            <v>N/T</v>
          </cell>
        </row>
        <row r="2270">
          <cell r="J2270" t="str">
            <v>42-05-01-01-2262</v>
          </cell>
          <cell r="K2270" t="str">
            <v>SC-00118</v>
          </cell>
          <cell r="L2270" t="str">
            <v>42-05-01-01-2262</v>
          </cell>
          <cell r="M2270" t="str">
            <v>Corcheteras marca Torre color negro</v>
          </cell>
          <cell r="O2270" t="str">
            <v>EQUIPO DE OFICINA</v>
          </cell>
          <cell r="P2270">
            <v>3500</v>
          </cell>
          <cell r="T2270" t="str">
            <v>Bueno</v>
          </cell>
          <cell r="U2270" t="str">
            <v>Torre</v>
          </cell>
        </row>
        <row r="2271">
          <cell r="J2271" t="str">
            <v>42-04-07-00-2263</v>
          </cell>
          <cell r="K2271" t="str">
            <v>SC-00119</v>
          </cell>
          <cell r="L2271" t="str">
            <v>42-04-07-00-2263</v>
          </cell>
          <cell r="M2271" t="str">
            <v>Basurero c/ tapa color blanco</v>
          </cell>
          <cell r="O2271" t="str">
            <v>OTROS</v>
          </cell>
          <cell r="P2271">
            <v>3500</v>
          </cell>
          <cell r="T2271" t="str">
            <v>Bueno</v>
          </cell>
          <cell r="U2271" t="str">
            <v>N/T</v>
          </cell>
        </row>
        <row r="2272">
          <cell r="J2272" t="str">
            <v>42-04-07-00-2264</v>
          </cell>
          <cell r="K2272" t="str">
            <v>SC-00120</v>
          </cell>
          <cell r="L2272" t="str">
            <v>42-04-07-00-2264</v>
          </cell>
          <cell r="M2272" t="str">
            <v>Percheros dobles</v>
          </cell>
          <cell r="O2272" t="str">
            <v>OTROS</v>
          </cell>
          <cell r="P2272">
            <v>10000</v>
          </cell>
          <cell r="T2272" t="str">
            <v>Bueno</v>
          </cell>
          <cell r="U2272" t="str">
            <v>N/T</v>
          </cell>
        </row>
        <row r="2273">
          <cell r="J2273" t="str">
            <v>42-05-01-01-2265</v>
          </cell>
          <cell r="K2273" t="str">
            <v>SC-00121</v>
          </cell>
          <cell r="L2273" t="str">
            <v>42-05-01-01-2265</v>
          </cell>
          <cell r="M2273" t="str">
            <v>Perforador metálico color plomo</v>
          </cell>
          <cell r="O2273" t="str">
            <v>EQUIPO DE OFICINA</v>
          </cell>
          <cell r="P2273">
            <v>4500</v>
          </cell>
          <cell r="T2273" t="str">
            <v>Bueno</v>
          </cell>
          <cell r="U2273" t="str">
            <v>N/T</v>
          </cell>
        </row>
        <row r="2274">
          <cell r="J2274" t="str">
            <v>42-05-01-01-2266</v>
          </cell>
          <cell r="K2274" t="str">
            <v>SC-00122</v>
          </cell>
          <cell r="L2274" t="str">
            <v>42-05-01-01-2266</v>
          </cell>
          <cell r="M2274" t="str">
            <v>Porta scotch grande color azul</v>
          </cell>
          <cell r="O2274" t="str">
            <v>EQUIPO DE OFICINA</v>
          </cell>
          <cell r="P2274">
            <v>10000</v>
          </cell>
          <cell r="T2274" t="str">
            <v>Bueno</v>
          </cell>
          <cell r="U2274" t="str">
            <v>N/T</v>
          </cell>
        </row>
        <row r="2275">
          <cell r="J2275" t="str">
            <v>42-04-07-00-2267</v>
          </cell>
          <cell r="K2275" t="str">
            <v>SC-00123</v>
          </cell>
          <cell r="L2275" t="str">
            <v>42-04-07-00-2267</v>
          </cell>
          <cell r="M2275" t="str">
            <v>Canastillos metálicos de 22x20 cms.</v>
          </cell>
          <cell r="O2275" t="str">
            <v>OTROS</v>
          </cell>
          <cell r="P2275">
            <v>2000</v>
          </cell>
          <cell r="T2275" t="str">
            <v>Bueno</v>
          </cell>
          <cell r="U2275" t="str">
            <v>N/T</v>
          </cell>
        </row>
        <row r="2276">
          <cell r="J2276" t="str">
            <v>42-04-07-00-2268</v>
          </cell>
          <cell r="K2276" t="str">
            <v>SC-00124</v>
          </cell>
          <cell r="L2276" t="str">
            <v>42-04-07-00-2268</v>
          </cell>
          <cell r="M2276" t="str">
            <v>Canastillos metálicos chicos</v>
          </cell>
          <cell r="O2276" t="str">
            <v>OTROS</v>
          </cell>
          <cell r="P2276">
            <v>2000</v>
          </cell>
          <cell r="T2276" t="str">
            <v>Bueno</v>
          </cell>
          <cell r="U2276" t="str">
            <v>N/T</v>
          </cell>
        </row>
        <row r="2277">
          <cell r="J2277" t="str">
            <v>42-04-07-00-2269</v>
          </cell>
          <cell r="K2277" t="str">
            <v>SC-00125</v>
          </cell>
          <cell r="L2277" t="str">
            <v>42-04-07-00-2269</v>
          </cell>
          <cell r="M2277" t="str">
            <v>Canastillo metálico mediano</v>
          </cell>
          <cell r="O2277" t="str">
            <v>OTROS</v>
          </cell>
          <cell r="P2277">
            <v>2000</v>
          </cell>
          <cell r="T2277" t="str">
            <v>Bueno</v>
          </cell>
          <cell r="U2277" t="str">
            <v>N/T</v>
          </cell>
        </row>
        <row r="2278">
          <cell r="J2278" t="str">
            <v>42-04-07-00-2270</v>
          </cell>
          <cell r="K2278" t="str">
            <v>SC-00126</v>
          </cell>
          <cell r="L2278" t="str">
            <v>42-04-07-00-2270</v>
          </cell>
          <cell r="M2278" t="str">
            <v>Basurero c/ tapa color blanco</v>
          </cell>
          <cell r="O2278" t="str">
            <v>OTROS</v>
          </cell>
          <cell r="P2278">
            <v>2000</v>
          </cell>
          <cell r="T2278" t="str">
            <v>Bueno</v>
          </cell>
          <cell r="U2278" t="str">
            <v>N/T</v>
          </cell>
        </row>
        <row r="2279">
          <cell r="J2279" t="str">
            <v>42-05-02-01-2271</v>
          </cell>
          <cell r="K2279" t="str">
            <v>SC-00127</v>
          </cell>
          <cell r="L2279" t="str">
            <v>42-05-02-01-2271</v>
          </cell>
          <cell r="M2279" t="str">
            <v>Gradilla plástica 60 tubos amarilla</v>
          </cell>
          <cell r="O2279" t="str">
            <v>EQUIPOS CLINICOS</v>
          </cell>
          <cell r="P2279">
            <v>6000</v>
          </cell>
          <cell r="T2279" t="str">
            <v>Bueno</v>
          </cell>
          <cell r="U2279" t="str">
            <v>N/T</v>
          </cell>
        </row>
        <row r="2280">
          <cell r="J2280" t="str">
            <v>42-05-02-01-2272</v>
          </cell>
          <cell r="K2280" t="str">
            <v>SC-00128</v>
          </cell>
          <cell r="L2280" t="str">
            <v>42-05-02-01-2272</v>
          </cell>
          <cell r="M2280" t="str">
            <v>Gradilla plástica 60 tubos azul</v>
          </cell>
          <cell r="O2280" t="str">
            <v>EQUIPOS CLINICOS</v>
          </cell>
          <cell r="P2280">
            <v>6000</v>
          </cell>
          <cell r="T2280" t="str">
            <v>Bueno</v>
          </cell>
          <cell r="U2280" t="str">
            <v>N/T</v>
          </cell>
        </row>
        <row r="2281">
          <cell r="J2281" t="str">
            <v>42-05-02-01-2273</v>
          </cell>
          <cell r="K2281" t="str">
            <v>SC-00129</v>
          </cell>
          <cell r="L2281" t="str">
            <v>42-05-02-01-2273</v>
          </cell>
          <cell r="M2281" t="str">
            <v>Gradilla plástica 90 tubos azul</v>
          </cell>
          <cell r="O2281" t="str">
            <v>EQUIPOS CLINICOS</v>
          </cell>
          <cell r="P2281">
            <v>5000</v>
          </cell>
          <cell r="T2281" t="str">
            <v>Bueno</v>
          </cell>
          <cell r="U2281" t="str">
            <v>N/T</v>
          </cell>
        </row>
        <row r="2282">
          <cell r="J2282" t="str">
            <v>42-05-02-01-2274</v>
          </cell>
          <cell r="K2282" t="str">
            <v>SC-00130</v>
          </cell>
          <cell r="L2282" t="str">
            <v>42-05-02-01-2274</v>
          </cell>
          <cell r="M2282" t="str">
            <v>Gradillas metálicas para 20 tubos c/u</v>
          </cell>
          <cell r="O2282" t="str">
            <v>EQUIPOS CLINICOS</v>
          </cell>
          <cell r="P2282">
            <v>5000</v>
          </cell>
          <cell r="T2282" t="str">
            <v>Bueno</v>
          </cell>
          <cell r="U2282" t="str">
            <v>N/T</v>
          </cell>
        </row>
        <row r="2283">
          <cell r="J2283" t="str">
            <v>42-05-02-01-2275</v>
          </cell>
          <cell r="K2283" t="str">
            <v>SC-00131</v>
          </cell>
          <cell r="L2283" t="str">
            <v>42-05-02-01-2275</v>
          </cell>
          <cell r="M2283" t="str">
            <v>Gradillas metálicas para 21 tubos</v>
          </cell>
          <cell r="O2283" t="str">
            <v>EQUIPOS CLINICOS</v>
          </cell>
          <cell r="P2283">
            <v>2500</v>
          </cell>
          <cell r="T2283" t="str">
            <v>Bueno</v>
          </cell>
          <cell r="U2283" t="str">
            <v>N/T</v>
          </cell>
        </row>
        <row r="2284">
          <cell r="J2284" t="str">
            <v>42-05-02-01-2276</v>
          </cell>
          <cell r="K2284" t="str">
            <v>SC-00132</v>
          </cell>
          <cell r="L2284" t="str">
            <v>42-05-02-01-2276</v>
          </cell>
          <cell r="M2284" t="str">
            <v>Gradilla metálica para 36 tubos</v>
          </cell>
          <cell r="O2284" t="str">
            <v>EQUIPOS CLINICOS</v>
          </cell>
          <cell r="P2284">
            <v>2500</v>
          </cell>
          <cell r="T2284" t="str">
            <v>Bueno</v>
          </cell>
          <cell r="U2284" t="str">
            <v>N/T</v>
          </cell>
        </row>
        <row r="2285">
          <cell r="J2285" t="str">
            <v>42-04-07-00-2277</v>
          </cell>
          <cell r="K2285" t="str">
            <v>SC-00133</v>
          </cell>
          <cell r="L2285" t="str">
            <v>42-04-07-00-2277</v>
          </cell>
          <cell r="M2285" t="str">
            <v>Soportes puntillas marca Axigen de 100 unidades c/u</v>
          </cell>
          <cell r="O2285" t="str">
            <v>OTROS</v>
          </cell>
          <cell r="P2285">
            <v>2500</v>
          </cell>
          <cell r="T2285" t="str">
            <v>Bueno</v>
          </cell>
          <cell r="U2285" t="str">
            <v>Axigen</v>
          </cell>
        </row>
        <row r="2286">
          <cell r="J2286" t="str">
            <v>42-05-02-01-2278</v>
          </cell>
          <cell r="K2286" t="str">
            <v>SC-00134</v>
          </cell>
          <cell r="L2286" t="str">
            <v>42-05-02-01-2278</v>
          </cell>
          <cell r="M2286" t="str">
            <v>Stand para pipetas 3 posiciones</v>
          </cell>
          <cell r="O2286" t="str">
            <v>EQUIPOS CLINICOS</v>
          </cell>
          <cell r="P2286">
            <v>35000</v>
          </cell>
          <cell r="T2286" t="str">
            <v>Bueno</v>
          </cell>
          <cell r="U2286" t="str">
            <v>N/T</v>
          </cell>
        </row>
        <row r="2287">
          <cell r="J2287" t="str">
            <v>NN-06-01-00-2279</v>
          </cell>
          <cell r="K2287" t="str">
            <v>SC-00135</v>
          </cell>
          <cell r="L2287" t="str">
            <v>NN-06-01-00-2279</v>
          </cell>
          <cell r="M2287" t="str">
            <v>Computador Olidata S/Nº 008920-000342</v>
          </cell>
          <cell r="O2287" t="str">
            <v>EQUIPOS COMPUTACIONALES Y PERIFÉRICOS EN ARRIENDO</v>
          </cell>
          <cell r="P2287">
            <v>145000</v>
          </cell>
          <cell r="T2287" t="str">
            <v>Bueno</v>
          </cell>
          <cell r="U2287" t="str">
            <v>Olidata</v>
          </cell>
        </row>
        <row r="2288">
          <cell r="J2288" t="str">
            <v>NN-06-01-00-2280</v>
          </cell>
          <cell r="K2288" t="str">
            <v>SC-00136</v>
          </cell>
          <cell r="L2288" t="str">
            <v>NN-06-01-00-2280</v>
          </cell>
          <cell r="M2288" t="str">
            <v>Monitor LCD Olidata 17" Mod 7005L11 S/N° 75L11N-7512272-C0201H</v>
          </cell>
          <cell r="O2288" t="str">
            <v>EQUIPOS COMPUTACIONALES Y PERIFÉRICOS EN ARRIENDO</v>
          </cell>
          <cell r="P2288">
            <v>14000</v>
          </cell>
          <cell r="T2288" t="str">
            <v>Bueno</v>
          </cell>
          <cell r="U2288" t="str">
            <v>Olidata</v>
          </cell>
        </row>
        <row r="2289">
          <cell r="J2289" t="str">
            <v>NN-06-01-00-2281</v>
          </cell>
          <cell r="K2289" t="str">
            <v>SC-00137</v>
          </cell>
          <cell r="L2289" t="str">
            <v>NN-06-01-00-2281</v>
          </cell>
          <cell r="M2289" t="str">
            <v>Mouse óptico Olidata mod. KM 8920</v>
          </cell>
          <cell r="O2289" t="str">
            <v>EQUIPOS COMPUTACIONALES Y PERIFÉRICOS EN ARRIENDO</v>
          </cell>
          <cell r="P2289">
            <v>3000</v>
          </cell>
          <cell r="T2289" t="str">
            <v>Bueno</v>
          </cell>
          <cell r="U2289" t="str">
            <v>Olidata</v>
          </cell>
        </row>
        <row r="2290">
          <cell r="J2290" t="str">
            <v>NN-06-01-00-2282</v>
          </cell>
          <cell r="K2290" t="str">
            <v>SC-00138</v>
          </cell>
          <cell r="L2290" t="str">
            <v>NN-06-01-00-2282</v>
          </cell>
          <cell r="M2290" t="str">
            <v>Computador Olidata Nº ID A 2601 S/Nº 008920-000351</v>
          </cell>
          <cell r="O2290" t="str">
            <v>EQUIPOS COMPUTACIONALES Y PERIFÉRICOS EN ARRIENDO</v>
          </cell>
          <cell r="P2290">
            <v>145000</v>
          </cell>
          <cell r="T2290" t="str">
            <v>Bueno</v>
          </cell>
          <cell r="U2290" t="str">
            <v>Aopen</v>
          </cell>
        </row>
        <row r="2291">
          <cell r="J2291" t="str">
            <v>NN-06-01-00-2283</v>
          </cell>
          <cell r="K2291" t="str">
            <v>SC-00139</v>
          </cell>
          <cell r="L2291" t="str">
            <v>NN-06-01-00-2283</v>
          </cell>
          <cell r="M2291" t="str">
            <v>Monitor LCD Olidata 17" Mod.7005L11 S/Nº 75L11N-75K2372-02063E</v>
          </cell>
          <cell r="O2291" t="str">
            <v>EQUIPOS COMPUTACIONALES Y PERIFÉRICOS EN ARRIENDO</v>
          </cell>
          <cell r="P2291">
            <v>14000</v>
          </cell>
          <cell r="T2291" t="str">
            <v>Bueno</v>
          </cell>
          <cell r="U2291" t="str">
            <v>Olidata</v>
          </cell>
        </row>
        <row r="2292">
          <cell r="J2292" t="str">
            <v>NN-06-01-00-2284</v>
          </cell>
          <cell r="K2292" t="str">
            <v>SC-00140</v>
          </cell>
          <cell r="L2292" t="str">
            <v>NN-06-01-00-2284</v>
          </cell>
          <cell r="M2292" t="str">
            <v>Teclado Olidata Mod. K 7563 S/Nº K75630703002140</v>
          </cell>
          <cell r="O2292" t="str">
            <v>EQUIPOS COMPUTACIONALES Y PERIFÉRICOS EN ARRIENDO</v>
          </cell>
          <cell r="P2292">
            <v>4000</v>
          </cell>
          <cell r="T2292" t="str">
            <v>Bueno</v>
          </cell>
          <cell r="U2292" t="str">
            <v>Olidata</v>
          </cell>
        </row>
        <row r="2293">
          <cell r="J2293" t="str">
            <v>NN-06-01-00-2285</v>
          </cell>
          <cell r="K2293" t="str">
            <v>SC-00141</v>
          </cell>
          <cell r="L2293" t="str">
            <v>NN-06-01-00-2285</v>
          </cell>
          <cell r="M2293" t="str">
            <v>Mouse optico Olidata Mod. KM 8920</v>
          </cell>
          <cell r="O2293" t="str">
            <v>EQUIPOS COMPUTACIONALES Y PERIFÉRICOS EN ARRIENDO</v>
          </cell>
          <cell r="P2293">
            <v>3000</v>
          </cell>
          <cell r="T2293" t="str">
            <v>Bueno</v>
          </cell>
          <cell r="U2293" t="str">
            <v>Olidata</v>
          </cell>
        </row>
        <row r="2294">
          <cell r="J2294" t="str">
            <v>42-05-02-01-2286</v>
          </cell>
          <cell r="K2294" t="str">
            <v>SC-00142</v>
          </cell>
          <cell r="L2294" t="str">
            <v>42-05-02-01-2286</v>
          </cell>
          <cell r="M2294" t="str">
            <v>Bomba infusión continua  Abbott/Shaw Lifcare pump Mod 4 color celeste ( Comodato ABBOTT )</v>
          </cell>
          <cell r="O2294" t="str">
            <v>EQUIPOS CLINICOS</v>
          </cell>
          <cell r="P2294">
            <v>809209</v>
          </cell>
          <cell r="T2294" t="str">
            <v>Bueno</v>
          </cell>
          <cell r="U2294" t="str">
            <v>N/T</v>
          </cell>
        </row>
        <row r="2295">
          <cell r="J2295" t="str">
            <v>42-05-02-01-2287</v>
          </cell>
          <cell r="K2295" t="str">
            <v>SC-00143</v>
          </cell>
          <cell r="L2295" t="str">
            <v>42-05-02-01-2287</v>
          </cell>
          <cell r="M2295" t="str">
            <v>Fonendoscopio</v>
          </cell>
          <cell r="O2295" t="str">
            <v>EQUIPOS CLINICOS</v>
          </cell>
          <cell r="P2295">
            <v>22000</v>
          </cell>
          <cell r="T2295" t="str">
            <v>Bueno</v>
          </cell>
          <cell r="U2295" t="str">
            <v>N/T</v>
          </cell>
        </row>
        <row r="2296">
          <cell r="J2296" t="str">
            <v>42-05-02-01-2288</v>
          </cell>
          <cell r="K2296" t="str">
            <v>SC-00144</v>
          </cell>
          <cell r="L2296" t="str">
            <v>42-05-02-01-2288</v>
          </cell>
          <cell r="M2296" t="str">
            <v>Glucómetro marca Accu - Chek S/Nº 8515423423 ( Comodato Roche )</v>
          </cell>
          <cell r="O2296" t="str">
            <v>EQUIPOS CLINICOS</v>
          </cell>
          <cell r="P2296">
            <v>51075</v>
          </cell>
          <cell r="T2296" t="str">
            <v>Bueno</v>
          </cell>
          <cell r="U2296" t="str">
            <v>Accu</v>
          </cell>
        </row>
        <row r="2297">
          <cell r="J2297" t="str">
            <v>42-05-02-01-2289</v>
          </cell>
          <cell r="K2297" t="str">
            <v>SC-00145</v>
          </cell>
          <cell r="L2297" t="str">
            <v>42-05-02-01-2289</v>
          </cell>
          <cell r="M2297" t="str">
            <v>Escabel mixto blanco/negro</v>
          </cell>
          <cell r="O2297" t="str">
            <v>EQUIPOS CLINICOS</v>
          </cell>
          <cell r="P2297">
            <v>10000</v>
          </cell>
          <cell r="T2297" t="str">
            <v>Bueno</v>
          </cell>
          <cell r="U2297" t="str">
            <v>N/T</v>
          </cell>
        </row>
        <row r="2298">
          <cell r="J2298" t="str">
            <v>42-05-01-01-2290</v>
          </cell>
          <cell r="K2298" t="str">
            <v>SC-00146</v>
          </cell>
          <cell r="L2298" t="str">
            <v>42-05-01-01-2290</v>
          </cell>
          <cell r="M2298" t="str">
            <v>Corchetera</v>
          </cell>
          <cell r="O2298" t="str">
            <v>EQUIPO DE OFICINA</v>
          </cell>
          <cell r="P2298">
            <v>3500</v>
          </cell>
          <cell r="T2298" t="str">
            <v>Bueno</v>
          </cell>
          <cell r="U2298" t="str">
            <v>N/T</v>
          </cell>
        </row>
        <row r="2299">
          <cell r="J2299" t="str">
            <v>42-04-07-00-2291</v>
          </cell>
          <cell r="K2299" t="str">
            <v>SC-00147</v>
          </cell>
          <cell r="L2299" t="str">
            <v>42-04-07-00-2291</v>
          </cell>
          <cell r="M2299" t="str">
            <v>Dispensador de jabón</v>
          </cell>
          <cell r="O2299" t="str">
            <v>OTROS</v>
          </cell>
          <cell r="P2299">
            <v>17000</v>
          </cell>
          <cell r="T2299" t="str">
            <v>Bueno</v>
          </cell>
          <cell r="U2299" t="str">
            <v>N/T</v>
          </cell>
        </row>
        <row r="2300">
          <cell r="J2300" t="str">
            <v>42-05-01-01-2292</v>
          </cell>
          <cell r="K2300" t="str">
            <v>SC-00148</v>
          </cell>
          <cell r="L2300" t="str">
            <v>42-05-01-01-2292</v>
          </cell>
          <cell r="M2300" t="str">
            <v>Cuadro marco de madera c/cartografía de Loncoche 77x55 cms.</v>
          </cell>
          <cell r="O2300" t="str">
            <v>EQUIPO DE OFICINA</v>
          </cell>
          <cell r="P2300">
            <v>12000</v>
          </cell>
          <cell r="T2300" t="str">
            <v>Bueno</v>
          </cell>
          <cell r="U2300" t="str">
            <v>N/T</v>
          </cell>
        </row>
        <row r="2301">
          <cell r="J2301" t="str">
            <v>42-05-01-01-2293</v>
          </cell>
          <cell r="K2301" t="str">
            <v>42-1206B</v>
          </cell>
          <cell r="L2301" t="str">
            <v>Reloj de pared</v>
          </cell>
          <cell r="M2301" t="str">
            <v>Reloj de pared color negro</v>
          </cell>
          <cell r="N2301">
            <v>1</v>
          </cell>
          <cell r="O2301" t="str">
            <v>EQUIPO DE OFICINA</v>
          </cell>
          <cell r="P2301">
            <v>7500</v>
          </cell>
          <cell r="T2301" t="str">
            <v>Bueno</v>
          </cell>
          <cell r="U2301" t="str">
            <v>N/T</v>
          </cell>
        </row>
        <row r="2302">
          <cell r="J2302" t="str">
            <v>42-04-07-00-2294</v>
          </cell>
          <cell r="K2302" t="str">
            <v>SC-00150</v>
          </cell>
          <cell r="L2302" t="str">
            <v>42-04-07-00-2294</v>
          </cell>
          <cell r="M2302" t="str">
            <v>Porta cortinas</v>
          </cell>
          <cell r="O2302" t="str">
            <v>OTROS</v>
          </cell>
          <cell r="P2302">
            <v>1500</v>
          </cell>
          <cell r="T2302" t="str">
            <v>Bueno</v>
          </cell>
          <cell r="U2302" t="str">
            <v>N/T</v>
          </cell>
        </row>
        <row r="2303">
          <cell r="J2303" t="str">
            <v>FN-04-07-00-2295</v>
          </cell>
          <cell r="K2303" t="str">
            <v>SC-00151</v>
          </cell>
          <cell r="L2303" t="str">
            <v>FN-04-07-00-2295</v>
          </cell>
          <cell r="M2303" t="str">
            <v>Cortinas chinz color verdes</v>
          </cell>
          <cell r="O2303" t="str">
            <v>OTROS FUNGIBLE / NOMINABLE</v>
          </cell>
          <cell r="P2303">
            <v>12000</v>
          </cell>
          <cell r="T2303" t="str">
            <v>Bueno</v>
          </cell>
          <cell r="U2303" t="str">
            <v>N/T</v>
          </cell>
        </row>
        <row r="2304">
          <cell r="J2304" t="str">
            <v>FN-04-07-00-2296</v>
          </cell>
          <cell r="K2304" t="str">
            <v>SC-00152</v>
          </cell>
          <cell r="L2304" t="str">
            <v>FN-04-07-00-2296</v>
          </cell>
          <cell r="M2304" t="str">
            <v>Porta cortinas separador de ambiente con 3 cortinas</v>
          </cell>
          <cell r="O2304" t="str">
            <v>OTROS FUNGIBLE / NOMINABLE</v>
          </cell>
          <cell r="P2304">
            <v>1500</v>
          </cell>
          <cell r="T2304" t="str">
            <v>Bueno</v>
          </cell>
          <cell r="U2304" t="str">
            <v>N/T</v>
          </cell>
        </row>
        <row r="2305">
          <cell r="J2305" t="str">
            <v>42-05-02-01-2297</v>
          </cell>
          <cell r="K2305" t="str">
            <v>SC-00153</v>
          </cell>
          <cell r="L2305" t="str">
            <v>42-05-02-01-2297</v>
          </cell>
          <cell r="M2305" t="str">
            <v>Caja acero inox. de 20x10x5 cms.</v>
          </cell>
          <cell r="O2305" t="str">
            <v>EQUIPOS CLINICOS</v>
          </cell>
          <cell r="P2305">
            <v>7500</v>
          </cell>
          <cell r="T2305" t="str">
            <v>Bueno</v>
          </cell>
          <cell r="U2305" t="str">
            <v>N/T</v>
          </cell>
        </row>
        <row r="2306">
          <cell r="J2306" t="str">
            <v>42-04-07-00-2298</v>
          </cell>
          <cell r="K2306" t="str">
            <v>SC-00154</v>
          </cell>
          <cell r="L2306" t="str">
            <v>42-04-07-00-2298</v>
          </cell>
          <cell r="M2306" t="str">
            <v>Caja metálica acero inox. 44x12x6 cms.</v>
          </cell>
          <cell r="O2306" t="str">
            <v>OTROS</v>
          </cell>
          <cell r="P2306">
            <v>7500</v>
          </cell>
          <cell r="T2306" t="str">
            <v>Bueno</v>
          </cell>
          <cell r="U2306" t="str">
            <v>N/T</v>
          </cell>
        </row>
        <row r="2307">
          <cell r="J2307" t="str">
            <v>42-04-07-00-2299</v>
          </cell>
          <cell r="K2307" t="str">
            <v>SC-00155</v>
          </cell>
          <cell r="L2307" t="str">
            <v>42-04-07-00-2299</v>
          </cell>
          <cell r="M2307" t="str">
            <v>Cajas metálicas acero inox. 22x8 cms.</v>
          </cell>
          <cell r="O2307" t="str">
            <v>OTROS</v>
          </cell>
          <cell r="P2307">
            <v>7500</v>
          </cell>
          <cell r="T2307" t="str">
            <v>Bueno</v>
          </cell>
          <cell r="U2307" t="str">
            <v>N/T</v>
          </cell>
        </row>
        <row r="2308">
          <cell r="J2308" t="str">
            <v>42-04-07-00-2300</v>
          </cell>
          <cell r="K2308" t="str">
            <v>SC-00156</v>
          </cell>
          <cell r="L2308" t="str">
            <v>42-04-07-00-2300</v>
          </cell>
          <cell r="M2308" t="str">
            <v>Cajas metálicas acero inox. 38x23x11 cms.</v>
          </cell>
          <cell r="O2308" t="str">
            <v>OTROS</v>
          </cell>
          <cell r="P2308">
            <v>7500</v>
          </cell>
          <cell r="T2308" t="str">
            <v>Bueno</v>
          </cell>
          <cell r="U2308" t="str">
            <v>N/T</v>
          </cell>
        </row>
        <row r="2309">
          <cell r="J2309" t="str">
            <v>42-05-02-06-2301</v>
          </cell>
          <cell r="K2309" t="str">
            <v>SC-00157</v>
          </cell>
          <cell r="L2309" t="str">
            <v>42-05-02-06-2301</v>
          </cell>
          <cell r="M2309" t="str">
            <v>Cizalla de 22 cms.</v>
          </cell>
          <cell r="O2309" t="str">
            <v>HERRAMIENTAS</v>
          </cell>
          <cell r="P2309">
            <v>7000</v>
          </cell>
          <cell r="T2309" t="str">
            <v>Bueno</v>
          </cell>
          <cell r="U2309" t="str">
            <v>N/T</v>
          </cell>
        </row>
        <row r="2310">
          <cell r="J2310" t="str">
            <v>42-05-02-06-2302</v>
          </cell>
          <cell r="K2310" t="str">
            <v>SC-00158</v>
          </cell>
          <cell r="L2310" t="str">
            <v>42-05-02-06-2302</v>
          </cell>
          <cell r="M2310" t="str">
            <v>Costótomo 21 cms.</v>
          </cell>
          <cell r="O2310" t="str">
            <v>HERRAMIENTAS</v>
          </cell>
          <cell r="P2310">
            <v>5000</v>
          </cell>
          <cell r="T2310" t="str">
            <v>Bueno</v>
          </cell>
          <cell r="U2310" t="str">
            <v>N/T</v>
          </cell>
        </row>
        <row r="2311">
          <cell r="J2311" t="str">
            <v>42-05-02-06-2303</v>
          </cell>
          <cell r="K2311" t="str">
            <v>SC-00159</v>
          </cell>
          <cell r="L2311" t="str">
            <v>42-05-02-06-2303</v>
          </cell>
          <cell r="M2311" t="str">
            <v>Escofina de 25 cms.</v>
          </cell>
          <cell r="O2311" t="str">
            <v>HERRAMIENTAS</v>
          </cell>
          <cell r="P2311">
            <v>6580</v>
          </cell>
          <cell r="T2311" t="str">
            <v>Bueno</v>
          </cell>
          <cell r="U2311" t="str">
            <v>N/T</v>
          </cell>
        </row>
        <row r="2312">
          <cell r="J2312" t="str">
            <v>42-05-02-06-2304</v>
          </cell>
          <cell r="K2312" t="str">
            <v>SC-00160</v>
          </cell>
          <cell r="L2312" t="str">
            <v>42-05-02-06-2304</v>
          </cell>
          <cell r="M2312" t="str">
            <v>Espátula de 29 cms.</v>
          </cell>
          <cell r="O2312" t="str">
            <v>HERRAMIENTAS</v>
          </cell>
          <cell r="P2312">
            <v>6520</v>
          </cell>
          <cell r="T2312" t="str">
            <v>Bueno</v>
          </cell>
          <cell r="U2312" t="str">
            <v>N/T</v>
          </cell>
        </row>
        <row r="2313">
          <cell r="J2313" t="str">
            <v>42-05-02-06-2305</v>
          </cell>
          <cell r="K2313" t="str">
            <v>SC-00161</v>
          </cell>
          <cell r="L2313" t="str">
            <v>42-05-02-06-2305</v>
          </cell>
          <cell r="M2313" t="str">
            <v>Formón de 18 ½ cms.</v>
          </cell>
          <cell r="O2313" t="str">
            <v>HERRAMIENTAS</v>
          </cell>
          <cell r="P2313">
            <v>7000</v>
          </cell>
          <cell r="T2313" t="str">
            <v>Bueno</v>
          </cell>
          <cell r="U2313" t="str">
            <v>N/T</v>
          </cell>
        </row>
        <row r="2314">
          <cell r="J2314" t="str">
            <v>42-05-02-01-2306</v>
          </cell>
          <cell r="K2314" t="str">
            <v>SC-00162</v>
          </cell>
          <cell r="L2314" t="str">
            <v>42-05-02-01-2306</v>
          </cell>
          <cell r="M2314" t="str">
            <v>Martillo de reflejos</v>
          </cell>
          <cell r="O2314" t="str">
            <v>EQUIPOS CLINICOS</v>
          </cell>
          <cell r="P2314">
            <v>5900</v>
          </cell>
          <cell r="T2314" t="str">
            <v>Bueno</v>
          </cell>
          <cell r="U2314" t="str">
            <v>N/T</v>
          </cell>
        </row>
        <row r="2315">
          <cell r="J2315" t="str">
            <v>42-05-02-01-2307</v>
          </cell>
          <cell r="K2315" t="str">
            <v>SC-00163</v>
          </cell>
          <cell r="L2315" t="str">
            <v>42-05-02-01-2307</v>
          </cell>
          <cell r="M2315" t="str">
            <v>Sierra de amputación 29 cms.</v>
          </cell>
          <cell r="O2315" t="str">
            <v>EQUIPOS CLINICOS</v>
          </cell>
          <cell r="P2315">
            <v>25000</v>
          </cell>
          <cell r="T2315" t="str">
            <v>Bueno</v>
          </cell>
          <cell r="U2315" t="str">
            <v>N/T</v>
          </cell>
        </row>
        <row r="2316">
          <cell r="J2316" t="str">
            <v>42-05-02-01-2308</v>
          </cell>
          <cell r="K2316" t="str">
            <v>SC-00164</v>
          </cell>
          <cell r="L2316" t="str">
            <v>42-05-02-01-2308</v>
          </cell>
          <cell r="M2316" t="str">
            <v>Tambores chicos de acero inox. 17x12 cms.</v>
          </cell>
          <cell r="O2316" t="str">
            <v>EQUIPOS CLINICOS</v>
          </cell>
          <cell r="P2316">
            <v>5000</v>
          </cell>
          <cell r="T2316" t="str">
            <v>Bueno</v>
          </cell>
          <cell r="U2316" t="str">
            <v>N/T</v>
          </cell>
        </row>
        <row r="2317">
          <cell r="J2317" t="str">
            <v>42-05-02-01-2309</v>
          </cell>
          <cell r="K2317" t="str">
            <v>SC-00165</v>
          </cell>
          <cell r="L2317" t="str">
            <v>42-05-02-01-2309</v>
          </cell>
          <cell r="M2317" t="str">
            <v>Tambores de aluminio con tapa de 21x18 cms.</v>
          </cell>
          <cell r="O2317" t="str">
            <v>EQUIPOS CLINICOS</v>
          </cell>
          <cell r="P2317">
            <v>7500</v>
          </cell>
          <cell r="T2317" t="str">
            <v>Bueno</v>
          </cell>
          <cell r="U2317" t="str">
            <v>N/T</v>
          </cell>
        </row>
        <row r="2318">
          <cell r="J2318" t="str">
            <v>42-05-02-01-2310</v>
          </cell>
          <cell r="K2318" t="str">
            <v>SC-00166</v>
          </cell>
          <cell r="L2318" t="str">
            <v>42-05-02-01-2310</v>
          </cell>
          <cell r="M2318" t="str">
            <v>Tambor acero inoxidable para esterilizar 30 cms. diametro x 14 cms. alto</v>
          </cell>
          <cell r="O2318" t="str">
            <v>EQUIPOS CLINICOS</v>
          </cell>
          <cell r="P2318">
            <v>8000</v>
          </cell>
          <cell r="T2318" t="str">
            <v>Bueno</v>
          </cell>
          <cell r="U2318" t="str">
            <v>N/T</v>
          </cell>
        </row>
        <row r="2319">
          <cell r="J2319" t="str">
            <v>42-05-02-01-2311</v>
          </cell>
          <cell r="K2319" t="str">
            <v>SC-00167</v>
          </cell>
          <cell r="L2319" t="str">
            <v>42-05-02-01-2311</v>
          </cell>
          <cell r="M2319" t="str">
            <v>Tijera curva de 28 cms.</v>
          </cell>
          <cell r="O2319" t="str">
            <v>EQUIPOS CLINICOS</v>
          </cell>
          <cell r="P2319">
            <v>2500</v>
          </cell>
          <cell r="T2319" t="str">
            <v>Bueno</v>
          </cell>
          <cell r="U2319" t="str">
            <v>N/T</v>
          </cell>
        </row>
        <row r="2320">
          <cell r="J2320" t="str">
            <v>42-05-02-01-2312</v>
          </cell>
          <cell r="K2320" t="str">
            <v>SC-00168</v>
          </cell>
          <cell r="L2320" t="str">
            <v>42-05-02-01-2312</v>
          </cell>
          <cell r="M2320" t="str">
            <v>Tijera Ilko de 20 cms.</v>
          </cell>
          <cell r="O2320" t="str">
            <v>EQUIPOS CLINICOS</v>
          </cell>
          <cell r="P2320">
            <v>3000</v>
          </cell>
          <cell r="T2320" t="str">
            <v>Bueno</v>
          </cell>
          <cell r="U2320" t="str">
            <v>N/T</v>
          </cell>
        </row>
        <row r="2321">
          <cell r="J2321" t="str">
            <v>42-05-01-01-2313</v>
          </cell>
          <cell r="K2321" t="str">
            <v>SC-00169</v>
          </cell>
          <cell r="L2321" t="str">
            <v>42-05-01-01-2313</v>
          </cell>
          <cell r="M2321" t="str">
            <v>Split aire acondicionado Cielo</v>
          </cell>
          <cell r="O2321" t="str">
            <v>EQUIPO DE OFICINA</v>
          </cell>
          <cell r="P2321">
            <v>12000</v>
          </cell>
          <cell r="T2321" t="str">
            <v>Bueno</v>
          </cell>
          <cell r="U2321" t="str">
            <v>N/T</v>
          </cell>
        </row>
        <row r="2322">
          <cell r="J2322" t="str">
            <v>42-05-01-01-2314</v>
          </cell>
          <cell r="K2322" t="str">
            <v>SC-00170</v>
          </cell>
          <cell r="L2322" t="str">
            <v>42-05-01-01-2314</v>
          </cell>
          <cell r="M2322" t="str">
            <v>DC Regulated Power Supply Modelo DF 1763</v>
          </cell>
          <cell r="O2322" t="str">
            <v>EQUIPO DE OFICINA</v>
          </cell>
          <cell r="P2322">
            <v>95000</v>
          </cell>
          <cell r="T2322" t="str">
            <v>Bueno</v>
          </cell>
          <cell r="U2322" t="str">
            <v>Power</v>
          </cell>
        </row>
        <row r="2323">
          <cell r="J2323" t="str">
            <v>42-05-01-01-2315</v>
          </cell>
          <cell r="K2323" t="str">
            <v>SC-00171</v>
          </cell>
          <cell r="L2323" t="str">
            <v>42-05-01-01-2315</v>
          </cell>
          <cell r="M2323" t="str">
            <v>Teléfono Telefónica Mod. Alerce S/Nº 20550214974A062000081286</v>
          </cell>
          <cell r="O2323" t="str">
            <v>EQUIPO DE OFICINA</v>
          </cell>
          <cell r="P2323">
            <v>47000</v>
          </cell>
          <cell r="T2323" t="str">
            <v>Bueno</v>
          </cell>
          <cell r="U2323" t="str">
            <v>Alerce</v>
          </cell>
        </row>
        <row r="2324">
          <cell r="J2324" t="str">
            <v>42-04-07-00-2316</v>
          </cell>
          <cell r="K2324" t="str">
            <v>SC-00172</v>
          </cell>
          <cell r="L2324" t="str">
            <v>42-04-07-00-2316</v>
          </cell>
          <cell r="M2324" t="str">
            <v>Porta cortinas</v>
          </cell>
          <cell r="O2324" t="str">
            <v>OTROS</v>
          </cell>
          <cell r="P2324">
            <v>1500</v>
          </cell>
          <cell r="T2324" t="str">
            <v>Bueno</v>
          </cell>
          <cell r="U2324" t="str">
            <v>N/T</v>
          </cell>
        </row>
        <row r="2325">
          <cell r="J2325" t="str">
            <v>42-04-07-00-2317</v>
          </cell>
          <cell r="K2325" t="str">
            <v>SC-00173</v>
          </cell>
          <cell r="L2325" t="str">
            <v>42-04-07-00-2317</v>
          </cell>
          <cell r="M2325" t="str">
            <v>Cortinas color azul</v>
          </cell>
          <cell r="O2325" t="str">
            <v>OTROS</v>
          </cell>
          <cell r="P2325">
            <v>12000</v>
          </cell>
          <cell r="T2325" t="str">
            <v>Bueno</v>
          </cell>
          <cell r="U2325" t="str">
            <v>N/T</v>
          </cell>
        </row>
        <row r="2326">
          <cell r="J2326" t="str">
            <v>42-04-07-00-2318</v>
          </cell>
          <cell r="K2326" t="str">
            <v>SC-00174</v>
          </cell>
          <cell r="L2326" t="str">
            <v>42-04-07-00-2318</v>
          </cell>
          <cell r="M2326" t="str">
            <v>Porta cortinas</v>
          </cell>
          <cell r="O2326" t="str">
            <v>OTROS</v>
          </cell>
          <cell r="P2326">
            <v>1500</v>
          </cell>
          <cell r="T2326" t="str">
            <v>Bueno</v>
          </cell>
          <cell r="U2326" t="str">
            <v>N/T</v>
          </cell>
        </row>
        <row r="2327">
          <cell r="J2327" t="str">
            <v>42-04-07-00-2319</v>
          </cell>
          <cell r="K2327" t="str">
            <v>SC-00175</v>
          </cell>
          <cell r="L2327" t="str">
            <v>42-04-07-00-2319</v>
          </cell>
          <cell r="M2327" t="str">
            <v>Cortinas verdes</v>
          </cell>
          <cell r="O2327" t="str">
            <v>OTROS</v>
          </cell>
          <cell r="P2327">
            <v>12000</v>
          </cell>
          <cell r="T2327" t="str">
            <v>Bueno</v>
          </cell>
          <cell r="U2327" t="str">
            <v>N/T</v>
          </cell>
        </row>
        <row r="2328">
          <cell r="J2328" t="str">
            <v>42-05-01-01-2320</v>
          </cell>
          <cell r="K2328" t="str">
            <v>SC-00176</v>
          </cell>
          <cell r="L2328" t="str">
            <v>42-05-01-01-2320</v>
          </cell>
          <cell r="M2328" t="str">
            <v>Borrador de pizarrón</v>
          </cell>
          <cell r="O2328" t="str">
            <v>EQUIPO DE OFICINA</v>
          </cell>
          <cell r="P2328">
            <v>3000</v>
          </cell>
          <cell r="T2328" t="str">
            <v>Bueno</v>
          </cell>
          <cell r="U2328" t="str">
            <v>N/T</v>
          </cell>
        </row>
        <row r="2329">
          <cell r="J2329" t="str">
            <v>42-04-07-00-2321</v>
          </cell>
          <cell r="K2329" t="str">
            <v>SC-00177</v>
          </cell>
          <cell r="L2329" t="str">
            <v>42-04-07-00-2321</v>
          </cell>
          <cell r="M2329" t="str">
            <v>Rejilla de alambre para documentos</v>
          </cell>
          <cell r="O2329" t="str">
            <v>OTROS</v>
          </cell>
          <cell r="P2329">
            <v>15000</v>
          </cell>
          <cell r="T2329" t="str">
            <v>Bueno</v>
          </cell>
          <cell r="U2329" t="str">
            <v>N/T</v>
          </cell>
        </row>
        <row r="2330">
          <cell r="J2330" t="str">
            <v>42-04-07-00-2322</v>
          </cell>
          <cell r="K2330" t="str">
            <v>SC-00178</v>
          </cell>
          <cell r="L2330" t="str">
            <v>42-04-07-00-2322</v>
          </cell>
          <cell r="M2330" t="str">
            <v>Basurero plástico color naranjo</v>
          </cell>
          <cell r="O2330" t="str">
            <v>OTROS</v>
          </cell>
          <cell r="P2330">
            <v>3000</v>
          </cell>
          <cell r="T2330" t="str">
            <v>Bueno</v>
          </cell>
          <cell r="U2330" t="str">
            <v>N/T</v>
          </cell>
        </row>
        <row r="2331">
          <cell r="J2331" t="str">
            <v>FN-04-07-00-2323</v>
          </cell>
          <cell r="K2331" t="str">
            <v>SC-00179</v>
          </cell>
          <cell r="L2331" t="str">
            <v>FN-04-07-00-2323</v>
          </cell>
          <cell r="M2331" t="str">
            <v>Porta cortinas metálico</v>
          </cell>
          <cell r="O2331" t="str">
            <v>OTROS FUNGIBLE / NOMINABLE</v>
          </cell>
          <cell r="P2331">
            <v>1500</v>
          </cell>
          <cell r="T2331" t="str">
            <v>Bueno</v>
          </cell>
          <cell r="U2331" t="str">
            <v>N/T</v>
          </cell>
        </row>
        <row r="2332">
          <cell r="J2332" t="str">
            <v>FN-04-07-00-2324</v>
          </cell>
          <cell r="K2332" t="str">
            <v>SC-00180</v>
          </cell>
          <cell r="L2332" t="str">
            <v>FN-04-07-00-2324</v>
          </cell>
          <cell r="M2332" t="str">
            <v>Cortinas de chinz color crema</v>
          </cell>
          <cell r="O2332" t="str">
            <v>OTROS FUNGIBLE / NOMINABLE</v>
          </cell>
          <cell r="P2332">
            <v>10000</v>
          </cell>
          <cell r="T2332" t="str">
            <v>Bueno</v>
          </cell>
          <cell r="U2332" t="str">
            <v>N/T</v>
          </cell>
        </row>
        <row r="2333">
          <cell r="J2333" t="str">
            <v>42-05-01-01-2325</v>
          </cell>
          <cell r="K2333" t="str">
            <v>SC-00181</v>
          </cell>
          <cell r="L2333" t="str">
            <v>42-05-01-01-2325</v>
          </cell>
          <cell r="M2333" t="str">
            <v>Porta Scotch grande color negro</v>
          </cell>
          <cell r="O2333" t="str">
            <v>EQUIPO DE OFICINA</v>
          </cell>
          <cell r="P2333">
            <v>4000</v>
          </cell>
          <cell r="T2333" t="str">
            <v>Bueno</v>
          </cell>
          <cell r="U2333" t="str">
            <v>N/T</v>
          </cell>
        </row>
        <row r="2334">
          <cell r="J2334" t="str">
            <v>42-05-01-01-2326</v>
          </cell>
          <cell r="K2334" t="str">
            <v>SC-00182</v>
          </cell>
          <cell r="L2334" t="str">
            <v>42-05-01-01-2326</v>
          </cell>
          <cell r="M2334" t="str">
            <v>Caja porta diskette 13x25x11 cms.</v>
          </cell>
          <cell r="O2334" t="str">
            <v>EQUIPO DE OFICINA</v>
          </cell>
          <cell r="P2334">
            <v>24500</v>
          </cell>
          <cell r="T2334" t="str">
            <v>Bueno</v>
          </cell>
          <cell r="U2334" t="str">
            <v>N/T</v>
          </cell>
        </row>
        <row r="2335">
          <cell r="J2335" t="str">
            <v>42-04-07-00-2327</v>
          </cell>
          <cell r="K2335" t="str">
            <v>SC-00183</v>
          </cell>
          <cell r="L2335" t="str">
            <v>42-04-07-00-2327</v>
          </cell>
          <cell r="M2335" t="str">
            <v>Percha bronce</v>
          </cell>
          <cell r="O2335" t="str">
            <v>OTROS</v>
          </cell>
          <cell r="P2335">
            <v>23800</v>
          </cell>
          <cell r="T2335" t="str">
            <v>Bueno</v>
          </cell>
          <cell r="U2335" t="str">
            <v>N/T</v>
          </cell>
        </row>
        <row r="2336">
          <cell r="J2336" t="str">
            <v>42-06-01-00-2328</v>
          </cell>
          <cell r="K2336" t="str">
            <v>SC-00184</v>
          </cell>
          <cell r="L2336" t="str">
            <v>42-06-01-00-2328</v>
          </cell>
          <cell r="M2336" t="str">
            <v xml:space="preserve">Computadora Acer Aspire 4520 Series Mod. Z03 S/Nº LXAHSOX15674309B242500  ( Promoción de la Salud ) </v>
          </cell>
          <cell r="O2336" t="str">
            <v>EQUIPOS COMPUTACIONALES Y PERIFÉRICOS</v>
          </cell>
          <cell r="P2336">
            <v>350000</v>
          </cell>
          <cell r="T2336" t="str">
            <v>Bueno</v>
          </cell>
          <cell r="U2336" t="str">
            <v>acer Aspire</v>
          </cell>
        </row>
        <row r="2337">
          <cell r="J2337" t="str">
            <v>42-05-01-01-2329</v>
          </cell>
          <cell r="K2337" t="str">
            <v>SC-00185</v>
          </cell>
          <cell r="L2337" t="str">
            <v>42-05-01-01-2329</v>
          </cell>
          <cell r="M2337" t="str">
            <v>Camara fotográfica digital marca Sony Mod. DSC - S600, 1 cargador con pilas marca Sony, 1 cable puerto USB   ( Promoción de la Salud )</v>
          </cell>
          <cell r="O2337" t="str">
            <v>EQUIPO DE OFICINA</v>
          </cell>
          <cell r="P2337">
            <v>80000</v>
          </cell>
          <cell r="T2337" t="str">
            <v>Bueno</v>
          </cell>
          <cell r="U2337" t="str">
            <v>Sony</v>
          </cell>
        </row>
        <row r="2338">
          <cell r="J2338" t="str">
            <v>42-06-01-00-2330</v>
          </cell>
          <cell r="K2338" t="str">
            <v>SC-00186</v>
          </cell>
          <cell r="L2338" t="str">
            <v>42-06-01-00-2330</v>
          </cell>
          <cell r="M2338" t="str">
            <v>Kingston USB Drive 512 Mb   ( Promoción de la Salud )</v>
          </cell>
          <cell r="O2338" t="str">
            <v>EQUIPOS COMPUTACIONALES Y PERIFÉRICOS</v>
          </cell>
          <cell r="P2338">
            <v>25000</v>
          </cell>
          <cell r="T2338" t="str">
            <v>Bueno</v>
          </cell>
          <cell r="U2338" t="str">
            <v>N/T</v>
          </cell>
        </row>
        <row r="2339">
          <cell r="J2339" t="str">
            <v>42-05-01-01-2331</v>
          </cell>
          <cell r="K2339" t="str">
            <v>SC-00187</v>
          </cell>
          <cell r="L2339" t="str">
            <v>42-05-01-01-2331</v>
          </cell>
          <cell r="M2339" t="str">
            <v>Pendon  ( Promoción de la Salud )</v>
          </cell>
          <cell r="O2339" t="str">
            <v>EQUIPO DE OFICINA</v>
          </cell>
          <cell r="P2339">
            <v>50000</v>
          </cell>
          <cell r="T2339" t="str">
            <v>Bueno</v>
          </cell>
          <cell r="U2339" t="str">
            <v>N/T</v>
          </cell>
        </row>
        <row r="2340">
          <cell r="J2340" t="str">
            <v>42-04-07-00-2332</v>
          </cell>
          <cell r="K2340" t="str">
            <v>SC-00188</v>
          </cell>
          <cell r="L2340" t="str">
            <v>42-04-07-00-2332</v>
          </cell>
          <cell r="M2340" t="str">
            <v>Porta cortinas metálico</v>
          </cell>
          <cell r="O2340" t="str">
            <v>OTROS</v>
          </cell>
          <cell r="P2340">
            <v>1500</v>
          </cell>
          <cell r="T2340" t="str">
            <v>Bueno</v>
          </cell>
          <cell r="U2340" t="str">
            <v>N/T</v>
          </cell>
        </row>
        <row r="2341">
          <cell r="J2341" t="str">
            <v>42-04-07-00-2333</v>
          </cell>
          <cell r="K2341" t="str">
            <v>SC-00189</v>
          </cell>
          <cell r="L2341" t="str">
            <v>42-04-07-00-2333</v>
          </cell>
          <cell r="M2341" t="str">
            <v>Cortinas de chinz color crema</v>
          </cell>
          <cell r="O2341" t="str">
            <v>OTROS</v>
          </cell>
          <cell r="P2341">
            <v>10000</v>
          </cell>
          <cell r="T2341" t="str">
            <v>Bueno</v>
          </cell>
          <cell r="U2341" t="str">
            <v>N/T</v>
          </cell>
        </row>
        <row r="2342">
          <cell r="J2342" t="str">
            <v>NN-06-01-00-2334</v>
          </cell>
          <cell r="K2342" t="str">
            <v>SC-00190</v>
          </cell>
          <cell r="L2342" t="str">
            <v>NN-06-01-00-2334</v>
          </cell>
          <cell r="M2342" t="str">
            <v>Computador Olidata Nº ID A 2540</v>
          </cell>
          <cell r="O2342" t="str">
            <v>EQUIPOS COMPUTACIONALES Y PERIFÉRICOS EN ARRIENDO</v>
          </cell>
          <cell r="P2342">
            <v>340000</v>
          </cell>
          <cell r="T2342" t="str">
            <v>Bueno</v>
          </cell>
          <cell r="U2342" t="str">
            <v>Olidata</v>
          </cell>
        </row>
        <row r="2343">
          <cell r="J2343" t="str">
            <v>NN-06-01-00-2335</v>
          </cell>
          <cell r="K2343" t="str">
            <v>SC-00191</v>
          </cell>
          <cell r="L2343" t="str">
            <v>NN-06-01-00-2335</v>
          </cell>
          <cell r="M2343" t="str">
            <v>Monitor LCD Olidata 17" Mod 7005L11 S/Nº 75LN11-75K2372-02018A</v>
          </cell>
          <cell r="O2343" t="str">
            <v>EQUIPOS COMPUTACIONALES Y PERIFÉRICOS EN ARRIENDO</v>
          </cell>
          <cell r="P2343">
            <v>14000</v>
          </cell>
          <cell r="T2343" t="str">
            <v>Bueno</v>
          </cell>
          <cell r="U2343" t="str">
            <v>Olidata</v>
          </cell>
        </row>
        <row r="2344">
          <cell r="J2344" t="str">
            <v>NN-06-01-00-2336</v>
          </cell>
          <cell r="K2344" t="str">
            <v>SC-00192</v>
          </cell>
          <cell r="L2344" t="str">
            <v>NN-06-01-00-2336</v>
          </cell>
          <cell r="M2344" t="str">
            <v>Teclado Olidata Mod. K 7563 S/Nº 75630703/004112</v>
          </cell>
          <cell r="O2344" t="str">
            <v>EQUIPOS COMPUTACIONALES Y PERIFÉRICOS EN ARRIENDO</v>
          </cell>
          <cell r="P2344">
            <v>4000</v>
          </cell>
          <cell r="T2344" t="str">
            <v>Bueno</v>
          </cell>
          <cell r="U2344" t="str">
            <v>Olidata</v>
          </cell>
        </row>
        <row r="2345">
          <cell r="J2345" t="str">
            <v>NN-06-01-00-2337</v>
          </cell>
          <cell r="K2345" t="str">
            <v>SC-00193</v>
          </cell>
          <cell r="L2345" t="str">
            <v>NN-06-01-00-2337</v>
          </cell>
          <cell r="M2345" t="str">
            <v>Mouse Olidata Mod. KM 8920</v>
          </cell>
          <cell r="O2345" t="str">
            <v>EQUIPOS COMPUTACIONALES Y PERIFÉRICOS EN ARRIENDO</v>
          </cell>
          <cell r="P2345">
            <v>3000</v>
          </cell>
          <cell r="T2345" t="str">
            <v>Bueno</v>
          </cell>
          <cell r="U2345" t="str">
            <v>Olidata</v>
          </cell>
        </row>
        <row r="2346">
          <cell r="J2346" t="str">
            <v>42-04-07-00-2338</v>
          </cell>
          <cell r="K2346" t="str">
            <v>SC-00194</v>
          </cell>
          <cell r="L2346" t="str">
            <v>42-04-07-00-2338</v>
          </cell>
          <cell r="M2346" t="str">
            <v>Basurero plástico</v>
          </cell>
          <cell r="O2346" t="str">
            <v>OTROS</v>
          </cell>
          <cell r="P2346">
            <v>3000</v>
          </cell>
          <cell r="T2346" t="str">
            <v>Bueno</v>
          </cell>
          <cell r="U2346" t="str">
            <v>N/T</v>
          </cell>
        </row>
        <row r="2347">
          <cell r="J2347" t="str">
            <v>42-05-01-01-2339</v>
          </cell>
          <cell r="K2347" t="str">
            <v>SC-00195</v>
          </cell>
          <cell r="L2347" t="str">
            <v>42-05-01-01-2339</v>
          </cell>
          <cell r="M2347" t="str">
            <v>Corchetera Torre rojo/negro</v>
          </cell>
          <cell r="O2347" t="str">
            <v>EQUIPO DE OFICINA</v>
          </cell>
          <cell r="P2347">
            <v>3500</v>
          </cell>
          <cell r="T2347" t="str">
            <v>Bueno</v>
          </cell>
          <cell r="U2347" t="str">
            <v>Torre</v>
          </cell>
        </row>
        <row r="2348">
          <cell r="J2348" t="str">
            <v>42-05-01-01-2340</v>
          </cell>
          <cell r="K2348" t="str">
            <v>SC-00196</v>
          </cell>
          <cell r="L2348" t="str">
            <v>42-05-01-01-2340</v>
          </cell>
          <cell r="M2348" t="str">
            <v>Perforador chico color negro</v>
          </cell>
          <cell r="O2348" t="str">
            <v>EQUIPO DE OFICINA</v>
          </cell>
          <cell r="P2348">
            <v>7000</v>
          </cell>
          <cell r="T2348" t="str">
            <v>Bueno</v>
          </cell>
          <cell r="U2348" t="str">
            <v>N/T</v>
          </cell>
        </row>
        <row r="2349">
          <cell r="J2349" t="str">
            <v>42-05-01-01-2341</v>
          </cell>
          <cell r="K2349" t="str">
            <v>SC-00197</v>
          </cell>
          <cell r="L2349" t="str">
            <v>42-05-01-01-2341</v>
          </cell>
          <cell r="M2349" t="str">
            <v>Porta Scotch grande color azul</v>
          </cell>
          <cell r="O2349" t="str">
            <v>EQUIPO DE OFICINA</v>
          </cell>
          <cell r="P2349">
            <v>4000</v>
          </cell>
          <cell r="T2349" t="str">
            <v>Bueno</v>
          </cell>
          <cell r="U2349" t="str">
            <v>N/T</v>
          </cell>
        </row>
        <row r="2350">
          <cell r="J2350" t="str">
            <v>NN-06-01-00-2342</v>
          </cell>
          <cell r="K2350" t="str">
            <v>SC-00198</v>
          </cell>
          <cell r="L2350" t="str">
            <v>NN-06-01-00-2342</v>
          </cell>
          <cell r="M2350" t="str">
            <v>Computador Olidata N° ID A 2634 Nº 00146-051-081-560</v>
          </cell>
          <cell r="O2350" t="str">
            <v>EQUIPOS COMPUTACIONALES Y PERIFÉRICOS EN ARRIENDO</v>
          </cell>
          <cell r="P2350">
            <v>340000</v>
          </cell>
          <cell r="T2350" t="str">
            <v>Bueno</v>
          </cell>
          <cell r="U2350" t="str">
            <v>Olidata</v>
          </cell>
        </row>
        <row r="2351">
          <cell r="J2351" t="str">
            <v>NN-06-01-00-2343</v>
          </cell>
          <cell r="K2351" t="str">
            <v>SC-00199</v>
          </cell>
          <cell r="L2351" t="str">
            <v>NN-06-01-00-2343</v>
          </cell>
          <cell r="M2351" t="str">
            <v>Pantalla LCD Olidata 17" Mod. 7005L11 S/N° 75L11N-75K2372-016688</v>
          </cell>
          <cell r="O2351" t="str">
            <v>EQUIPOS COMPUTACIONALES Y PERIFÉRICOS EN ARRIENDO</v>
          </cell>
          <cell r="P2351">
            <v>14000</v>
          </cell>
          <cell r="T2351" t="str">
            <v>Bueno</v>
          </cell>
          <cell r="U2351" t="str">
            <v>Olidata</v>
          </cell>
        </row>
        <row r="2352">
          <cell r="J2352" t="str">
            <v>NN-06-01-00-2344</v>
          </cell>
          <cell r="K2352" t="str">
            <v>SC-00200</v>
          </cell>
          <cell r="L2352" t="str">
            <v>NN-06-01-00-2344</v>
          </cell>
          <cell r="M2352" t="str">
            <v>Teclado Olidata Mod. K 7563 S/N° K75630703019976</v>
          </cell>
          <cell r="O2352" t="str">
            <v>EQUIPOS COMPUTACIONALES Y PERIFÉRICOS EN ARRIENDO</v>
          </cell>
          <cell r="P2352">
            <v>4000</v>
          </cell>
          <cell r="T2352" t="str">
            <v>Bueno</v>
          </cell>
          <cell r="U2352" t="str">
            <v>Olidata</v>
          </cell>
        </row>
        <row r="2353">
          <cell r="J2353" t="str">
            <v>NN-06-01-00-2345</v>
          </cell>
          <cell r="K2353" t="str">
            <v>SC-00201</v>
          </cell>
          <cell r="L2353" t="str">
            <v>NN-06-01-00-2345</v>
          </cell>
          <cell r="M2353" t="str">
            <v>Mouse optico Olidata Mod KM 8920</v>
          </cell>
          <cell r="O2353" t="str">
            <v>EQUIPOS COMPUTACIONALES Y PERIFÉRICOS EN ARRIENDO</v>
          </cell>
          <cell r="P2353">
            <v>3000</v>
          </cell>
          <cell r="T2353" t="str">
            <v>Bueno</v>
          </cell>
          <cell r="U2353" t="str">
            <v>Olidata</v>
          </cell>
        </row>
        <row r="2354">
          <cell r="J2354" t="str">
            <v>42-05-01-01-2346</v>
          </cell>
          <cell r="K2354" t="str">
            <v>SC-00202</v>
          </cell>
          <cell r="L2354" t="str">
            <v>42-05-01-01-2346</v>
          </cell>
          <cell r="M2354" t="str">
            <v>Calculadoras Marca SHARP. solar color Blanco</v>
          </cell>
          <cell r="O2354" t="str">
            <v>EQUIPO DE OFICINA</v>
          </cell>
          <cell r="P2354">
            <v>10000</v>
          </cell>
          <cell r="T2354" t="str">
            <v>Bueno</v>
          </cell>
          <cell r="U2354" t="str">
            <v>Sharp</v>
          </cell>
        </row>
        <row r="2355">
          <cell r="J2355" t="str">
            <v>42-04-07-00-2347</v>
          </cell>
          <cell r="K2355" t="str">
            <v>SC-00203</v>
          </cell>
          <cell r="L2355" t="str">
            <v>42-04-07-00-2347</v>
          </cell>
          <cell r="M2355" t="str">
            <v>Cajas Wenco Mod. Pretty 28 Lts. color calipso c/tapa</v>
          </cell>
          <cell r="N2355">
            <v>1</v>
          </cell>
          <cell r="O2355" t="str">
            <v>OTROS</v>
          </cell>
          <cell r="P2355">
            <v>4000</v>
          </cell>
          <cell r="T2355" t="str">
            <v>Bueno</v>
          </cell>
          <cell r="U2355" t="str">
            <v>Wenco</v>
          </cell>
        </row>
        <row r="2356">
          <cell r="J2356" t="str">
            <v>42-05-01-01-2348</v>
          </cell>
          <cell r="K2356" t="str">
            <v>SC-00204</v>
          </cell>
          <cell r="L2356" t="str">
            <v>42-05-01-01-2348</v>
          </cell>
          <cell r="M2356" t="str">
            <v>Corchetera Torre color negra</v>
          </cell>
          <cell r="O2356" t="str">
            <v>EQUIPO DE OFICINA</v>
          </cell>
          <cell r="P2356">
            <v>3500</v>
          </cell>
          <cell r="T2356" t="str">
            <v>Bueno</v>
          </cell>
          <cell r="U2356" t="str">
            <v>Torre</v>
          </cell>
        </row>
        <row r="2357">
          <cell r="J2357" t="str">
            <v>42-05-01-01-2349</v>
          </cell>
          <cell r="K2357" t="str">
            <v>SC-00205</v>
          </cell>
          <cell r="L2357" t="str">
            <v>42-05-01-01-2349</v>
          </cell>
          <cell r="M2357" t="str">
            <v>Porta scotch grande color azul</v>
          </cell>
          <cell r="O2357" t="str">
            <v>EQUIPO DE OFICINA</v>
          </cell>
          <cell r="P2357">
            <v>3500</v>
          </cell>
          <cell r="T2357" t="str">
            <v>Bueno</v>
          </cell>
          <cell r="U2357" t="str">
            <v>N/T</v>
          </cell>
        </row>
        <row r="2358">
          <cell r="J2358" t="str">
            <v>42-04-07-00-2350</v>
          </cell>
          <cell r="K2358" t="str">
            <v>SC-00206</v>
          </cell>
          <cell r="L2358" t="str">
            <v>42-04-07-00-2350</v>
          </cell>
          <cell r="M2358" t="str">
            <v>Papelero de mimbre</v>
          </cell>
          <cell r="O2358" t="str">
            <v>OTROS</v>
          </cell>
          <cell r="P2358">
            <v>2670</v>
          </cell>
          <cell r="T2358" t="str">
            <v>Bueno</v>
          </cell>
          <cell r="U2358" t="str">
            <v>N/T</v>
          </cell>
        </row>
        <row r="2359">
          <cell r="J2359" t="str">
            <v>FN-05-02-01-2351</v>
          </cell>
          <cell r="K2359" t="str">
            <v>SC-00207</v>
          </cell>
          <cell r="L2359" t="str">
            <v>FN-05-02-01-2351</v>
          </cell>
          <cell r="M2359" t="str">
            <v>Tijera marca Maped de color roja</v>
          </cell>
          <cell r="O2359" t="str">
            <v>EQUIPOS CLINICOS FUNGIBLE / NOMINABLE</v>
          </cell>
          <cell r="P2359">
            <v>2000</v>
          </cell>
          <cell r="T2359" t="str">
            <v>Bueno</v>
          </cell>
          <cell r="U2359" t="str">
            <v>N/T</v>
          </cell>
        </row>
        <row r="2360">
          <cell r="J2360" t="str">
            <v>42-05-02-01-2352</v>
          </cell>
          <cell r="K2360" t="str">
            <v>SC-00208</v>
          </cell>
          <cell r="L2360" t="str">
            <v>42-05-02-01-2352</v>
          </cell>
          <cell r="M2360" t="str">
            <v>Tijera modelo G.GOMI / Stainless steel. Color negro</v>
          </cell>
          <cell r="O2360" t="str">
            <v>EQUIPOS CLINICOS</v>
          </cell>
          <cell r="P2360">
            <v>2576</v>
          </cell>
          <cell r="T2360" t="str">
            <v>Bueno</v>
          </cell>
          <cell r="U2360" t="str">
            <v>Stainless</v>
          </cell>
        </row>
        <row r="2361">
          <cell r="J2361" t="str">
            <v>42-04-07-00-2353</v>
          </cell>
          <cell r="K2361" t="str">
            <v>SC-00209</v>
          </cell>
          <cell r="L2361" t="str">
            <v>42-04-07-00-2353</v>
          </cell>
          <cell r="M2361" t="str">
            <v>Dispensador de jabón</v>
          </cell>
          <cell r="O2361" t="str">
            <v>OTROS</v>
          </cell>
          <cell r="P2361">
            <v>17000</v>
          </cell>
          <cell r="T2361" t="str">
            <v>Bueno</v>
          </cell>
          <cell r="U2361" t="str">
            <v>N/T</v>
          </cell>
        </row>
        <row r="2362">
          <cell r="J2362" t="str">
            <v>42-05-02-02-2354</v>
          </cell>
          <cell r="K2362" t="str">
            <v>SC-00210</v>
          </cell>
          <cell r="L2362" t="str">
            <v>42-05-02-02-2354</v>
          </cell>
          <cell r="M2362" t="str">
            <v>Embudo de vidrio de 20 cms.</v>
          </cell>
          <cell r="N2362">
            <v>1</v>
          </cell>
          <cell r="O2362" t="str">
            <v>EQUIPOS DE COCINA</v>
          </cell>
          <cell r="P2362">
            <v>12000</v>
          </cell>
          <cell r="T2362" t="str">
            <v>Bueno</v>
          </cell>
          <cell r="U2362" t="str">
            <v>N/T</v>
          </cell>
        </row>
        <row r="2363">
          <cell r="J2363" t="str">
            <v>42-05-02-02-2355</v>
          </cell>
          <cell r="K2363" t="str">
            <v>SC-00211</v>
          </cell>
          <cell r="L2363" t="str">
            <v>42-05-02-02-2355</v>
          </cell>
          <cell r="M2363" t="str">
            <v>Morteros de diferentes medidas con majadero</v>
          </cell>
          <cell r="O2363" t="str">
            <v>EQUIPOS DE COCINA</v>
          </cell>
          <cell r="P2363">
            <v>6809</v>
          </cell>
          <cell r="T2363" t="str">
            <v>Bueno</v>
          </cell>
          <cell r="U2363" t="str">
            <v>N/T</v>
          </cell>
        </row>
        <row r="2364">
          <cell r="J2364" t="str">
            <v>NN-06-01-00-2356</v>
          </cell>
          <cell r="K2364" t="str">
            <v>SC-00212</v>
          </cell>
          <cell r="L2364" t="str">
            <v>NN-06-01-00-2356</v>
          </cell>
          <cell r="M2364" t="str">
            <v>Computador Olidata S/Nº 011427-000004</v>
          </cell>
          <cell r="O2364" t="str">
            <v>EQUIPOS COMPUTACIONALES Y PERIFÉRICOS EN ARRIENDO</v>
          </cell>
          <cell r="P2364">
            <v>340000</v>
          </cell>
          <cell r="T2364" t="str">
            <v>Bueno</v>
          </cell>
          <cell r="U2364" t="str">
            <v>Olidata</v>
          </cell>
        </row>
        <row r="2365">
          <cell r="J2365" t="str">
            <v>NN-06-01-00-2357</v>
          </cell>
          <cell r="K2365" t="str">
            <v>SC-00213</v>
          </cell>
          <cell r="L2365" t="str">
            <v>NN-06-01-00-2357</v>
          </cell>
          <cell r="M2365" t="str">
            <v>Pantalla LCD Olidata 17" Mod. W7006S S/Nº W7006S-8AE2354-013388B</v>
          </cell>
          <cell r="O2365" t="str">
            <v>EQUIPOS COMPUTACIONALES Y PERIFÉRICOS EN ARRIENDO</v>
          </cell>
          <cell r="P2365">
            <v>14000</v>
          </cell>
          <cell r="T2365" t="str">
            <v>Bueno</v>
          </cell>
          <cell r="U2365" t="str">
            <v>Olidata</v>
          </cell>
        </row>
        <row r="2366">
          <cell r="J2366" t="str">
            <v>NN-06-01-00-2358</v>
          </cell>
          <cell r="K2366" t="str">
            <v>SC-00214</v>
          </cell>
          <cell r="L2366" t="str">
            <v>NN-06-01-00-2358</v>
          </cell>
          <cell r="M2366" t="str">
            <v>Teclado Olidata Mod. K 5108 S/Nº 51080903012203</v>
          </cell>
          <cell r="O2366" t="str">
            <v>EQUIPOS COMPUTACIONALES Y PERIFÉRICOS EN ARRIENDO</v>
          </cell>
          <cell r="P2366">
            <v>4000</v>
          </cell>
          <cell r="T2366" t="str">
            <v>Bueno</v>
          </cell>
          <cell r="U2366" t="str">
            <v>Olidata</v>
          </cell>
        </row>
        <row r="2367">
          <cell r="J2367" t="str">
            <v>NN-06-01-00-2359</v>
          </cell>
          <cell r="K2367" t="str">
            <v>SC-00215</v>
          </cell>
          <cell r="L2367" t="str">
            <v>NN-06-01-00-2359</v>
          </cell>
          <cell r="M2367" t="str">
            <v>Mouse optico Olidata Mod KM 8942</v>
          </cell>
          <cell r="O2367" t="str">
            <v>EQUIPOS COMPUTACIONALES Y PERIFÉRICOS EN ARRIENDO</v>
          </cell>
          <cell r="P2367">
            <v>3000</v>
          </cell>
          <cell r="T2367" t="str">
            <v>Bueno</v>
          </cell>
          <cell r="U2367" t="str">
            <v>Olidata</v>
          </cell>
        </row>
        <row r="2368">
          <cell r="J2368" t="str">
            <v>42-05-01-01-2360</v>
          </cell>
          <cell r="K2368" t="str">
            <v>SC-00216</v>
          </cell>
          <cell r="L2368" t="str">
            <v>42-05-01-01-2360</v>
          </cell>
          <cell r="M2368" t="str">
            <v>Corchetera torre negra</v>
          </cell>
          <cell r="O2368" t="str">
            <v>EQUIPO DE OFICINA</v>
          </cell>
          <cell r="P2368">
            <v>3500</v>
          </cell>
          <cell r="T2368" t="str">
            <v>Bueno</v>
          </cell>
          <cell r="U2368" t="str">
            <v>Torre</v>
          </cell>
        </row>
        <row r="2369">
          <cell r="J2369" t="str">
            <v>42-04-07-00-2361</v>
          </cell>
          <cell r="K2369" t="str">
            <v>SC-00217</v>
          </cell>
          <cell r="L2369" t="str">
            <v>42-04-07-00-2361</v>
          </cell>
          <cell r="M2369" t="str">
            <v>Colchoneta con tevinil color blanco de 134x58 cms.</v>
          </cell>
          <cell r="O2369" t="str">
            <v>OTROS</v>
          </cell>
          <cell r="P2369">
            <v>67350</v>
          </cell>
          <cell r="T2369" t="str">
            <v>Bueno</v>
          </cell>
          <cell r="U2369" t="str">
            <v>N/T</v>
          </cell>
        </row>
        <row r="2370">
          <cell r="J2370" t="str">
            <v>42-04-07-00-2362</v>
          </cell>
          <cell r="K2370" t="str">
            <v>SC-00218</v>
          </cell>
          <cell r="L2370" t="str">
            <v>42-04-07-00-2362</v>
          </cell>
          <cell r="M2370" t="str">
            <v>Tarjetero de madera 3 depósitos, color lila</v>
          </cell>
          <cell r="O2370" t="str">
            <v>OTROS</v>
          </cell>
          <cell r="P2370">
            <v>20000</v>
          </cell>
          <cell r="T2370" t="str">
            <v>Bueno</v>
          </cell>
          <cell r="U2370" t="str">
            <v>N/T</v>
          </cell>
        </row>
        <row r="2371">
          <cell r="J2371" t="str">
            <v>42-04-07-00-2363</v>
          </cell>
          <cell r="K2371" t="str">
            <v>SC-00219</v>
          </cell>
          <cell r="L2371" t="str">
            <v>42-04-07-00-2363</v>
          </cell>
          <cell r="M2371" t="str">
            <v>Porta cortinas metálico</v>
          </cell>
          <cell r="O2371" t="str">
            <v>OTROS</v>
          </cell>
          <cell r="P2371">
            <v>1500</v>
          </cell>
          <cell r="T2371" t="str">
            <v>Bueno</v>
          </cell>
          <cell r="U2371" t="str">
            <v>N/T</v>
          </cell>
        </row>
        <row r="2372">
          <cell r="J2372" t="str">
            <v>42-04-07-00-2364</v>
          </cell>
          <cell r="K2372" t="str">
            <v>SC-00220</v>
          </cell>
          <cell r="L2372" t="str">
            <v>42-04-07-00-2364</v>
          </cell>
          <cell r="M2372" t="str">
            <v>Cortina de chinz color beige</v>
          </cell>
          <cell r="O2372" t="str">
            <v>OTROS</v>
          </cell>
          <cell r="P2372">
            <v>10000</v>
          </cell>
          <cell r="T2372" t="str">
            <v>Bueno</v>
          </cell>
          <cell r="U2372" t="str">
            <v>N/T</v>
          </cell>
        </row>
        <row r="2373">
          <cell r="J2373" t="str">
            <v>42-05-02-06-2365</v>
          </cell>
          <cell r="K2373" t="str">
            <v>SC-00221</v>
          </cell>
          <cell r="L2373" t="str">
            <v>42-05-02-06-2365</v>
          </cell>
          <cell r="M2373" t="str">
            <v>Barra acero pared/piso 94x90 cms.</v>
          </cell>
          <cell r="O2373" t="str">
            <v>HERRAMIENTAS</v>
          </cell>
          <cell r="P2373">
            <v>23000</v>
          </cell>
          <cell r="T2373" t="str">
            <v>Bueno</v>
          </cell>
          <cell r="U2373" t="str">
            <v>N/T</v>
          </cell>
        </row>
        <row r="2374">
          <cell r="J2374" t="str">
            <v>42-04-07-00-2366</v>
          </cell>
          <cell r="K2374" t="str">
            <v>SC-00222</v>
          </cell>
          <cell r="L2374" t="str">
            <v>42-04-07-00-2366</v>
          </cell>
          <cell r="M2374" t="str">
            <v>Porta confort</v>
          </cell>
          <cell r="O2374" t="str">
            <v>OTROS</v>
          </cell>
          <cell r="P2374">
            <v>4000</v>
          </cell>
          <cell r="T2374" t="str">
            <v>Bueno</v>
          </cell>
          <cell r="U2374" t="str">
            <v>N/T</v>
          </cell>
        </row>
        <row r="2375">
          <cell r="J2375" t="str">
            <v>42-04-07-00-2367</v>
          </cell>
          <cell r="K2375" t="str">
            <v>SC-00223</v>
          </cell>
          <cell r="L2375" t="str">
            <v>42-04-07-00-2367</v>
          </cell>
          <cell r="M2375" t="str">
            <v>Basurero plástico con tapa color blanco</v>
          </cell>
          <cell r="O2375" t="str">
            <v>OTROS</v>
          </cell>
          <cell r="P2375">
            <v>3000</v>
          </cell>
          <cell r="T2375" t="str">
            <v>Bueno</v>
          </cell>
          <cell r="U2375" t="str">
            <v>N/T</v>
          </cell>
        </row>
        <row r="2376">
          <cell r="J2376" t="str">
            <v>42-04-07-00-2368</v>
          </cell>
          <cell r="K2376" t="str">
            <v>SC-00224</v>
          </cell>
          <cell r="L2376" t="str">
            <v>42-04-07-00-2368</v>
          </cell>
          <cell r="M2376" t="str">
            <v>Espejo 50x30 cms.</v>
          </cell>
          <cell r="O2376" t="str">
            <v>OTROS</v>
          </cell>
          <cell r="P2376">
            <v>17000</v>
          </cell>
          <cell r="T2376" t="str">
            <v>bueno</v>
          </cell>
          <cell r="U2376" t="str">
            <v>N/T</v>
          </cell>
        </row>
        <row r="2377">
          <cell r="J2377" t="str">
            <v>42-04-07-00-2369</v>
          </cell>
          <cell r="K2377" t="str">
            <v>SC-00225</v>
          </cell>
          <cell r="L2377" t="str">
            <v>42-04-07-00-2369</v>
          </cell>
          <cell r="M2377" t="str">
            <v>Barra metalica adosada a la pared</v>
          </cell>
          <cell r="O2377" t="str">
            <v>OTROS</v>
          </cell>
          <cell r="P2377">
            <v>30000</v>
          </cell>
          <cell r="T2377" t="str">
            <v>bueno</v>
          </cell>
          <cell r="U2377" t="str">
            <v>N/T</v>
          </cell>
        </row>
        <row r="2378">
          <cell r="J2378" t="str">
            <v>42-04-07-00-2370</v>
          </cell>
          <cell r="K2378" t="str">
            <v>SC-00226</v>
          </cell>
          <cell r="L2378" t="str">
            <v>42-04-07-00-2370</v>
          </cell>
          <cell r="M2378" t="str">
            <v>Basurero metálico</v>
          </cell>
          <cell r="O2378" t="str">
            <v>OTROS</v>
          </cell>
          <cell r="P2378">
            <v>4000</v>
          </cell>
          <cell r="T2378" t="str">
            <v>Bueno</v>
          </cell>
          <cell r="U2378" t="str">
            <v>N/T</v>
          </cell>
        </row>
        <row r="2379">
          <cell r="J2379" t="str">
            <v>42-05-01-01-2371</v>
          </cell>
          <cell r="K2379" t="str">
            <v>SC-00227</v>
          </cell>
          <cell r="L2379" t="str">
            <v>42-05-01-01-2371</v>
          </cell>
          <cell r="M2379" t="str">
            <v>Corchetera Torre color negra</v>
          </cell>
          <cell r="O2379" t="str">
            <v>EQUIPO DE OFICINA</v>
          </cell>
          <cell r="P2379">
            <v>3500</v>
          </cell>
          <cell r="T2379" t="str">
            <v>Bueno</v>
          </cell>
          <cell r="U2379" t="str">
            <v>Torre</v>
          </cell>
        </row>
        <row r="2380">
          <cell r="J2380" t="str">
            <v>42-05-01-01-2372</v>
          </cell>
          <cell r="K2380" t="str">
            <v>SC-00228</v>
          </cell>
          <cell r="L2380" t="str">
            <v>42-05-01-01-2372</v>
          </cell>
          <cell r="M2380" t="str">
            <v>Corchetera s/marca color blanco/negro</v>
          </cell>
          <cell r="O2380" t="str">
            <v>EQUIPO DE OFICINA</v>
          </cell>
          <cell r="P2380">
            <v>3500</v>
          </cell>
          <cell r="T2380" t="str">
            <v>Bueno</v>
          </cell>
          <cell r="U2380" t="str">
            <v>N/T</v>
          </cell>
        </row>
        <row r="2381">
          <cell r="J2381" t="str">
            <v>42-05-02-01-2373</v>
          </cell>
          <cell r="K2381" t="str">
            <v>SC-00229</v>
          </cell>
          <cell r="L2381" t="str">
            <v>42-05-02-01-2373</v>
          </cell>
          <cell r="M2381" t="str">
            <v>Pinza kelly</v>
          </cell>
          <cell r="O2381" t="str">
            <v>EQUIPOS CLINICOS</v>
          </cell>
          <cell r="P2381">
            <v>18000</v>
          </cell>
          <cell r="T2381" t="str">
            <v>Bueno</v>
          </cell>
          <cell r="U2381" t="str">
            <v>N/T</v>
          </cell>
        </row>
        <row r="2382">
          <cell r="J2382" t="str">
            <v>NN-06-01-00-2374</v>
          </cell>
          <cell r="K2382" t="str">
            <v>SC-00230</v>
          </cell>
          <cell r="L2382" t="str">
            <v>NN-06-01-00-2374</v>
          </cell>
          <cell r="M2382" t="str">
            <v>Computador Olidata Nº ID A2593</v>
          </cell>
          <cell r="O2382" t="str">
            <v>EQUIPOS COMPUTACIONALES Y PERIFÉRICOS EN ARRIENDO</v>
          </cell>
          <cell r="P2382">
            <v>340000</v>
          </cell>
          <cell r="T2382" t="str">
            <v>Bueno</v>
          </cell>
          <cell r="U2382" t="str">
            <v>Olidata</v>
          </cell>
        </row>
        <row r="2383">
          <cell r="J2383" t="str">
            <v>NN-06-01-00-2375</v>
          </cell>
          <cell r="K2383" t="str">
            <v>SC-00231</v>
          </cell>
          <cell r="L2383" t="str">
            <v>NN-06-01-00-2375</v>
          </cell>
          <cell r="M2383" t="str">
            <v>Pantalla LCD Olidata 17" Mod. 7005L11 S/Nº 75L11N-75M2273-01353J</v>
          </cell>
          <cell r="O2383" t="str">
            <v>EQUIPOS COMPUTACIONALES Y PERIFÉRICOS EN ARRIENDO</v>
          </cell>
          <cell r="P2383">
            <v>14000</v>
          </cell>
          <cell r="T2383" t="str">
            <v>Bueno</v>
          </cell>
          <cell r="U2383" t="str">
            <v>Olidata</v>
          </cell>
        </row>
        <row r="2384">
          <cell r="J2384" t="str">
            <v>NN-06-01-00-2376</v>
          </cell>
          <cell r="K2384" t="str">
            <v>SC-00232</v>
          </cell>
          <cell r="L2384" t="str">
            <v>NN-06-01-00-2376</v>
          </cell>
          <cell r="M2384" t="str">
            <v>Teclado Olidata K7563 S/Nº K75630703004356</v>
          </cell>
          <cell r="O2384" t="str">
            <v>EQUIPOS COMPUTACIONALES Y PERIFÉRICOS EN ARRIENDO</v>
          </cell>
          <cell r="P2384">
            <v>4000</v>
          </cell>
          <cell r="T2384" t="str">
            <v>Bueno</v>
          </cell>
          <cell r="U2384" t="str">
            <v>Olidata</v>
          </cell>
        </row>
        <row r="2385">
          <cell r="J2385" t="str">
            <v>NN-06-01-00-2377</v>
          </cell>
          <cell r="K2385" t="str">
            <v>SC-00233</v>
          </cell>
          <cell r="L2385" t="str">
            <v>NN-06-01-00-2377</v>
          </cell>
          <cell r="M2385" t="str">
            <v>Mouse optico Olidata Mod. KM 8920</v>
          </cell>
          <cell r="O2385" t="str">
            <v>EQUIPOS COMPUTACIONALES Y PERIFÉRICOS EN ARRIENDO</v>
          </cell>
          <cell r="P2385">
            <v>3000</v>
          </cell>
          <cell r="T2385" t="str">
            <v>Bueno</v>
          </cell>
          <cell r="U2385" t="str">
            <v>Olidata</v>
          </cell>
        </row>
        <row r="2386">
          <cell r="J2386" t="str">
            <v>42-04-07-00-2378</v>
          </cell>
          <cell r="K2386" t="str">
            <v>SC-00234</v>
          </cell>
          <cell r="L2386" t="str">
            <v>42-04-07-00-2378</v>
          </cell>
          <cell r="M2386" t="str">
            <v>Piso de color blanco con 3 patas de madera c/fierro</v>
          </cell>
          <cell r="O2386" t="str">
            <v>OTROS</v>
          </cell>
          <cell r="P2386">
            <v>10248</v>
          </cell>
          <cell r="T2386" t="str">
            <v>Bueno</v>
          </cell>
          <cell r="U2386" t="str">
            <v>N/T</v>
          </cell>
        </row>
        <row r="2387">
          <cell r="J2387" t="str">
            <v>NN-06-01-00-2379</v>
          </cell>
          <cell r="K2387" t="str">
            <v>SC-00235</v>
          </cell>
          <cell r="L2387" t="str">
            <v>NN-06-01-00-2379</v>
          </cell>
          <cell r="M2387" t="str">
            <v>Computador Olidata Nº ID 2898</v>
          </cell>
          <cell r="O2387" t="str">
            <v>EQUIPOS COMPUTACIONALES Y PERIFÉRICOS EN ARRIENDO</v>
          </cell>
          <cell r="P2387">
            <v>340000</v>
          </cell>
          <cell r="T2387" t="str">
            <v>Bueno</v>
          </cell>
          <cell r="U2387" t="str">
            <v>Olidata</v>
          </cell>
        </row>
        <row r="2388">
          <cell r="J2388" t="str">
            <v>NN-06-01-00-2380</v>
          </cell>
          <cell r="K2388" t="str">
            <v>SC-00236</v>
          </cell>
          <cell r="L2388" t="str">
            <v>NN-06-01-00-2380</v>
          </cell>
          <cell r="M2388" t="str">
            <v>Pantalla LCD Olidata 17" Mod. 7005L11 S/Nº 75L11N-75M2273-008025</v>
          </cell>
          <cell r="O2388" t="str">
            <v>EQUIPOS COMPUTACIONALES Y PERIFÉRICOS EN ARRIENDO</v>
          </cell>
          <cell r="P2388">
            <v>14000</v>
          </cell>
          <cell r="T2388" t="str">
            <v>Bueno</v>
          </cell>
          <cell r="U2388" t="str">
            <v>Olidata</v>
          </cell>
        </row>
        <row r="2389">
          <cell r="J2389" t="str">
            <v>NN-06-01-00-2381</v>
          </cell>
          <cell r="K2389" t="str">
            <v>SC-00237</v>
          </cell>
          <cell r="L2389" t="str">
            <v>NN-06-01-00-2381</v>
          </cell>
          <cell r="M2389" t="str">
            <v>Teclado Olidata K7563 S/Nº K75630703004125</v>
          </cell>
          <cell r="O2389" t="str">
            <v>EQUIPOS COMPUTACIONALES Y PERIFÉRICOS EN ARRIENDO</v>
          </cell>
          <cell r="P2389">
            <v>4000</v>
          </cell>
          <cell r="T2389" t="str">
            <v>Bueno</v>
          </cell>
          <cell r="U2389" t="str">
            <v>Olidata</v>
          </cell>
        </row>
        <row r="2390">
          <cell r="J2390" t="str">
            <v>NN-06-01-00-2382</v>
          </cell>
          <cell r="K2390" t="str">
            <v>SC-00238</v>
          </cell>
          <cell r="L2390" t="str">
            <v>NN-06-01-00-2382</v>
          </cell>
          <cell r="M2390" t="str">
            <v>Mouse optico Olidata Mod. KM 8920</v>
          </cell>
          <cell r="O2390" t="str">
            <v>EQUIPOS COMPUTACIONALES Y PERIFÉRICOS EN ARRIENDO</v>
          </cell>
          <cell r="P2390">
            <v>3000</v>
          </cell>
          <cell r="T2390" t="str">
            <v>Bueno</v>
          </cell>
          <cell r="U2390" t="str">
            <v>Olidata</v>
          </cell>
        </row>
        <row r="2391">
          <cell r="J2391" t="str">
            <v>FN-04-07-00-2383</v>
          </cell>
          <cell r="K2391" t="str">
            <v>SC-00239</v>
          </cell>
          <cell r="L2391" t="str">
            <v>FN-04-07-00-2383</v>
          </cell>
          <cell r="M2391" t="str">
            <v>Cajas acero inoxidable 22x17x17 cms.</v>
          </cell>
          <cell r="O2391" t="str">
            <v>OTROS FUNGIBLE / NOMINABLE</v>
          </cell>
          <cell r="P2391">
            <v>25000</v>
          </cell>
          <cell r="T2391" t="str">
            <v>Bueno</v>
          </cell>
          <cell r="U2391" t="str">
            <v>N/T</v>
          </cell>
        </row>
        <row r="2392">
          <cell r="J2392" t="str">
            <v>42-05-02-01-2384</v>
          </cell>
          <cell r="K2392" t="str">
            <v>SC-00240</v>
          </cell>
          <cell r="L2392" t="str">
            <v>42-05-02-01-2384</v>
          </cell>
          <cell r="M2392" t="str">
            <v>Estetoscopio Pinard</v>
          </cell>
          <cell r="N2392">
            <v>1</v>
          </cell>
          <cell r="O2392" t="str">
            <v>EQUIPOS CLINICOS</v>
          </cell>
          <cell r="P2392">
            <v>30000</v>
          </cell>
          <cell r="T2392" t="str">
            <v>Bueno</v>
          </cell>
          <cell r="U2392" t="str">
            <v>N/T</v>
          </cell>
        </row>
        <row r="2393">
          <cell r="J2393" t="str">
            <v>42-05-01-01-2385</v>
          </cell>
          <cell r="K2393" t="str">
            <v>SC-00241</v>
          </cell>
          <cell r="L2393" t="str">
            <v>42-05-01-01-2385</v>
          </cell>
          <cell r="M2393" t="str">
            <v>Corchetera color negra marca torre</v>
          </cell>
          <cell r="O2393" t="str">
            <v>EQUIPO DE OFICINA</v>
          </cell>
          <cell r="P2393">
            <v>3500</v>
          </cell>
          <cell r="T2393" t="str">
            <v>Bueno</v>
          </cell>
          <cell r="U2393" t="str">
            <v>N/T</v>
          </cell>
        </row>
        <row r="2394">
          <cell r="J2394" t="str">
            <v>FN-04-07-00-2386</v>
          </cell>
          <cell r="K2394" t="str">
            <v>SC-00242</v>
          </cell>
          <cell r="L2394" t="str">
            <v>FN-04-07-00-2386</v>
          </cell>
          <cell r="M2394" t="str">
            <v>Basurero plástico</v>
          </cell>
          <cell r="O2394" t="str">
            <v>OTROS FUNGIBLE / NOMINABLE</v>
          </cell>
          <cell r="P2394">
            <v>3000</v>
          </cell>
          <cell r="T2394" t="str">
            <v>Bueno</v>
          </cell>
          <cell r="U2394" t="str">
            <v>N/T</v>
          </cell>
        </row>
        <row r="2395">
          <cell r="J2395" t="str">
            <v>NN-06-01-00-2387</v>
          </cell>
          <cell r="K2395" t="str">
            <v>SC-00243</v>
          </cell>
          <cell r="L2395" t="str">
            <v>NN-06-01-00-2387</v>
          </cell>
          <cell r="M2395" t="str">
            <v>Computador Olidata Nº ID A2624</v>
          </cell>
          <cell r="O2395" t="str">
            <v>EQUIPOS COMPUTACIONALES Y PERIFÉRICOS EN ARRIENDO</v>
          </cell>
          <cell r="P2395">
            <v>340000</v>
          </cell>
          <cell r="T2395" t="str">
            <v>Bueno</v>
          </cell>
          <cell r="U2395" t="str">
            <v>Olidata</v>
          </cell>
        </row>
        <row r="2396">
          <cell r="J2396" t="str">
            <v>NN-06-01-00-2388</v>
          </cell>
          <cell r="K2396" t="str">
            <v>SC-00244</v>
          </cell>
          <cell r="L2396" t="str">
            <v>NN-06-01-00-2388</v>
          </cell>
          <cell r="M2396" t="str">
            <v>Pantalla LCD Olidata 17" Mod. 7005L11 S/Nº 75L11N-75M2273-007131</v>
          </cell>
          <cell r="O2396" t="str">
            <v>EQUIPOS COMPUTACIONALES Y PERIFÉRICOS EN ARRIENDO</v>
          </cell>
          <cell r="P2396">
            <v>14000</v>
          </cell>
          <cell r="T2396" t="str">
            <v>Bueno</v>
          </cell>
          <cell r="U2396" t="str">
            <v>Olidata</v>
          </cell>
        </row>
        <row r="2397">
          <cell r="J2397" t="str">
            <v>NN-06-01-00-2389</v>
          </cell>
          <cell r="K2397" t="str">
            <v>SC-00245</v>
          </cell>
          <cell r="L2397" t="str">
            <v>NN-06-01-00-2389</v>
          </cell>
          <cell r="M2397" t="str">
            <v>Teclado Olidata K7563 S/Nº K75630703019986</v>
          </cell>
          <cell r="O2397" t="str">
            <v>EQUIPOS COMPUTACIONALES Y PERIFÉRICOS EN ARRIENDO</v>
          </cell>
          <cell r="P2397">
            <v>4000</v>
          </cell>
          <cell r="T2397" t="str">
            <v>Bueno</v>
          </cell>
          <cell r="U2397" t="str">
            <v>Olidata</v>
          </cell>
        </row>
        <row r="2398">
          <cell r="J2398" t="str">
            <v>NN-06-01-00-2390</v>
          </cell>
          <cell r="K2398" t="str">
            <v>SC-00246</v>
          </cell>
          <cell r="L2398" t="str">
            <v>NN-06-01-00-2390</v>
          </cell>
          <cell r="M2398" t="str">
            <v>Mouse optico Olidata Mod. KM 8920</v>
          </cell>
          <cell r="O2398" t="str">
            <v>EQUIPOS COMPUTACIONALES Y PERIFÉRICOS EN ARRIENDO</v>
          </cell>
          <cell r="P2398">
            <v>3000</v>
          </cell>
          <cell r="T2398" t="str">
            <v>Bueno</v>
          </cell>
          <cell r="U2398" t="str">
            <v>Olidata</v>
          </cell>
        </row>
        <row r="2399">
          <cell r="J2399" t="str">
            <v>42-04-07-00-2391</v>
          </cell>
          <cell r="K2399" t="str">
            <v>SC-00247</v>
          </cell>
          <cell r="L2399" t="str">
            <v>42-04-07-00-2391</v>
          </cell>
          <cell r="M2399" t="str">
            <v>Basurero metálico color café</v>
          </cell>
          <cell r="O2399" t="str">
            <v>OTROS</v>
          </cell>
          <cell r="P2399">
            <v>3000</v>
          </cell>
          <cell r="T2399" t="str">
            <v>Bueno</v>
          </cell>
          <cell r="U2399" t="str">
            <v>N/T</v>
          </cell>
        </row>
        <row r="2400">
          <cell r="J2400" t="str">
            <v>42-05-01-01-2392</v>
          </cell>
          <cell r="K2400" t="str">
            <v>SC-00248</v>
          </cell>
          <cell r="L2400" t="str">
            <v>42-05-01-01-2392</v>
          </cell>
          <cell r="M2400" t="str">
            <v>Corchetera Torre chica color negro</v>
          </cell>
          <cell r="O2400" t="str">
            <v>EQUIPO DE OFICINA</v>
          </cell>
          <cell r="P2400">
            <v>3500</v>
          </cell>
          <cell r="T2400" t="str">
            <v>Bueno</v>
          </cell>
          <cell r="U2400" t="str">
            <v>Torre</v>
          </cell>
        </row>
        <row r="2401">
          <cell r="J2401" t="str">
            <v>42-04-07-00-2393</v>
          </cell>
          <cell r="K2401" t="str">
            <v>SC-00249</v>
          </cell>
          <cell r="L2401" t="str">
            <v>42-04-07-00-2393</v>
          </cell>
          <cell r="M2401" t="str">
            <v>Papelero plástico color naranjo</v>
          </cell>
          <cell r="O2401" t="str">
            <v>OTROS</v>
          </cell>
          <cell r="P2401">
            <v>3000</v>
          </cell>
          <cell r="T2401" t="str">
            <v>Bueno</v>
          </cell>
          <cell r="U2401" t="str">
            <v>N/T</v>
          </cell>
        </row>
        <row r="2402">
          <cell r="J2402" t="str">
            <v>42-04-07-00-2394</v>
          </cell>
          <cell r="K2402" t="str">
            <v>SC-00250</v>
          </cell>
          <cell r="L2402" t="str">
            <v>42-04-07-00-2394</v>
          </cell>
          <cell r="M2402" t="str">
            <v>Porta cortinas</v>
          </cell>
          <cell r="O2402" t="str">
            <v>OTROS</v>
          </cell>
          <cell r="P2402">
            <v>1500</v>
          </cell>
          <cell r="T2402" t="str">
            <v>Bueno</v>
          </cell>
          <cell r="U2402" t="str">
            <v>N/T</v>
          </cell>
        </row>
        <row r="2403">
          <cell r="J2403" t="str">
            <v>42-04-07-00-2395</v>
          </cell>
          <cell r="K2403" t="str">
            <v>SC-00251</v>
          </cell>
          <cell r="L2403" t="str">
            <v>42-04-07-00-2395</v>
          </cell>
          <cell r="M2403" t="str">
            <v>Dispensador de jabon</v>
          </cell>
          <cell r="O2403" t="str">
            <v>OTROS</v>
          </cell>
          <cell r="P2403">
            <v>17000</v>
          </cell>
          <cell r="T2403" t="str">
            <v>Bueno</v>
          </cell>
          <cell r="U2403" t="str">
            <v>N/T</v>
          </cell>
        </row>
        <row r="2404">
          <cell r="J2404" t="str">
            <v>42-05-01-01-2396</v>
          </cell>
          <cell r="K2404" t="str">
            <v>SC-00252</v>
          </cell>
          <cell r="L2404" t="str">
            <v>42-05-01-01-2396</v>
          </cell>
          <cell r="M2404" t="str">
            <v>Perforadora de color rojo</v>
          </cell>
          <cell r="O2404" t="str">
            <v>EQUIPO DE OFICINA</v>
          </cell>
          <cell r="P2404">
            <v>5000</v>
          </cell>
          <cell r="T2404" t="str">
            <v>Bueno</v>
          </cell>
          <cell r="U2404" t="str">
            <v>N/T</v>
          </cell>
        </row>
        <row r="2405">
          <cell r="J2405" t="str">
            <v>42-04-06-00-2397</v>
          </cell>
          <cell r="K2405" t="str">
            <v>SC-00253</v>
          </cell>
          <cell r="L2405" t="str">
            <v>42-04-06-00-2397</v>
          </cell>
          <cell r="M2405" t="str">
            <v>Repisa de color blanca</v>
          </cell>
          <cell r="O2405" t="str">
            <v>REPISA</v>
          </cell>
          <cell r="P2405">
            <v>30000</v>
          </cell>
          <cell r="T2405" t="str">
            <v>Bueno</v>
          </cell>
          <cell r="U2405" t="str">
            <v>N/T</v>
          </cell>
        </row>
        <row r="2406">
          <cell r="J2406" t="str">
            <v>42-04-07-00-2398</v>
          </cell>
          <cell r="K2406" t="str">
            <v>SC-00254</v>
          </cell>
          <cell r="L2406" t="str">
            <v>42-04-07-00-2398</v>
          </cell>
          <cell r="M2406" t="str">
            <v>Dispensador de jabón</v>
          </cell>
          <cell r="O2406" t="str">
            <v>OTROS</v>
          </cell>
          <cell r="P2406">
            <v>17000</v>
          </cell>
          <cell r="T2406" t="str">
            <v>Bueno</v>
          </cell>
          <cell r="U2406" t="str">
            <v>N/T</v>
          </cell>
        </row>
        <row r="2407">
          <cell r="J2407" t="str">
            <v>42-05-02-01-2399</v>
          </cell>
          <cell r="K2407" t="str">
            <v>SC-00255</v>
          </cell>
          <cell r="L2407" t="str">
            <v>42-05-02-01-2399</v>
          </cell>
          <cell r="M2407" t="str">
            <v>Pinza Kelly anatómica 14 cms.</v>
          </cell>
          <cell r="O2407" t="str">
            <v>EQUIPOS CLINICOS</v>
          </cell>
          <cell r="P2407">
            <v>15000</v>
          </cell>
          <cell r="T2407" t="str">
            <v>Bueno</v>
          </cell>
          <cell r="U2407" t="str">
            <v>N/T</v>
          </cell>
        </row>
        <row r="2408">
          <cell r="J2408" t="str">
            <v>NN-06-01-00-2400</v>
          </cell>
          <cell r="K2408" t="str">
            <v>SC-00256</v>
          </cell>
          <cell r="L2408" t="str">
            <v>NN-06-01-00-2400</v>
          </cell>
          <cell r="M2408" t="str">
            <v>Computador Olidata S/Nº 010143-000052</v>
          </cell>
          <cell r="O2408" t="str">
            <v>EQUIPOS COMPUTACIONALES Y PERIFÉRICOS EN ARRIENDO</v>
          </cell>
          <cell r="P2408">
            <v>340000</v>
          </cell>
          <cell r="T2408" t="str">
            <v>Bueno</v>
          </cell>
          <cell r="U2408" t="str">
            <v>Olidata</v>
          </cell>
        </row>
        <row r="2409">
          <cell r="J2409" t="str">
            <v>NN-06-01-00-2401</v>
          </cell>
          <cell r="K2409" t="str">
            <v>SC-00257</v>
          </cell>
          <cell r="L2409" t="str">
            <v>NN-06-01-00-2401</v>
          </cell>
          <cell r="M2409" t="str">
            <v>Monitor Olidata LCD 17" Mod. 7005L11 S/Nº 75L11N-75K2372-02064H</v>
          </cell>
          <cell r="O2409" t="str">
            <v>EQUIPOS COMPUTACIONALES Y PERIFÉRICOS EN ARRIENDO</v>
          </cell>
          <cell r="P2409">
            <v>14000</v>
          </cell>
          <cell r="T2409" t="str">
            <v>Bueno</v>
          </cell>
          <cell r="U2409" t="str">
            <v>Olidata</v>
          </cell>
        </row>
        <row r="2410">
          <cell r="J2410" t="str">
            <v>NN-06-01-00-2402</v>
          </cell>
          <cell r="K2410" t="str">
            <v>SC-00258</v>
          </cell>
          <cell r="L2410" t="str">
            <v>NN-06-01-00-2402</v>
          </cell>
          <cell r="M2410" t="str">
            <v>Teclado Olidata Mod. K7563 S/Nº K75630712004549</v>
          </cell>
          <cell r="O2410" t="str">
            <v>EQUIPOS COMPUTACIONALES Y PERIFÉRICOS EN ARRIENDO</v>
          </cell>
          <cell r="P2410">
            <v>4000</v>
          </cell>
          <cell r="T2410" t="str">
            <v>Bueno</v>
          </cell>
          <cell r="U2410" t="str">
            <v>Olidata</v>
          </cell>
        </row>
        <row r="2411">
          <cell r="J2411" t="str">
            <v>NN-06-01-00-2403</v>
          </cell>
          <cell r="K2411" t="str">
            <v>SC-00259</v>
          </cell>
          <cell r="L2411" t="str">
            <v>NN-06-01-00-2403</v>
          </cell>
          <cell r="M2411" t="str">
            <v>Mouse Olidata KM 8920</v>
          </cell>
          <cell r="O2411" t="str">
            <v>EQUIPOS COMPUTACIONALES Y PERIFÉRICOS EN ARRIENDO</v>
          </cell>
          <cell r="P2411">
            <v>3000</v>
          </cell>
          <cell r="T2411" t="str">
            <v>Bueno</v>
          </cell>
          <cell r="U2411" t="str">
            <v>Olidata</v>
          </cell>
        </row>
        <row r="2412">
          <cell r="J2412" t="str">
            <v>42-05-02-01-2404</v>
          </cell>
          <cell r="K2412" t="str">
            <v>SC-00260</v>
          </cell>
          <cell r="L2412" t="str">
            <v>42-05-02-01-2404</v>
          </cell>
          <cell r="M2412" t="str">
            <v>Estetoscopio Pinard</v>
          </cell>
          <cell r="N2412">
            <v>1</v>
          </cell>
          <cell r="O2412" t="str">
            <v>EQUIPOS CLINICOS</v>
          </cell>
          <cell r="P2412">
            <v>63000</v>
          </cell>
          <cell r="T2412" t="str">
            <v>Bueno</v>
          </cell>
          <cell r="U2412" t="str">
            <v>N/T</v>
          </cell>
        </row>
        <row r="2413">
          <cell r="J2413" t="str">
            <v>42-05-02-01-2405</v>
          </cell>
          <cell r="K2413" t="str">
            <v>SC-00261</v>
          </cell>
          <cell r="L2413" t="str">
            <v>42-05-02-01-2405</v>
          </cell>
          <cell r="M2413" t="str">
            <v>Histerometros</v>
          </cell>
          <cell r="N2413">
            <v>1</v>
          </cell>
          <cell r="O2413" t="str">
            <v>EQUIPOS CLINICOS</v>
          </cell>
          <cell r="P2413">
            <v>60000</v>
          </cell>
          <cell r="T2413" t="str">
            <v>Bueno</v>
          </cell>
          <cell r="U2413" t="str">
            <v>N/T</v>
          </cell>
        </row>
        <row r="2414">
          <cell r="J2414" t="str">
            <v>42-04-07-00-2406</v>
          </cell>
          <cell r="K2414" t="str">
            <v>SC-00262</v>
          </cell>
          <cell r="L2414" t="str">
            <v>42-04-07-00-2406</v>
          </cell>
          <cell r="M2414" t="str">
            <v>Porta cortinas metálico</v>
          </cell>
          <cell r="O2414" t="str">
            <v>OTROS</v>
          </cell>
          <cell r="P2414">
            <v>1500</v>
          </cell>
          <cell r="T2414" t="str">
            <v>Bueno</v>
          </cell>
          <cell r="U2414" t="str">
            <v>N/T</v>
          </cell>
        </row>
        <row r="2415">
          <cell r="J2415" t="str">
            <v>42-04-07-00-2407</v>
          </cell>
          <cell r="K2415" t="str">
            <v>SC-00263</v>
          </cell>
          <cell r="L2415" t="str">
            <v>42-04-07-00-2407</v>
          </cell>
          <cell r="M2415" t="str">
            <v>Cortinas color azul</v>
          </cell>
          <cell r="O2415" t="str">
            <v>OTROS</v>
          </cell>
          <cell r="P2415">
            <v>12000</v>
          </cell>
          <cell r="T2415" t="str">
            <v>Bueno</v>
          </cell>
          <cell r="U2415" t="str">
            <v>N/T</v>
          </cell>
        </row>
        <row r="2416">
          <cell r="J2416" t="str">
            <v>NN-06-01-00-2408</v>
          </cell>
          <cell r="K2416" t="str">
            <v>SC-00264</v>
          </cell>
          <cell r="L2416" t="str">
            <v>NN-06-01-00-2408</v>
          </cell>
          <cell r="M2416" t="str">
            <v>Computador marca Olidata S/Nº 011427-000002</v>
          </cell>
          <cell r="O2416" t="str">
            <v>EQUIPOS COMPUTACIONALES Y PERIFÉRICOS EN ARRIENDO</v>
          </cell>
          <cell r="P2416">
            <v>340000</v>
          </cell>
          <cell r="T2416" t="str">
            <v>Bueno</v>
          </cell>
          <cell r="U2416" t="str">
            <v>Olidata</v>
          </cell>
        </row>
        <row r="2417">
          <cell r="J2417" t="str">
            <v>NN-06-01-00-2409</v>
          </cell>
          <cell r="K2417" t="str">
            <v>SC-00265</v>
          </cell>
          <cell r="L2417" t="str">
            <v>NN-06-01-00-2409</v>
          </cell>
          <cell r="M2417" t="str">
            <v>Monitor Olidata Modelo W7006S S/Nº W7006S-8AE2354-01389A</v>
          </cell>
          <cell r="O2417" t="str">
            <v>EQUIPOS COMPUTACIONALES Y PERIFÉRICOS EN ARRIENDO</v>
          </cell>
          <cell r="P2417">
            <v>14000</v>
          </cell>
          <cell r="T2417" t="str">
            <v>Bueno</v>
          </cell>
          <cell r="U2417" t="str">
            <v>Olidata</v>
          </cell>
        </row>
        <row r="2418">
          <cell r="J2418" t="str">
            <v>NN-06-01-00-2410</v>
          </cell>
          <cell r="K2418" t="str">
            <v>SC-00266</v>
          </cell>
          <cell r="L2418" t="str">
            <v>NN-06-01-00-2410</v>
          </cell>
          <cell r="M2418" t="str">
            <v>Teclado Olidata Modelo K5108 S/Nº K51080903012210</v>
          </cell>
          <cell r="O2418" t="str">
            <v>EQUIPOS COMPUTACIONALES Y PERIFÉRICOS EN ARRIENDO</v>
          </cell>
          <cell r="P2418">
            <v>4000</v>
          </cell>
          <cell r="T2418" t="str">
            <v>Bueno</v>
          </cell>
          <cell r="U2418" t="str">
            <v>Olidata</v>
          </cell>
        </row>
        <row r="2419">
          <cell r="J2419" t="str">
            <v>NN-06-01-00-2411</v>
          </cell>
          <cell r="K2419" t="str">
            <v>SC-00267</v>
          </cell>
          <cell r="L2419" t="str">
            <v>NN-06-01-00-2411</v>
          </cell>
          <cell r="M2419" t="str">
            <v>Mouse marca Olidata</v>
          </cell>
          <cell r="O2419" t="str">
            <v>EQUIPOS COMPUTACIONALES Y PERIFÉRICOS EN ARRIENDO</v>
          </cell>
          <cell r="P2419">
            <v>3000</v>
          </cell>
          <cell r="T2419" t="str">
            <v>Bueno</v>
          </cell>
          <cell r="U2419" t="str">
            <v>Olidata</v>
          </cell>
        </row>
        <row r="2420">
          <cell r="J2420" t="str">
            <v>42-04-07-00-2412</v>
          </cell>
          <cell r="K2420" t="str">
            <v>SC-00268</v>
          </cell>
          <cell r="L2420" t="str">
            <v>42-04-07-00-2412</v>
          </cell>
          <cell r="M2420" t="str">
            <v>Dispensador de jabón</v>
          </cell>
          <cell r="O2420" t="str">
            <v>OTROS</v>
          </cell>
          <cell r="P2420">
            <v>17000</v>
          </cell>
          <cell r="T2420" t="str">
            <v>Bueno</v>
          </cell>
          <cell r="U2420" t="str">
            <v>N/T</v>
          </cell>
        </row>
        <row r="2421">
          <cell r="J2421" t="str">
            <v>FN-04-07-00-2413</v>
          </cell>
          <cell r="K2421" t="str">
            <v>SC-00269</v>
          </cell>
          <cell r="L2421" t="str">
            <v>FN-04-07-00-2413</v>
          </cell>
          <cell r="M2421" t="str">
            <v>Cortinas con diseños infantiles</v>
          </cell>
          <cell r="O2421" t="str">
            <v>OTROS FUNGIBLE / NOMINABLE</v>
          </cell>
          <cell r="P2421">
            <v>13000</v>
          </cell>
          <cell r="T2421" t="str">
            <v>Bueno</v>
          </cell>
          <cell r="U2421" t="str">
            <v>N/T</v>
          </cell>
        </row>
        <row r="2422">
          <cell r="J2422" t="str">
            <v>42-04-07-00-2414</v>
          </cell>
          <cell r="K2422" t="str">
            <v>SC-00270</v>
          </cell>
          <cell r="L2422" t="str">
            <v>42-04-07-00-2414</v>
          </cell>
          <cell r="M2422" t="str">
            <v>Porta cortinas metálico</v>
          </cell>
          <cell r="O2422" t="str">
            <v>OTROS</v>
          </cell>
          <cell r="P2422">
            <v>1500</v>
          </cell>
          <cell r="T2422" t="str">
            <v>Bueno</v>
          </cell>
          <cell r="U2422" t="str">
            <v>N/T</v>
          </cell>
        </row>
        <row r="2423">
          <cell r="J2423" t="str">
            <v>NN-06-01-00-2415</v>
          </cell>
          <cell r="K2423" t="str">
            <v>SC-00271</v>
          </cell>
          <cell r="L2423" t="str">
            <v>NN-06-01-00-2415</v>
          </cell>
          <cell r="M2423" t="str">
            <v>Computador marca Olidata S/Nº 011427-000002</v>
          </cell>
          <cell r="O2423" t="str">
            <v>EQUIPOS COMPUTACIONALES Y PERIFÉRICOS EN ARRIENDO</v>
          </cell>
          <cell r="P2423">
            <v>340000</v>
          </cell>
          <cell r="T2423" t="str">
            <v>Bueno</v>
          </cell>
          <cell r="U2423" t="str">
            <v>Olidata</v>
          </cell>
        </row>
        <row r="2424">
          <cell r="J2424" t="str">
            <v>NN-06-01-00-2416</v>
          </cell>
          <cell r="K2424" t="str">
            <v>SC-00272</v>
          </cell>
          <cell r="L2424" t="str">
            <v>NN-06-01-00-2416</v>
          </cell>
          <cell r="M2424" t="str">
            <v>Monitor Olidata Modelo W7006S S/Nº W7006S-8AE2354-01389A</v>
          </cell>
          <cell r="O2424" t="str">
            <v>EQUIPOS COMPUTACIONALES Y PERIFÉRICOS EN ARRIENDO</v>
          </cell>
          <cell r="P2424">
            <v>14000</v>
          </cell>
          <cell r="T2424" t="str">
            <v>Bueno</v>
          </cell>
          <cell r="U2424" t="str">
            <v>Olidata</v>
          </cell>
        </row>
        <row r="2425">
          <cell r="J2425" t="str">
            <v>NN-06-01-00-2417</v>
          </cell>
          <cell r="K2425" t="str">
            <v>SC-00273</v>
          </cell>
          <cell r="L2425" t="str">
            <v>NN-06-01-00-2417</v>
          </cell>
          <cell r="M2425" t="str">
            <v>Teclado Olidata Modelo K5108 S/Nº K51080903012210</v>
          </cell>
          <cell r="O2425" t="str">
            <v>EQUIPOS COMPUTACIONALES Y PERIFÉRICOS EN ARRIENDO</v>
          </cell>
          <cell r="P2425">
            <v>4000</v>
          </cell>
          <cell r="T2425" t="str">
            <v>Bueno</v>
          </cell>
          <cell r="U2425" t="str">
            <v>Olidata</v>
          </cell>
        </row>
        <row r="2426">
          <cell r="J2426" t="str">
            <v>NN-06-01-00-2418</v>
          </cell>
          <cell r="K2426" t="str">
            <v>SC-00274</v>
          </cell>
          <cell r="L2426" t="str">
            <v>NN-06-01-00-2418</v>
          </cell>
          <cell r="M2426" t="str">
            <v>Mouse marca Olidata</v>
          </cell>
          <cell r="O2426" t="str">
            <v>EQUIPOS COMPUTACIONALES Y PERIFÉRICOS EN ARRIENDO</v>
          </cell>
          <cell r="P2426">
            <v>3000</v>
          </cell>
          <cell r="T2426" t="str">
            <v>Bueno</v>
          </cell>
          <cell r="U2426" t="str">
            <v>Olidata</v>
          </cell>
        </row>
        <row r="2427">
          <cell r="J2427" t="str">
            <v>42-04-07-00-2419</v>
          </cell>
          <cell r="K2427" t="str">
            <v>SC-00275</v>
          </cell>
          <cell r="L2427" t="str">
            <v>42-04-07-00-2419</v>
          </cell>
          <cell r="M2427" t="str">
            <v>Dispensador de jabón</v>
          </cell>
          <cell r="O2427" t="str">
            <v>OTROS</v>
          </cell>
          <cell r="P2427">
            <v>17000</v>
          </cell>
          <cell r="T2427" t="str">
            <v>Bueno</v>
          </cell>
          <cell r="U2427" t="str">
            <v>N/T</v>
          </cell>
        </row>
        <row r="2428">
          <cell r="J2428" t="str">
            <v>42-04-07-00-2420</v>
          </cell>
          <cell r="K2428" t="str">
            <v>SC-00276</v>
          </cell>
          <cell r="L2428" t="str">
            <v>42-04-07-00-2420</v>
          </cell>
          <cell r="M2428" t="str">
            <v>Cortinas con diseños infantiles</v>
          </cell>
          <cell r="O2428" t="str">
            <v>OTROS</v>
          </cell>
          <cell r="P2428">
            <v>13000</v>
          </cell>
          <cell r="T2428" t="str">
            <v>Bueno</v>
          </cell>
          <cell r="U2428" t="str">
            <v>N/T</v>
          </cell>
        </row>
        <row r="2429">
          <cell r="J2429" t="str">
            <v>42-04-07-00-2421</v>
          </cell>
          <cell r="K2429" t="str">
            <v>SC-00277</v>
          </cell>
          <cell r="L2429" t="str">
            <v>42-04-07-00-2421</v>
          </cell>
          <cell r="M2429" t="str">
            <v>Porta cortinas metálico</v>
          </cell>
          <cell r="O2429" t="str">
            <v>OTROS</v>
          </cell>
          <cell r="P2429">
            <v>1500</v>
          </cell>
          <cell r="T2429" t="str">
            <v>Bueno</v>
          </cell>
          <cell r="U2429" t="str">
            <v>N/T</v>
          </cell>
        </row>
        <row r="2430">
          <cell r="J2430" t="str">
            <v>NN-06-01-00-2422</v>
          </cell>
          <cell r="K2430" t="str">
            <v>SC-00278</v>
          </cell>
          <cell r="L2430" t="str">
            <v>NN-06-01-00-2422</v>
          </cell>
          <cell r="M2430" t="str">
            <v>Computador Olidata S/Nº 010143-000026</v>
          </cell>
          <cell r="O2430" t="str">
            <v>EQUIPOS COMPUTACIONALES Y PERIFÉRICOS EN ARRIENDO</v>
          </cell>
          <cell r="P2430">
            <v>340000</v>
          </cell>
          <cell r="T2430" t="str">
            <v>Bueno</v>
          </cell>
          <cell r="U2430" t="str">
            <v>Olidata</v>
          </cell>
        </row>
        <row r="2431">
          <cell r="J2431" t="str">
            <v>NN-06-01-00-2423</v>
          </cell>
          <cell r="K2431" t="str">
            <v>SC-00279</v>
          </cell>
          <cell r="L2431" t="str">
            <v>NN-06-01-00-2423</v>
          </cell>
          <cell r="M2431" t="str">
            <v>Monitor LCD Olidata 17" Mod. 7005L11 S/Nº 7005L11N-8302733-00707E</v>
          </cell>
          <cell r="O2431" t="str">
            <v>EQUIPOS COMPUTACIONALES Y PERIFÉRICOS EN ARRIENDO</v>
          </cell>
          <cell r="P2431">
            <v>14000</v>
          </cell>
          <cell r="T2431" t="str">
            <v>Bueno</v>
          </cell>
          <cell r="U2431" t="str">
            <v>Olidata</v>
          </cell>
        </row>
        <row r="2432">
          <cell r="J2432" t="str">
            <v>NN-06-01-00-2424</v>
          </cell>
          <cell r="K2432" t="str">
            <v>SC-00280</v>
          </cell>
          <cell r="L2432" t="str">
            <v>NN-06-01-00-2424</v>
          </cell>
          <cell r="M2432" t="str">
            <v>Teclado Olidata Mod. K7563 S/Nº K75630708002716</v>
          </cell>
          <cell r="O2432" t="str">
            <v>EQUIPOS COMPUTACIONALES Y PERIFÉRICOS EN ARRIENDO</v>
          </cell>
          <cell r="P2432">
            <v>4000</v>
          </cell>
          <cell r="T2432" t="str">
            <v>Bueno</v>
          </cell>
          <cell r="U2432" t="str">
            <v>Olidata</v>
          </cell>
        </row>
        <row r="2433">
          <cell r="J2433" t="str">
            <v>NN-06-01-00-2425</v>
          </cell>
          <cell r="K2433" t="str">
            <v>SC-00281</v>
          </cell>
          <cell r="L2433" t="str">
            <v>NN-06-01-00-2425</v>
          </cell>
          <cell r="M2433" t="str">
            <v>Mouse Olidata Mod. KM 8920</v>
          </cell>
          <cell r="O2433" t="str">
            <v>EQUIPOS COMPUTACIONALES Y PERIFÉRICOS EN ARRIENDO</v>
          </cell>
          <cell r="P2433">
            <v>3000</v>
          </cell>
          <cell r="T2433" t="str">
            <v>Bueno</v>
          </cell>
          <cell r="U2433" t="str">
            <v>Olidata</v>
          </cell>
        </row>
        <row r="2434">
          <cell r="J2434" t="str">
            <v>42-04-07-00-2426</v>
          </cell>
          <cell r="K2434" t="str">
            <v>SC-00282</v>
          </cell>
          <cell r="L2434" t="str">
            <v>42-04-07-00-2426</v>
          </cell>
          <cell r="M2434" t="str">
            <v>Dispensador de jabón</v>
          </cell>
          <cell r="O2434" t="str">
            <v>OTROS</v>
          </cell>
          <cell r="P2434">
            <v>17000</v>
          </cell>
          <cell r="T2434" t="str">
            <v>Bueno</v>
          </cell>
          <cell r="U2434" t="str">
            <v>B</v>
          </cell>
        </row>
        <row r="2435">
          <cell r="J2435" t="str">
            <v>42-04-07-00-2427</v>
          </cell>
          <cell r="K2435" t="str">
            <v>SC-00283</v>
          </cell>
          <cell r="L2435" t="str">
            <v>42-04-07-00-2427</v>
          </cell>
          <cell r="M2435" t="str">
            <v>Porta cortinas</v>
          </cell>
          <cell r="O2435" t="str">
            <v>OTROS</v>
          </cell>
          <cell r="P2435">
            <v>1500</v>
          </cell>
          <cell r="T2435" t="str">
            <v>Bueno</v>
          </cell>
          <cell r="U2435" t="str">
            <v>B</v>
          </cell>
        </row>
        <row r="2436">
          <cell r="J2436" t="str">
            <v>FN-04-07-00-2428</v>
          </cell>
          <cell r="K2436" t="str">
            <v>SC-00284</v>
          </cell>
          <cell r="L2436" t="str">
            <v>FN-04-07-00-2428</v>
          </cell>
          <cell r="M2436" t="str">
            <v>Cortinas motivos infantiles</v>
          </cell>
          <cell r="O2436" t="str">
            <v>OTROS FUNGIBLE / NOMINABLE</v>
          </cell>
          <cell r="P2436">
            <v>12000</v>
          </cell>
          <cell r="T2436" t="str">
            <v>Bueno</v>
          </cell>
          <cell r="U2436" t="str">
            <v>B</v>
          </cell>
        </row>
        <row r="2437">
          <cell r="J2437" t="str">
            <v>42-04-07-00-2429</v>
          </cell>
          <cell r="K2437" t="str">
            <v>SC-00285</v>
          </cell>
          <cell r="L2437" t="str">
            <v>42-04-07-00-2429</v>
          </cell>
          <cell r="M2437" t="str">
            <v>Papelero plástico color rojo</v>
          </cell>
          <cell r="O2437" t="str">
            <v>OTROS</v>
          </cell>
          <cell r="P2437">
            <v>3000</v>
          </cell>
          <cell r="T2437" t="str">
            <v>Bueno</v>
          </cell>
          <cell r="U2437" t="str">
            <v>B</v>
          </cell>
        </row>
        <row r="2438">
          <cell r="J2438" t="str">
            <v>42-04-07-00-2430</v>
          </cell>
          <cell r="K2438" t="str">
            <v>SC-00286</v>
          </cell>
          <cell r="L2438" t="str">
            <v>42-04-07-00-2430</v>
          </cell>
          <cell r="M2438" t="str">
            <v>Dispensador papel absorvente marca Elite ( Donado Dra. Frantzen )</v>
          </cell>
          <cell r="O2438" t="str">
            <v>OTROS</v>
          </cell>
          <cell r="P2438">
            <v>17000</v>
          </cell>
          <cell r="T2438" t="str">
            <v>Bueno</v>
          </cell>
          <cell r="U2438" t="str">
            <v>N/T</v>
          </cell>
        </row>
        <row r="2439">
          <cell r="J2439" t="str">
            <v>42-05-01-01-2431</v>
          </cell>
          <cell r="K2439" t="str">
            <v>SC-00287</v>
          </cell>
          <cell r="L2439" t="str">
            <v>42-05-01-01-2431</v>
          </cell>
          <cell r="M2439" t="str">
            <v>Perforador marca Maped chico color azul</v>
          </cell>
          <cell r="N2439">
            <v>1</v>
          </cell>
          <cell r="O2439" t="str">
            <v>EQUIPO DE OFICINA</v>
          </cell>
          <cell r="P2439">
            <v>3000</v>
          </cell>
          <cell r="T2439" t="str">
            <v>Bueno</v>
          </cell>
          <cell r="U2439" t="str">
            <v>Maped</v>
          </cell>
        </row>
        <row r="2440">
          <cell r="J2440" t="str">
            <v>42-05-01-01-2432</v>
          </cell>
          <cell r="K2440" t="str">
            <v>SC-00288</v>
          </cell>
          <cell r="L2440" t="str">
            <v>42-05-01-01-2432</v>
          </cell>
          <cell r="M2440" t="str">
            <v>Corchetera chica marca Torre</v>
          </cell>
          <cell r="O2440" t="str">
            <v>EQUIPO DE OFICINA</v>
          </cell>
          <cell r="P2440">
            <v>1500</v>
          </cell>
          <cell r="T2440" t="str">
            <v>Bueno</v>
          </cell>
          <cell r="U2440" t="str">
            <v>Torre</v>
          </cell>
        </row>
        <row r="2441">
          <cell r="J2441" t="str">
            <v>42-05-01-01-2433</v>
          </cell>
          <cell r="K2441" t="str">
            <v>SC-00289</v>
          </cell>
          <cell r="L2441" t="str">
            <v>42-05-01-01-2433</v>
          </cell>
          <cell r="M2441" t="str">
            <v>Corchetera grande Torre color rojo/negro</v>
          </cell>
          <cell r="O2441" t="str">
            <v>EQUIPO DE OFICINA</v>
          </cell>
          <cell r="P2441">
            <v>3500</v>
          </cell>
          <cell r="T2441" t="str">
            <v>Bueno</v>
          </cell>
          <cell r="U2441" t="str">
            <v>N/T</v>
          </cell>
        </row>
        <row r="2442">
          <cell r="J2442" t="str">
            <v>FN-04-07-00-2434</v>
          </cell>
          <cell r="K2442" t="str">
            <v>SC-00290</v>
          </cell>
          <cell r="L2442" t="str">
            <v>FN-04-07-00-2434</v>
          </cell>
          <cell r="M2442" t="str">
            <v>Porta cortinas metálico</v>
          </cell>
          <cell r="O2442" t="str">
            <v>OTROS FUNGIBLE / NOMINABLE</v>
          </cell>
          <cell r="P2442">
            <v>1500</v>
          </cell>
          <cell r="T2442" t="str">
            <v>Bueno</v>
          </cell>
          <cell r="U2442" t="str">
            <v>N/T</v>
          </cell>
        </row>
        <row r="2443">
          <cell r="J2443" t="str">
            <v>FN-04-07-00-2435</v>
          </cell>
          <cell r="K2443" t="str">
            <v>SC-00291</v>
          </cell>
          <cell r="L2443" t="str">
            <v>FN-04-07-00-2435</v>
          </cell>
          <cell r="M2443" t="str">
            <v>Cortinas de chinz color mantequilla</v>
          </cell>
          <cell r="O2443" t="str">
            <v>OTROS FUNGIBLE / NOMINABLE</v>
          </cell>
          <cell r="P2443">
            <v>12000</v>
          </cell>
          <cell r="T2443" t="str">
            <v>Bueno</v>
          </cell>
          <cell r="U2443" t="str">
            <v>N/T</v>
          </cell>
        </row>
        <row r="2444">
          <cell r="J2444" t="str">
            <v>42-05-02-06-2436</v>
          </cell>
          <cell r="K2444" t="str">
            <v>SC-00292</v>
          </cell>
          <cell r="L2444" t="str">
            <v>42-05-02-06-2436</v>
          </cell>
          <cell r="M2444" t="str">
            <v>Balde lavado instrumental azul con tapa blanca</v>
          </cell>
          <cell r="O2444" t="str">
            <v>HERRAMIENTAS</v>
          </cell>
          <cell r="P2444">
            <v>25000</v>
          </cell>
          <cell r="T2444" t="str">
            <v>Bueno</v>
          </cell>
          <cell r="U2444" t="str">
            <v>N/T</v>
          </cell>
        </row>
        <row r="2445">
          <cell r="J2445" t="str">
            <v>42-05-02-06-2437</v>
          </cell>
          <cell r="K2445" t="str">
            <v>SC-00293</v>
          </cell>
          <cell r="L2445" t="str">
            <v>42-05-02-06-2437</v>
          </cell>
          <cell r="M2445" t="str">
            <v>Balde lavado instrumental verde con tapa blanca</v>
          </cell>
          <cell r="O2445" t="str">
            <v>HERRAMIENTAS</v>
          </cell>
          <cell r="P2445">
            <v>25000</v>
          </cell>
          <cell r="T2445" t="str">
            <v>Bueno</v>
          </cell>
          <cell r="U2445" t="str">
            <v>N/T</v>
          </cell>
        </row>
        <row r="2446">
          <cell r="J2446" t="str">
            <v>42-05-02-06-2438</v>
          </cell>
          <cell r="K2446" t="str">
            <v>SC-00294</v>
          </cell>
          <cell r="L2446" t="str">
            <v>42-05-02-06-2438</v>
          </cell>
          <cell r="M2446" t="str">
            <v xml:space="preserve">Balde lavado instrumental verde  </v>
          </cell>
          <cell r="O2446" t="str">
            <v>HERRAMIENTAS</v>
          </cell>
          <cell r="P2446">
            <v>25000</v>
          </cell>
          <cell r="T2446" t="str">
            <v>Bueno</v>
          </cell>
          <cell r="U2446" t="str">
            <v>N/T</v>
          </cell>
        </row>
        <row r="2447">
          <cell r="J2447" t="str">
            <v>42-05-02-01-2439</v>
          </cell>
          <cell r="K2447" t="str">
            <v>SC-00295</v>
          </cell>
          <cell r="L2447" t="str">
            <v>42-05-02-01-2439</v>
          </cell>
          <cell r="M2447" t="str">
            <v>Abreboca</v>
          </cell>
          <cell r="O2447" t="str">
            <v>EQUIPOS CLINICOS</v>
          </cell>
          <cell r="P2447">
            <v>15000</v>
          </cell>
          <cell r="T2447" t="str">
            <v>Bueno</v>
          </cell>
          <cell r="U2447" t="str">
            <v>N/T</v>
          </cell>
        </row>
        <row r="2448">
          <cell r="J2448" t="str">
            <v>FN-05-02-01-2440</v>
          </cell>
          <cell r="K2448" t="str">
            <v>SC-00296</v>
          </cell>
          <cell r="L2448" t="str">
            <v>FN-05-02-01-2440</v>
          </cell>
          <cell r="M2448" t="str">
            <v>Baja lengua</v>
          </cell>
          <cell r="O2448" t="str">
            <v>EQUIPOS CLINICOS FUNGIBLE / NOMINABLE</v>
          </cell>
          <cell r="P2448">
            <v>12000</v>
          </cell>
          <cell r="T2448" t="str">
            <v>Bueno</v>
          </cell>
          <cell r="U2448" t="str">
            <v>N/T</v>
          </cell>
        </row>
        <row r="2449">
          <cell r="J2449" t="str">
            <v>FN-05-02-01-2441</v>
          </cell>
          <cell r="K2449" t="str">
            <v>SC-00297</v>
          </cell>
          <cell r="L2449" t="str">
            <v>FN-05-02-01-2441</v>
          </cell>
          <cell r="M2449" t="str">
            <v>Bruñidores de amalgama doble de bolita</v>
          </cell>
          <cell r="O2449" t="str">
            <v>EQUIPOS CLINICOS FUNGIBLE / NOMINABLE</v>
          </cell>
          <cell r="P2449">
            <v>5000</v>
          </cell>
          <cell r="T2449" t="str">
            <v>Bueno</v>
          </cell>
          <cell r="U2449" t="str">
            <v>N/T</v>
          </cell>
        </row>
        <row r="2450">
          <cell r="J2450" t="str">
            <v>FN-05-02-01-2442</v>
          </cell>
          <cell r="K2450" t="str">
            <v>SC-00298</v>
          </cell>
          <cell r="L2450" t="str">
            <v>FN-05-02-01-2442</v>
          </cell>
          <cell r="M2450" t="str">
            <v>Bruñidores simple de bolita</v>
          </cell>
          <cell r="O2450" t="str">
            <v>EQUIPOS CLINICOS FUNGIBLE / NOMINABLE</v>
          </cell>
          <cell r="P2450">
            <v>15000</v>
          </cell>
          <cell r="T2450" t="str">
            <v>Bueno</v>
          </cell>
          <cell r="U2450" t="str">
            <v>N/T</v>
          </cell>
        </row>
        <row r="2451">
          <cell r="J2451" t="str">
            <v>FN-05-02-01-2443</v>
          </cell>
          <cell r="K2451" t="str">
            <v>SC-00299</v>
          </cell>
          <cell r="L2451" t="str">
            <v>FN-05-02-01-2443</v>
          </cell>
          <cell r="M2451" t="str">
            <v>Bruñidores simple, espátula y bolita</v>
          </cell>
          <cell r="O2451" t="str">
            <v>EQUIPOS CLINICOS FUNGIBLE / NOMINABLE</v>
          </cell>
          <cell r="P2451">
            <v>7500</v>
          </cell>
          <cell r="T2451" t="str">
            <v>Bueno</v>
          </cell>
          <cell r="U2451" t="str">
            <v>N/T</v>
          </cell>
        </row>
        <row r="2452">
          <cell r="J2452" t="str">
            <v>42-05-02-01-2444</v>
          </cell>
          <cell r="K2452" t="str">
            <v>SC-00300</v>
          </cell>
          <cell r="L2452" t="str">
            <v>42-05-02-01-2444</v>
          </cell>
          <cell r="M2452" t="str">
            <v>Cinceles para esmalte</v>
          </cell>
          <cell r="O2452" t="str">
            <v>EQUIPOS CLINICOS</v>
          </cell>
          <cell r="P2452">
            <v>6000</v>
          </cell>
          <cell r="T2452" t="str">
            <v>Bueno</v>
          </cell>
          <cell r="U2452" t="str">
            <v>N/T</v>
          </cell>
        </row>
        <row r="2453">
          <cell r="J2453" t="str">
            <v>42-04-07-00-2445</v>
          </cell>
          <cell r="K2453" t="str">
            <v>SC-00301</v>
          </cell>
          <cell r="L2453" t="str">
            <v>42-04-07-00-2445</v>
          </cell>
          <cell r="M2453" t="str">
            <v>Condensador para relleno de raíz</v>
          </cell>
          <cell r="O2453" t="str">
            <v>OTROS</v>
          </cell>
          <cell r="P2453">
            <v>1200</v>
          </cell>
          <cell r="T2453" t="str">
            <v>Bueno</v>
          </cell>
          <cell r="U2453" t="str">
            <v>N/T</v>
          </cell>
        </row>
        <row r="2454">
          <cell r="J2454" t="str">
            <v>FN-05-02-01-2446</v>
          </cell>
          <cell r="K2454" t="str">
            <v>SC-00302</v>
          </cell>
          <cell r="L2454" t="str">
            <v>FN-05-02-01-2446</v>
          </cell>
          <cell r="M2454" t="str">
            <v>Condensadores para amalgama doble extremo</v>
          </cell>
          <cell r="O2454" t="str">
            <v>EQUIPOS CLINICOS FUNGIBLE / NOMINABLE</v>
          </cell>
          <cell r="P2454">
            <v>5000</v>
          </cell>
          <cell r="T2454" t="str">
            <v>Bueno</v>
          </cell>
          <cell r="U2454" t="str">
            <v>N/T</v>
          </cell>
        </row>
        <row r="2455">
          <cell r="J2455" t="str">
            <v>42-05-02-01-2447</v>
          </cell>
          <cell r="K2455" t="str">
            <v>SC-00303</v>
          </cell>
          <cell r="L2455" t="str">
            <v>42-05-02-01-2447</v>
          </cell>
          <cell r="M2455" t="str">
            <v>Cuchareta de absceso ( elevador )</v>
          </cell>
          <cell r="O2455" t="str">
            <v>EQUIPOS CLINICOS</v>
          </cell>
          <cell r="P2455">
            <v>15000</v>
          </cell>
          <cell r="T2455" t="str">
            <v>Bueno</v>
          </cell>
          <cell r="U2455" t="str">
            <v>N/T</v>
          </cell>
        </row>
        <row r="2456">
          <cell r="J2456" t="str">
            <v>FN-05-02-01-2448</v>
          </cell>
          <cell r="K2456" t="str">
            <v>SC-00304</v>
          </cell>
          <cell r="L2456" t="str">
            <v>FN-05-02-01-2448</v>
          </cell>
          <cell r="M2456" t="str">
            <v>Cucharetas absceso curva lisa</v>
          </cell>
          <cell r="O2456" t="str">
            <v>EQUIPOS CLINICOS FUNGIBLE / NOMINABLE</v>
          </cell>
          <cell r="P2456">
            <v>10000</v>
          </cell>
          <cell r="T2456" t="str">
            <v>Bueno</v>
          </cell>
          <cell r="U2456" t="str">
            <v>N/T</v>
          </cell>
        </row>
        <row r="2457">
          <cell r="J2457" t="str">
            <v>FN-05-02-01-2449</v>
          </cell>
          <cell r="K2457" t="str">
            <v>SC-00305</v>
          </cell>
          <cell r="L2457" t="str">
            <v>FN-05-02-01-2449</v>
          </cell>
          <cell r="M2457" t="str">
            <v>Cucharetas absceso rectas doble extremo</v>
          </cell>
          <cell r="O2457" t="str">
            <v>EQUIPOS CLINICOS FUNGIBLE / NOMINABLE</v>
          </cell>
          <cell r="P2457">
            <v>12000</v>
          </cell>
          <cell r="T2457" t="str">
            <v>Bueno</v>
          </cell>
          <cell r="U2457" t="str">
            <v>N/T</v>
          </cell>
        </row>
        <row r="2458">
          <cell r="J2458" t="str">
            <v>FN-05-02-01-2450</v>
          </cell>
          <cell r="K2458" t="str">
            <v>SC-00306</v>
          </cell>
          <cell r="L2458" t="str">
            <v>FN-05-02-01-2450</v>
          </cell>
          <cell r="M2458" t="str">
            <v>Cucharetas caries 1 extremo</v>
          </cell>
          <cell r="O2458" t="str">
            <v>EQUIPOS CLINICOS FUNGIBLE / NOMINABLE</v>
          </cell>
          <cell r="P2458">
            <v>12000</v>
          </cell>
          <cell r="T2458" t="str">
            <v>Bueno</v>
          </cell>
          <cell r="U2458" t="str">
            <v>N/T</v>
          </cell>
        </row>
        <row r="2459">
          <cell r="J2459" t="str">
            <v>FN-05-02-01-2451</v>
          </cell>
          <cell r="K2459" t="str">
            <v>SC-00307</v>
          </cell>
          <cell r="L2459" t="str">
            <v>FN-05-02-01-2451</v>
          </cell>
          <cell r="M2459" t="str">
            <v>Cucharetas de caries extremo doble</v>
          </cell>
          <cell r="O2459" t="str">
            <v>EQUIPOS CLINICOS FUNGIBLE / NOMINABLE</v>
          </cell>
          <cell r="P2459">
            <v>12000</v>
          </cell>
          <cell r="T2459" t="str">
            <v>Bueno</v>
          </cell>
          <cell r="U2459" t="str">
            <v>N/T</v>
          </cell>
        </row>
        <row r="2460">
          <cell r="J2460" t="str">
            <v>FN-05-02-01-2452</v>
          </cell>
          <cell r="K2460" t="str">
            <v>SC-00308</v>
          </cell>
          <cell r="L2460" t="str">
            <v>FN-05-02-01-2452</v>
          </cell>
          <cell r="M2460" t="str">
            <v>Cucharetas doble curva alveolo</v>
          </cell>
          <cell r="O2460" t="str">
            <v>EQUIPOS CLINICOS FUNGIBLE / NOMINABLE</v>
          </cell>
          <cell r="P2460">
            <v>12000</v>
          </cell>
          <cell r="T2460" t="str">
            <v>Bueno</v>
          </cell>
          <cell r="U2460" t="str">
            <v>N/T</v>
          </cell>
        </row>
        <row r="2461">
          <cell r="J2461" t="str">
            <v>42-05-02-01-2453</v>
          </cell>
          <cell r="K2461" t="str">
            <v>SC-00309</v>
          </cell>
          <cell r="L2461" t="str">
            <v>42-05-02-01-2453</v>
          </cell>
          <cell r="M2461" t="str">
            <v>Dosificador de amalgama color café</v>
          </cell>
          <cell r="O2461" t="str">
            <v>EQUIPOS CLINICOS</v>
          </cell>
          <cell r="P2461">
            <v>7500</v>
          </cell>
          <cell r="T2461" t="str">
            <v>Bueno</v>
          </cell>
          <cell r="U2461" t="str">
            <v>N/T</v>
          </cell>
        </row>
        <row r="2462">
          <cell r="J2462" t="str">
            <v>FN-05-02-01-2454</v>
          </cell>
          <cell r="K2462" t="str">
            <v>SC-00310</v>
          </cell>
          <cell r="L2462" t="str">
            <v>FN-05-02-01-2454</v>
          </cell>
          <cell r="M2462" t="str">
            <v xml:space="preserve">Dosificador de mercurio </v>
          </cell>
          <cell r="O2462" t="str">
            <v>EQUIPOS CLINICOS FUNGIBLE / NOMINABLE</v>
          </cell>
          <cell r="P2462">
            <v>475000</v>
          </cell>
          <cell r="T2462" t="str">
            <v>Bueno</v>
          </cell>
          <cell r="U2462" t="str">
            <v>N/T</v>
          </cell>
        </row>
        <row r="2463">
          <cell r="J2463" t="str">
            <v>FN-05-02-01-2455</v>
          </cell>
          <cell r="K2463" t="str">
            <v>SC-00311</v>
          </cell>
          <cell r="L2463" t="str">
            <v>FN-05-02-01-2455</v>
          </cell>
          <cell r="M2463" t="str">
            <v xml:space="preserve">Elevador recto universal       </v>
          </cell>
          <cell r="O2463" t="str">
            <v>EQUIPOS CLINICOS FUNGIBLE / NOMINABLE</v>
          </cell>
          <cell r="P2463">
            <v>7500</v>
          </cell>
          <cell r="T2463" t="str">
            <v>Bueno</v>
          </cell>
          <cell r="U2463" t="str">
            <v>N/T</v>
          </cell>
        </row>
        <row r="2464">
          <cell r="J2464" t="str">
            <v>FN-05-02-01-2456</v>
          </cell>
          <cell r="K2464" t="str">
            <v>SC-00312</v>
          </cell>
          <cell r="L2464" t="str">
            <v>FN-05-02-01-2456</v>
          </cell>
          <cell r="M2464" t="str">
            <v>Elevadores curvos cortos</v>
          </cell>
          <cell r="O2464" t="str">
            <v>EQUIPOS CLINICOS FUNGIBLE / NOMINABLE</v>
          </cell>
          <cell r="P2464">
            <v>12000</v>
          </cell>
          <cell r="T2464" t="str">
            <v>Bueno</v>
          </cell>
          <cell r="U2464" t="str">
            <v>N/T</v>
          </cell>
        </row>
        <row r="2465">
          <cell r="J2465" t="str">
            <v>FN-05-02-01-2457</v>
          </cell>
          <cell r="K2465" t="str">
            <v>SC-00313</v>
          </cell>
          <cell r="L2465" t="str">
            <v>FN-05-02-01-2457</v>
          </cell>
          <cell r="M2465" t="str">
            <v>Elevadores curvos largos</v>
          </cell>
          <cell r="O2465" t="str">
            <v>EQUIPOS CLINICOS FUNGIBLE / NOMINABLE</v>
          </cell>
          <cell r="P2465">
            <v>12000</v>
          </cell>
          <cell r="T2465" t="str">
            <v>Bueno</v>
          </cell>
          <cell r="U2465" t="str">
            <v>N/T</v>
          </cell>
        </row>
        <row r="2466">
          <cell r="J2466" t="str">
            <v>FN-05-02-01-2458</v>
          </cell>
          <cell r="K2466" t="str">
            <v>SC-00314</v>
          </cell>
          <cell r="L2466" t="str">
            <v>FN-05-02-01-2458</v>
          </cell>
          <cell r="M2466" t="str">
            <v>Elevadores rectos finos</v>
          </cell>
          <cell r="O2466" t="str">
            <v>EQUIPOS CLINICOS FUNGIBLE / NOMINABLE</v>
          </cell>
          <cell r="P2466">
            <v>12000</v>
          </cell>
          <cell r="T2466" t="str">
            <v>Bueno</v>
          </cell>
          <cell r="U2466" t="str">
            <v>N/T</v>
          </cell>
        </row>
        <row r="2467">
          <cell r="J2467" t="str">
            <v>FN-05-02-06-2459</v>
          </cell>
          <cell r="K2467" t="str">
            <v>SC-00315</v>
          </cell>
          <cell r="L2467" t="str">
            <v>FN-05-02-06-2459</v>
          </cell>
          <cell r="M2467" t="str">
            <v>Espátulas para cemento doble</v>
          </cell>
          <cell r="O2467" t="str">
            <v>HERRAMIENTAS FUNGIBLE / NOMINABLE</v>
          </cell>
          <cell r="P2467">
            <v>7000</v>
          </cell>
          <cell r="T2467" t="str">
            <v>Bueno</v>
          </cell>
          <cell r="U2467" t="str">
            <v>N/T</v>
          </cell>
        </row>
        <row r="2468">
          <cell r="J2468" t="str">
            <v>FN-05-02-06-2460</v>
          </cell>
          <cell r="K2468" t="str">
            <v>SC-00316</v>
          </cell>
          <cell r="L2468" t="str">
            <v>FN-05-02-06-2460</v>
          </cell>
          <cell r="M2468" t="str">
            <v>Espátulas para cemento simple</v>
          </cell>
          <cell r="O2468" t="str">
            <v>HERRAMIENTAS FUNGIBLE / NOMINABLE</v>
          </cell>
          <cell r="P2468">
            <v>6500</v>
          </cell>
          <cell r="T2468" t="str">
            <v>Bueno</v>
          </cell>
          <cell r="U2468" t="str">
            <v>N/T</v>
          </cell>
        </row>
        <row r="2469">
          <cell r="J2469" t="str">
            <v>42-05-02-01-2461</v>
          </cell>
          <cell r="K2469" t="str">
            <v>SC-00317</v>
          </cell>
          <cell r="L2469" t="str">
            <v>42-05-02-01-2461</v>
          </cell>
          <cell r="M2469" t="str">
            <v>Eyectores de saliva</v>
          </cell>
          <cell r="O2469" t="str">
            <v>EQUIPOS CLINICOS</v>
          </cell>
          <cell r="P2469">
            <v>6500</v>
          </cell>
          <cell r="T2469" t="str">
            <v>Bueno</v>
          </cell>
          <cell r="U2469" t="str">
            <v>N/T</v>
          </cell>
        </row>
        <row r="2470">
          <cell r="J2470" t="str">
            <v>42-05-02-01-2462</v>
          </cell>
          <cell r="K2470" t="str">
            <v>SC-00318</v>
          </cell>
          <cell r="L2470" t="str">
            <v>42-05-02-01-2462</v>
          </cell>
          <cell r="M2470" t="str">
            <v>Fórcep “S” Infantil</v>
          </cell>
          <cell r="O2470" t="str">
            <v>EQUIPOS CLINICOS</v>
          </cell>
          <cell r="P2470">
            <v>5000</v>
          </cell>
          <cell r="T2470" t="str">
            <v>Bueno</v>
          </cell>
          <cell r="U2470" t="str">
            <v>N/T</v>
          </cell>
        </row>
        <row r="2471">
          <cell r="J2471" t="str">
            <v>FN-05-02-01-2463</v>
          </cell>
          <cell r="K2471" t="str">
            <v>SC-00319</v>
          </cell>
          <cell r="L2471" t="str">
            <v>FN-05-02-01-2463</v>
          </cell>
          <cell r="M2471" t="str">
            <v>Fórcep “S” Itálicos finos</v>
          </cell>
          <cell r="O2471" t="str">
            <v>EQUIPOS CLINICOS FUNGIBLE / NOMINABLE</v>
          </cell>
          <cell r="P2471">
            <v>5000</v>
          </cell>
          <cell r="T2471" t="str">
            <v>Bueno</v>
          </cell>
          <cell r="U2471" t="str">
            <v>N/T</v>
          </cell>
        </row>
        <row r="2472">
          <cell r="J2472" t="str">
            <v>FN-05-02-01-2464</v>
          </cell>
          <cell r="K2472" t="str">
            <v>SC-00320</v>
          </cell>
          <cell r="L2472" t="str">
            <v>FN-05-02-01-2464</v>
          </cell>
          <cell r="M2472" t="str">
            <v>Fórcep “S” Itálicos gruesos</v>
          </cell>
          <cell r="O2472" t="str">
            <v>EQUIPOS CLINICOS FUNGIBLE / NOMINABLE</v>
          </cell>
          <cell r="P2472">
            <v>5000</v>
          </cell>
          <cell r="T2472" t="str">
            <v>Bueno</v>
          </cell>
          <cell r="U2472" t="str">
            <v>N/T</v>
          </cell>
        </row>
        <row r="2473">
          <cell r="J2473" t="str">
            <v>FN-05-02-01-2465</v>
          </cell>
          <cell r="K2473" t="str">
            <v>SC-00321</v>
          </cell>
          <cell r="L2473" t="str">
            <v>FN-05-02-01-2465</v>
          </cell>
          <cell r="M2473" t="str">
            <v>Fórcep bayoneta</v>
          </cell>
          <cell r="O2473" t="str">
            <v>EQUIPOS CLINICOS FUNGIBLE / NOMINABLE</v>
          </cell>
          <cell r="P2473">
            <v>5000</v>
          </cell>
          <cell r="T2473" t="str">
            <v>Bueno</v>
          </cell>
          <cell r="U2473" t="str">
            <v>N/T</v>
          </cell>
        </row>
        <row r="2474">
          <cell r="J2474" t="str">
            <v>FN-05-02-01-2466</v>
          </cell>
          <cell r="K2474" t="str">
            <v>SC-00322</v>
          </cell>
          <cell r="L2474" t="str">
            <v>FN-05-02-01-2466</v>
          </cell>
          <cell r="M2474" t="str">
            <v xml:space="preserve">Fórcep bayoneta infantil </v>
          </cell>
          <cell r="O2474" t="str">
            <v>EQUIPOS CLINICOS FUNGIBLE / NOMINABLE</v>
          </cell>
          <cell r="P2474">
            <v>5000</v>
          </cell>
          <cell r="T2474" t="str">
            <v>Bueno</v>
          </cell>
          <cell r="U2474" t="str">
            <v>N/T</v>
          </cell>
        </row>
        <row r="2475">
          <cell r="J2475" t="str">
            <v>FN-05-02-01-2467</v>
          </cell>
          <cell r="K2475" t="str">
            <v>SC-00323</v>
          </cell>
          <cell r="L2475" t="str">
            <v>FN-05-02-01-2467</v>
          </cell>
          <cell r="M2475" t="str">
            <v>Fórcep curvos sobre plano molares niños</v>
          </cell>
          <cell r="O2475" t="str">
            <v>EQUIPOS CLINICOS FUNGIBLE / NOMINABLE</v>
          </cell>
          <cell r="P2475">
            <v>8000</v>
          </cell>
          <cell r="T2475" t="str">
            <v>Bueno</v>
          </cell>
          <cell r="U2475" t="str">
            <v>N/T</v>
          </cell>
        </row>
        <row r="2476">
          <cell r="J2476" t="str">
            <v>FN-05-02-01-2468</v>
          </cell>
          <cell r="K2476" t="str">
            <v>SC-00324</v>
          </cell>
          <cell r="L2476" t="str">
            <v>FN-05-02-01-2468</v>
          </cell>
          <cell r="M2476" t="str">
            <v>Fórcep ojo de buey</v>
          </cell>
          <cell r="O2476" t="str">
            <v>EQUIPOS CLINICOS FUNGIBLE / NOMINABLE</v>
          </cell>
          <cell r="P2476">
            <v>6500</v>
          </cell>
          <cell r="T2476" t="str">
            <v>Bueno</v>
          </cell>
          <cell r="U2476" t="str">
            <v>N/T</v>
          </cell>
        </row>
        <row r="2477">
          <cell r="J2477" t="str">
            <v>FN-05-02-01-2469</v>
          </cell>
          <cell r="K2477" t="str">
            <v>SC-00325</v>
          </cell>
          <cell r="L2477" t="str">
            <v>FN-05-02-01-2469</v>
          </cell>
          <cell r="M2477" t="str">
            <v>Fórcep para raíces</v>
          </cell>
          <cell r="O2477" t="str">
            <v>EQUIPOS CLINICOS FUNGIBLE / NOMINABLE</v>
          </cell>
          <cell r="P2477">
            <v>6000</v>
          </cell>
          <cell r="T2477" t="str">
            <v>Bueno</v>
          </cell>
          <cell r="U2477" t="str">
            <v>N/T</v>
          </cell>
        </row>
        <row r="2478">
          <cell r="J2478" t="str">
            <v>FN-05-02-01-2470</v>
          </cell>
          <cell r="K2478" t="str">
            <v>SC-00326</v>
          </cell>
          <cell r="L2478" t="str">
            <v>FN-05-02-01-2470</v>
          </cell>
          <cell r="M2478" t="str">
            <v>Fórcep pico de loro finos</v>
          </cell>
          <cell r="O2478" t="str">
            <v>EQUIPOS CLINICOS FUNGIBLE / NOMINABLE</v>
          </cell>
          <cell r="P2478">
            <v>7000</v>
          </cell>
          <cell r="T2478" t="str">
            <v>Bueno</v>
          </cell>
          <cell r="U2478" t="str">
            <v>N/T</v>
          </cell>
        </row>
        <row r="2479">
          <cell r="J2479" t="str">
            <v>FN-05-02-01-2471</v>
          </cell>
          <cell r="K2479" t="str">
            <v>SC-00327</v>
          </cell>
          <cell r="L2479" t="str">
            <v>FN-05-02-01-2471</v>
          </cell>
          <cell r="M2479" t="str">
            <v>Fórcep pico de loro grueso curvos sobre el borde</v>
          </cell>
          <cell r="O2479" t="str">
            <v>EQUIPOS CLINICOS FUNGIBLE / NOMINABLE</v>
          </cell>
          <cell r="P2479">
            <v>7500</v>
          </cell>
          <cell r="T2479" t="str">
            <v>Bueno</v>
          </cell>
          <cell r="U2479" t="str">
            <v>N/T</v>
          </cell>
        </row>
        <row r="2480">
          <cell r="J2480" t="str">
            <v>FN-05-02-01-2472</v>
          </cell>
          <cell r="K2480" t="str">
            <v>SC-00328</v>
          </cell>
          <cell r="L2480" t="str">
            <v>FN-05-02-01-2472</v>
          </cell>
          <cell r="M2480" t="str">
            <v>Fórcep pico de loro infantil</v>
          </cell>
          <cell r="O2480" t="str">
            <v>EQUIPOS CLINICOS FUNGIBLE / NOMINABLE</v>
          </cell>
          <cell r="P2480">
            <v>7000</v>
          </cell>
          <cell r="T2480" t="str">
            <v>Bueno</v>
          </cell>
          <cell r="U2480" t="str">
            <v>N/T</v>
          </cell>
        </row>
        <row r="2481">
          <cell r="J2481" t="str">
            <v>42-05-02-01-2473</v>
          </cell>
          <cell r="K2481" t="str">
            <v>SC-00329</v>
          </cell>
          <cell r="L2481" t="str">
            <v>42-05-02-01-2473</v>
          </cell>
          <cell r="M2481" t="str">
            <v xml:space="preserve">Fórcep recto infantil </v>
          </cell>
          <cell r="O2481" t="str">
            <v>EQUIPOS CLINICOS</v>
          </cell>
          <cell r="P2481">
            <v>7000</v>
          </cell>
          <cell r="T2481" t="str">
            <v>Bueno</v>
          </cell>
          <cell r="U2481" t="str">
            <v>N/T</v>
          </cell>
        </row>
        <row r="2482">
          <cell r="J2482" t="str">
            <v>FN-05-02-01-2474</v>
          </cell>
          <cell r="K2482" t="str">
            <v>SC-00330</v>
          </cell>
          <cell r="L2482" t="str">
            <v>FN-05-02-01-2474</v>
          </cell>
          <cell r="M2482" t="str">
            <v>Fórcep rectos anteriores</v>
          </cell>
          <cell r="O2482" t="str">
            <v>EQUIPOS CLINICOS FUNGIBLE / NOMINABLE</v>
          </cell>
          <cell r="P2482">
            <v>7000</v>
          </cell>
          <cell r="T2482" t="str">
            <v>Bueno</v>
          </cell>
          <cell r="U2482" t="str">
            <v>N/T</v>
          </cell>
        </row>
        <row r="2483">
          <cell r="J2483" t="str">
            <v>FN-05-02-01-2475</v>
          </cell>
          <cell r="K2483" t="str">
            <v>SC-00331</v>
          </cell>
          <cell r="L2483" t="str">
            <v>FN-05-02-01-2475</v>
          </cell>
          <cell r="M2483" t="str">
            <v>Fórcep universal superior</v>
          </cell>
          <cell r="O2483" t="str">
            <v>EQUIPOS CLINICOS FUNGIBLE / NOMINABLE</v>
          </cell>
          <cell r="P2483">
            <v>7500</v>
          </cell>
          <cell r="T2483" t="str">
            <v>Bueno</v>
          </cell>
          <cell r="U2483" t="str">
            <v>N/T</v>
          </cell>
        </row>
        <row r="2484">
          <cell r="J2484" t="str">
            <v>FN-05-02-01-2476</v>
          </cell>
          <cell r="K2484" t="str">
            <v>SC-00332</v>
          </cell>
          <cell r="L2484" t="str">
            <v>FN-05-02-01-2476</v>
          </cell>
          <cell r="M2484" t="str">
            <v>Fórcep Universales inferiores</v>
          </cell>
          <cell r="O2484" t="str">
            <v>EQUIPOS CLINICOS FUNGIBLE / NOMINABLE</v>
          </cell>
          <cell r="P2484">
            <v>7500</v>
          </cell>
          <cell r="T2484" t="str">
            <v>Bueno</v>
          </cell>
          <cell r="U2484" t="str">
            <v>N/T</v>
          </cell>
        </row>
        <row r="2485">
          <cell r="J2485" t="str">
            <v>42-05-02-01-2477</v>
          </cell>
          <cell r="K2485" t="str">
            <v>SC-00333</v>
          </cell>
          <cell r="L2485" t="str">
            <v>42-05-02-01-2477</v>
          </cell>
          <cell r="M2485" t="str">
            <v>Fresario metálico completo</v>
          </cell>
          <cell r="O2485" t="str">
            <v>EQUIPOS CLINICOS</v>
          </cell>
          <cell r="P2485">
            <v>15000</v>
          </cell>
          <cell r="T2485" t="str">
            <v>Bueno</v>
          </cell>
          <cell r="U2485" t="str">
            <v>N/T</v>
          </cell>
        </row>
        <row r="2486">
          <cell r="J2486" t="str">
            <v>FN-05-02-01-2478</v>
          </cell>
          <cell r="K2486" t="str">
            <v>SC-00334</v>
          </cell>
          <cell r="L2486" t="str">
            <v>FN-05-02-01-2478</v>
          </cell>
          <cell r="M2486" t="str">
            <v>Fresarios acrílicos convencional</v>
          </cell>
          <cell r="O2486" t="str">
            <v>EQUIPOS CLINICOS FUNGIBLE / NOMINABLE</v>
          </cell>
          <cell r="P2486">
            <v>15000</v>
          </cell>
          <cell r="T2486" t="str">
            <v>Bueno</v>
          </cell>
          <cell r="U2486" t="str">
            <v>N/T</v>
          </cell>
        </row>
        <row r="2487">
          <cell r="J2487" t="str">
            <v>FN-05-02-01-2479</v>
          </cell>
          <cell r="K2487" t="str">
            <v>SC-00335</v>
          </cell>
          <cell r="L2487" t="str">
            <v>FN-05-02-01-2479</v>
          </cell>
          <cell r="M2487" t="str">
            <v>Fresarios acrílicos turbina convencional</v>
          </cell>
          <cell r="O2487" t="str">
            <v>EQUIPOS CLINICOS FUNGIBLE / NOMINABLE</v>
          </cell>
          <cell r="P2487">
            <v>15000</v>
          </cell>
          <cell r="T2487" t="str">
            <v>Bueno</v>
          </cell>
          <cell r="U2487" t="str">
            <v>N/T</v>
          </cell>
        </row>
        <row r="2488">
          <cell r="J2488" t="str">
            <v>FN-05-02-06-2480</v>
          </cell>
          <cell r="K2488" t="str">
            <v>SC-00336</v>
          </cell>
          <cell r="L2488" t="str">
            <v>FN-05-02-06-2480</v>
          </cell>
          <cell r="M2488" t="str">
            <v>Gubias</v>
          </cell>
          <cell r="O2488" t="str">
            <v>HERRAMIENTAS FUNGIBLE / NOMINABLE</v>
          </cell>
          <cell r="P2488">
            <v>8000</v>
          </cell>
          <cell r="T2488" t="str">
            <v>Bueno</v>
          </cell>
          <cell r="U2488" t="str">
            <v>N/T</v>
          </cell>
        </row>
        <row r="2489">
          <cell r="J2489" t="str">
            <v>FN-05-02-01-2481</v>
          </cell>
          <cell r="K2489" t="str">
            <v>SC-00337</v>
          </cell>
          <cell r="L2489" t="str">
            <v>FN-05-02-01-2481</v>
          </cell>
          <cell r="M2489" t="str">
            <v>Jeringas Carpule</v>
          </cell>
          <cell r="O2489" t="str">
            <v>EQUIPOS CLINICOS FUNGIBLE / NOMINABLE</v>
          </cell>
          <cell r="P2489">
            <v>4000</v>
          </cell>
          <cell r="T2489" t="str">
            <v>Bueno</v>
          </cell>
          <cell r="U2489" t="str">
            <v>N/T</v>
          </cell>
        </row>
        <row r="2490">
          <cell r="J2490" t="str">
            <v>FN-05-02-01-2482</v>
          </cell>
          <cell r="K2490" t="str">
            <v>SC-00338</v>
          </cell>
          <cell r="L2490" t="str">
            <v>FN-05-02-01-2482</v>
          </cell>
          <cell r="M2490" t="str">
            <v>Legras</v>
          </cell>
          <cell r="O2490" t="str">
            <v>EQUIPOS CLINICOS FUNGIBLE / NOMINABLE</v>
          </cell>
          <cell r="P2490">
            <v>7000</v>
          </cell>
          <cell r="T2490" t="str">
            <v>Bueno</v>
          </cell>
          <cell r="U2490" t="str">
            <v>N/T</v>
          </cell>
        </row>
        <row r="2491">
          <cell r="J2491" t="str">
            <v>FN-05-02-01-2483</v>
          </cell>
          <cell r="K2491" t="str">
            <v>SC-00339</v>
          </cell>
          <cell r="L2491" t="str">
            <v>FN-05-02-01-2483</v>
          </cell>
          <cell r="M2491" t="str">
            <v>Limas para huesos</v>
          </cell>
          <cell r="O2491" t="str">
            <v>EQUIPOS CLINICOS FUNGIBLE / NOMINABLE</v>
          </cell>
          <cell r="P2491">
            <v>2500</v>
          </cell>
          <cell r="T2491" t="str">
            <v>Bueno</v>
          </cell>
          <cell r="U2491" t="str">
            <v>N/T</v>
          </cell>
        </row>
        <row r="2492">
          <cell r="J2492" t="str">
            <v>42-05-01-01-2484</v>
          </cell>
          <cell r="K2492" t="str">
            <v>SC-00340</v>
          </cell>
          <cell r="L2492" t="str">
            <v>42-05-01-01-2484</v>
          </cell>
          <cell r="M2492" t="str">
            <v>Perforador de goma dique</v>
          </cell>
          <cell r="O2492" t="str">
            <v>EQUIPO DE OFICINA</v>
          </cell>
          <cell r="P2492">
            <v>10000</v>
          </cell>
          <cell r="T2492" t="str">
            <v>Bueno</v>
          </cell>
          <cell r="U2492" t="str">
            <v>N/T</v>
          </cell>
        </row>
        <row r="2493">
          <cell r="J2493" t="str">
            <v>FN-04-07-00-2485</v>
          </cell>
          <cell r="K2493" t="str">
            <v>SC-00341</v>
          </cell>
          <cell r="L2493" t="str">
            <v>FN-04-07-00-2485</v>
          </cell>
          <cell r="M2493" t="str">
            <v>Mangos para espejos</v>
          </cell>
          <cell r="O2493" t="str">
            <v>OTROS FUNGIBLE / NOMINABLE</v>
          </cell>
          <cell r="P2493">
            <v>4500</v>
          </cell>
          <cell r="T2493" t="str">
            <v>Bueno</v>
          </cell>
          <cell r="U2493" t="str">
            <v>N/T</v>
          </cell>
        </row>
        <row r="2494">
          <cell r="J2494" t="str">
            <v>FN-05-02-01-2486</v>
          </cell>
          <cell r="K2494" t="str">
            <v>SC-00342</v>
          </cell>
          <cell r="L2494" t="str">
            <v>FN-05-02-01-2486</v>
          </cell>
          <cell r="M2494" t="str">
            <v>Mangos morses grandes</v>
          </cell>
          <cell r="O2494" t="str">
            <v>EQUIPOS CLINICOS FUNGIBLE / NOMINABLE</v>
          </cell>
          <cell r="P2494">
            <v>2000</v>
          </cell>
          <cell r="T2494" t="str">
            <v>Bueno</v>
          </cell>
          <cell r="U2494" t="str">
            <v>N/T</v>
          </cell>
        </row>
        <row r="2495">
          <cell r="J2495" t="str">
            <v>FN-05-02-01-2487</v>
          </cell>
          <cell r="K2495" t="str">
            <v>SC-00343</v>
          </cell>
          <cell r="L2495" t="str">
            <v>FN-05-02-01-2487</v>
          </cell>
          <cell r="M2495" t="str">
            <v>Mangos para bisturí</v>
          </cell>
          <cell r="O2495" t="str">
            <v>EQUIPOS CLINICOS FUNGIBLE / NOMINABLE</v>
          </cell>
          <cell r="P2495">
            <v>2500</v>
          </cell>
          <cell r="T2495" t="str">
            <v>Bueno</v>
          </cell>
          <cell r="U2495" t="str">
            <v>N/T</v>
          </cell>
        </row>
        <row r="2496">
          <cell r="J2496" t="str">
            <v>FN-05-02-01-2488</v>
          </cell>
          <cell r="K2496" t="str">
            <v>SC-00344</v>
          </cell>
          <cell r="L2496" t="str">
            <v>FN-05-02-01-2488</v>
          </cell>
          <cell r="M2496" t="str">
            <v>Mechero metálico para alcohol</v>
          </cell>
          <cell r="O2496" t="str">
            <v>EQUIPOS CLINICOS FUNGIBLE / NOMINABLE</v>
          </cell>
          <cell r="P2496">
            <v>2500</v>
          </cell>
          <cell r="T2496" t="str">
            <v>Bueno</v>
          </cell>
          <cell r="U2496" t="str">
            <v>N/T</v>
          </cell>
        </row>
        <row r="2497">
          <cell r="J2497" t="str">
            <v>FN-05-02-01-2489</v>
          </cell>
          <cell r="K2497" t="str">
            <v>SC-00345</v>
          </cell>
          <cell r="L2497" t="str">
            <v>FN-05-02-01-2489</v>
          </cell>
          <cell r="M2497" t="str">
            <v>Pinzas para instrumental</v>
          </cell>
          <cell r="O2497" t="str">
            <v>EQUIPOS CLINICOS FUNGIBLE / NOMINABLE</v>
          </cell>
          <cell r="P2497">
            <v>2270</v>
          </cell>
          <cell r="T2497" t="str">
            <v>Bueno</v>
          </cell>
          <cell r="U2497" t="str">
            <v>N/T</v>
          </cell>
        </row>
        <row r="2498">
          <cell r="J2498" t="str">
            <v>42-05-02-01-2490</v>
          </cell>
          <cell r="K2498" t="str">
            <v>SC-00346</v>
          </cell>
          <cell r="L2498" t="str">
            <v>42-05-02-01-2490</v>
          </cell>
          <cell r="M2498" t="str">
            <v>Pinza hemostática</v>
          </cell>
          <cell r="O2498" t="str">
            <v>EQUIPOS CLINICOS</v>
          </cell>
          <cell r="P2498">
            <v>2270</v>
          </cell>
          <cell r="T2498" t="str">
            <v>Bueno</v>
          </cell>
          <cell r="U2498" t="str">
            <v>N/T</v>
          </cell>
        </row>
        <row r="2499">
          <cell r="J2499" t="str">
            <v>42-05-02-01-2491</v>
          </cell>
          <cell r="K2499" t="str">
            <v>SC-00347</v>
          </cell>
          <cell r="L2499" t="str">
            <v>42-05-02-01-2491</v>
          </cell>
          <cell r="M2499" t="str">
            <v>Pinza Kelly de 14 cms.</v>
          </cell>
          <cell r="O2499" t="str">
            <v>EQUIPOS CLINICOS</v>
          </cell>
          <cell r="P2499">
            <v>3500</v>
          </cell>
          <cell r="T2499" t="str">
            <v>Bueno</v>
          </cell>
          <cell r="U2499" t="str">
            <v>N/T</v>
          </cell>
        </row>
        <row r="2500">
          <cell r="J2500" t="str">
            <v>FN-05-02-01-2492</v>
          </cell>
          <cell r="K2500" t="str">
            <v>SC-00348</v>
          </cell>
          <cell r="L2500" t="str">
            <v>FN-05-02-01-2492</v>
          </cell>
          <cell r="M2500" t="str">
            <v>Pinzas Universal de curaciones</v>
          </cell>
          <cell r="O2500" t="str">
            <v>EQUIPOS CLINICOS FUNGIBLE / NOMINABLE</v>
          </cell>
          <cell r="P2500">
            <v>1870</v>
          </cell>
          <cell r="T2500" t="str">
            <v>Bueno</v>
          </cell>
          <cell r="U2500" t="str">
            <v>N/T</v>
          </cell>
        </row>
        <row r="2501">
          <cell r="J2501" t="str">
            <v>FN-04-07-00-2493</v>
          </cell>
          <cell r="K2501" t="str">
            <v>SC-00349</v>
          </cell>
          <cell r="L2501" t="str">
            <v>FN-04-07-00-2493</v>
          </cell>
          <cell r="M2501" t="str">
            <v>Porta agujas metálicos</v>
          </cell>
          <cell r="O2501" t="str">
            <v>OTROS FUNGIBLE / NOMINABLE</v>
          </cell>
          <cell r="P2501">
            <v>3500</v>
          </cell>
          <cell r="T2501" t="str">
            <v>Bueno</v>
          </cell>
          <cell r="U2501" t="str">
            <v>N/T</v>
          </cell>
        </row>
        <row r="2502">
          <cell r="J2502" t="str">
            <v>42-04-07-00-2494</v>
          </cell>
          <cell r="K2502" t="str">
            <v>SC-00350</v>
          </cell>
          <cell r="L2502" t="str">
            <v>42-04-07-00-2494</v>
          </cell>
          <cell r="M2502" t="str">
            <v>Porta amalgamas teflón</v>
          </cell>
          <cell r="O2502" t="str">
            <v>OTROS</v>
          </cell>
          <cell r="P2502">
            <v>7700</v>
          </cell>
          <cell r="T2502" t="str">
            <v>Bueno</v>
          </cell>
          <cell r="U2502" t="str">
            <v>N/T</v>
          </cell>
        </row>
        <row r="2503">
          <cell r="J2503" t="str">
            <v>FN-04-07-00-2495</v>
          </cell>
          <cell r="K2503" t="str">
            <v>SC-00351</v>
          </cell>
          <cell r="L2503" t="str">
            <v>FN-04-07-00-2495</v>
          </cell>
          <cell r="M2503" t="str">
            <v>Porta matriz</v>
          </cell>
          <cell r="O2503" t="str">
            <v>OTROS FUNGIBLE / NOMINABLE</v>
          </cell>
          <cell r="P2503">
            <v>7500</v>
          </cell>
          <cell r="T2503" t="str">
            <v>Bueno</v>
          </cell>
          <cell r="U2503" t="str">
            <v>N/T</v>
          </cell>
        </row>
        <row r="2504">
          <cell r="J2504" t="str">
            <v>42-05-02-01-2496</v>
          </cell>
          <cell r="K2504" t="str">
            <v>SC-00352</v>
          </cell>
          <cell r="L2504" t="str">
            <v>42-05-02-01-2496</v>
          </cell>
          <cell r="M2504" t="str">
            <v>Pera de aire</v>
          </cell>
          <cell r="O2504" t="str">
            <v>EQUIPOS CLINICOS</v>
          </cell>
          <cell r="P2504">
            <v>5800</v>
          </cell>
          <cell r="T2504" t="str">
            <v>Bueno</v>
          </cell>
          <cell r="U2504" t="str">
            <v>N/T</v>
          </cell>
        </row>
        <row r="2505">
          <cell r="J2505" t="str">
            <v>42-05-02-01-2497</v>
          </cell>
          <cell r="K2505" t="str">
            <v>SC-00353</v>
          </cell>
          <cell r="L2505" t="str">
            <v>42-05-02-01-2497</v>
          </cell>
          <cell r="M2505" t="str">
            <v>Pocillo de acero inox. de 13 ½ cms.</v>
          </cell>
          <cell r="O2505" t="str">
            <v>EQUIPOS CLINICOS</v>
          </cell>
          <cell r="P2505">
            <v>5000</v>
          </cell>
          <cell r="T2505" t="str">
            <v>Bueno</v>
          </cell>
          <cell r="U2505" t="str">
            <v>N/T</v>
          </cell>
        </row>
        <row r="2506">
          <cell r="J2506" t="str">
            <v>FN-04-07-00-2498</v>
          </cell>
          <cell r="K2506" t="str">
            <v>SC-00354</v>
          </cell>
          <cell r="L2506" t="str">
            <v>FN-04-07-00-2498</v>
          </cell>
          <cell r="M2506" t="str">
            <v>Porta Clamps</v>
          </cell>
          <cell r="O2506" t="str">
            <v>OTROS FUNGIBLE / NOMINABLE</v>
          </cell>
          <cell r="P2506">
            <v>8000</v>
          </cell>
          <cell r="T2506" t="str">
            <v>Bueno</v>
          </cell>
          <cell r="U2506" t="str">
            <v>N/T</v>
          </cell>
        </row>
        <row r="2507">
          <cell r="J2507" t="str">
            <v>42-05-02-01-2499</v>
          </cell>
          <cell r="K2507" t="str">
            <v>SC-00355</v>
          </cell>
          <cell r="L2507" t="str">
            <v>42-05-02-01-2499</v>
          </cell>
          <cell r="M2507" t="str">
            <v>Proporcionadores de amalgama y mercurio</v>
          </cell>
          <cell r="O2507" t="str">
            <v>EQUIPOS CLINICOS</v>
          </cell>
          <cell r="P2507">
            <v>10000</v>
          </cell>
          <cell r="T2507" t="str">
            <v>Bueno</v>
          </cell>
          <cell r="U2507" t="str">
            <v>N/T</v>
          </cell>
        </row>
        <row r="2508">
          <cell r="J2508" t="str">
            <v>FN-05-02-01-2500</v>
          </cell>
          <cell r="K2508" t="str">
            <v>SC-00356</v>
          </cell>
          <cell r="L2508" t="str">
            <v>FN-05-02-01-2500</v>
          </cell>
          <cell r="M2508" t="str">
            <v>Pinzas quirúrgicas de 13 cms.</v>
          </cell>
          <cell r="O2508" t="str">
            <v>EQUIPOS CLINICOS FUNGIBLE / NOMINABLE</v>
          </cell>
          <cell r="P2508">
            <v>2500</v>
          </cell>
          <cell r="T2508" t="str">
            <v>Bueno</v>
          </cell>
          <cell r="U2508" t="str">
            <v>N/T</v>
          </cell>
        </row>
        <row r="2509">
          <cell r="J2509" t="str">
            <v>42-05-02-01-2501</v>
          </cell>
          <cell r="K2509" t="str">
            <v>SC-00357</v>
          </cell>
          <cell r="L2509" t="str">
            <v>42-05-02-01-2501</v>
          </cell>
          <cell r="M2509" t="str">
            <v>Pinza quirúrgica de 16 cms.</v>
          </cell>
          <cell r="O2509" t="str">
            <v>EQUIPOS CLINICOS</v>
          </cell>
          <cell r="P2509">
            <v>2500</v>
          </cell>
          <cell r="T2509" t="str">
            <v>Bueno</v>
          </cell>
          <cell r="U2509" t="str">
            <v>N/T</v>
          </cell>
        </row>
        <row r="2510">
          <cell r="J2510" t="str">
            <v>42-05-02-01-2502</v>
          </cell>
          <cell r="K2510" t="str">
            <v>SC-00358</v>
          </cell>
          <cell r="L2510" t="str">
            <v>42-05-02-01-2502</v>
          </cell>
          <cell r="M2510" t="str">
            <v>Pinza para raíces</v>
          </cell>
          <cell r="O2510" t="str">
            <v>EQUIPOS CLINICOS</v>
          </cell>
          <cell r="P2510">
            <v>2500</v>
          </cell>
          <cell r="T2510" t="str">
            <v>Bueno</v>
          </cell>
          <cell r="U2510" t="str">
            <v>N/T</v>
          </cell>
        </row>
        <row r="2511">
          <cell r="J2511" t="str">
            <v>FN-05-02-01-2503</v>
          </cell>
          <cell r="K2511" t="str">
            <v>SC-00359</v>
          </cell>
          <cell r="L2511" t="str">
            <v>FN-05-02-01-2503</v>
          </cell>
          <cell r="M2511" t="str">
            <v xml:space="preserve">Sondas de caries rectas </v>
          </cell>
          <cell r="O2511" t="str">
            <v>EQUIPOS CLINICOS FUNGIBLE / NOMINABLE</v>
          </cell>
          <cell r="P2511">
            <v>7000</v>
          </cell>
          <cell r="T2511" t="str">
            <v>Bueno</v>
          </cell>
          <cell r="U2511" t="str">
            <v>N/T</v>
          </cell>
        </row>
        <row r="2512">
          <cell r="J2512" t="str">
            <v>FN-05-02-01-2504</v>
          </cell>
          <cell r="K2512" t="str">
            <v>SC-00360</v>
          </cell>
          <cell r="L2512" t="str">
            <v>FN-05-02-01-2504</v>
          </cell>
          <cell r="M2512" t="str">
            <v>Sondas de caries curvas</v>
          </cell>
          <cell r="O2512" t="str">
            <v>EQUIPOS CLINICOS FUNGIBLE / NOMINABLE</v>
          </cell>
          <cell r="P2512">
            <v>7500</v>
          </cell>
          <cell r="T2512" t="str">
            <v>Bueno</v>
          </cell>
          <cell r="U2512" t="str">
            <v>N/T</v>
          </cell>
        </row>
        <row r="2513">
          <cell r="J2513" t="str">
            <v>FN-05-02-01-2505</v>
          </cell>
          <cell r="K2513" t="str">
            <v>SC-00361</v>
          </cell>
          <cell r="L2513" t="str">
            <v>FN-05-02-01-2505</v>
          </cell>
          <cell r="M2513" t="str">
            <v>Sondas talladoras ( 1 doble y 1 simple ) - Condensadores Bolita Espatula</v>
          </cell>
          <cell r="O2513" t="str">
            <v>EQUIPOS CLINICOS FUNGIBLE / NOMINABLE</v>
          </cell>
          <cell r="P2513">
            <v>7000</v>
          </cell>
          <cell r="T2513" t="str">
            <v>Bueno</v>
          </cell>
          <cell r="U2513" t="str">
            <v>N/T</v>
          </cell>
        </row>
        <row r="2514">
          <cell r="J2514" t="str">
            <v>42-05-02-01-2506</v>
          </cell>
          <cell r="K2514" t="str">
            <v>SC-00362</v>
          </cell>
          <cell r="L2514" t="str">
            <v>42-05-02-01-2506</v>
          </cell>
          <cell r="M2514" t="str">
            <v>Separadores carrillo</v>
          </cell>
          <cell r="O2514" t="str">
            <v>EQUIPOS CLINICOS</v>
          </cell>
          <cell r="P2514">
            <v>3800</v>
          </cell>
          <cell r="T2514" t="str">
            <v>Bueno</v>
          </cell>
          <cell r="U2514" t="str">
            <v>N/T</v>
          </cell>
        </row>
        <row r="2515">
          <cell r="J2515" t="str">
            <v>FN-05-02-02-2507</v>
          </cell>
          <cell r="K2515" t="str">
            <v>SC-00363</v>
          </cell>
          <cell r="L2515" t="str">
            <v>FN-05-02-02-2507</v>
          </cell>
          <cell r="M2515" t="str">
            <v>Tazas de goma</v>
          </cell>
          <cell r="O2515" t="str">
            <v>EQUIPOS DE COCINA FUNGIBLE / NOMINABLE</v>
          </cell>
          <cell r="P2515">
            <v>2900</v>
          </cell>
          <cell r="T2515" t="str">
            <v>Bueno</v>
          </cell>
          <cell r="U2515" t="str">
            <v>N/T</v>
          </cell>
        </row>
        <row r="2516">
          <cell r="J2516" t="str">
            <v>FN-05-02-01-2508</v>
          </cell>
          <cell r="K2516" t="str">
            <v>SC-00364</v>
          </cell>
          <cell r="L2516" t="str">
            <v>FN-05-02-01-2508</v>
          </cell>
          <cell r="M2516" t="str">
            <v>Tijeras rectas para encías</v>
          </cell>
          <cell r="O2516" t="str">
            <v>EQUIPOS CLINICOS FUNGIBLE / NOMINABLE</v>
          </cell>
          <cell r="P2516">
            <v>1870</v>
          </cell>
          <cell r="T2516" t="str">
            <v>Bueno</v>
          </cell>
          <cell r="U2516" t="str">
            <v>N/T</v>
          </cell>
        </row>
        <row r="2517">
          <cell r="J2517" t="str">
            <v>FN-05-02-01-2509</v>
          </cell>
          <cell r="K2517" t="str">
            <v>SC-00365</v>
          </cell>
          <cell r="L2517" t="str">
            <v>FN-05-02-01-2509</v>
          </cell>
          <cell r="M2517" t="str">
            <v>Tijeras curvas para encías</v>
          </cell>
          <cell r="O2517" t="str">
            <v>EQUIPOS CLINICOS FUNGIBLE / NOMINABLE</v>
          </cell>
          <cell r="P2517">
            <v>1870</v>
          </cell>
          <cell r="T2517" t="str">
            <v>Bueno</v>
          </cell>
          <cell r="U2517" t="str">
            <v>N/T</v>
          </cell>
        </row>
        <row r="2518">
          <cell r="J2518" t="str">
            <v>FN-04-07-00-2510</v>
          </cell>
          <cell r="K2518" t="str">
            <v>SC-00366</v>
          </cell>
          <cell r="L2518" t="str">
            <v>FN-04-07-00-2510</v>
          </cell>
          <cell r="M2518" t="str">
            <v>Cajas metálicas de 17x8x4 cms.</v>
          </cell>
          <cell r="O2518" t="str">
            <v>OTROS FUNGIBLE / NOMINABLE</v>
          </cell>
          <cell r="P2518">
            <v>12000</v>
          </cell>
          <cell r="T2518" t="str">
            <v>Bueno</v>
          </cell>
          <cell r="U2518" t="str">
            <v>N/T</v>
          </cell>
        </row>
        <row r="2519">
          <cell r="J2519" t="str">
            <v>FN-04-07-00-2511</v>
          </cell>
          <cell r="K2519" t="str">
            <v>SC-00367</v>
          </cell>
          <cell r="L2519" t="str">
            <v>FN-04-07-00-2511</v>
          </cell>
          <cell r="M2519" t="str">
            <v>Cajas metálicas de 20½ x 10½</v>
          </cell>
          <cell r="O2519" t="str">
            <v>OTROS FUNGIBLE / NOMINABLE</v>
          </cell>
          <cell r="P2519">
            <v>12000</v>
          </cell>
          <cell r="T2519" t="str">
            <v>Bueno</v>
          </cell>
          <cell r="U2519" t="str">
            <v>N/T</v>
          </cell>
        </row>
        <row r="2520">
          <cell r="J2520" t="str">
            <v>FN-04-07-00-2512</v>
          </cell>
          <cell r="K2520" t="str">
            <v>SC-00368</v>
          </cell>
          <cell r="L2520" t="str">
            <v>FN-04-07-00-2512</v>
          </cell>
          <cell r="M2520" t="str">
            <v>Cajas metálicas de 30x15x10 cms.</v>
          </cell>
          <cell r="O2520" t="str">
            <v>OTROS FUNGIBLE / NOMINABLE</v>
          </cell>
          <cell r="P2520">
            <v>12000</v>
          </cell>
          <cell r="T2520" t="str">
            <v>Bueno</v>
          </cell>
          <cell r="U2520" t="str">
            <v>N/T</v>
          </cell>
        </row>
        <row r="2521">
          <cell r="J2521" t="str">
            <v>42-05-02-06-2513</v>
          </cell>
          <cell r="K2521" t="str">
            <v>SC-00369</v>
          </cell>
          <cell r="L2521" t="str">
            <v>42-05-02-06-2513</v>
          </cell>
          <cell r="M2521" t="str">
            <v>Martillo</v>
          </cell>
          <cell r="O2521" t="str">
            <v>HERRAMIENTAS</v>
          </cell>
          <cell r="P2521">
            <v>7500</v>
          </cell>
          <cell r="T2521" t="str">
            <v>Bueno</v>
          </cell>
          <cell r="U2521" t="str">
            <v>N/T</v>
          </cell>
        </row>
        <row r="2522">
          <cell r="J2522" t="str">
            <v>FN-05-02-01-2514</v>
          </cell>
          <cell r="K2522" t="str">
            <v>SC-00370</v>
          </cell>
          <cell r="L2522" t="str">
            <v>FN-05-02-01-2514</v>
          </cell>
          <cell r="M2522" t="str">
            <v>Cajas instrumental de 24x14 cms. con tapa</v>
          </cell>
          <cell r="O2522" t="str">
            <v>EQUIPOS CLINICOS FUNGIBLE / NOMINABLE</v>
          </cell>
          <cell r="P2522">
            <v>10000</v>
          </cell>
          <cell r="T2522" t="str">
            <v>Bueno</v>
          </cell>
          <cell r="U2522" t="str">
            <v>N/T</v>
          </cell>
        </row>
        <row r="2523">
          <cell r="J2523" t="str">
            <v>FN-05-02-01-2515</v>
          </cell>
          <cell r="K2523" t="str">
            <v>SC-00371</v>
          </cell>
          <cell r="L2523" t="str">
            <v>FN-05-02-01-2515</v>
          </cell>
          <cell r="M2523" t="str">
            <v>Cajas metálicas para agujas de 9½ x 2½ cms.</v>
          </cell>
          <cell r="O2523" t="str">
            <v>EQUIPOS CLINICOS FUNGIBLE / NOMINABLE</v>
          </cell>
          <cell r="P2523">
            <v>12000</v>
          </cell>
          <cell r="T2523" t="str">
            <v>Bueno</v>
          </cell>
          <cell r="U2523" t="str">
            <v>N/T</v>
          </cell>
        </row>
        <row r="2524">
          <cell r="J2524" t="str">
            <v>FN-05-02-01-2516</v>
          </cell>
          <cell r="K2524" t="str">
            <v>SC-00372</v>
          </cell>
          <cell r="L2524" t="str">
            <v>FN-05-02-01-2516</v>
          </cell>
          <cell r="M2524" t="str">
            <v>Arcos de Young</v>
          </cell>
          <cell r="O2524" t="str">
            <v>EQUIPOS CLINICOS FUNGIBLE / NOMINABLE</v>
          </cell>
          <cell r="P2524">
            <v>9000</v>
          </cell>
          <cell r="T2524" t="str">
            <v>Bueno</v>
          </cell>
          <cell r="U2524" t="str">
            <v>N/T</v>
          </cell>
        </row>
        <row r="2525">
          <cell r="J2525" t="str">
            <v>FN-05-02-01-2517</v>
          </cell>
          <cell r="K2525" t="str">
            <v>SC-00373</v>
          </cell>
          <cell r="L2525" t="str">
            <v>FN-05-02-01-2517</v>
          </cell>
          <cell r="M2525" t="str">
            <v>Bandejas de acero inox. de 20½ x 11½ cms.</v>
          </cell>
          <cell r="O2525" t="str">
            <v>EQUIPOS CLINICOS FUNGIBLE / NOMINABLE</v>
          </cell>
          <cell r="P2525">
            <v>1500</v>
          </cell>
          <cell r="T2525" t="str">
            <v>Bueno</v>
          </cell>
          <cell r="U2525" t="str">
            <v>N/T</v>
          </cell>
        </row>
        <row r="2526">
          <cell r="J2526" t="str">
            <v>FN-05-02-01-2518</v>
          </cell>
          <cell r="K2526" t="str">
            <v>SC-00374</v>
          </cell>
          <cell r="L2526" t="str">
            <v>FN-05-02-01-2518</v>
          </cell>
          <cell r="M2526" t="str">
            <v>Dycalero</v>
          </cell>
          <cell r="O2526" t="str">
            <v>EQUIPOS CLINICOS FUNGIBLE / NOMINABLE</v>
          </cell>
          <cell r="P2526">
            <v>6500</v>
          </cell>
          <cell r="T2526" t="str">
            <v>Bueno</v>
          </cell>
          <cell r="U2526" t="str">
            <v>N/T</v>
          </cell>
        </row>
        <row r="2527">
          <cell r="J2527" t="str">
            <v>FN-05-02-01-2519</v>
          </cell>
          <cell r="K2527" t="str">
            <v>SC-00375</v>
          </cell>
          <cell r="L2527" t="str">
            <v>FN-05-02-01-2519</v>
          </cell>
          <cell r="M2527" t="str">
            <v>Sondas periodontal</v>
          </cell>
          <cell r="O2527" t="str">
            <v>EQUIPOS CLINICOS FUNGIBLE / NOMINABLE</v>
          </cell>
          <cell r="P2527">
            <v>7000</v>
          </cell>
          <cell r="T2527" t="str">
            <v>Bueno</v>
          </cell>
          <cell r="U2527" t="str">
            <v>N/T</v>
          </cell>
        </row>
        <row r="2528">
          <cell r="J2528" t="str">
            <v>FN-05-02-01-2520</v>
          </cell>
          <cell r="K2528" t="str">
            <v>SC-00376</v>
          </cell>
          <cell r="L2528" t="str">
            <v>FN-05-02-01-2520</v>
          </cell>
          <cell r="M2528" t="str">
            <v>Reglas para endodoncia</v>
          </cell>
          <cell r="O2528" t="str">
            <v>EQUIPOS CLINICOS FUNGIBLE / NOMINABLE</v>
          </cell>
          <cell r="P2528">
            <v>7000</v>
          </cell>
          <cell r="T2528" t="str">
            <v>Bueno</v>
          </cell>
          <cell r="U2528" t="str">
            <v>N/T</v>
          </cell>
        </row>
        <row r="2529">
          <cell r="J2529" t="str">
            <v>42-05-02-01-2521</v>
          </cell>
          <cell r="K2529" t="str">
            <v>SC-00377</v>
          </cell>
          <cell r="L2529" t="str">
            <v>42-05-02-01-2521</v>
          </cell>
          <cell r="M2529" t="str">
            <v>Sonda periodontal  ( OMS )</v>
          </cell>
          <cell r="O2529" t="str">
            <v>EQUIPOS CLINICOS</v>
          </cell>
          <cell r="P2529">
            <v>7000</v>
          </cell>
          <cell r="T2529" t="str">
            <v>Bueno</v>
          </cell>
          <cell r="U2529" t="str">
            <v>N/T</v>
          </cell>
        </row>
        <row r="2530">
          <cell r="J2530" t="str">
            <v>42-04-07-00-2522</v>
          </cell>
          <cell r="K2530" t="str">
            <v>SC-00378</v>
          </cell>
          <cell r="L2530" t="str">
            <v>42-04-07-00-2522</v>
          </cell>
          <cell r="M2530" t="str">
            <v>Porta jabón Johnson</v>
          </cell>
          <cell r="O2530" t="str">
            <v>OTROS</v>
          </cell>
          <cell r="P2530">
            <v>17000</v>
          </cell>
          <cell r="T2530" t="str">
            <v>Bueno</v>
          </cell>
          <cell r="U2530" t="str">
            <v>Johnson</v>
          </cell>
        </row>
        <row r="2531">
          <cell r="J2531" t="str">
            <v>FN-04-07-00-2523</v>
          </cell>
          <cell r="K2531" t="str">
            <v>SC-00379</v>
          </cell>
          <cell r="L2531" t="str">
            <v>FN-04-07-00-2523</v>
          </cell>
          <cell r="M2531" t="str">
            <v>Porta cortinas metálicas</v>
          </cell>
          <cell r="O2531" t="str">
            <v>OTROS FUNGIBLE / NOMINABLE</v>
          </cell>
          <cell r="P2531">
            <v>1500</v>
          </cell>
          <cell r="T2531" t="str">
            <v>Bueno</v>
          </cell>
          <cell r="U2531" t="str">
            <v>N/T</v>
          </cell>
        </row>
        <row r="2532">
          <cell r="J2532" t="str">
            <v>FN-04-07-00-2524</v>
          </cell>
          <cell r="K2532" t="str">
            <v>SC-00380</v>
          </cell>
          <cell r="L2532" t="str">
            <v>FN-04-07-00-2524</v>
          </cell>
          <cell r="M2532" t="str">
            <v>Cortinas de trevira beige</v>
          </cell>
          <cell r="O2532" t="str">
            <v>OTROS FUNGIBLE / NOMINABLE</v>
          </cell>
          <cell r="P2532">
            <v>12000</v>
          </cell>
          <cell r="T2532" t="str">
            <v>Bueno</v>
          </cell>
          <cell r="U2532" t="str">
            <v>N/T</v>
          </cell>
        </row>
        <row r="2533">
          <cell r="J2533" t="str">
            <v>FN-04-07-00-2525</v>
          </cell>
          <cell r="K2533" t="str">
            <v>SC-00381</v>
          </cell>
          <cell r="L2533" t="str">
            <v>FN-04-07-00-2525</v>
          </cell>
          <cell r="M2533" t="str">
            <v>Portas cortinas metálicos</v>
          </cell>
          <cell r="O2533" t="str">
            <v>OTROS FUNGIBLE / NOMINABLE</v>
          </cell>
          <cell r="P2533">
            <v>1500</v>
          </cell>
          <cell r="T2533" t="str">
            <v>Bueno</v>
          </cell>
          <cell r="U2533" t="str">
            <v>N/T</v>
          </cell>
        </row>
        <row r="2534">
          <cell r="J2534" t="str">
            <v>FN-04-07-00-2526</v>
          </cell>
          <cell r="K2534" t="str">
            <v>SC-00382</v>
          </cell>
          <cell r="L2534" t="str">
            <v>FN-04-07-00-2526</v>
          </cell>
          <cell r="M2534" t="str">
            <v>Cortinas de policron crema</v>
          </cell>
          <cell r="O2534" t="str">
            <v>OTROS FUNGIBLE / NOMINABLE</v>
          </cell>
          <cell r="P2534">
            <v>12000</v>
          </cell>
          <cell r="T2534" t="str">
            <v>Bueno</v>
          </cell>
          <cell r="U2534" t="str">
            <v>N/T</v>
          </cell>
        </row>
        <row r="2535">
          <cell r="J2535" t="str">
            <v>42-04-07-00-2527</v>
          </cell>
          <cell r="K2535" t="str">
            <v>SC-00383</v>
          </cell>
          <cell r="L2535" t="str">
            <v>42-04-07-00-2527</v>
          </cell>
          <cell r="M2535" t="str">
            <v>Porta cortinas metálico</v>
          </cell>
          <cell r="O2535" t="str">
            <v>OTROS</v>
          </cell>
          <cell r="P2535">
            <v>1500</v>
          </cell>
          <cell r="T2535" t="str">
            <v>Bueno</v>
          </cell>
          <cell r="U2535" t="str">
            <v>N/T</v>
          </cell>
        </row>
        <row r="2536">
          <cell r="J2536" t="str">
            <v>FN-04-07-00-2528</v>
          </cell>
          <cell r="K2536" t="str">
            <v>SC-00384</v>
          </cell>
          <cell r="L2536" t="str">
            <v>FN-04-07-00-2528</v>
          </cell>
          <cell r="M2536" t="str">
            <v>Cortinas de policron blanco</v>
          </cell>
          <cell r="O2536" t="str">
            <v>OTROS FUNGIBLE / NOMINABLE</v>
          </cell>
          <cell r="P2536">
            <v>12000</v>
          </cell>
          <cell r="T2536" t="str">
            <v>Bueno</v>
          </cell>
          <cell r="U2536" t="str">
            <v>N/T</v>
          </cell>
        </row>
        <row r="2537">
          <cell r="J2537" t="str">
            <v>42-04-07-00-2529</v>
          </cell>
          <cell r="K2537" t="str">
            <v>SC-00385</v>
          </cell>
          <cell r="L2537" t="str">
            <v>42-04-07-00-2529</v>
          </cell>
          <cell r="M2537" t="str">
            <v>Porta cortinas</v>
          </cell>
          <cell r="O2537" t="str">
            <v>OTROS</v>
          </cell>
          <cell r="P2537">
            <v>1500</v>
          </cell>
          <cell r="T2537" t="str">
            <v>Bueno</v>
          </cell>
          <cell r="U2537" t="str">
            <v>N/T</v>
          </cell>
        </row>
        <row r="2538">
          <cell r="J2538" t="str">
            <v>FN-04-07-00-2530</v>
          </cell>
          <cell r="K2538" t="str">
            <v>SC-00386</v>
          </cell>
          <cell r="L2538" t="str">
            <v>FN-04-07-00-2530</v>
          </cell>
          <cell r="M2538" t="str">
            <v>Cortinas blancas</v>
          </cell>
          <cell r="O2538" t="str">
            <v>OTROS FUNGIBLE / NOMINABLE</v>
          </cell>
          <cell r="P2538">
            <v>12350</v>
          </cell>
          <cell r="T2538" t="str">
            <v>Bueno</v>
          </cell>
          <cell r="U2538" t="str">
            <v>N/T</v>
          </cell>
        </row>
        <row r="2539">
          <cell r="J2539" t="str">
            <v>42-04-07-00-2531</v>
          </cell>
          <cell r="K2539" t="str">
            <v>SC-00387</v>
          </cell>
          <cell r="L2539" t="str">
            <v>42-04-07-00-2531</v>
          </cell>
          <cell r="M2539" t="str">
            <v>Porta cortinas</v>
          </cell>
          <cell r="O2539" t="str">
            <v>OTROS</v>
          </cell>
          <cell r="P2539">
            <v>1500</v>
          </cell>
          <cell r="T2539" t="str">
            <v>Bueno</v>
          </cell>
          <cell r="U2539" t="str">
            <v>N/T</v>
          </cell>
        </row>
        <row r="2540">
          <cell r="J2540" t="str">
            <v>FN-04-07-00-2532</v>
          </cell>
          <cell r="K2540" t="str">
            <v>SC-00388</v>
          </cell>
          <cell r="L2540" t="str">
            <v>FN-04-07-00-2532</v>
          </cell>
          <cell r="M2540" t="str">
            <v>Cortinas color blancas</v>
          </cell>
          <cell r="O2540" t="str">
            <v>OTROS FUNGIBLE / NOMINABLE</v>
          </cell>
          <cell r="P2540">
            <v>12000</v>
          </cell>
          <cell r="T2540" t="str">
            <v>Bueno</v>
          </cell>
          <cell r="U2540" t="str">
            <v>N/T</v>
          </cell>
        </row>
        <row r="2541">
          <cell r="J2541" t="str">
            <v>42-04-06-00-2533</v>
          </cell>
          <cell r="K2541" t="str">
            <v>SC-00389</v>
          </cell>
          <cell r="L2541" t="str">
            <v>42-04-06-00-2533</v>
          </cell>
          <cell r="M2541" t="str">
            <v>Mueble de masisa y formalita blanco con 6 cajones, 1 lavamanos con llave de combinación</v>
          </cell>
          <cell r="O2541" t="str">
            <v>REPISA</v>
          </cell>
          <cell r="P2541">
            <v>150000</v>
          </cell>
          <cell r="T2541" t="str">
            <v>Bueno</v>
          </cell>
          <cell r="U2541" t="str">
            <v>N/T</v>
          </cell>
        </row>
        <row r="2542">
          <cell r="J2542" t="str">
            <v>42-04-06-00-2534</v>
          </cell>
          <cell r="K2542" t="str">
            <v>SC-00390</v>
          </cell>
          <cell r="L2542" t="str">
            <v>42-04-06-00-2534</v>
          </cell>
          <cell r="M2542" t="str">
            <v xml:space="preserve">Mueble de masisa y formalita blanco con 6 puertas, </v>
          </cell>
          <cell r="O2542" t="str">
            <v>REPISA</v>
          </cell>
          <cell r="P2542">
            <v>79541</v>
          </cell>
          <cell r="T2542" t="str">
            <v>Bueno</v>
          </cell>
          <cell r="U2542" t="str">
            <v>N/T</v>
          </cell>
        </row>
        <row r="2543">
          <cell r="J2543" t="str">
            <v>42-04-06-00-2535</v>
          </cell>
          <cell r="K2543" t="str">
            <v>SC-00391</v>
          </cell>
          <cell r="L2543" t="str">
            <v>42-04-06-00-2535</v>
          </cell>
          <cell r="M2543" t="str">
            <v xml:space="preserve">Mueble de masisa y formalita blanco con 6 puertas, </v>
          </cell>
          <cell r="O2543" t="str">
            <v>REPISA</v>
          </cell>
          <cell r="P2543">
            <v>79541</v>
          </cell>
          <cell r="T2543" t="str">
            <v>Bueno</v>
          </cell>
          <cell r="U2543" t="str">
            <v>N/T</v>
          </cell>
        </row>
        <row r="2544">
          <cell r="J2544" t="str">
            <v>42-04-07-00-2536</v>
          </cell>
          <cell r="K2544" t="str">
            <v>SC-00392</v>
          </cell>
          <cell r="L2544" t="str">
            <v>42-04-07-00-2536</v>
          </cell>
          <cell r="M2544" t="str">
            <v>Porta toalla Nova marca Pisa</v>
          </cell>
          <cell r="O2544" t="str">
            <v>OTROS</v>
          </cell>
          <cell r="P2544">
            <v>17000</v>
          </cell>
          <cell r="T2544" t="str">
            <v>Bueno</v>
          </cell>
          <cell r="U2544" t="str">
            <v>B</v>
          </cell>
        </row>
        <row r="2545">
          <cell r="J2545" t="str">
            <v>42-04-07-00-2537</v>
          </cell>
          <cell r="K2545" t="str">
            <v>SC-00393</v>
          </cell>
          <cell r="L2545" t="str">
            <v>42-04-07-00-2537</v>
          </cell>
          <cell r="M2545" t="str">
            <v>Espejo marco blanco 80x60 cms.</v>
          </cell>
          <cell r="O2545" t="str">
            <v>OTROS</v>
          </cell>
          <cell r="P2545">
            <v>4000</v>
          </cell>
          <cell r="T2545" t="str">
            <v>Bueno</v>
          </cell>
          <cell r="U2545" t="str">
            <v>B</v>
          </cell>
        </row>
        <row r="2546">
          <cell r="J2546" t="str">
            <v>FN-05-02-02-2538</v>
          </cell>
          <cell r="K2546" t="str">
            <v>SC-00394</v>
          </cell>
          <cell r="L2546" t="str">
            <v>FN-05-02-02-2538</v>
          </cell>
          <cell r="M2546" t="str">
            <v>Bandejas  plásticas</v>
          </cell>
          <cell r="O2546" t="str">
            <v>EQUIPOS DE COCINA FUNGIBLE / NOMINABLE</v>
          </cell>
          <cell r="P2546">
            <v>4000</v>
          </cell>
          <cell r="T2546" t="str">
            <v>Bueno</v>
          </cell>
          <cell r="U2546" t="str">
            <v>B</v>
          </cell>
        </row>
        <row r="2547">
          <cell r="J2547" t="str">
            <v>FN-05-02-01-2539</v>
          </cell>
          <cell r="K2547" t="str">
            <v>SC-00395</v>
          </cell>
          <cell r="L2547" t="str">
            <v>FN-05-02-01-2539</v>
          </cell>
          <cell r="M2547" t="str">
            <v>Riñones enlozados grandes</v>
          </cell>
          <cell r="O2547" t="str">
            <v>EQUIPOS CLINICOS FUNGIBLE / NOMINABLE</v>
          </cell>
          <cell r="P2547">
            <v>10000</v>
          </cell>
          <cell r="T2547" t="str">
            <v>Bueno</v>
          </cell>
          <cell r="U2547" t="str">
            <v>B</v>
          </cell>
        </row>
        <row r="2548">
          <cell r="J2548" t="str">
            <v>FN-05-02-01-2540</v>
          </cell>
          <cell r="K2548" t="str">
            <v>SC-00396</v>
          </cell>
          <cell r="L2548" t="str">
            <v>FN-05-02-01-2540</v>
          </cell>
          <cell r="M2548" t="str">
            <v>Riñones enlozados chicos</v>
          </cell>
          <cell r="O2548" t="str">
            <v>EQUIPOS CLINICOS FUNGIBLE / NOMINABLE</v>
          </cell>
          <cell r="P2548">
            <v>10000</v>
          </cell>
          <cell r="T2548" t="str">
            <v>Bueno</v>
          </cell>
          <cell r="U2548" t="str">
            <v>B</v>
          </cell>
        </row>
        <row r="2549">
          <cell r="J2549" t="str">
            <v>FN-05-02-01-2541</v>
          </cell>
          <cell r="K2549" t="str">
            <v>SC-00397</v>
          </cell>
          <cell r="L2549" t="str">
            <v>FN-05-02-01-2541</v>
          </cell>
          <cell r="M2549" t="str">
            <v>Tambores chicos</v>
          </cell>
          <cell r="O2549" t="str">
            <v>EQUIPOS CLINICOS FUNGIBLE / NOMINABLE</v>
          </cell>
          <cell r="P2549">
            <v>6540</v>
          </cell>
          <cell r="T2549" t="str">
            <v>Bueno</v>
          </cell>
          <cell r="U2549" t="str">
            <v>B</v>
          </cell>
        </row>
        <row r="2550">
          <cell r="J2550" t="str">
            <v>42-05-02-01-2542</v>
          </cell>
          <cell r="K2550" t="str">
            <v>SC-00398</v>
          </cell>
          <cell r="L2550" t="str">
            <v>42-05-02-01-2542</v>
          </cell>
          <cell r="M2550" t="str">
            <v>Tambor grande</v>
          </cell>
          <cell r="O2550" t="str">
            <v>EQUIPOS CLINICOS</v>
          </cell>
          <cell r="P2550">
            <v>9850</v>
          </cell>
          <cell r="T2550" t="str">
            <v>Bueno</v>
          </cell>
          <cell r="U2550" t="str">
            <v>B</v>
          </cell>
        </row>
        <row r="2551">
          <cell r="J2551" t="str">
            <v>FN-05-02-02-2543</v>
          </cell>
          <cell r="K2551" t="str">
            <v>SC-00399</v>
          </cell>
          <cell r="L2551" t="str">
            <v>FN-05-02-02-2543</v>
          </cell>
          <cell r="M2551" t="str">
            <v>Bandeja de acero inoxidable</v>
          </cell>
          <cell r="O2551" t="str">
            <v>EQUIPOS DE COCINA FUNGIBLE / NOMINABLE</v>
          </cell>
          <cell r="P2551">
            <v>8000</v>
          </cell>
          <cell r="T2551" t="str">
            <v>Bueno</v>
          </cell>
          <cell r="U2551" t="str">
            <v>B</v>
          </cell>
        </row>
        <row r="2552">
          <cell r="J2552" t="str">
            <v>42-05-02-01-2544</v>
          </cell>
          <cell r="K2552" t="str">
            <v>SC-00400</v>
          </cell>
          <cell r="L2552" t="str">
            <v>42-05-02-01-2544</v>
          </cell>
          <cell r="M2552" t="str">
            <v>Martillo de reflejos</v>
          </cell>
          <cell r="O2552" t="str">
            <v>EQUIPOS CLINICOS</v>
          </cell>
          <cell r="P2552">
            <v>12000</v>
          </cell>
          <cell r="T2552" t="str">
            <v>Bueno</v>
          </cell>
          <cell r="U2552" t="str">
            <v>B</v>
          </cell>
        </row>
        <row r="2553">
          <cell r="J2553" t="str">
            <v>42-05-02-01-2545</v>
          </cell>
          <cell r="K2553" t="str">
            <v>SC-00401</v>
          </cell>
          <cell r="L2553" t="str">
            <v>42-05-02-01-2545</v>
          </cell>
          <cell r="M2553" t="str">
            <v>Bandeja de aluminio de 17 cms.</v>
          </cell>
          <cell r="O2553" t="str">
            <v>EQUIPOS CLINICOS</v>
          </cell>
          <cell r="P2553">
            <v>4800</v>
          </cell>
          <cell r="T2553" t="str">
            <v>Bueno</v>
          </cell>
          <cell r="U2553" t="str">
            <v>B</v>
          </cell>
        </row>
        <row r="2554">
          <cell r="J2554" t="str">
            <v>FN-04-07-00-2546</v>
          </cell>
          <cell r="K2554" t="str">
            <v>SC-00402</v>
          </cell>
          <cell r="L2554" t="str">
            <v>FN-04-07-00-2546</v>
          </cell>
          <cell r="M2554" t="str">
            <v>Cajas con tapa acero inox. 2 de 23x14 cms. 1 de 44x1 cms.</v>
          </cell>
          <cell r="O2554" t="str">
            <v>OTROS FUNGIBLE / NOMINABLE</v>
          </cell>
          <cell r="P2554">
            <v>12000</v>
          </cell>
          <cell r="T2554" t="str">
            <v>Bueno</v>
          </cell>
          <cell r="U2554" t="str">
            <v>B</v>
          </cell>
        </row>
        <row r="2555">
          <cell r="J2555" t="str">
            <v>42-05-02-01-2547</v>
          </cell>
          <cell r="K2555" t="str">
            <v>SC-00403</v>
          </cell>
          <cell r="L2555" t="str">
            <v>42-05-02-01-2547</v>
          </cell>
          <cell r="M2555" t="str">
            <v>Tijera recta 17 cms.</v>
          </cell>
          <cell r="O2555" t="str">
            <v>EQUIPOS CLINICOS</v>
          </cell>
          <cell r="P2555">
            <v>17000</v>
          </cell>
          <cell r="T2555" t="str">
            <v>Bueno</v>
          </cell>
          <cell r="U2555" t="str">
            <v>B</v>
          </cell>
        </row>
        <row r="2556">
          <cell r="J2556" t="str">
            <v>42-05-02-01-2548</v>
          </cell>
          <cell r="K2556" t="str">
            <v>SC-00404</v>
          </cell>
          <cell r="L2556" t="str">
            <v>42-05-02-01-2548</v>
          </cell>
          <cell r="M2556" t="str">
            <v>Pinza Kelly</v>
          </cell>
          <cell r="O2556" t="str">
            <v>EQUIPOS CLINICOS</v>
          </cell>
          <cell r="P2556">
            <v>3000</v>
          </cell>
          <cell r="T2556" t="str">
            <v>Bueno</v>
          </cell>
          <cell r="U2556" t="str">
            <v>B</v>
          </cell>
        </row>
        <row r="2557">
          <cell r="J2557" t="str">
            <v>FN-04-07-00-2549</v>
          </cell>
          <cell r="K2557" t="str">
            <v>SC-00405</v>
          </cell>
          <cell r="L2557" t="str">
            <v>FN-04-07-00-2549</v>
          </cell>
          <cell r="M2557" t="str">
            <v>Dispensador jabón marca Johnson</v>
          </cell>
          <cell r="O2557" t="str">
            <v>OTROS FUNGIBLE / NOMINABLE</v>
          </cell>
          <cell r="P2557">
            <v>17000</v>
          </cell>
          <cell r="T2557" t="str">
            <v>Bueno</v>
          </cell>
          <cell r="U2557" t="str">
            <v>B</v>
          </cell>
        </row>
        <row r="2558">
          <cell r="J2558" t="str">
            <v>NN-06-01-00-2550</v>
          </cell>
          <cell r="K2558" t="str">
            <v>SC-00406</v>
          </cell>
          <cell r="L2558" t="str">
            <v>NN-06-01-00-2550</v>
          </cell>
          <cell r="M2558" t="str">
            <v>Computador Olidata A2630 Nº 00146-051-081-555</v>
          </cell>
          <cell r="O2558" t="str">
            <v>EQUIPOS COMPUTACIONALES Y PERIFÉRICOS EN ARRIENDO</v>
          </cell>
          <cell r="P2558">
            <v>340000</v>
          </cell>
          <cell r="T2558" t="str">
            <v>Bueno</v>
          </cell>
          <cell r="U2558" t="str">
            <v>Olidata</v>
          </cell>
        </row>
        <row r="2559">
          <cell r="J2559" t="str">
            <v>NN-06-01-00-2551</v>
          </cell>
          <cell r="K2559" t="str">
            <v>SC-00407</v>
          </cell>
          <cell r="L2559" t="str">
            <v>NN-06-01-00-2551</v>
          </cell>
          <cell r="M2559" t="str">
            <v>Monitor LCD Olidata 17" Mod. 7005L11 S/Nº 75L11N-7512272-001995</v>
          </cell>
          <cell r="O2559" t="str">
            <v>EQUIPOS COMPUTACIONALES Y PERIFÉRICOS EN ARRIENDO</v>
          </cell>
          <cell r="P2559">
            <v>14000</v>
          </cell>
          <cell r="T2559" t="str">
            <v>Bueno</v>
          </cell>
          <cell r="U2559" t="str">
            <v>Olidata</v>
          </cell>
        </row>
        <row r="2560">
          <cell r="J2560" t="str">
            <v>42-06-01-00-2552</v>
          </cell>
          <cell r="K2560" t="str">
            <v>SC-00408</v>
          </cell>
          <cell r="L2560" t="str">
            <v>42-06-01-00-2552</v>
          </cell>
          <cell r="M2560" t="str">
            <v>Teclado Mod. K7563 S/Nº K75630703019969</v>
          </cell>
          <cell r="O2560" t="str">
            <v>EQUIPOS COMPUTACIONALES Y PERIFÉRICOS</v>
          </cell>
          <cell r="P2560">
            <v>4000</v>
          </cell>
          <cell r="T2560" t="str">
            <v>Bueno</v>
          </cell>
          <cell r="U2560" t="str">
            <v>Olidata</v>
          </cell>
        </row>
        <row r="2561">
          <cell r="J2561" t="str">
            <v>NN-06-01-00-2553</v>
          </cell>
          <cell r="K2561" t="str">
            <v>SC-00409</v>
          </cell>
          <cell r="L2561" t="str">
            <v>NN-06-01-00-2553</v>
          </cell>
          <cell r="M2561" t="str">
            <v>Mouse Olidata Mod. KM 8920</v>
          </cell>
          <cell r="O2561" t="str">
            <v>EQUIPOS COMPUTACIONALES Y PERIFÉRICOS EN ARRIENDO</v>
          </cell>
          <cell r="P2561">
            <v>3000</v>
          </cell>
          <cell r="T2561" t="str">
            <v>Bueno</v>
          </cell>
          <cell r="U2561" t="str">
            <v>Olidata</v>
          </cell>
        </row>
        <row r="2562">
          <cell r="J2562" t="str">
            <v>42-04-07-00-2554</v>
          </cell>
          <cell r="K2562" t="str">
            <v>SC-00410</v>
          </cell>
          <cell r="L2562" t="str">
            <v>42-04-07-00-2554</v>
          </cell>
          <cell r="M2562" t="str">
            <v>Ducha teléfono</v>
          </cell>
          <cell r="O2562" t="str">
            <v>OTROS</v>
          </cell>
          <cell r="P2562">
            <v>12000</v>
          </cell>
          <cell r="T2562" t="str">
            <v>Bueno</v>
          </cell>
          <cell r="U2562" t="str">
            <v>N/T</v>
          </cell>
        </row>
        <row r="2563">
          <cell r="J2563" t="str">
            <v>FN-04-07-00-2555</v>
          </cell>
          <cell r="K2563" t="str">
            <v>SC-00411</v>
          </cell>
          <cell r="L2563" t="str">
            <v>FN-04-07-00-2555</v>
          </cell>
          <cell r="M2563" t="str">
            <v>Dispensadores de confort</v>
          </cell>
          <cell r="O2563" t="str">
            <v>OTROS FUNGIBLE / NOMINABLE</v>
          </cell>
          <cell r="P2563">
            <v>17000</v>
          </cell>
          <cell r="T2563" t="str">
            <v>Bueno</v>
          </cell>
          <cell r="U2563" t="str">
            <v>N/T</v>
          </cell>
        </row>
        <row r="2564">
          <cell r="J2564" t="str">
            <v>42-04-07-00-2556</v>
          </cell>
          <cell r="K2564" t="str">
            <v>SC-00412</v>
          </cell>
          <cell r="L2564" t="str">
            <v>42-04-07-00-2556</v>
          </cell>
          <cell r="M2564" t="str">
            <v>Dispensador de jabón</v>
          </cell>
          <cell r="O2564" t="str">
            <v>OTROS</v>
          </cell>
          <cell r="P2564">
            <v>17000</v>
          </cell>
          <cell r="T2564" t="str">
            <v>Bueno</v>
          </cell>
          <cell r="U2564" t="str">
            <v>N/T</v>
          </cell>
        </row>
        <row r="2565">
          <cell r="J2565" t="str">
            <v>42-04-07-00-2557</v>
          </cell>
          <cell r="K2565" t="str">
            <v>SC-00413</v>
          </cell>
          <cell r="L2565" t="str">
            <v>42-04-07-00-2557</v>
          </cell>
          <cell r="M2565" t="str">
            <v>Espejo</v>
          </cell>
          <cell r="O2565" t="str">
            <v>OTROS</v>
          </cell>
          <cell r="P2565">
            <v>7500</v>
          </cell>
          <cell r="T2565" t="str">
            <v>Bueno</v>
          </cell>
          <cell r="U2565" t="str">
            <v>N/T</v>
          </cell>
        </row>
        <row r="2566">
          <cell r="J2566" t="str">
            <v>42-05-01-01-2558</v>
          </cell>
          <cell r="K2566" t="str">
            <v>SC-00414</v>
          </cell>
          <cell r="L2566" t="str">
            <v>42-05-01-01-2558</v>
          </cell>
          <cell r="M2566" t="str">
            <v>Extractor de aire Mod. EBB-250</v>
          </cell>
          <cell r="O2566" t="str">
            <v>EQUIPO DE OFICINA</v>
          </cell>
          <cell r="P2566">
            <v>25000</v>
          </cell>
          <cell r="T2566" t="str">
            <v>Bueno</v>
          </cell>
          <cell r="U2566" t="str">
            <v>N/T</v>
          </cell>
        </row>
        <row r="2567">
          <cell r="J2567" t="str">
            <v>42-04-07-00-2559</v>
          </cell>
          <cell r="K2567" t="str">
            <v>SC-00415</v>
          </cell>
          <cell r="L2567" t="str">
            <v>42-04-07-00-2559</v>
          </cell>
          <cell r="M2567" t="str">
            <v>Ducha teléfono</v>
          </cell>
          <cell r="O2567" t="str">
            <v>OTROS</v>
          </cell>
          <cell r="P2567">
            <v>12000</v>
          </cell>
          <cell r="T2567" t="str">
            <v>Bueno</v>
          </cell>
          <cell r="U2567" t="str">
            <v>N/T</v>
          </cell>
        </row>
        <row r="2568">
          <cell r="J2568" t="str">
            <v>FN-05-02-01-2560</v>
          </cell>
          <cell r="K2568" t="str">
            <v>SC-00416</v>
          </cell>
          <cell r="L2568" t="str">
            <v>FN-05-02-01-2560</v>
          </cell>
          <cell r="M2568" t="str">
            <v>Chatas metálicas</v>
          </cell>
          <cell r="O2568" t="str">
            <v>EQUIPOS CLINICOS FUNGIBLE / NOMINABLE</v>
          </cell>
          <cell r="P2568">
            <v>2890</v>
          </cell>
          <cell r="T2568" t="str">
            <v>Bueno</v>
          </cell>
          <cell r="U2568" t="str">
            <v>N/T</v>
          </cell>
        </row>
        <row r="2569">
          <cell r="J2569" t="str">
            <v>FN-05-02-01-2561</v>
          </cell>
          <cell r="K2569" t="str">
            <v>SC-00417</v>
          </cell>
          <cell r="L2569" t="str">
            <v>FN-05-02-01-2561</v>
          </cell>
          <cell r="M2569" t="str">
            <v>Patos plásticos</v>
          </cell>
          <cell r="N2569">
            <v>1</v>
          </cell>
          <cell r="O2569" t="str">
            <v>EQUIPOS CLINICOS FUNGIBLE / NOMINABLE</v>
          </cell>
          <cell r="P2569">
            <v>3000</v>
          </cell>
          <cell r="T2569" t="str">
            <v>Bueno</v>
          </cell>
          <cell r="U2569" t="str">
            <v>N/T</v>
          </cell>
        </row>
        <row r="2570">
          <cell r="J2570" t="str">
            <v>FN-05-02-01-2562</v>
          </cell>
          <cell r="K2570" t="str">
            <v>SC-00418</v>
          </cell>
          <cell r="L2570" t="str">
            <v>FN-05-02-01-2562</v>
          </cell>
          <cell r="M2570" t="str">
            <v>Alza ropa</v>
          </cell>
          <cell r="O2570" t="str">
            <v>EQUIPOS CLINICOS FUNGIBLE / NOMINABLE</v>
          </cell>
          <cell r="P2570">
            <v>3000</v>
          </cell>
          <cell r="T2570" t="str">
            <v>Bueno</v>
          </cell>
          <cell r="U2570" t="str">
            <v>N/T</v>
          </cell>
        </row>
        <row r="2571">
          <cell r="J2571" t="str">
            <v>FN-04-07-00-2563</v>
          </cell>
          <cell r="K2571" t="str">
            <v>SC-00419</v>
          </cell>
          <cell r="L2571" t="str">
            <v>FN-04-07-00-2563</v>
          </cell>
          <cell r="M2571" t="str">
            <v>Dispensadores de confort marca Pisa</v>
          </cell>
          <cell r="O2571" t="str">
            <v>OTROS FUNGIBLE / NOMINABLE</v>
          </cell>
          <cell r="P2571">
            <v>17000</v>
          </cell>
          <cell r="T2571" t="str">
            <v>Bueno</v>
          </cell>
          <cell r="U2571" t="str">
            <v>N/T</v>
          </cell>
        </row>
        <row r="2572">
          <cell r="J2572" t="str">
            <v>42-05-01-01-2564</v>
          </cell>
          <cell r="K2572" t="str">
            <v>SC-00420</v>
          </cell>
          <cell r="L2572" t="str">
            <v>42-05-01-01-2564</v>
          </cell>
          <cell r="M2572" t="str">
            <v>Extractor de aire Mod. EBB-250</v>
          </cell>
          <cell r="O2572" t="str">
            <v>EQUIPO DE OFICINA</v>
          </cell>
          <cell r="P2572">
            <v>25000</v>
          </cell>
          <cell r="T2572" t="str">
            <v>Bueno</v>
          </cell>
          <cell r="U2572" t="str">
            <v>N/T</v>
          </cell>
        </row>
        <row r="2573">
          <cell r="J2573" t="str">
            <v>42-04-07-00-2565</v>
          </cell>
          <cell r="K2573" t="str">
            <v>SC-00421</v>
          </cell>
          <cell r="L2573" t="str">
            <v>42-04-07-00-2565</v>
          </cell>
          <cell r="M2573" t="str">
            <v>Espejo</v>
          </cell>
          <cell r="O2573" t="str">
            <v>OTROS</v>
          </cell>
          <cell r="P2573">
            <v>125300</v>
          </cell>
          <cell r="T2573" t="str">
            <v>Bueno</v>
          </cell>
          <cell r="U2573" t="str">
            <v>N/T</v>
          </cell>
        </row>
        <row r="2574">
          <cell r="J2574" t="str">
            <v>42-04-07-00-2566</v>
          </cell>
          <cell r="K2574" t="str">
            <v>SC-00422</v>
          </cell>
          <cell r="L2574" t="str">
            <v>42-04-07-00-2566</v>
          </cell>
          <cell r="M2574" t="str">
            <v>Porta cortinas metálico</v>
          </cell>
          <cell r="O2574" t="str">
            <v>OTROS</v>
          </cell>
          <cell r="P2574">
            <v>1500</v>
          </cell>
          <cell r="T2574" t="str">
            <v>Bueno</v>
          </cell>
          <cell r="U2574" t="str">
            <v>N/T</v>
          </cell>
        </row>
        <row r="2575">
          <cell r="J2575" t="str">
            <v>FN-04-07-00-2567</v>
          </cell>
          <cell r="K2575" t="str">
            <v>SC-00423</v>
          </cell>
          <cell r="L2575" t="str">
            <v>FN-04-07-00-2567</v>
          </cell>
          <cell r="M2575" t="str">
            <v>Cortinas color blanco</v>
          </cell>
          <cell r="O2575" t="str">
            <v>OTROS FUNGIBLE / NOMINABLE</v>
          </cell>
          <cell r="P2575">
            <v>12000</v>
          </cell>
          <cell r="T2575" t="str">
            <v>Bueno</v>
          </cell>
          <cell r="U2575" t="str">
            <v>N/T</v>
          </cell>
        </row>
        <row r="2576">
          <cell r="J2576" t="str">
            <v>42-04-07-00-2568</v>
          </cell>
          <cell r="K2576" t="str">
            <v>SC-00424</v>
          </cell>
          <cell r="L2576" t="str">
            <v>42-04-07-00-2568</v>
          </cell>
          <cell r="M2576" t="str">
            <v>Espejo 60x80 cms.</v>
          </cell>
          <cell r="O2576" t="str">
            <v>OTROS</v>
          </cell>
          <cell r="P2576">
            <v>12000</v>
          </cell>
          <cell r="T2576" t="str">
            <v>Bueno</v>
          </cell>
          <cell r="U2576" t="str">
            <v>N/T</v>
          </cell>
        </row>
        <row r="2577">
          <cell r="J2577" t="str">
            <v>42-04-07-00-2569</v>
          </cell>
          <cell r="K2577" t="str">
            <v>SC-00425</v>
          </cell>
          <cell r="L2577" t="str">
            <v>42-04-07-00-2569</v>
          </cell>
          <cell r="M2577" t="str">
            <v>Porta confort marca Pisa</v>
          </cell>
          <cell r="O2577" t="str">
            <v>OTROS</v>
          </cell>
          <cell r="P2577">
            <v>17000</v>
          </cell>
          <cell r="T2577" t="str">
            <v>Bueno</v>
          </cell>
          <cell r="U2577" t="str">
            <v>N/T</v>
          </cell>
        </row>
        <row r="2578">
          <cell r="J2578" t="str">
            <v>FN-04-07-00-2570</v>
          </cell>
          <cell r="K2578" t="str">
            <v>SC-00426</v>
          </cell>
          <cell r="L2578" t="str">
            <v>FN-04-07-00-2570</v>
          </cell>
          <cell r="M2578" t="str">
            <v>Porta cortinas</v>
          </cell>
          <cell r="O2578" t="str">
            <v>OTROS FUNGIBLE / NOMINABLE</v>
          </cell>
          <cell r="P2578">
            <v>1500</v>
          </cell>
          <cell r="T2578" t="str">
            <v>Bueno</v>
          </cell>
          <cell r="U2578" t="str">
            <v>N/T</v>
          </cell>
        </row>
        <row r="2579">
          <cell r="J2579" t="str">
            <v>FN-04-07-00-2571</v>
          </cell>
          <cell r="K2579" t="str">
            <v>SC-00427</v>
          </cell>
          <cell r="L2579" t="str">
            <v>FN-04-07-00-2571</v>
          </cell>
          <cell r="M2579" t="str">
            <v>Cortinas color mantequilla</v>
          </cell>
          <cell r="O2579" t="str">
            <v>OTROS FUNGIBLE / NOMINABLE</v>
          </cell>
          <cell r="P2579">
            <v>12000</v>
          </cell>
          <cell r="T2579" t="str">
            <v>Bueno</v>
          </cell>
          <cell r="U2579" t="str">
            <v>N/T</v>
          </cell>
        </row>
        <row r="2580">
          <cell r="J2580" t="str">
            <v>42-04-07-00-2572</v>
          </cell>
          <cell r="K2580" t="str">
            <v>SC-00428</v>
          </cell>
          <cell r="L2580" t="str">
            <v>42-04-07-00-2572</v>
          </cell>
          <cell r="M2580" t="str">
            <v>Porta cortinas</v>
          </cell>
          <cell r="O2580" t="str">
            <v>OTROS</v>
          </cell>
          <cell r="P2580">
            <v>1500</v>
          </cell>
          <cell r="T2580" t="str">
            <v>Bueno</v>
          </cell>
          <cell r="U2580" t="str">
            <v>N/T</v>
          </cell>
        </row>
        <row r="2581">
          <cell r="J2581" t="str">
            <v>42-04-07-00-2573</v>
          </cell>
          <cell r="K2581" t="str">
            <v>SC-00429</v>
          </cell>
          <cell r="L2581" t="str">
            <v>42-04-07-00-2573</v>
          </cell>
          <cell r="M2581" t="str">
            <v>Cortinas color verde</v>
          </cell>
          <cell r="O2581" t="str">
            <v>OTROS</v>
          </cell>
          <cell r="P2581">
            <v>12000</v>
          </cell>
          <cell r="T2581" t="str">
            <v>Bueno</v>
          </cell>
          <cell r="U2581" t="str">
            <v>N/T</v>
          </cell>
        </row>
        <row r="2582">
          <cell r="J2582" t="str">
            <v>42-04-07-00-2574</v>
          </cell>
          <cell r="K2582" t="str">
            <v>SC-00430</v>
          </cell>
          <cell r="L2582" t="str">
            <v>42-04-07-00-2574</v>
          </cell>
          <cell r="M2582" t="str">
            <v>Porta cortinas separador ambiente con 3 cortinas color azules</v>
          </cell>
          <cell r="O2582" t="str">
            <v>OTROS</v>
          </cell>
          <cell r="P2582">
            <v>3500</v>
          </cell>
          <cell r="T2582" t="str">
            <v>Bueno</v>
          </cell>
          <cell r="U2582" t="str">
            <v>N/T</v>
          </cell>
        </row>
        <row r="2583">
          <cell r="J2583" t="str">
            <v>42-05-02-01-2575</v>
          </cell>
          <cell r="K2583" t="str">
            <v>SC-00431</v>
          </cell>
          <cell r="L2583" t="str">
            <v>42-05-02-01-2575</v>
          </cell>
          <cell r="M2583" t="str">
            <v>CAJA CIRUGÍA MENOR Nº 1</v>
          </cell>
          <cell r="O2583" t="str">
            <v>EQUIPOS CLINICOS</v>
          </cell>
          <cell r="P2583">
            <v>9500</v>
          </cell>
        </row>
        <row r="2584">
          <cell r="J2584" t="str">
            <v>FN-05-02-01-2576</v>
          </cell>
          <cell r="K2584" t="str">
            <v>SC-00432</v>
          </cell>
          <cell r="L2584" t="str">
            <v>FN-05-02-01-2576</v>
          </cell>
          <cell r="M2584" t="str">
            <v>Pinzas Backhaus 13 cms.</v>
          </cell>
          <cell r="O2584" t="str">
            <v>EQUIPOS CLINICOS FUNGIBLE / NOMINABLE</v>
          </cell>
          <cell r="P2584">
            <v>1870</v>
          </cell>
          <cell r="T2584" t="str">
            <v>Bueno</v>
          </cell>
          <cell r="U2584" t="str">
            <v>N/T</v>
          </cell>
        </row>
        <row r="2585">
          <cell r="J2585" t="str">
            <v>42-05-02-01-2577</v>
          </cell>
          <cell r="K2585" t="str">
            <v>SC-00433</v>
          </cell>
          <cell r="L2585" t="str">
            <v>42-05-02-01-2577</v>
          </cell>
          <cell r="M2585" t="str">
            <v>Pinzas quirúrgica Adson 12 cms.</v>
          </cell>
          <cell r="O2585" t="str">
            <v>EQUIPOS CLINICOS</v>
          </cell>
          <cell r="P2585">
            <v>1470</v>
          </cell>
          <cell r="T2585" t="str">
            <v>Bueno</v>
          </cell>
          <cell r="U2585" t="str">
            <v>N/T</v>
          </cell>
        </row>
        <row r="2586">
          <cell r="J2586" t="str">
            <v>42-05-02-01-2578</v>
          </cell>
          <cell r="K2586" t="str">
            <v>SC-00434</v>
          </cell>
          <cell r="L2586" t="str">
            <v>42-05-02-01-2578</v>
          </cell>
          <cell r="M2586" t="str">
            <v>Pinza anatómica Adson 12 cms.</v>
          </cell>
          <cell r="O2586" t="str">
            <v>EQUIPOS CLINICOS</v>
          </cell>
          <cell r="P2586">
            <v>1270</v>
          </cell>
          <cell r="T2586" t="str">
            <v>Bueno</v>
          </cell>
          <cell r="U2586" t="str">
            <v>N/T</v>
          </cell>
        </row>
        <row r="2587">
          <cell r="J2587" t="str">
            <v>42-05-02-01-2579</v>
          </cell>
          <cell r="K2587" t="str">
            <v>SC-00435</v>
          </cell>
          <cell r="L2587" t="str">
            <v>42-05-02-01-2579</v>
          </cell>
          <cell r="M2587" t="str">
            <v>Pinza Kelly recta 14 cms.</v>
          </cell>
          <cell r="O2587" t="str">
            <v>EQUIPOS CLINICOS</v>
          </cell>
          <cell r="P2587">
            <v>2270</v>
          </cell>
          <cell r="T2587" t="str">
            <v>Bueno</v>
          </cell>
          <cell r="U2587" t="str">
            <v>N/T</v>
          </cell>
        </row>
        <row r="2588">
          <cell r="J2588" t="str">
            <v>42-05-02-01-2580</v>
          </cell>
          <cell r="K2588" t="str">
            <v>SC-00436</v>
          </cell>
          <cell r="L2588" t="str">
            <v>42-05-02-01-2580</v>
          </cell>
          <cell r="M2588" t="str">
            <v>Mango bisturí</v>
          </cell>
          <cell r="O2588" t="str">
            <v>EQUIPOS CLINICOS</v>
          </cell>
          <cell r="P2588">
            <v>10000</v>
          </cell>
          <cell r="T2588" t="str">
            <v>Bueno</v>
          </cell>
          <cell r="U2588" t="str">
            <v>N/T</v>
          </cell>
        </row>
        <row r="2589">
          <cell r="J2589" t="str">
            <v>FN-05-02-01-2581</v>
          </cell>
          <cell r="K2589" t="str">
            <v>SC-00437</v>
          </cell>
          <cell r="L2589" t="str">
            <v>FN-05-02-01-2581</v>
          </cell>
          <cell r="M2589" t="str">
            <v>Pinza mosquito curva 12 cms.</v>
          </cell>
          <cell r="O2589" t="str">
            <v>EQUIPOS CLINICOS FUNGIBLE / NOMINABLE</v>
          </cell>
          <cell r="P2589">
            <v>2070</v>
          </cell>
          <cell r="T2589" t="str">
            <v>Bueno</v>
          </cell>
          <cell r="U2589" t="str">
            <v>N/T</v>
          </cell>
        </row>
        <row r="2590">
          <cell r="J2590" t="str">
            <v>FN-05-02-01-2582</v>
          </cell>
          <cell r="K2590" t="str">
            <v>SC-00438</v>
          </cell>
          <cell r="L2590" t="str">
            <v>FN-05-02-01-2582</v>
          </cell>
          <cell r="M2590" t="str">
            <v>Separador Farabeurf</v>
          </cell>
          <cell r="O2590" t="str">
            <v>EQUIPOS CLINICOS FUNGIBLE / NOMINABLE</v>
          </cell>
          <cell r="P2590">
            <v>15903</v>
          </cell>
          <cell r="T2590" t="str">
            <v>Bueno</v>
          </cell>
          <cell r="U2590" t="str">
            <v>N/T</v>
          </cell>
        </row>
        <row r="2591">
          <cell r="J2591" t="str">
            <v>42-05-02-01-2583</v>
          </cell>
          <cell r="K2591" t="str">
            <v>SC-00439</v>
          </cell>
          <cell r="L2591" t="str">
            <v>42-05-02-01-2583</v>
          </cell>
          <cell r="M2591" t="str">
            <v>Tijera recta 14 cms.</v>
          </cell>
          <cell r="O2591" t="str">
            <v>EQUIPOS CLINICOS</v>
          </cell>
          <cell r="P2591">
            <v>2070</v>
          </cell>
          <cell r="T2591" t="str">
            <v>Bueno</v>
          </cell>
          <cell r="U2591" t="str">
            <v>N/T</v>
          </cell>
        </row>
        <row r="2592">
          <cell r="J2592" t="str">
            <v>42-05-02-01-2584</v>
          </cell>
          <cell r="K2592" t="str">
            <v>SC-00440</v>
          </cell>
          <cell r="L2592" t="str">
            <v>42-05-02-01-2584</v>
          </cell>
          <cell r="M2592" t="str">
            <v>Pinza quirúrgica 18 cms.</v>
          </cell>
          <cell r="O2592" t="str">
            <v>EQUIPOS CLINICOS</v>
          </cell>
          <cell r="P2592">
            <v>2000</v>
          </cell>
          <cell r="T2592" t="str">
            <v>Bueno</v>
          </cell>
          <cell r="U2592" t="str">
            <v>N/T</v>
          </cell>
        </row>
        <row r="2593">
          <cell r="J2593" t="str">
            <v>42-05-02-01-2585</v>
          </cell>
          <cell r="K2593" t="str">
            <v>SC-00441</v>
          </cell>
          <cell r="L2593" t="str">
            <v>42-05-02-01-2585</v>
          </cell>
          <cell r="M2593" t="str">
            <v>Tijera curva 14 cms.</v>
          </cell>
          <cell r="O2593" t="str">
            <v>EQUIPOS CLINICOS</v>
          </cell>
          <cell r="P2593">
            <v>2070</v>
          </cell>
          <cell r="T2593" t="str">
            <v>Bueno</v>
          </cell>
          <cell r="U2593" t="str">
            <v>N/T</v>
          </cell>
        </row>
        <row r="2594">
          <cell r="J2594" t="str">
            <v>42-05-02-01-2586</v>
          </cell>
          <cell r="K2594" t="str">
            <v>SC-00442</v>
          </cell>
          <cell r="L2594" t="str">
            <v>42-05-02-01-2586</v>
          </cell>
          <cell r="M2594" t="str">
            <v>Cureta 10 cms.</v>
          </cell>
          <cell r="O2594" t="str">
            <v>EQUIPOS CLINICOS</v>
          </cell>
          <cell r="P2594">
            <v>8560</v>
          </cell>
          <cell r="T2594" t="str">
            <v>Bueno</v>
          </cell>
          <cell r="U2594" t="str">
            <v>N/T</v>
          </cell>
        </row>
        <row r="2595">
          <cell r="J2595" t="str">
            <v>42-05-02-01-2587</v>
          </cell>
          <cell r="K2595" t="str">
            <v>SC-00443</v>
          </cell>
          <cell r="L2595" t="str">
            <v>42-05-02-01-2587</v>
          </cell>
          <cell r="M2595" t="str">
            <v>Tijera Iris 9 cms.</v>
          </cell>
          <cell r="O2595" t="str">
            <v>EQUIPOS CLINICOS</v>
          </cell>
          <cell r="P2595">
            <v>2070</v>
          </cell>
          <cell r="T2595" t="str">
            <v>Bueno</v>
          </cell>
          <cell r="U2595" t="str">
            <v>N/T</v>
          </cell>
        </row>
        <row r="2596">
          <cell r="J2596" t="str">
            <v>42-05-02-01-2588</v>
          </cell>
          <cell r="K2596" t="str">
            <v>SC-00444</v>
          </cell>
          <cell r="L2596" t="str">
            <v>42-05-02-01-2588</v>
          </cell>
          <cell r="M2596" t="str">
            <v>CAJA CIRUGÍA MENOR Nº 2</v>
          </cell>
          <cell r="O2596" t="str">
            <v>EQUIPOS CLINICOS</v>
          </cell>
          <cell r="P2596">
            <v>9500</v>
          </cell>
        </row>
        <row r="2597">
          <cell r="J2597" t="str">
            <v>FN-05-02-01-2589</v>
          </cell>
          <cell r="K2597" t="str">
            <v>SC-00445</v>
          </cell>
          <cell r="L2597" t="str">
            <v>FN-05-02-01-2589</v>
          </cell>
          <cell r="M2597" t="str">
            <v>Pinzas Backhaus 13 cms.</v>
          </cell>
          <cell r="O2597" t="str">
            <v>EQUIPOS CLINICOS FUNGIBLE / NOMINABLE</v>
          </cell>
          <cell r="P2597">
            <v>1870</v>
          </cell>
          <cell r="T2597" t="str">
            <v>Bueno</v>
          </cell>
          <cell r="U2597" t="str">
            <v>N/T</v>
          </cell>
        </row>
        <row r="2598">
          <cell r="J2598" t="str">
            <v>42-05-02-01-2590</v>
          </cell>
          <cell r="K2598" t="str">
            <v>SC-00446</v>
          </cell>
          <cell r="L2598" t="str">
            <v>42-05-02-01-2590</v>
          </cell>
          <cell r="M2598" t="str">
            <v>Pinzas quirúrgica Adson 12 cms.</v>
          </cell>
          <cell r="O2598" t="str">
            <v>EQUIPOS CLINICOS</v>
          </cell>
          <cell r="P2598">
            <v>1470</v>
          </cell>
          <cell r="T2598" t="str">
            <v>Bueno</v>
          </cell>
          <cell r="U2598" t="str">
            <v>N/T</v>
          </cell>
        </row>
        <row r="2599">
          <cell r="J2599" t="str">
            <v>42-05-02-01-2591</v>
          </cell>
          <cell r="K2599" t="str">
            <v>SC-00447</v>
          </cell>
          <cell r="L2599" t="str">
            <v>42-05-02-01-2591</v>
          </cell>
          <cell r="M2599" t="str">
            <v>Pinza anatómica Adson 12 cms.</v>
          </cell>
          <cell r="O2599" t="str">
            <v>EQUIPOS CLINICOS</v>
          </cell>
          <cell r="P2599">
            <v>1270</v>
          </cell>
          <cell r="T2599" t="str">
            <v>Bueno</v>
          </cell>
          <cell r="U2599" t="str">
            <v>N/T</v>
          </cell>
        </row>
        <row r="2600">
          <cell r="J2600" t="str">
            <v>42-05-02-01-2592</v>
          </cell>
          <cell r="K2600" t="str">
            <v>SC-00448</v>
          </cell>
          <cell r="L2600" t="str">
            <v>42-05-02-01-2592</v>
          </cell>
          <cell r="M2600" t="str">
            <v>Pinza Kelly recta 14 cms.</v>
          </cell>
          <cell r="O2600" t="str">
            <v>EQUIPOS CLINICOS</v>
          </cell>
          <cell r="P2600">
            <v>2270</v>
          </cell>
          <cell r="T2600" t="str">
            <v>Bueno</v>
          </cell>
          <cell r="U2600" t="str">
            <v>N/T</v>
          </cell>
        </row>
        <row r="2601">
          <cell r="J2601" t="str">
            <v>42-05-02-01-2593</v>
          </cell>
          <cell r="K2601" t="str">
            <v>SC-00449</v>
          </cell>
          <cell r="L2601" t="str">
            <v>42-05-02-01-2593</v>
          </cell>
          <cell r="M2601" t="str">
            <v>Mango bisturí</v>
          </cell>
          <cell r="O2601" t="str">
            <v>EQUIPOS CLINICOS</v>
          </cell>
          <cell r="P2601">
            <v>5000</v>
          </cell>
          <cell r="T2601" t="str">
            <v>Bueno</v>
          </cell>
          <cell r="U2601" t="str">
            <v>N/T</v>
          </cell>
        </row>
        <row r="2602">
          <cell r="J2602" t="str">
            <v>FN-05-02-01-2594</v>
          </cell>
          <cell r="K2602" t="str">
            <v>SC-00450</v>
          </cell>
          <cell r="L2602" t="str">
            <v>FN-05-02-01-2594</v>
          </cell>
          <cell r="M2602" t="str">
            <v>Pinza mosquito curva 12 cms.</v>
          </cell>
          <cell r="O2602" t="str">
            <v>EQUIPOS CLINICOS FUNGIBLE / NOMINABLE</v>
          </cell>
          <cell r="P2602">
            <v>2070</v>
          </cell>
          <cell r="T2602" t="str">
            <v>Bueno</v>
          </cell>
          <cell r="U2602" t="str">
            <v>N/T</v>
          </cell>
        </row>
        <row r="2603">
          <cell r="J2603" t="str">
            <v>FN-05-02-01-2595</v>
          </cell>
          <cell r="K2603" t="str">
            <v>SC-00451</v>
          </cell>
          <cell r="L2603" t="str">
            <v>FN-05-02-01-2595</v>
          </cell>
          <cell r="M2603" t="str">
            <v>Separador Farabeurf</v>
          </cell>
          <cell r="O2603" t="str">
            <v>EQUIPOS CLINICOS FUNGIBLE / NOMINABLE</v>
          </cell>
          <cell r="P2603">
            <v>7500</v>
          </cell>
          <cell r="T2603" t="str">
            <v>Bueno</v>
          </cell>
          <cell r="U2603" t="str">
            <v>N/T</v>
          </cell>
        </row>
        <row r="2604">
          <cell r="J2604" t="str">
            <v>42-05-02-01-2596</v>
          </cell>
          <cell r="K2604" t="str">
            <v>SC-00452</v>
          </cell>
          <cell r="L2604" t="str">
            <v>42-05-02-01-2596</v>
          </cell>
          <cell r="M2604" t="str">
            <v>Tijera recta 14 cms.</v>
          </cell>
          <cell r="O2604" t="str">
            <v>EQUIPOS CLINICOS</v>
          </cell>
          <cell r="P2604">
            <v>3070</v>
          </cell>
          <cell r="T2604" t="str">
            <v>Bueno</v>
          </cell>
          <cell r="U2604" t="str">
            <v>N/T</v>
          </cell>
        </row>
        <row r="2605">
          <cell r="J2605" t="str">
            <v>42-05-02-01-2597</v>
          </cell>
          <cell r="K2605" t="str">
            <v>SC-00453</v>
          </cell>
          <cell r="L2605" t="str">
            <v>42-05-02-01-2597</v>
          </cell>
          <cell r="M2605" t="str">
            <v>Pinza quirúrgica 18 cms.</v>
          </cell>
          <cell r="O2605" t="str">
            <v>EQUIPOS CLINICOS</v>
          </cell>
          <cell r="P2605">
            <v>2000</v>
          </cell>
          <cell r="T2605" t="str">
            <v>Bueno</v>
          </cell>
          <cell r="U2605" t="str">
            <v>N/T</v>
          </cell>
        </row>
        <row r="2606">
          <cell r="J2606" t="str">
            <v>42-05-02-01-2598</v>
          </cell>
          <cell r="K2606" t="str">
            <v>SC-00454</v>
          </cell>
          <cell r="L2606" t="str">
            <v>42-05-02-01-2598</v>
          </cell>
          <cell r="M2606" t="str">
            <v>Tijera curva 14 cms.</v>
          </cell>
          <cell r="O2606" t="str">
            <v>EQUIPOS CLINICOS</v>
          </cell>
          <cell r="P2606">
            <v>3070</v>
          </cell>
          <cell r="T2606" t="str">
            <v>Bueno</v>
          </cell>
          <cell r="U2606" t="str">
            <v>N/T</v>
          </cell>
        </row>
        <row r="2607">
          <cell r="J2607" t="str">
            <v>42-05-02-01-2599</v>
          </cell>
          <cell r="K2607" t="str">
            <v>SC-00455</v>
          </cell>
          <cell r="L2607" t="str">
            <v>42-05-02-01-2599</v>
          </cell>
          <cell r="M2607" t="str">
            <v>Cureta 10 cms.</v>
          </cell>
          <cell r="O2607" t="str">
            <v>EQUIPOS CLINICOS</v>
          </cell>
          <cell r="P2607">
            <v>3000</v>
          </cell>
          <cell r="T2607" t="str">
            <v>Bueno</v>
          </cell>
          <cell r="U2607" t="str">
            <v>N/T</v>
          </cell>
        </row>
        <row r="2608">
          <cell r="J2608" t="str">
            <v>42-05-02-01-2600</v>
          </cell>
          <cell r="K2608" t="str">
            <v>SC-00456</v>
          </cell>
          <cell r="L2608" t="str">
            <v>42-05-02-01-2600</v>
          </cell>
          <cell r="M2608" t="str">
            <v>Tijera Iris 9 cms.</v>
          </cell>
          <cell r="O2608" t="str">
            <v>EQUIPOS CLINICOS</v>
          </cell>
          <cell r="P2608">
            <v>2070</v>
          </cell>
          <cell r="T2608" t="str">
            <v>Bueno</v>
          </cell>
          <cell r="U2608" t="str">
            <v>N/T</v>
          </cell>
        </row>
        <row r="2609">
          <cell r="J2609" t="str">
            <v>42-05-02-01-2601</v>
          </cell>
          <cell r="K2609" t="str">
            <v>SC-00457</v>
          </cell>
          <cell r="L2609" t="str">
            <v>42-05-02-01-2601</v>
          </cell>
          <cell r="M2609" t="str">
            <v>CAJA CIRUGÍA MENOR Nº 3</v>
          </cell>
          <cell r="O2609" t="str">
            <v>EQUIPOS CLINICOS</v>
          </cell>
          <cell r="P2609">
            <v>9500</v>
          </cell>
        </row>
        <row r="2610">
          <cell r="J2610" t="str">
            <v>FN-05-02-01-2602</v>
          </cell>
          <cell r="K2610" t="str">
            <v>SC-00458</v>
          </cell>
          <cell r="L2610" t="str">
            <v>FN-05-02-01-2602</v>
          </cell>
          <cell r="M2610" t="str">
            <v>Pinzas Backhaus 13 cms.</v>
          </cell>
          <cell r="O2610" t="str">
            <v>EQUIPOS CLINICOS FUNGIBLE / NOMINABLE</v>
          </cell>
          <cell r="P2610">
            <v>1870</v>
          </cell>
          <cell r="T2610" t="str">
            <v>Bueno</v>
          </cell>
          <cell r="U2610" t="str">
            <v>N/T</v>
          </cell>
        </row>
        <row r="2611">
          <cell r="J2611" t="str">
            <v>42-05-02-01-2603</v>
          </cell>
          <cell r="K2611" t="str">
            <v>SC-00459</v>
          </cell>
          <cell r="L2611" t="str">
            <v>42-05-02-01-2603</v>
          </cell>
          <cell r="M2611" t="str">
            <v>Pinzas quirúrgica Adson 12 cms.</v>
          </cell>
          <cell r="O2611" t="str">
            <v>EQUIPOS CLINICOS</v>
          </cell>
          <cell r="P2611">
            <v>1470</v>
          </cell>
          <cell r="T2611" t="str">
            <v>Bueno</v>
          </cell>
          <cell r="U2611" t="str">
            <v>N/T</v>
          </cell>
        </row>
        <row r="2612">
          <cell r="J2612" t="str">
            <v>42-05-02-01-2604</v>
          </cell>
          <cell r="K2612" t="str">
            <v>SC-00460</v>
          </cell>
          <cell r="L2612" t="str">
            <v>42-05-02-01-2604</v>
          </cell>
          <cell r="M2612" t="str">
            <v>Pinza anatómica Adson 12 cms.</v>
          </cell>
          <cell r="O2612" t="str">
            <v>EQUIPOS CLINICOS</v>
          </cell>
          <cell r="P2612">
            <v>1270</v>
          </cell>
          <cell r="T2612" t="str">
            <v>Bueno</v>
          </cell>
          <cell r="U2612" t="str">
            <v>N/T</v>
          </cell>
        </row>
        <row r="2613">
          <cell r="J2613" t="str">
            <v>42-05-02-01-2605</v>
          </cell>
          <cell r="K2613" t="str">
            <v>SC-00461</v>
          </cell>
          <cell r="L2613" t="str">
            <v>42-05-02-01-2605</v>
          </cell>
          <cell r="M2613" t="str">
            <v>Pinza Kelly recta 14 cms.</v>
          </cell>
          <cell r="O2613" t="str">
            <v>EQUIPOS CLINICOS</v>
          </cell>
          <cell r="P2613">
            <v>2270</v>
          </cell>
          <cell r="T2613" t="str">
            <v>Bueno</v>
          </cell>
          <cell r="U2613" t="str">
            <v>N/T</v>
          </cell>
        </row>
        <row r="2614">
          <cell r="J2614" t="str">
            <v>42-05-02-01-2606</v>
          </cell>
          <cell r="K2614" t="str">
            <v>SC-00462</v>
          </cell>
          <cell r="L2614" t="str">
            <v>42-05-02-01-2606</v>
          </cell>
          <cell r="M2614" t="str">
            <v>Mango bisturí</v>
          </cell>
          <cell r="O2614" t="str">
            <v>EQUIPOS CLINICOS</v>
          </cell>
          <cell r="P2614">
            <v>5000</v>
          </cell>
          <cell r="T2614" t="str">
            <v>Bueno</v>
          </cell>
          <cell r="U2614" t="str">
            <v>N/T</v>
          </cell>
        </row>
        <row r="2615">
          <cell r="J2615" t="str">
            <v>FN-05-02-01-2607</v>
          </cell>
          <cell r="K2615" t="str">
            <v>SC-00463</v>
          </cell>
          <cell r="L2615" t="str">
            <v>FN-05-02-01-2607</v>
          </cell>
          <cell r="M2615" t="str">
            <v>Pinza mosquito curva 12 cms.</v>
          </cell>
          <cell r="O2615" t="str">
            <v>EQUIPOS CLINICOS FUNGIBLE / NOMINABLE</v>
          </cell>
          <cell r="P2615">
            <v>2270</v>
          </cell>
          <cell r="T2615" t="str">
            <v>Bueno</v>
          </cell>
          <cell r="U2615" t="str">
            <v>N/T</v>
          </cell>
        </row>
        <row r="2616">
          <cell r="J2616" t="str">
            <v>FN-05-02-01-2608</v>
          </cell>
          <cell r="K2616" t="str">
            <v>SC-00464</v>
          </cell>
          <cell r="L2616" t="str">
            <v>FN-05-02-01-2608</v>
          </cell>
          <cell r="M2616" t="str">
            <v>Separador Farabeurf</v>
          </cell>
          <cell r="O2616" t="str">
            <v>EQUIPOS CLINICOS FUNGIBLE / NOMINABLE</v>
          </cell>
          <cell r="P2616">
            <v>5000</v>
          </cell>
          <cell r="T2616" t="str">
            <v>Bueno</v>
          </cell>
          <cell r="U2616" t="str">
            <v>N/T</v>
          </cell>
        </row>
        <row r="2617">
          <cell r="J2617" t="str">
            <v>42-05-02-01-2609</v>
          </cell>
          <cell r="K2617" t="str">
            <v>SC-00465</v>
          </cell>
          <cell r="L2617" t="str">
            <v>42-05-02-01-2609</v>
          </cell>
          <cell r="M2617" t="str">
            <v>Tijera recta 14 cms.</v>
          </cell>
          <cell r="O2617" t="str">
            <v>EQUIPOS CLINICOS</v>
          </cell>
          <cell r="P2617">
            <v>3070</v>
          </cell>
          <cell r="T2617" t="str">
            <v>Bueno</v>
          </cell>
          <cell r="U2617" t="str">
            <v>N/T</v>
          </cell>
        </row>
        <row r="2618">
          <cell r="J2618" t="str">
            <v>42-05-02-01-2610</v>
          </cell>
          <cell r="K2618" t="str">
            <v>SC-00466</v>
          </cell>
          <cell r="L2618" t="str">
            <v>42-05-02-01-2610</v>
          </cell>
          <cell r="M2618" t="str">
            <v>Pinza quirúrgica 18 cms.</v>
          </cell>
          <cell r="O2618" t="str">
            <v>EQUIPOS CLINICOS</v>
          </cell>
          <cell r="P2618">
            <v>1470</v>
          </cell>
          <cell r="T2618" t="str">
            <v>Bueno</v>
          </cell>
          <cell r="U2618" t="str">
            <v>N/T</v>
          </cell>
        </row>
        <row r="2619">
          <cell r="J2619" t="str">
            <v>42-05-02-01-2611</v>
          </cell>
          <cell r="K2619" t="str">
            <v>SC-00467</v>
          </cell>
          <cell r="L2619" t="str">
            <v>42-05-02-01-2611</v>
          </cell>
          <cell r="M2619" t="str">
            <v>Tijera curva 14 cms.</v>
          </cell>
          <cell r="O2619" t="str">
            <v>EQUIPOS CLINICOS</v>
          </cell>
          <cell r="P2619">
            <v>3070</v>
          </cell>
          <cell r="T2619" t="str">
            <v>Bueno</v>
          </cell>
          <cell r="U2619" t="str">
            <v>N/T</v>
          </cell>
        </row>
        <row r="2620">
          <cell r="J2620" t="str">
            <v>42-05-02-01-2612</v>
          </cell>
          <cell r="K2620" t="str">
            <v>SC-00468</v>
          </cell>
          <cell r="L2620" t="str">
            <v>42-05-02-01-2612</v>
          </cell>
          <cell r="M2620" t="str">
            <v>Tijera iris 9 cms.</v>
          </cell>
          <cell r="O2620" t="str">
            <v>EQUIPOS CLINICOS</v>
          </cell>
          <cell r="P2620">
            <v>2800</v>
          </cell>
          <cell r="T2620" t="str">
            <v>Bueno</v>
          </cell>
          <cell r="U2620" t="str">
            <v>N/T</v>
          </cell>
        </row>
        <row r="2621">
          <cell r="J2621" t="str">
            <v>42-05-02-01-2613</v>
          </cell>
          <cell r="K2621" t="str">
            <v>SC-00469</v>
          </cell>
          <cell r="L2621" t="str">
            <v>42-05-02-01-2613</v>
          </cell>
          <cell r="M2621" t="str">
            <v>CAJA CIRUGÍA MENOR Nº 4</v>
          </cell>
          <cell r="O2621" t="str">
            <v>EQUIPOS CLINICOS</v>
          </cell>
          <cell r="P2621">
            <v>9500</v>
          </cell>
        </row>
        <row r="2622">
          <cell r="J2622" t="str">
            <v>FN-05-02-01-2614</v>
          </cell>
          <cell r="K2622" t="str">
            <v>SC-00470</v>
          </cell>
          <cell r="L2622" t="str">
            <v>FN-05-02-01-2614</v>
          </cell>
          <cell r="M2622" t="str">
            <v>Pinzas Backhaus 13 cms.</v>
          </cell>
          <cell r="O2622" t="str">
            <v>EQUIPOS CLINICOS FUNGIBLE / NOMINABLE</v>
          </cell>
          <cell r="P2622">
            <v>1870</v>
          </cell>
          <cell r="T2622" t="str">
            <v>Bueno</v>
          </cell>
          <cell r="U2622" t="str">
            <v>N/T</v>
          </cell>
        </row>
        <row r="2623">
          <cell r="J2623" t="str">
            <v>42-05-02-01-2615</v>
          </cell>
          <cell r="K2623" t="str">
            <v>SC-00471</v>
          </cell>
          <cell r="L2623" t="str">
            <v>42-05-02-01-2615</v>
          </cell>
          <cell r="M2623" t="str">
            <v>Pinzas quirúrgica Adson 12 cms.</v>
          </cell>
          <cell r="O2623" t="str">
            <v>EQUIPOS CLINICOS</v>
          </cell>
          <cell r="P2623">
            <v>1470</v>
          </cell>
          <cell r="T2623" t="str">
            <v>Bueno</v>
          </cell>
          <cell r="U2623" t="str">
            <v>N/T</v>
          </cell>
        </row>
        <row r="2624">
          <cell r="J2624" t="str">
            <v>42-05-02-01-2616</v>
          </cell>
          <cell r="K2624" t="str">
            <v>SC-00472</v>
          </cell>
          <cell r="L2624" t="str">
            <v>42-05-02-01-2616</v>
          </cell>
          <cell r="M2624" t="str">
            <v>Pinza anatómica Adson 12 cms.</v>
          </cell>
          <cell r="O2624" t="str">
            <v>EQUIPOS CLINICOS</v>
          </cell>
          <cell r="P2624">
            <v>1270</v>
          </cell>
          <cell r="T2624" t="str">
            <v>Bueno</v>
          </cell>
          <cell r="U2624" t="str">
            <v>N/T</v>
          </cell>
        </row>
        <row r="2625">
          <cell r="J2625" t="str">
            <v>42-05-02-01-2617</v>
          </cell>
          <cell r="K2625" t="str">
            <v>SC-00473</v>
          </cell>
          <cell r="L2625" t="str">
            <v>42-05-02-01-2617</v>
          </cell>
          <cell r="M2625" t="str">
            <v>Pinza Kelly recta 14 cms.</v>
          </cell>
          <cell r="O2625" t="str">
            <v>EQUIPOS CLINICOS</v>
          </cell>
          <cell r="P2625">
            <v>2270</v>
          </cell>
          <cell r="T2625" t="str">
            <v>Bueno</v>
          </cell>
          <cell r="U2625" t="str">
            <v>N/T</v>
          </cell>
        </row>
        <row r="2626">
          <cell r="J2626" t="str">
            <v>42-05-02-01-2618</v>
          </cell>
          <cell r="K2626" t="str">
            <v>SC-00474</v>
          </cell>
          <cell r="L2626" t="str">
            <v>42-05-02-01-2618</v>
          </cell>
          <cell r="M2626" t="str">
            <v>Mango bisturí</v>
          </cell>
          <cell r="O2626" t="str">
            <v>EQUIPOS CLINICOS</v>
          </cell>
          <cell r="P2626">
            <v>5000</v>
          </cell>
          <cell r="T2626" t="str">
            <v>Bueno</v>
          </cell>
          <cell r="U2626" t="str">
            <v>N/T</v>
          </cell>
        </row>
        <row r="2627">
          <cell r="J2627" t="str">
            <v>FN-05-02-01-2619</v>
          </cell>
          <cell r="K2627" t="str">
            <v>SC-00475</v>
          </cell>
          <cell r="L2627" t="str">
            <v>FN-05-02-01-2619</v>
          </cell>
          <cell r="M2627" t="str">
            <v>Pinza mosquito curva 12 cms.</v>
          </cell>
          <cell r="O2627" t="str">
            <v>EQUIPOS CLINICOS FUNGIBLE / NOMINABLE</v>
          </cell>
          <cell r="P2627">
            <v>2270</v>
          </cell>
          <cell r="T2627" t="str">
            <v>Bueno</v>
          </cell>
          <cell r="U2627" t="str">
            <v>N/T</v>
          </cell>
        </row>
        <row r="2628">
          <cell r="J2628" t="str">
            <v>FN-05-02-01-2620</v>
          </cell>
          <cell r="K2628" t="str">
            <v>SC-00476</v>
          </cell>
          <cell r="L2628" t="str">
            <v>FN-05-02-01-2620</v>
          </cell>
          <cell r="M2628" t="str">
            <v>Separador Farabeurf</v>
          </cell>
          <cell r="O2628" t="str">
            <v>EQUIPOS CLINICOS FUNGIBLE / NOMINABLE</v>
          </cell>
          <cell r="P2628">
            <v>5000</v>
          </cell>
          <cell r="T2628" t="str">
            <v>Bueno</v>
          </cell>
          <cell r="U2628" t="str">
            <v>N/T</v>
          </cell>
        </row>
        <row r="2629">
          <cell r="J2629" t="str">
            <v>42-05-02-01-2621</v>
          </cell>
          <cell r="K2629" t="str">
            <v>SC-00477</v>
          </cell>
          <cell r="L2629" t="str">
            <v>42-05-02-01-2621</v>
          </cell>
          <cell r="M2629" t="str">
            <v>Tijera recta 14 cms.</v>
          </cell>
          <cell r="O2629" t="str">
            <v>EQUIPOS CLINICOS</v>
          </cell>
          <cell r="P2629">
            <v>3070</v>
          </cell>
          <cell r="T2629" t="str">
            <v>Bueno</v>
          </cell>
          <cell r="U2629" t="str">
            <v>N/T</v>
          </cell>
        </row>
        <row r="2630">
          <cell r="J2630" t="str">
            <v>42-05-02-01-2622</v>
          </cell>
          <cell r="K2630" t="str">
            <v>SC-00478</v>
          </cell>
          <cell r="L2630" t="str">
            <v>42-05-02-01-2622</v>
          </cell>
          <cell r="M2630" t="str">
            <v>Pinza quirúrgica 18 cms.</v>
          </cell>
          <cell r="O2630" t="str">
            <v>EQUIPOS CLINICOS</v>
          </cell>
          <cell r="P2630">
            <v>1470</v>
          </cell>
          <cell r="T2630" t="str">
            <v>Bueno</v>
          </cell>
          <cell r="U2630" t="str">
            <v>N/T</v>
          </cell>
        </row>
        <row r="2631">
          <cell r="J2631" t="str">
            <v>42-05-02-01-2623</v>
          </cell>
          <cell r="K2631" t="str">
            <v>SC-00479</v>
          </cell>
          <cell r="L2631" t="str">
            <v>42-05-02-01-2623</v>
          </cell>
          <cell r="M2631" t="str">
            <v>Tijera curva 14 cms.</v>
          </cell>
          <cell r="O2631" t="str">
            <v>EQUIPOS CLINICOS</v>
          </cell>
          <cell r="P2631">
            <v>3070</v>
          </cell>
          <cell r="T2631" t="str">
            <v>Bueno</v>
          </cell>
          <cell r="U2631" t="str">
            <v>N/T</v>
          </cell>
        </row>
        <row r="2632">
          <cell r="J2632" t="str">
            <v>FN-05-02-01-2624</v>
          </cell>
          <cell r="K2632" t="str">
            <v>SC-00480</v>
          </cell>
          <cell r="L2632" t="str">
            <v>FN-05-02-01-2624</v>
          </cell>
          <cell r="M2632" t="str">
            <v>Pinzas Backhaus 13 cms.</v>
          </cell>
          <cell r="O2632" t="str">
            <v>EQUIPOS CLINICOS FUNGIBLE / NOMINABLE</v>
          </cell>
          <cell r="P2632">
            <v>1870</v>
          </cell>
          <cell r="T2632" t="str">
            <v>Bueno</v>
          </cell>
          <cell r="U2632" t="str">
            <v>N/T</v>
          </cell>
        </row>
        <row r="2633">
          <cell r="J2633" t="str">
            <v>FN-05-02-01-2625</v>
          </cell>
          <cell r="K2633" t="str">
            <v>SC-00481</v>
          </cell>
          <cell r="L2633" t="str">
            <v>FN-05-02-01-2625</v>
          </cell>
          <cell r="M2633" t="str">
            <v>Pinzas Mayo 20 cms.</v>
          </cell>
          <cell r="O2633" t="str">
            <v>EQUIPOS CLINICOS FUNGIBLE / NOMINABLE</v>
          </cell>
          <cell r="P2633">
            <v>3280</v>
          </cell>
          <cell r="T2633" t="str">
            <v>Bueno</v>
          </cell>
          <cell r="U2633" t="str">
            <v>N/T</v>
          </cell>
        </row>
        <row r="2634">
          <cell r="J2634" t="str">
            <v>FN-05-02-01-2626</v>
          </cell>
          <cell r="K2634" t="str">
            <v>SC-00482</v>
          </cell>
          <cell r="L2634" t="str">
            <v>FN-05-02-01-2626</v>
          </cell>
          <cell r="M2634" t="str">
            <v>Separador Farabeurf</v>
          </cell>
          <cell r="O2634" t="str">
            <v>EQUIPOS CLINICOS FUNGIBLE / NOMINABLE</v>
          </cell>
          <cell r="P2634">
            <v>5000</v>
          </cell>
          <cell r="T2634" t="str">
            <v>Bueno</v>
          </cell>
          <cell r="U2634" t="str">
            <v>N/T</v>
          </cell>
        </row>
        <row r="2635">
          <cell r="J2635" t="str">
            <v>FN-05-02-01-2627</v>
          </cell>
          <cell r="K2635" t="str">
            <v>SC-00483</v>
          </cell>
          <cell r="L2635" t="str">
            <v>FN-05-02-01-2627</v>
          </cell>
          <cell r="M2635" t="str">
            <v>Pinzas mosquito curva 12 cms.</v>
          </cell>
          <cell r="O2635" t="str">
            <v>EQUIPOS CLINICOS FUNGIBLE / NOMINABLE</v>
          </cell>
          <cell r="P2635">
            <v>2270</v>
          </cell>
          <cell r="T2635" t="str">
            <v>Bueno</v>
          </cell>
          <cell r="U2635" t="str">
            <v>N/T</v>
          </cell>
        </row>
        <row r="2636">
          <cell r="J2636" t="str">
            <v>FN-05-02-01-2628</v>
          </cell>
          <cell r="K2636" t="str">
            <v>SC-00484</v>
          </cell>
          <cell r="L2636" t="str">
            <v>FN-05-02-01-2628</v>
          </cell>
          <cell r="M2636" t="str">
            <v>Pinzas Allis 15 cms.</v>
          </cell>
          <cell r="O2636" t="str">
            <v>EQUIPOS CLINICOS FUNGIBLE / NOMINABLE</v>
          </cell>
          <cell r="P2636">
            <v>3070</v>
          </cell>
          <cell r="T2636" t="str">
            <v>Bueno</v>
          </cell>
          <cell r="U2636" t="str">
            <v>N/T</v>
          </cell>
        </row>
        <row r="2637">
          <cell r="J2637" t="str">
            <v>FN-04-07-00-2629</v>
          </cell>
          <cell r="K2637" t="str">
            <v>SC-00485</v>
          </cell>
          <cell r="L2637" t="str">
            <v>FN-04-07-00-2629</v>
          </cell>
          <cell r="M2637" t="str">
            <v>Copelas</v>
          </cell>
          <cell r="N2637" t="str">
            <v>(Urgencias)</v>
          </cell>
          <cell r="O2637" t="str">
            <v>OTROS FUNGIBLE / NOMINABLE</v>
          </cell>
          <cell r="P2637">
            <v>1300</v>
          </cell>
          <cell r="T2637" t="str">
            <v>Bueno</v>
          </cell>
          <cell r="U2637" t="str">
            <v>N/T</v>
          </cell>
        </row>
        <row r="2638">
          <cell r="J2638" t="str">
            <v>42-05-02-01-2630</v>
          </cell>
          <cell r="K2638" t="str">
            <v>SC-00486</v>
          </cell>
          <cell r="L2638" t="str">
            <v>42-05-02-01-2630</v>
          </cell>
          <cell r="M2638" t="str">
            <v>Sonda acanalada 14 cms.</v>
          </cell>
          <cell r="O2638" t="str">
            <v>EQUIPOS CLINICOS</v>
          </cell>
          <cell r="P2638">
            <v>3500</v>
          </cell>
          <cell r="T2638" t="str">
            <v>Bueno</v>
          </cell>
          <cell r="U2638" t="str">
            <v>N/T</v>
          </cell>
        </row>
        <row r="2639">
          <cell r="J2639" t="str">
            <v>FN-05-02-01-2631</v>
          </cell>
          <cell r="K2639" t="str">
            <v>SC-00487</v>
          </cell>
          <cell r="L2639" t="str">
            <v>FN-05-02-01-2631</v>
          </cell>
          <cell r="M2639" t="str">
            <v>Separadores Volkmann 21,5 cms.</v>
          </cell>
          <cell r="O2639" t="str">
            <v>EQUIPOS CLINICOS FUNGIBLE / NOMINABLE</v>
          </cell>
          <cell r="P2639">
            <v>3840</v>
          </cell>
          <cell r="T2639" t="str">
            <v>Bueno</v>
          </cell>
          <cell r="U2639" t="str">
            <v>N/T</v>
          </cell>
        </row>
        <row r="2640">
          <cell r="J2640" t="str">
            <v>FN-05-02-01-2632</v>
          </cell>
          <cell r="K2640" t="str">
            <v>SC-00488</v>
          </cell>
          <cell r="L2640" t="str">
            <v>FN-05-02-01-2632</v>
          </cell>
          <cell r="M2640" t="str">
            <v>Pinza qurúrgicas 18 cms.</v>
          </cell>
          <cell r="O2640" t="str">
            <v>EQUIPOS CLINICOS FUNGIBLE / NOMINABLE</v>
          </cell>
          <cell r="P2640">
            <v>1270</v>
          </cell>
          <cell r="T2640" t="str">
            <v>Bueno</v>
          </cell>
          <cell r="U2640" t="str">
            <v>N/T</v>
          </cell>
        </row>
        <row r="2641">
          <cell r="J2641" t="str">
            <v>FN-05-02-01-2633</v>
          </cell>
          <cell r="K2641" t="str">
            <v>SC-00489</v>
          </cell>
          <cell r="L2641" t="str">
            <v>FN-05-02-01-2633</v>
          </cell>
          <cell r="M2641" t="str">
            <v>Pinza anatómicas 18 cms.</v>
          </cell>
          <cell r="O2641" t="str">
            <v>EQUIPOS CLINICOS FUNGIBLE / NOMINABLE</v>
          </cell>
          <cell r="P2641">
            <v>1270</v>
          </cell>
          <cell r="T2641" t="str">
            <v>Bueno</v>
          </cell>
          <cell r="U2641" t="str">
            <v>N/T</v>
          </cell>
        </row>
        <row r="2642">
          <cell r="J2642" t="str">
            <v>FN-05-02-01-2634</v>
          </cell>
          <cell r="K2642" t="str">
            <v>SC-00490</v>
          </cell>
          <cell r="L2642" t="str">
            <v>FN-05-02-01-2634</v>
          </cell>
          <cell r="M2642" t="str">
            <v>Pinza Kelly recta 14 cms.</v>
          </cell>
          <cell r="O2642" t="str">
            <v>EQUIPOS CLINICOS FUNGIBLE / NOMINABLE</v>
          </cell>
          <cell r="P2642">
            <v>2270</v>
          </cell>
          <cell r="T2642" t="str">
            <v>Bueno</v>
          </cell>
          <cell r="U2642" t="str">
            <v>N/T</v>
          </cell>
        </row>
        <row r="2643">
          <cell r="J2643" t="str">
            <v>42-05-02-01-2635</v>
          </cell>
          <cell r="K2643" t="str">
            <v>SC-00491</v>
          </cell>
          <cell r="L2643" t="str">
            <v>42-05-02-01-2635</v>
          </cell>
          <cell r="M2643" t="str">
            <v>Separador</v>
          </cell>
          <cell r="O2643" t="str">
            <v>EQUIPOS CLINICOS</v>
          </cell>
          <cell r="P2643">
            <v>3840</v>
          </cell>
          <cell r="T2643" t="str">
            <v>Bueno</v>
          </cell>
          <cell r="U2643" t="str">
            <v>N/T</v>
          </cell>
        </row>
        <row r="2644">
          <cell r="J2644" t="str">
            <v>FN-05-02-01-2636</v>
          </cell>
          <cell r="K2644" t="str">
            <v>SC-00492</v>
          </cell>
          <cell r="L2644" t="str">
            <v>FN-05-02-01-2636</v>
          </cell>
          <cell r="M2644" t="str">
            <v>Pinza mosquito recta</v>
          </cell>
          <cell r="O2644" t="str">
            <v>EQUIPOS CLINICOS FUNGIBLE / NOMINABLE</v>
          </cell>
          <cell r="P2644">
            <v>2270</v>
          </cell>
          <cell r="T2644" t="str">
            <v>Bueno</v>
          </cell>
          <cell r="U2644" t="str">
            <v>N/T</v>
          </cell>
        </row>
        <row r="2645">
          <cell r="J2645" t="str">
            <v>42-05-02-01-2637</v>
          </cell>
          <cell r="K2645" t="str">
            <v>SC-00493</v>
          </cell>
          <cell r="L2645" t="str">
            <v>42-05-02-01-2637</v>
          </cell>
          <cell r="M2645" t="str">
            <v>Separador doble</v>
          </cell>
          <cell r="O2645" t="str">
            <v>EQUIPOS CLINICOS</v>
          </cell>
          <cell r="P2645">
            <v>3840</v>
          </cell>
          <cell r="T2645" t="str">
            <v>Bueno</v>
          </cell>
          <cell r="U2645" t="str">
            <v>N/T</v>
          </cell>
        </row>
        <row r="2646">
          <cell r="J2646" t="str">
            <v>42-05-02-01-2638</v>
          </cell>
          <cell r="K2646" t="str">
            <v>SC-00494</v>
          </cell>
          <cell r="L2646" t="str">
            <v>42-05-02-01-2638</v>
          </cell>
          <cell r="M2646" t="str">
            <v>Fonendoscopio</v>
          </cell>
          <cell r="O2646" t="str">
            <v>EQUIPOS CLINICOS</v>
          </cell>
          <cell r="P2646">
            <v>22000</v>
          </cell>
          <cell r="T2646" t="str">
            <v>Bueno</v>
          </cell>
          <cell r="U2646" t="str">
            <v>N/T</v>
          </cell>
        </row>
        <row r="2647">
          <cell r="J2647" t="str">
            <v>42-05-02-02-2639</v>
          </cell>
          <cell r="K2647" t="str">
            <v>SC-00495</v>
          </cell>
          <cell r="L2647" t="str">
            <v>42-05-02-02-2639</v>
          </cell>
          <cell r="M2647" t="str">
            <v>1 fuentón de acero inox. con llaves de combinación  y 1 enlozado con con llaves de combinación</v>
          </cell>
          <cell r="O2647" t="str">
            <v>EQUIPOS DE COCINA</v>
          </cell>
          <cell r="P2647">
            <v>150000</v>
          </cell>
          <cell r="T2647" t="str">
            <v>Bueno</v>
          </cell>
          <cell r="U2647" t="str">
            <v>N/T</v>
          </cell>
        </row>
        <row r="2648">
          <cell r="J2648" t="str">
            <v>42-04-07-00-2640</v>
          </cell>
          <cell r="K2648" t="str">
            <v>SC-00496</v>
          </cell>
          <cell r="L2648" t="str">
            <v>42-04-07-00-2640</v>
          </cell>
          <cell r="M2648" t="str">
            <v>Basurero color café plástico</v>
          </cell>
          <cell r="O2648" t="str">
            <v>OTROS</v>
          </cell>
          <cell r="P2648">
            <v>3000</v>
          </cell>
          <cell r="T2648" t="str">
            <v>Bueno</v>
          </cell>
          <cell r="U2648" t="str">
            <v>N/T</v>
          </cell>
        </row>
        <row r="2649">
          <cell r="J2649" t="str">
            <v>42-04-07-00-2641</v>
          </cell>
          <cell r="K2649" t="str">
            <v>SC-00497</v>
          </cell>
          <cell r="L2649" t="str">
            <v>42-04-07-00-2641</v>
          </cell>
          <cell r="M2649" t="str">
            <v>Porta cortinas metálico</v>
          </cell>
          <cell r="O2649" t="str">
            <v>OTROS</v>
          </cell>
          <cell r="P2649">
            <v>1500</v>
          </cell>
          <cell r="T2649" t="str">
            <v>Bueno</v>
          </cell>
          <cell r="U2649" t="str">
            <v>N/T</v>
          </cell>
        </row>
        <row r="2650">
          <cell r="J2650" t="str">
            <v>42-05-01-01-2642</v>
          </cell>
          <cell r="K2650" t="str">
            <v>SC-00498</v>
          </cell>
          <cell r="L2650" t="str">
            <v>42-05-01-01-2642</v>
          </cell>
          <cell r="M2650" t="str">
            <v>Perforador chico Maped color negro</v>
          </cell>
          <cell r="O2650" t="str">
            <v>EQUIPO DE OFICINA</v>
          </cell>
          <cell r="P2650">
            <v>3500</v>
          </cell>
          <cell r="T2650" t="str">
            <v>Bueno</v>
          </cell>
          <cell r="U2650" t="str">
            <v>N/T</v>
          </cell>
        </row>
        <row r="2651">
          <cell r="J2651" t="str">
            <v>42-04-07-00-2643</v>
          </cell>
          <cell r="K2651" t="str">
            <v>SC-00499</v>
          </cell>
          <cell r="L2651" t="str">
            <v>42-04-07-00-2643</v>
          </cell>
          <cell r="M2651" t="str">
            <v>Porta Scotch grande color azul</v>
          </cell>
          <cell r="O2651" t="str">
            <v>OTROS</v>
          </cell>
          <cell r="P2651">
            <v>5000</v>
          </cell>
          <cell r="T2651" t="str">
            <v>Bueno</v>
          </cell>
          <cell r="U2651" t="str">
            <v>N/T</v>
          </cell>
        </row>
        <row r="2652">
          <cell r="J2652" t="str">
            <v>42-05-01-01-2644</v>
          </cell>
          <cell r="K2652" t="str">
            <v>SC-00500</v>
          </cell>
          <cell r="L2652" t="str">
            <v>42-05-01-01-2644</v>
          </cell>
          <cell r="M2652" t="str">
            <v>Corchetera chica color plomo</v>
          </cell>
          <cell r="O2652" t="str">
            <v>EQUIPO DE OFICINA</v>
          </cell>
          <cell r="P2652">
            <v>3500</v>
          </cell>
          <cell r="T2652" t="str">
            <v>Bueno</v>
          </cell>
          <cell r="U2652" t="str">
            <v>N/T</v>
          </cell>
        </row>
        <row r="2653">
          <cell r="J2653" t="str">
            <v>42-05-02-02-2645</v>
          </cell>
          <cell r="K2653" t="str">
            <v>SC-00501</v>
          </cell>
          <cell r="L2653" t="str">
            <v>42-05-02-02-2645</v>
          </cell>
          <cell r="M2653" t="str">
            <v>Posillo Unicef 9x5 cms.</v>
          </cell>
          <cell r="O2653" t="str">
            <v>EQUIPOS DE COCINA</v>
          </cell>
          <cell r="P2653">
            <v>4000</v>
          </cell>
          <cell r="T2653" t="str">
            <v>Bueno</v>
          </cell>
          <cell r="U2653" t="str">
            <v>N/T</v>
          </cell>
        </row>
        <row r="2654">
          <cell r="J2654" t="str">
            <v>42-05-02-01-2646</v>
          </cell>
          <cell r="K2654" t="str">
            <v>SC-00502</v>
          </cell>
          <cell r="L2654" t="str">
            <v>42-05-02-01-2646</v>
          </cell>
          <cell r="M2654" t="str">
            <v>Riñones loza</v>
          </cell>
          <cell r="O2654" t="str">
            <v>EQUIPOS CLINICOS</v>
          </cell>
          <cell r="P2654">
            <v>20000</v>
          </cell>
          <cell r="T2654" t="str">
            <v>Bueno</v>
          </cell>
          <cell r="U2654" t="str">
            <v>N/T</v>
          </cell>
        </row>
        <row r="2655">
          <cell r="J2655" t="str">
            <v>42-04-07-00-2647</v>
          </cell>
          <cell r="K2655" t="str">
            <v>SC-00503</v>
          </cell>
          <cell r="L2655" t="str">
            <v>42-04-07-00-2647</v>
          </cell>
          <cell r="M2655" t="str">
            <v>Cajas acero inox. 17x22x17 cms.</v>
          </cell>
          <cell r="O2655" t="str">
            <v>OTROS</v>
          </cell>
          <cell r="P2655">
            <v>15000</v>
          </cell>
          <cell r="T2655" t="str">
            <v>Bueno</v>
          </cell>
          <cell r="U2655" t="str">
            <v>N/T</v>
          </cell>
        </row>
        <row r="2656">
          <cell r="J2656" t="str">
            <v>FN-03-02-00-2648</v>
          </cell>
          <cell r="K2656" t="str">
            <v>SC-00504</v>
          </cell>
          <cell r="L2656" t="str">
            <v>FN-03-02-00-2648</v>
          </cell>
          <cell r="M2656" t="str">
            <v>Asientos</v>
          </cell>
          <cell r="N2656">
            <v>1</v>
          </cell>
          <cell r="O2656" t="str">
            <v>EQUIPOS DE VEHICULO FUNGIBLE / NOMINABLE</v>
          </cell>
          <cell r="P2656">
            <v>60000</v>
          </cell>
          <cell r="T2656" t="str">
            <v>Bueno</v>
          </cell>
          <cell r="U2656" t="str">
            <v>N/T</v>
          </cell>
        </row>
        <row r="2657">
          <cell r="J2657" t="str">
            <v>42-04-07-00-2649</v>
          </cell>
          <cell r="K2657" t="str">
            <v>SC-00505</v>
          </cell>
          <cell r="L2657" t="str">
            <v>42-04-07-00-2649</v>
          </cell>
          <cell r="M2657" t="str">
            <v>Espejo retrovisores Exterior</v>
          </cell>
          <cell r="N2657">
            <v>1</v>
          </cell>
          <cell r="O2657" t="str">
            <v>OTROS</v>
          </cell>
          <cell r="P2657">
            <v>4000</v>
          </cell>
          <cell r="T2657" t="str">
            <v>Bueno</v>
          </cell>
          <cell r="U2657" t="str">
            <v>N/T</v>
          </cell>
        </row>
        <row r="2658">
          <cell r="J2658" t="str">
            <v>42-03-02-00-2650</v>
          </cell>
          <cell r="K2658" t="str">
            <v>SC-00506</v>
          </cell>
          <cell r="L2658" t="str">
            <v>42-03-02-00-2650</v>
          </cell>
          <cell r="M2658" t="str">
            <v>Espejo retrovisor Interior</v>
          </cell>
          <cell r="N2658">
            <v>1</v>
          </cell>
          <cell r="O2658" t="str">
            <v>EQUIPOS DE VEHICULO</v>
          </cell>
          <cell r="P2658">
            <v>4000</v>
          </cell>
          <cell r="T2658" t="str">
            <v>Bueno</v>
          </cell>
          <cell r="U2658" t="str">
            <v>N/T</v>
          </cell>
        </row>
        <row r="2659">
          <cell r="J2659" t="str">
            <v>42-04-07-00-2651</v>
          </cell>
          <cell r="K2659" t="str">
            <v>SC-00507</v>
          </cell>
          <cell r="L2659" t="str">
            <v>42-04-07-00-2651</v>
          </cell>
          <cell r="M2659" t="str">
            <v>Espejo trasero exterior</v>
          </cell>
          <cell r="N2659">
            <v>1</v>
          </cell>
          <cell r="O2659" t="str">
            <v>OTROS</v>
          </cell>
          <cell r="P2659">
            <v>4000</v>
          </cell>
          <cell r="T2659" t="str">
            <v>Bueno</v>
          </cell>
          <cell r="U2659" t="str">
            <v>N/T</v>
          </cell>
        </row>
        <row r="2660">
          <cell r="J2660" t="str">
            <v>42-03-02-00-2652</v>
          </cell>
          <cell r="K2660" t="str">
            <v>SC-00508</v>
          </cell>
          <cell r="L2660" t="str">
            <v>42-03-02-00-2652</v>
          </cell>
          <cell r="M2660" t="str">
            <v>Espejos exteriores laterales</v>
          </cell>
          <cell r="N2660">
            <v>1</v>
          </cell>
          <cell r="O2660" t="str">
            <v>EQUIPOS DE VEHICULO</v>
          </cell>
          <cell r="P2660">
            <v>4000</v>
          </cell>
          <cell r="T2660" t="str">
            <v>Bueno</v>
          </cell>
          <cell r="U2660" t="str">
            <v>N/T</v>
          </cell>
        </row>
        <row r="2661">
          <cell r="J2661" t="str">
            <v>42-03-02-00-2653</v>
          </cell>
          <cell r="K2661" t="str">
            <v>SC-00509</v>
          </cell>
          <cell r="L2661" t="str">
            <v>42-03-02-00-2653</v>
          </cell>
          <cell r="M2661" t="str">
            <v>Gata mecánica</v>
          </cell>
          <cell r="N2661">
            <v>1</v>
          </cell>
          <cell r="O2661" t="str">
            <v>EQUIPOS DE VEHICULO</v>
          </cell>
          <cell r="P2661">
            <v>6000</v>
          </cell>
          <cell r="T2661" t="str">
            <v>Bueno</v>
          </cell>
          <cell r="U2661" t="str">
            <v>N/T</v>
          </cell>
        </row>
        <row r="2662">
          <cell r="J2662" t="str">
            <v>42-05-02-06-2654</v>
          </cell>
          <cell r="K2662" t="str">
            <v>SC-00510</v>
          </cell>
          <cell r="L2662" t="str">
            <v>42-05-02-06-2654</v>
          </cell>
          <cell r="M2662" t="str">
            <v>Llave de ruedas</v>
          </cell>
          <cell r="N2662">
            <v>1</v>
          </cell>
          <cell r="O2662" t="str">
            <v>HERRAMIENTAS</v>
          </cell>
          <cell r="P2662">
            <v>5600</v>
          </cell>
          <cell r="T2662" t="str">
            <v>Bueno</v>
          </cell>
          <cell r="U2662" t="str">
            <v>N/T</v>
          </cell>
        </row>
        <row r="2663">
          <cell r="J2663" t="str">
            <v>42-03-01-00-2655</v>
          </cell>
          <cell r="K2663" t="str">
            <v>SC-00511</v>
          </cell>
          <cell r="L2663" t="str">
            <v>42-03-01-00-2655</v>
          </cell>
          <cell r="M2663" t="str">
            <v>Neumatico de repuesto</v>
          </cell>
          <cell r="N2663">
            <v>1</v>
          </cell>
          <cell r="O2663" t="str">
            <v>REPUESTOS</v>
          </cell>
          <cell r="P2663">
            <v>33000</v>
          </cell>
          <cell r="T2663" t="str">
            <v>Bueno</v>
          </cell>
          <cell r="U2663" t="str">
            <v>N/T</v>
          </cell>
        </row>
        <row r="2664">
          <cell r="J2664" t="str">
            <v>42-03-02-00-2656</v>
          </cell>
          <cell r="K2664" t="str">
            <v>SC-00512</v>
          </cell>
          <cell r="L2664" t="str">
            <v>42-03-02-00-2656</v>
          </cell>
          <cell r="M2664" t="str">
            <v>Jgo. Triangulos</v>
          </cell>
          <cell r="N2664">
            <v>1</v>
          </cell>
          <cell r="O2664" t="str">
            <v>EQUIPOS DE VEHICULO</v>
          </cell>
          <cell r="P2664">
            <v>5600</v>
          </cell>
          <cell r="T2664" t="str">
            <v>Bueno</v>
          </cell>
          <cell r="U2664" t="str">
            <v>N/T</v>
          </cell>
        </row>
        <row r="2665">
          <cell r="J2665" t="str">
            <v>NN-06-01-00-2657</v>
          </cell>
          <cell r="K2665" t="str">
            <v>SC-00513</v>
          </cell>
          <cell r="L2665" t="str">
            <v>NN-06-01-00-2657</v>
          </cell>
          <cell r="M2665" t="str">
            <v>Computador Olidata Nº 010143-000028</v>
          </cell>
          <cell r="O2665" t="str">
            <v>EQUIPOS COMPUTACIONALES Y PERIFÉRICOS EN ARRIENDO</v>
          </cell>
          <cell r="P2665">
            <v>340000</v>
          </cell>
          <cell r="T2665" t="str">
            <v>Bueno</v>
          </cell>
          <cell r="U2665" t="str">
            <v>Olidata</v>
          </cell>
        </row>
        <row r="2666">
          <cell r="J2666" t="str">
            <v>NN-06-01-00-2658</v>
          </cell>
          <cell r="K2666" t="str">
            <v>SC-00514</v>
          </cell>
          <cell r="L2666" t="str">
            <v>NN-06-01-00-2658</v>
          </cell>
          <cell r="M2666" t="str">
            <v>Monitor LCD Olidata 17" Mod. 7005L11 S/Nº 7005L11N-8302733-00661F</v>
          </cell>
          <cell r="O2666" t="str">
            <v>EQUIPOS COMPUTACIONALES Y PERIFÉRICOS EN ARRIENDO</v>
          </cell>
          <cell r="P2666">
            <v>14000</v>
          </cell>
          <cell r="T2666" t="str">
            <v>Bueno</v>
          </cell>
          <cell r="U2666" t="str">
            <v>Olidata</v>
          </cell>
        </row>
        <row r="2667">
          <cell r="J2667" t="str">
            <v>NN-06-01-00-2659</v>
          </cell>
          <cell r="K2667" t="str">
            <v>SC-00515</v>
          </cell>
          <cell r="L2667" t="str">
            <v>NN-06-01-00-2659</v>
          </cell>
          <cell r="M2667" t="str">
            <v>Teclado Olidata Mod K 7563 S/Nº 75630801000320</v>
          </cell>
          <cell r="O2667" t="str">
            <v>EQUIPOS COMPUTACIONALES Y PERIFÉRICOS EN ARRIENDO</v>
          </cell>
          <cell r="P2667">
            <v>4000</v>
          </cell>
          <cell r="T2667" t="str">
            <v>Bueno</v>
          </cell>
          <cell r="U2667" t="str">
            <v>Olidata</v>
          </cell>
        </row>
        <row r="2668">
          <cell r="J2668" t="str">
            <v>NN-06-01-00-2660</v>
          </cell>
          <cell r="K2668" t="str">
            <v>SC-00516</v>
          </cell>
          <cell r="L2668" t="str">
            <v>NN-06-01-00-2660</v>
          </cell>
          <cell r="M2668" t="str">
            <v>Mouse Olidata Mod. KM 8920</v>
          </cell>
          <cell r="O2668" t="str">
            <v>EQUIPOS COMPUTACIONALES Y PERIFÉRICOS EN ARRIENDO</v>
          </cell>
          <cell r="P2668">
            <v>3000</v>
          </cell>
          <cell r="T2668" t="str">
            <v>Bueno</v>
          </cell>
          <cell r="U2668" t="str">
            <v>Olidata</v>
          </cell>
        </row>
        <row r="2669">
          <cell r="J2669" t="str">
            <v>42-04-07-00-2661</v>
          </cell>
          <cell r="K2669" t="str">
            <v>SC-00517</v>
          </cell>
          <cell r="L2669" t="str">
            <v>42-04-07-00-2661</v>
          </cell>
          <cell r="M2669" t="str">
            <v>Porta cortinas</v>
          </cell>
          <cell r="O2669" t="str">
            <v>OTROS</v>
          </cell>
          <cell r="P2669">
            <v>1500</v>
          </cell>
          <cell r="T2669" t="str">
            <v>Bueno</v>
          </cell>
          <cell r="U2669" t="str">
            <v>N/T</v>
          </cell>
        </row>
        <row r="2670">
          <cell r="J2670" t="str">
            <v>FN-04-07-00-2662</v>
          </cell>
          <cell r="K2670" t="str">
            <v>SC-00518</v>
          </cell>
          <cell r="L2670" t="str">
            <v>FN-04-07-00-2662</v>
          </cell>
          <cell r="M2670" t="str">
            <v>Cortinas color verde</v>
          </cell>
          <cell r="O2670" t="str">
            <v>OTROS FUNGIBLE / NOMINABLE</v>
          </cell>
          <cell r="P2670">
            <v>15000</v>
          </cell>
          <cell r="T2670" t="str">
            <v>Bueno</v>
          </cell>
          <cell r="U2670" t="str">
            <v>N/T</v>
          </cell>
        </row>
        <row r="2671">
          <cell r="J2671" t="str">
            <v>42-05-01-01-2663</v>
          </cell>
          <cell r="K2671" t="str">
            <v>SC-00519</v>
          </cell>
          <cell r="L2671" t="str">
            <v>42-05-01-01-2663</v>
          </cell>
          <cell r="M2671" t="str">
            <v>Corchetera de color negro</v>
          </cell>
          <cell r="O2671" t="str">
            <v>EQUIPO DE OFICINA</v>
          </cell>
          <cell r="P2671">
            <v>3500</v>
          </cell>
          <cell r="T2671" t="str">
            <v>Bueno</v>
          </cell>
          <cell r="U2671" t="str">
            <v>N/T</v>
          </cell>
        </row>
        <row r="2672">
          <cell r="J2672" t="str">
            <v>NN-06-01-00-2664</v>
          </cell>
          <cell r="K2672" t="str">
            <v>SC-00520</v>
          </cell>
          <cell r="L2672" t="str">
            <v>NN-06-01-00-2664</v>
          </cell>
          <cell r="M2672" t="str">
            <v>Computador Olidata Nº 010143-000039</v>
          </cell>
          <cell r="O2672" t="str">
            <v>EQUIPOS COMPUTACIONALES Y PERIFÉRICOS EN ARRIENDO</v>
          </cell>
          <cell r="P2672">
            <v>340000</v>
          </cell>
          <cell r="T2672" t="str">
            <v>Bueno</v>
          </cell>
          <cell r="U2672" t="str">
            <v>Olidata</v>
          </cell>
        </row>
        <row r="2673">
          <cell r="J2673" t="str">
            <v>NN-06-01-00-2665</v>
          </cell>
          <cell r="K2673" t="str">
            <v>SC-00521</v>
          </cell>
          <cell r="L2673" t="str">
            <v>NN-06-01-00-2665</v>
          </cell>
          <cell r="M2673" t="str">
            <v>Monitor LCD Olidata 17" Mod. 7005L11 S/Nº 7005L11N-83D2733-00647J</v>
          </cell>
          <cell r="O2673" t="str">
            <v>EQUIPOS COMPUTACIONALES Y PERIFÉRICOS EN ARRIENDO</v>
          </cell>
          <cell r="P2673">
            <v>14000</v>
          </cell>
          <cell r="T2673" t="str">
            <v>Bueno</v>
          </cell>
          <cell r="U2673" t="str">
            <v>Olidata</v>
          </cell>
        </row>
        <row r="2674">
          <cell r="J2674" t="str">
            <v>42-06-01-00-2666</v>
          </cell>
          <cell r="K2674" t="str">
            <v>SC-00522</v>
          </cell>
          <cell r="L2674" t="str">
            <v>42-06-01-00-2666</v>
          </cell>
          <cell r="M2674" t="str">
            <v>Teclado Mod K 7563 S/Nº K75630708005399</v>
          </cell>
          <cell r="O2674" t="str">
            <v>EQUIPOS COMPUTACIONALES Y PERIFÉRICOS</v>
          </cell>
          <cell r="P2674">
            <v>4000</v>
          </cell>
          <cell r="T2674" t="str">
            <v>Bueno</v>
          </cell>
          <cell r="U2674" t="str">
            <v>N/T</v>
          </cell>
        </row>
        <row r="2675">
          <cell r="J2675" t="str">
            <v>42-06-01-00-2667</v>
          </cell>
          <cell r="K2675" t="str">
            <v>SC-00523</v>
          </cell>
          <cell r="L2675" t="str">
            <v>42-06-01-00-2667</v>
          </cell>
          <cell r="M2675" t="str">
            <v>Mouse Mod. KM 8920</v>
          </cell>
          <cell r="O2675" t="str">
            <v>EQUIPOS COMPUTACIONALES Y PERIFÉRICOS</v>
          </cell>
          <cell r="P2675">
            <v>3000</v>
          </cell>
          <cell r="T2675" t="str">
            <v>Bueno</v>
          </cell>
          <cell r="U2675" t="str">
            <v>N/T</v>
          </cell>
        </row>
        <row r="2676">
          <cell r="J2676" t="str">
            <v>42-04-07-00-2668</v>
          </cell>
          <cell r="K2676" t="str">
            <v>SC-00524</v>
          </cell>
          <cell r="L2676" t="str">
            <v>42-04-07-00-2668</v>
          </cell>
          <cell r="M2676" t="str">
            <v>Basurero con tapa color blanco</v>
          </cell>
          <cell r="O2676" t="str">
            <v>OTROS</v>
          </cell>
          <cell r="P2676">
            <v>5000</v>
          </cell>
          <cell r="T2676" t="str">
            <v>Bueno</v>
          </cell>
          <cell r="U2676" t="str">
            <v>N/T</v>
          </cell>
        </row>
        <row r="2677">
          <cell r="J2677" t="str">
            <v>42-05-01-01-2669</v>
          </cell>
          <cell r="K2677" t="str">
            <v>SC-00525</v>
          </cell>
          <cell r="L2677" t="str">
            <v>42-05-01-01-2669</v>
          </cell>
          <cell r="M2677" t="str">
            <v>Perforador de color verde</v>
          </cell>
          <cell r="O2677" t="str">
            <v>EQUIPO DE OFICINA</v>
          </cell>
          <cell r="P2677">
            <v>3000</v>
          </cell>
          <cell r="T2677" t="str">
            <v>Bueno</v>
          </cell>
          <cell r="U2677" t="str">
            <v>N/T</v>
          </cell>
        </row>
        <row r="2678">
          <cell r="J2678" t="str">
            <v>42-05-02-01-2670</v>
          </cell>
          <cell r="K2678" t="str">
            <v>SC-00526</v>
          </cell>
          <cell r="L2678" t="str">
            <v>42-05-02-01-2670</v>
          </cell>
          <cell r="M2678" t="str">
            <v>Riñon acero inoxidable 26 cms.</v>
          </cell>
          <cell r="N2678">
            <v>1</v>
          </cell>
          <cell r="O2678" t="str">
            <v>EQUIPOS CLINICOS</v>
          </cell>
          <cell r="P2678">
            <v>20000</v>
          </cell>
          <cell r="T2678" t="str">
            <v>Bueno</v>
          </cell>
          <cell r="U2678" t="str">
            <v>N/T</v>
          </cell>
        </row>
        <row r="2679">
          <cell r="J2679" t="str">
            <v>42-05-01-01-2671</v>
          </cell>
          <cell r="K2679" t="str">
            <v>SC-00527</v>
          </cell>
          <cell r="L2679" t="str">
            <v>42-05-01-01-2671</v>
          </cell>
          <cell r="M2679" t="str">
            <v>Corchetera marca Isofit CM 20 color plomo/negro</v>
          </cell>
          <cell r="O2679" t="str">
            <v>EQUIPO DE OFICINA</v>
          </cell>
          <cell r="P2679">
            <v>3500</v>
          </cell>
          <cell r="T2679" t="str">
            <v>Bueno</v>
          </cell>
          <cell r="U2679" t="str">
            <v>Isofit</v>
          </cell>
        </row>
        <row r="2680">
          <cell r="J2680" t="str">
            <v>42-04-07-00-2672</v>
          </cell>
          <cell r="K2680" t="str">
            <v>SC-00528</v>
          </cell>
          <cell r="L2680" t="str">
            <v>42-04-07-00-2672</v>
          </cell>
          <cell r="M2680" t="str">
            <v>Porta cortinas</v>
          </cell>
          <cell r="O2680" t="str">
            <v>OTROS</v>
          </cell>
          <cell r="P2680">
            <v>1500</v>
          </cell>
          <cell r="T2680" t="str">
            <v>Bueno</v>
          </cell>
          <cell r="U2680" t="str">
            <v>N/T</v>
          </cell>
        </row>
        <row r="2681">
          <cell r="J2681" t="str">
            <v>FN-04-07-00-2673</v>
          </cell>
          <cell r="K2681" t="str">
            <v>SC-00529</v>
          </cell>
          <cell r="L2681" t="str">
            <v>FN-04-07-00-2673</v>
          </cell>
          <cell r="M2681" t="str">
            <v>Cortinas color mantequilla</v>
          </cell>
          <cell r="O2681" t="str">
            <v>OTROS FUNGIBLE / NOMINABLE</v>
          </cell>
          <cell r="P2681">
            <v>12000</v>
          </cell>
          <cell r="T2681" t="str">
            <v>Bueno</v>
          </cell>
          <cell r="U2681" t="str">
            <v>N/T</v>
          </cell>
        </row>
        <row r="2682">
          <cell r="J2682" t="str">
            <v>42-05-01-01-2674</v>
          </cell>
          <cell r="K2682" t="str">
            <v>SC-00530</v>
          </cell>
          <cell r="L2682" t="str">
            <v>42-05-01-01-2674</v>
          </cell>
          <cell r="M2682" t="str">
            <v>Perforador s/marca color negro</v>
          </cell>
          <cell r="O2682" t="str">
            <v>EQUIPO DE OFICINA</v>
          </cell>
          <cell r="P2682">
            <v>3000</v>
          </cell>
          <cell r="T2682" t="str">
            <v>Bueno</v>
          </cell>
          <cell r="U2682" t="str">
            <v>N/T</v>
          </cell>
        </row>
        <row r="2683">
          <cell r="J2683" t="str">
            <v>42-04-07-00-2675</v>
          </cell>
          <cell r="K2683" t="str">
            <v>SC-00531</v>
          </cell>
          <cell r="L2683" t="str">
            <v>42-04-07-00-2675</v>
          </cell>
          <cell r="M2683" t="str">
            <v>Tarjetero de madera color blanco 51x15x15 cms.</v>
          </cell>
          <cell r="O2683" t="str">
            <v>OTROS</v>
          </cell>
          <cell r="P2683">
            <v>25000</v>
          </cell>
          <cell r="T2683" t="str">
            <v>Bueno</v>
          </cell>
          <cell r="U2683" t="str">
            <v>B</v>
          </cell>
        </row>
        <row r="2684">
          <cell r="J2684" t="str">
            <v>42-04-07-00-2676</v>
          </cell>
          <cell r="K2684" t="str">
            <v>SC-00532</v>
          </cell>
          <cell r="L2684" t="str">
            <v>42-04-07-00-2676</v>
          </cell>
          <cell r="M2684" t="str">
            <v>Lavamanos Loza penco</v>
          </cell>
          <cell r="O2684" t="str">
            <v>OTROS</v>
          </cell>
          <cell r="P2684">
            <v>303518</v>
          </cell>
          <cell r="T2684" t="str">
            <v>Bueno</v>
          </cell>
          <cell r="U2684" t="str">
            <v>B</v>
          </cell>
        </row>
        <row r="2685">
          <cell r="J2685" t="str">
            <v>42-04-07-00-2677</v>
          </cell>
          <cell r="K2685" t="str">
            <v>SC-00533</v>
          </cell>
          <cell r="L2685" t="str">
            <v>42-04-07-00-2677</v>
          </cell>
          <cell r="M2685" t="str">
            <v>Basurero metálico redondo</v>
          </cell>
          <cell r="O2685" t="str">
            <v>OTROS</v>
          </cell>
          <cell r="P2685">
            <v>5000</v>
          </cell>
          <cell r="T2685" t="str">
            <v>Bueno</v>
          </cell>
          <cell r="U2685" t="str">
            <v>B</v>
          </cell>
        </row>
        <row r="2686">
          <cell r="J2686" t="str">
            <v>42-04-07-00-2678</v>
          </cell>
          <cell r="K2686" t="str">
            <v>SC-00534</v>
          </cell>
          <cell r="L2686" t="str">
            <v>42-04-07-00-2678</v>
          </cell>
          <cell r="M2686" t="str">
            <v>Basurero metálico cuadrado color crema</v>
          </cell>
          <cell r="O2686" t="str">
            <v>OTROS</v>
          </cell>
          <cell r="P2686">
            <v>5000</v>
          </cell>
          <cell r="T2686" t="str">
            <v>Bueno</v>
          </cell>
          <cell r="U2686" t="str">
            <v>B</v>
          </cell>
        </row>
        <row r="2687">
          <cell r="J2687" t="str">
            <v>42-05-02-02-2679</v>
          </cell>
          <cell r="K2687" t="str">
            <v>SC-00535</v>
          </cell>
          <cell r="L2687" t="str">
            <v>42-05-02-02-2679</v>
          </cell>
          <cell r="M2687" t="str">
            <v>Hervidor de leche enlozado de 2 lts.</v>
          </cell>
          <cell r="O2687" t="str">
            <v>EQUIPOS DE COCINA</v>
          </cell>
          <cell r="P2687">
            <v>11542</v>
          </cell>
          <cell r="T2687" t="str">
            <v>Bueno</v>
          </cell>
          <cell r="U2687" t="str">
            <v>N/T</v>
          </cell>
        </row>
        <row r="2688">
          <cell r="J2688" t="str">
            <v>42-05-02-02-2680</v>
          </cell>
          <cell r="K2688" t="str">
            <v>SC-00536</v>
          </cell>
          <cell r="L2688" t="str">
            <v>42-05-02-02-2680</v>
          </cell>
          <cell r="M2688" t="str">
            <v>Cuchara de té</v>
          </cell>
          <cell r="O2688" t="str">
            <v>EQUIPOS DE COCINA</v>
          </cell>
          <cell r="P2688">
            <v>17341</v>
          </cell>
          <cell r="T2688" t="str">
            <v>Bueno</v>
          </cell>
          <cell r="U2688" t="str">
            <v>N/T</v>
          </cell>
        </row>
        <row r="2689">
          <cell r="J2689" t="str">
            <v>42-05-02-02-2681</v>
          </cell>
          <cell r="K2689" t="str">
            <v>SC-00537</v>
          </cell>
          <cell r="L2689" t="str">
            <v>42-05-02-02-2681</v>
          </cell>
          <cell r="M2689" t="str">
            <v>Bol enlozado color azul</v>
          </cell>
          <cell r="O2689" t="str">
            <v>EQUIPOS DE COCINA</v>
          </cell>
          <cell r="P2689">
            <v>20000</v>
          </cell>
          <cell r="T2689" t="str">
            <v>Bueno</v>
          </cell>
          <cell r="U2689" t="str">
            <v>N/T</v>
          </cell>
        </row>
        <row r="2690">
          <cell r="J2690" t="str">
            <v>42-05-02-02-2682</v>
          </cell>
          <cell r="K2690" t="str">
            <v>SC-00538</v>
          </cell>
          <cell r="L2690" t="str">
            <v>42-05-02-02-2682</v>
          </cell>
          <cell r="M2690" t="str">
            <v>Rejilla secador de platos acero inoxidable</v>
          </cell>
          <cell r="O2690" t="str">
            <v>EQUIPOS DE COCINA</v>
          </cell>
          <cell r="P2690">
            <v>3780</v>
          </cell>
          <cell r="T2690" t="str">
            <v>Bueno</v>
          </cell>
          <cell r="U2690" t="str">
            <v>N/T</v>
          </cell>
        </row>
        <row r="2691">
          <cell r="J2691" t="str">
            <v>42-05-02-02-2683</v>
          </cell>
          <cell r="K2691" t="str">
            <v>SC-00539</v>
          </cell>
          <cell r="L2691" t="str">
            <v>42-05-02-02-2683</v>
          </cell>
          <cell r="M2691" t="str">
            <v>Colador plástico color amarillo mediano</v>
          </cell>
          <cell r="O2691" t="str">
            <v>EQUIPOS DE COCINA</v>
          </cell>
          <cell r="P2691">
            <v>3000</v>
          </cell>
          <cell r="T2691" t="str">
            <v>Bueno</v>
          </cell>
          <cell r="U2691" t="str">
            <v>N/T</v>
          </cell>
        </row>
        <row r="2692">
          <cell r="J2692" t="str">
            <v>42-05-02-02-2684</v>
          </cell>
          <cell r="K2692" t="str">
            <v>SC-00540</v>
          </cell>
          <cell r="L2692" t="str">
            <v>42-05-02-02-2684</v>
          </cell>
          <cell r="M2692" t="str">
            <v>Batidor manual</v>
          </cell>
          <cell r="O2692" t="str">
            <v>EQUIPOS DE COCINA</v>
          </cell>
          <cell r="P2692">
            <v>60900</v>
          </cell>
          <cell r="T2692" t="str">
            <v>Bueno</v>
          </cell>
          <cell r="U2692" t="str">
            <v>N/T</v>
          </cell>
        </row>
        <row r="2693">
          <cell r="J2693" t="str">
            <v>42-05-02-02-2685</v>
          </cell>
          <cell r="K2693" t="str">
            <v>SC-00541</v>
          </cell>
          <cell r="L2693" t="str">
            <v>42-05-02-02-2685</v>
          </cell>
          <cell r="M2693" t="str">
            <v>Medida de vidrio de 1 lt.</v>
          </cell>
          <cell r="O2693" t="str">
            <v>EQUIPOS DE COCINA</v>
          </cell>
          <cell r="P2693">
            <v>3000</v>
          </cell>
          <cell r="T2693" t="str">
            <v>Bueno</v>
          </cell>
          <cell r="U2693" t="str">
            <v>N/T</v>
          </cell>
        </row>
        <row r="2694">
          <cell r="J2694" t="str">
            <v>42-05-02-02-2686</v>
          </cell>
          <cell r="K2694" t="str">
            <v>SC-00542</v>
          </cell>
          <cell r="L2694" t="str">
            <v>42-05-02-02-2686</v>
          </cell>
          <cell r="M2694" t="str">
            <v>Medida de vidrio de ½ lt.</v>
          </cell>
          <cell r="O2694" t="str">
            <v>EQUIPOS DE COCINA</v>
          </cell>
          <cell r="P2694">
            <v>2500</v>
          </cell>
          <cell r="T2694" t="str">
            <v>Bueno</v>
          </cell>
          <cell r="U2694" t="str">
            <v>N/T</v>
          </cell>
        </row>
        <row r="2695">
          <cell r="J2695" t="str">
            <v>42-05-02-02-2687</v>
          </cell>
          <cell r="K2695" t="str">
            <v>SC-00543</v>
          </cell>
          <cell r="L2695" t="str">
            <v>42-05-02-02-2687</v>
          </cell>
          <cell r="M2695" t="str">
            <v>Medida de vidrio de 1 lt.</v>
          </cell>
          <cell r="O2695" t="str">
            <v>EQUIPOS DE COCINA</v>
          </cell>
          <cell r="P2695">
            <v>3000</v>
          </cell>
          <cell r="T2695" t="str">
            <v>Bueno</v>
          </cell>
          <cell r="U2695" t="str">
            <v>N/T</v>
          </cell>
        </row>
        <row r="2696">
          <cell r="J2696" t="str">
            <v>42-04-07-00-2688</v>
          </cell>
          <cell r="K2696" t="str">
            <v>SC-00544</v>
          </cell>
          <cell r="L2696" t="str">
            <v>42-04-07-00-2688</v>
          </cell>
          <cell r="M2696" t="str">
            <v>Canastillos de alambres para transportar mamaderas</v>
          </cell>
          <cell r="O2696" t="str">
            <v>OTROS</v>
          </cell>
          <cell r="P2696">
            <v>5000</v>
          </cell>
          <cell r="T2696" t="str">
            <v>Bueno</v>
          </cell>
          <cell r="U2696" t="str">
            <v>N/T</v>
          </cell>
        </row>
        <row r="2697">
          <cell r="J2697" t="str">
            <v>FN-04-07-00-2689</v>
          </cell>
          <cell r="K2697" t="str">
            <v>SC-00545</v>
          </cell>
          <cell r="L2697" t="str">
            <v>FN-04-07-00-2689</v>
          </cell>
          <cell r="M2697" t="str">
            <v>Papelero plástico blanco con pedal</v>
          </cell>
          <cell r="O2697" t="str">
            <v>OTROS FUNGIBLE / NOMINABLE</v>
          </cell>
          <cell r="P2697">
            <v>3000</v>
          </cell>
          <cell r="T2697" t="str">
            <v>Bueno</v>
          </cell>
          <cell r="U2697" t="str">
            <v>N/T</v>
          </cell>
        </row>
        <row r="2698">
          <cell r="J2698" t="str">
            <v>42-04-07-00-2690</v>
          </cell>
          <cell r="K2698" t="str">
            <v>SC-00546</v>
          </cell>
          <cell r="L2698" t="str">
            <v>42-04-07-00-2690</v>
          </cell>
          <cell r="M2698" t="str">
            <v>Dispensadores jabón marca Johnson</v>
          </cell>
          <cell r="O2698" t="str">
            <v>OTROS</v>
          </cell>
          <cell r="P2698">
            <v>17000</v>
          </cell>
          <cell r="T2698" t="str">
            <v>Bueno</v>
          </cell>
          <cell r="U2698" t="str">
            <v>Johnson</v>
          </cell>
        </row>
        <row r="2699">
          <cell r="J2699" t="str">
            <v>42-05-01-01-2691</v>
          </cell>
          <cell r="K2699" t="str">
            <v>SC-00547</v>
          </cell>
          <cell r="L2699" t="str">
            <v>42-05-01-01-2691</v>
          </cell>
          <cell r="M2699" t="str">
            <v>Extractor de aire Decor 200</v>
          </cell>
          <cell r="O2699" t="str">
            <v>EQUIPO DE OFICINA</v>
          </cell>
          <cell r="P2699">
            <v>25000</v>
          </cell>
          <cell r="T2699" t="str">
            <v>Bueno</v>
          </cell>
          <cell r="U2699" t="str">
            <v>B</v>
          </cell>
        </row>
        <row r="2700">
          <cell r="J2700" t="str">
            <v>42-04-07-00-2692</v>
          </cell>
          <cell r="K2700" t="str">
            <v>SC-00548</v>
          </cell>
          <cell r="L2700" t="str">
            <v>42-04-07-00-2692</v>
          </cell>
          <cell r="M2700" t="str">
            <v>Percha de madera con 4 ganchos</v>
          </cell>
          <cell r="O2700" t="str">
            <v>OTROS</v>
          </cell>
          <cell r="P2700">
            <v>3000</v>
          </cell>
          <cell r="T2700" t="str">
            <v>Bueno</v>
          </cell>
          <cell r="U2700" t="str">
            <v>N/T</v>
          </cell>
        </row>
        <row r="2701">
          <cell r="J2701" t="str">
            <v>42-04-07-00-2693</v>
          </cell>
          <cell r="K2701" t="str">
            <v>SC-00549</v>
          </cell>
          <cell r="L2701" t="str">
            <v>42-04-07-00-2693</v>
          </cell>
          <cell r="M2701" t="str">
            <v>Basurero plastico color blanco</v>
          </cell>
          <cell r="O2701" t="str">
            <v>OTROS</v>
          </cell>
          <cell r="P2701">
            <v>3000</v>
          </cell>
          <cell r="T2701" t="str">
            <v>Bueno</v>
          </cell>
          <cell r="U2701" t="str">
            <v>N/T</v>
          </cell>
        </row>
        <row r="2702">
          <cell r="J2702" t="str">
            <v>42-04-07-00-2694</v>
          </cell>
          <cell r="K2702" t="str">
            <v>SC-00550</v>
          </cell>
          <cell r="L2702" t="str">
            <v>42-04-07-00-2694</v>
          </cell>
          <cell r="M2702" t="str">
            <v>Basurero plástico con tapa color blanco</v>
          </cell>
          <cell r="O2702" t="str">
            <v>OTROS</v>
          </cell>
          <cell r="P2702">
            <v>3000</v>
          </cell>
          <cell r="T2702" t="str">
            <v>Bueno</v>
          </cell>
          <cell r="U2702" t="str">
            <v>N/T</v>
          </cell>
        </row>
        <row r="2703">
          <cell r="J2703" t="str">
            <v>42-04-07-00-2695</v>
          </cell>
          <cell r="K2703" t="str">
            <v>SC-00551</v>
          </cell>
          <cell r="L2703" t="str">
            <v>42-04-07-00-2695</v>
          </cell>
          <cell r="M2703" t="str">
            <v>Porta cortinas metálico</v>
          </cell>
          <cell r="O2703" t="str">
            <v>OTROS</v>
          </cell>
          <cell r="P2703">
            <v>1500</v>
          </cell>
          <cell r="T2703" t="str">
            <v>Bueno</v>
          </cell>
          <cell r="U2703" t="str">
            <v>N/T</v>
          </cell>
        </row>
        <row r="2704">
          <cell r="J2704" t="str">
            <v>42-04-07-00-2696</v>
          </cell>
          <cell r="K2704" t="str">
            <v>SC-00552</v>
          </cell>
          <cell r="L2704" t="str">
            <v>42-04-07-00-2696</v>
          </cell>
          <cell r="M2704" t="str">
            <v>Cortinas color azul piedra</v>
          </cell>
          <cell r="O2704" t="str">
            <v>OTROS</v>
          </cell>
          <cell r="P2704">
            <v>12000</v>
          </cell>
          <cell r="T2704" t="str">
            <v>Bueno</v>
          </cell>
          <cell r="U2704" t="str">
            <v>N/T</v>
          </cell>
        </row>
        <row r="2705">
          <cell r="J2705" t="str">
            <v>NN-06-01-00-2697</v>
          </cell>
          <cell r="K2705" t="str">
            <v>SC-00553</v>
          </cell>
          <cell r="L2705" t="str">
            <v>NN-06-01-00-2697</v>
          </cell>
          <cell r="M2705" t="str">
            <v>Computador Olidata S/Nº 010143-000047</v>
          </cell>
          <cell r="O2705" t="str">
            <v>EQUIPOS COMPUTACIONALES Y PERIFÉRICOS EN ARRIENDO</v>
          </cell>
          <cell r="P2705">
            <v>340000</v>
          </cell>
          <cell r="T2705" t="str">
            <v>Bueno</v>
          </cell>
          <cell r="U2705" t="str">
            <v>Olidata</v>
          </cell>
        </row>
        <row r="2706">
          <cell r="J2706" t="str">
            <v>NN-06-01-00-2698</v>
          </cell>
          <cell r="K2706" t="str">
            <v>SC-00554</v>
          </cell>
          <cell r="L2706" t="str">
            <v>NN-06-01-00-2698</v>
          </cell>
          <cell r="M2706" t="str">
            <v>Monitor LCD Olidata 17" S/Nº 7005L11N-83C2538-00083J</v>
          </cell>
          <cell r="O2706" t="str">
            <v>EQUIPOS COMPUTACIONALES Y PERIFÉRICOS EN ARRIENDO</v>
          </cell>
          <cell r="P2706">
            <v>14000</v>
          </cell>
          <cell r="T2706" t="str">
            <v>Bueno</v>
          </cell>
          <cell r="U2706" t="str">
            <v>Olidata</v>
          </cell>
        </row>
        <row r="2707">
          <cell r="J2707" t="str">
            <v>NN-06-01-00-2699</v>
          </cell>
          <cell r="K2707" t="str">
            <v>SC-00555</v>
          </cell>
          <cell r="L2707" t="str">
            <v>NN-06-01-00-2699</v>
          </cell>
          <cell r="M2707" t="str">
            <v>Teclado Olidata Mod.K7563 S/Nº K75630708005398</v>
          </cell>
          <cell r="O2707" t="str">
            <v>EQUIPOS COMPUTACIONALES Y PERIFÉRICOS EN ARRIENDO</v>
          </cell>
          <cell r="P2707">
            <v>4000</v>
          </cell>
          <cell r="T2707" t="str">
            <v>Bueno</v>
          </cell>
          <cell r="U2707" t="str">
            <v>Olidata</v>
          </cell>
        </row>
        <row r="2708">
          <cell r="J2708" t="str">
            <v>NN-06-01-00-2700</v>
          </cell>
          <cell r="K2708" t="str">
            <v>SC-00556</v>
          </cell>
          <cell r="L2708" t="str">
            <v>NN-06-01-00-2700</v>
          </cell>
          <cell r="M2708" t="str">
            <v>Mouse Olidata Mod. KM 8920</v>
          </cell>
          <cell r="O2708" t="str">
            <v>EQUIPOS COMPUTACIONALES Y PERIFÉRICOS EN ARRIENDO</v>
          </cell>
          <cell r="P2708">
            <v>3000</v>
          </cell>
          <cell r="T2708" t="str">
            <v>Bueno</v>
          </cell>
          <cell r="U2708" t="str">
            <v>Olidata</v>
          </cell>
        </row>
        <row r="2709">
          <cell r="J2709" t="str">
            <v>42-04-07-00-2701</v>
          </cell>
          <cell r="K2709" t="str">
            <v>SC-00557</v>
          </cell>
          <cell r="L2709" t="str">
            <v>42-04-07-00-2701</v>
          </cell>
          <cell r="M2709" t="str">
            <v>Porta Scotch</v>
          </cell>
          <cell r="O2709" t="str">
            <v>OTROS</v>
          </cell>
          <cell r="P2709">
            <v>3500</v>
          </cell>
          <cell r="T2709" t="str">
            <v>Bueno</v>
          </cell>
          <cell r="U2709" t="str">
            <v>N/T</v>
          </cell>
        </row>
        <row r="2710">
          <cell r="J2710" t="str">
            <v>42-05-01-01-2702</v>
          </cell>
          <cell r="K2710" t="str">
            <v>SC-00558</v>
          </cell>
          <cell r="L2710" t="str">
            <v>42-05-01-01-2702</v>
          </cell>
          <cell r="M2710" t="str">
            <v>Perforador</v>
          </cell>
          <cell r="O2710" t="str">
            <v>EQUIPO DE OFICINA</v>
          </cell>
          <cell r="P2710">
            <v>2500</v>
          </cell>
          <cell r="T2710" t="str">
            <v>Bueno</v>
          </cell>
          <cell r="U2710" t="str">
            <v>N/T</v>
          </cell>
        </row>
        <row r="2711">
          <cell r="J2711" t="str">
            <v>42-05-01-01-2703</v>
          </cell>
          <cell r="K2711" t="str">
            <v>SC-00559</v>
          </cell>
          <cell r="L2711" t="str">
            <v>42-05-01-01-2703</v>
          </cell>
          <cell r="M2711" t="str">
            <v>Corchetera marca torre de color negra</v>
          </cell>
          <cell r="O2711" t="str">
            <v>EQUIPO DE OFICINA</v>
          </cell>
          <cell r="P2711">
            <v>3000</v>
          </cell>
          <cell r="T2711" t="str">
            <v>Bueno</v>
          </cell>
          <cell r="U2711" t="str">
            <v>Torre</v>
          </cell>
        </row>
        <row r="2712">
          <cell r="J2712" t="str">
            <v>42-05-02-01-2704</v>
          </cell>
          <cell r="K2712" t="str">
            <v>SC-00560</v>
          </cell>
          <cell r="L2712" t="str">
            <v>42-05-02-01-2704</v>
          </cell>
          <cell r="M2712" t="str">
            <v>Porta suero adosado a la pared</v>
          </cell>
          <cell r="O2712" t="str">
            <v>EQUIPOS CLINICOS</v>
          </cell>
          <cell r="P2712">
            <v>19000</v>
          </cell>
          <cell r="T2712" t="str">
            <v>Bueno</v>
          </cell>
          <cell r="U2712" t="str">
            <v>N/T</v>
          </cell>
        </row>
        <row r="2713">
          <cell r="J2713" t="str">
            <v>42-05-02-01-2705</v>
          </cell>
          <cell r="K2713" t="str">
            <v>SC-00561</v>
          </cell>
          <cell r="L2713" t="str">
            <v>42-05-02-01-2705</v>
          </cell>
          <cell r="M2713" t="str">
            <v>Fonendoscopio neonatal</v>
          </cell>
          <cell r="O2713" t="str">
            <v>EQUIPOS CLINICOS</v>
          </cell>
          <cell r="P2713">
            <v>4284</v>
          </cell>
          <cell r="T2713" t="str">
            <v>Bueno</v>
          </cell>
          <cell r="U2713" t="str">
            <v>N/T</v>
          </cell>
        </row>
        <row r="2714">
          <cell r="J2714" t="str">
            <v>FN-04-07-00-2706</v>
          </cell>
          <cell r="K2714" t="str">
            <v>SC-00562</v>
          </cell>
          <cell r="L2714" t="str">
            <v>FN-04-07-00-2706</v>
          </cell>
          <cell r="M2714" t="str">
            <v>Cajas Parto</v>
          </cell>
          <cell r="O2714" t="str">
            <v>OTROS FUNGIBLE / NOMINABLE</v>
          </cell>
          <cell r="P2714">
            <v>20000</v>
          </cell>
          <cell r="T2714" t="str">
            <v>Bueno</v>
          </cell>
          <cell r="U2714" t="str">
            <v>N/T</v>
          </cell>
        </row>
        <row r="2715">
          <cell r="J2715" t="str">
            <v>FN-04-07-00-2707</v>
          </cell>
          <cell r="K2715" t="str">
            <v>SC-00563</v>
          </cell>
          <cell r="L2715" t="str">
            <v>FN-04-07-00-2707</v>
          </cell>
          <cell r="M2715" t="str">
            <v>Cajas de madera</v>
          </cell>
          <cell r="O2715" t="str">
            <v>OTROS FUNGIBLE / NOMINABLE</v>
          </cell>
          <cell r="P2715">
            <v>5500</v>
          </cell>
          <cell r="T2715" t="str">
            <v>Bueno</v>
          </cell>
          <cell r="U2715" t="str">
            <v>N/T</v>
          </cell>
        </row>
        <row r="2716">
          <cell r="J2716" t="str">
            <v>42-05-02-01-2708</v>
          </cell>
          <cell r="K2716" t="str">
            <v>SC-00564</v>
          </cell>
          <cell r="L2716" t="str">
            <v>42-05-02-01-2708</v>
          </cell>
          <cell r="M2716" t="str">
            <v>Lavatorio de acero inoxidable</v>
          </cell>
          <cell r="O2716" t="str">
            <v>EQUIPOS CLINICOS</v>
          </cell>
          <cell r="P2716">
            <v>5990</v>
          </cell>
          <cell r="T2716" t="str">
            <v>Bueno</v>
          </cell>
          <cell r="U2716" t="str">
            <v>N/T</v>
          </cell>
        </row>
        <row r="2717">
          <cell r="J2717" t="str">
            <v>42-05-02-02-2709</v>
          </cell>
          <cell r="K2717" t="str">
            <v>SC-00565</v>
          </cell>
          <cell r="L2717" t="str">
            <v>42-05-02-02-2709</v>
          </cell>
          <cell r="M2717" t="str">
            <v>Bandeja de acero inox. de 30x25 cms.</v>
          </cell>
          <cell r="O2717" t="str">
            <v>EQUIPOS DE COCINA</v>
          </cell>
          <cell r="P2717">
            <v>4990</v>
          </cell>
          <cell r="T2717" t="str">
            <v>Bueno</v>
          </cell>
          <cell r="U2717" t="str">
            <v>N/T</v>
          </cell>
        </row>
        <row r="2718">
          <cell r="J2718" t="str">
            <v>42-05-02-01-2710</v>
          </cell>
          <cell r="K2718" t="str">
            <v>SC-00566</v>
          </cell>
          <cell r="L2718" t="str">
            <v>42-05-02-01-2710</v>
          </cell>
          <cell r="M2718" t="str">
            <v>Riñón enlozado de 30 cms.</v>
          </cell>
          <cell r="N2718">
            <v>1</v>
          </cell>
          <cell r="O2718" t="str">
            <v>EQUIPOS CLINICOS</v>
          </cell>
          <cell r="P2718">
            <v>3990</v>
          </cell>
          <cell r="T2718" t="str">
            <v>Bueno</v>
          </cell>
          <cell r="U2718" t="str">
            <v>N/T</v>
          </cell>
        </row>
        <row r="2719">
          <cell r="J2719" t="str">
            <v>42-04-07-00-2711</v>
          </cell>
          <cell r="K2719" t="str">
            <v>SC-00567</v>
          </cell>
          <cell r="L2719" t="str">
            <v>42-04-07-00-2711</v>
          </cell>
          <cell r="M2719" t="str">
            <v>Colchoneta cuadrada negra</v>
          </cell>
          <cell r="O2719" t="str">
            <v>OTROS</v>
          </cell>
          <cell r="P2719">
            <v>13990</v>
          </cell>
          <cell r="T2719" t="str">
            <v>Bueno</v>
          </cell>
          <cell r="U2719" t="str">
            <v>N/T</v>
          </cell>
        </row>
        <row r="2720">
          <cell r="J2720" t="str">
            <v>FN-04-07-00-2712</v>
          </cell>
          <cell r="K2720" t="str">
            <v>SC-00568</v>
          </cell>
          <cell r="L2720" t="str">
            <v>FN-04-07-00-2712</v>
          </cell>
          <cell r="M2720" t="str">
            <v>Porta cortinas metálicos</v>
          </cell>
          <cell r="O2720" t="str">
            <v>OTROS FUNGIBLE / NOMINABLE</v>
          </cell>
          <cell r="P2720">
            <v>1500</v>
          </cell>
          <cell r="T2720" t="str">
            <v>Bueno</v>
          </cell>
          <cell r="U2720" t="str">
            <v>N/T</v>
          </cell>
        </row>
        <row r="2721">
          <cell r="J2721" t="str">
            <v>FN-04-07-00-2713</v>
          </cell>
          <cell r="K2721" t="str">
            <v>SC-00569</v>
          </cell>
          <cell r="L2721" t="str">
            <v>FN-04-07-00-2713</v>
          </cell>
          <cell r="M2721" t="str">
            <v>Cortinas de chinz color damasco con cenefas</v>
          </cell>
          <cell r="O2721" t="str">
            <v>OTROS FUNGIBLE / NOMINABLE</v>
          </cell>
          <cell r="P2721">
            <v>12000</v>
          </cell>
          <cell r="T2721" t="str">
            <v>Bueno</v>
          </cell>
          <cell r="U2721" t="str">
            <v>N/T</v>
          </cell>
        </row>
        <row r="2722">
          <cell r="J2722" t="str">
            <v>42-05-01-01-2714</v>
          </cell>
          <cell r="K2722" t="str">
            <v>42-1206B</v>
          </cell>
          <cell r="L2722" t="str">
            <v>Reloj de pared</v>
          </cell>
          <cell r="M2722" t="str">
            <v>Reloj de pared Beltz</v>
          </cell>
          <cell r="O2722" t="str">
            <v>EQUIPO DE OFICINA</v>
          </cell>
          <cell r="P2722">
            <v>2900</v>
          </cell>
          <cell r="T2722" t="str">
            <v>Bueno</v>
          </cell>
          <cell r="U2722" t="str">
            <v>N/T</v>
          </cell>
        </row>
        <row r="2723">
          <cell r="J2723" t="str">
            <v>42-04-07-00-2715</v>
          </cell>
          <cell r="K2723" t="str">
            <v>SC-00571</v>
          </cell>
          <cell r="L2723" t="str">
            <v>42-04-07-00-2715</v>
          </cell>
          <cell r="M2723" t="str">
            <v>Espejo de 50x40 cms.</v>
          </cell>
          <cell r="O2723" t="str">
            <v>OTROS</v>
          </cell>
          <cell r="P2723">
            <v>6500</v>
          </cell>
          <cell r="T2723" t="str">
            <v>Bueno</v>
          </cell>
          <cell r="U2723" t="str">
            <v>N/T</v>
          </cell>
        </row>
        <row r="2724">
          <cell r="J2724" t="str">
            <v>42-04-07-00-2716</v>
          </cell>
          <cell r="K2724" t="str">
            <v>SC-00572</v>
          </cell>
          <cell r="L2724" t="str">
            <v>42-04-07-00-2716</v>
          </cell>
          <cell r="M2724" t="str">
            <v>Percha  metálica, 2 ganchos</v>
          </cell>
          <cell r="O2724" t="str">
            <v>OTROS</v>
          </cell>
          <cell r="P2724">
            <v>10000</v>
          </cell>
          <cell r="T2724" t="str">
            <v>Bueno</v>
          </cell>
          <cell r="U2724" t="str">
            <v>SSAS</v>
          </cell>
        </row>
        <row r="2725">
          <cell r="J2725" t="str">
            <v>42-05-02-06-2717</v>
          </cell>
          <cell r="K2725" t="str">
            <v>SC-00573</v>
          </cell>
          <cell r="L2725" t="str">
            <v>42-05-02-06-2717</v>
          </cell>
          <cell r="M2725" t="str">
            <v>Linterna china color negra y amarilla</v>
          </cell>
          <cell r="O2725" t="str">
            <v>HERRAMIENTAS</v>
          </cell>
          <cell r="P2725">
            <v>2300</v>
          </cell>
          <cell r="T2725" t="str">
            <v>Bueno</v>
          </cell>
          <cell r="U2725" t="str">
            <v>N/T</v>
          </cell>
        </row>
        <row r="2726">
          <cell r="J2726" t="str">
            <v>FN-05-02-01-2718</v>
          </cell>
          <cell r="K2726" t="str">
            <v>SC-00574</v>
          </cell>
          <cell r="L2726" t="str">
            <v>FN-05-02-01-2718</v>
          </cell>
          <cell r="M2726" t="str">
            <v>Riñones de acero inox. de 25x14 cms.</v>
          </cell>
          <cell r="N2726">
            <v>1</v>
          </cell>
          <cell r="O2726" t="str">
            <v>EQUIPOS CLINICOS FUNGIBLE / NOMINABLE</v>
          </cell>
          <cell r="P2726">
            <v>3990</v>
          </cell>
          <cell r="T2726" t="str">
            <v>Bueno</v>
          </cell>
          <cell r="U2726" t="str">
            <v>SSAS</v>
          </cell>
        </row>
        <row r="2727">
          <cell r="J2727" t="str">
            <v>42-05-02-02-2719</v>
          </cell>
          <cell r="K2727" t="str">
            <v>SC-00575</v>
          </cell>
          <cell r="L2727" t="str">
            <v>42-05-02-02-2719</v>
          </cell>
          <cell r="M2727" t="str">
            <v>Bandeja metálica 20x15 cms.</v>
          </cell>
          <cell r="N2727">
            <v>1</v>
          </cell>
          <cell r="O2727" t="str">
            <v>EQUIPOS DE COCINA</v>
          </cell>
          <cell r="P2727">
            <v>4500</v>
          </cell>
          <cell r="T2727" t="str">
            <v>Bueno</v>
          </cell>
          <cell r="U2727" t="str">
            <v>N/T</v>
          </cell>
        </row>
        <row r="2728">
          <cell r="J2728" t="str">
            <v>42-05-01-01-2720</v>
          </cell>
          <cell r="K2728" t="str">
            <v>42-1206B</v>
          </cell>
          <cell r="L2728" t="str">
            <v>Reloj de pared</v>
          </cell>
          <cell r="M2728" t="str">
            <v>Reloj de pared marca Ruhla</v>
          </cell>
          <cell r="O2728" t="str">
            <v>EQUIPO DE OFICINA</v>
          </cell>
          <cell r="P2728">
            <v>8600</v>
          </cell>
          <cell r="T2728" t="str">
            <v>Bueno</v>
          </cell>
          <cell r="U2728" t="str">
            <v>Ruhia</v>
          </cell>
        </row>
        <row r="2729">
          <cell r="J2729" t="str">
            <v>42-05-02-01-2721</v>
          </cell>
          <cell r="K2729" t="str">
            <v>SC-00577</v>
          </cell>
          <cell r="L2729" t="str">
            <v>42-05-02-01-2721</v>
          </cell>
          <cell r="M2729" t="str">
            <v>Porta suero adosado a la pared</v>
          </cell>
          <cell r="O2729" t="str">
            <v>EQUIPOS CLINICOS</v>
          </cell>
          <cell r="P2729">
            <v>19000</v>
          </cell>
          <cell r="T2729" t="str">
            <v>Bueno</v>
          </cell>
          <cell r="U2729" t="str">
            <v>N/T</v>
          </cell>
        </row>
        <row r="2730">
          <cell r="J2730" t="str">
            <v>42-04-07-00-2722</v>
          </cell>
          <cell r="K2730" t="str">
            <v>SC-00578</v>
          </cell>
          <cell r="L2730" t="str">
            <v>42-04-07-00-2722</v>
          </cell>
          <cell r="M2730" t="str">
            <v>Colchones de espuma y tevinil verde</v>
          </cell>
          <cell r="O2730" t="str">
            <v>OTROS</v>
          </cell>
          <cell r="P2730">
            <v>25000</v>
          </cell>
          <cell r="T2730" t="str">
            <v>Bueno</v>
          </cell>
          <cell r="U2730" t="str">
            <v>N/T</v>
          </cell>
        </row>
        <row r="2731">
          <cell r="J2731" t="str">
            <v>42-05-02-02-2723</v>
          </cell>
          <cell r="K2731" t="str">
            <v>SC-00579</v>
          </cell>
          <cell r="L2731" t="str">
            <v>42-05-02-02-2723</v>
          </cell>
          <cell r="M2731" t="str">
            <v>Jarro acero inoxidable 14x20 cms.</v>
          </cell>
          <cell r="O2731" t="str">
            <v>EQUIPOS DE COCINA</v>
          </cell>
          <cell r="P2731">
            <v>5990</v>
          </cell>
          <cell r="T2731" t="str">
            <v>Bueno</v>
          </cell>
          <cell r="U2731" t="str">
            <v>N/T</v>
          </cell>
        </row>
        <row r="2732">
          <cell r="J2732" t="str">
            <v>FN-05-02-01-2724</v>
          </cell>
          <cell r="K2732" t="str">
            <v>SC-00580</v>
          </cell>
          <cell r="L2732" t="str">
            <v>FN-05-02-01-2724</v>
          </cell>
          <cell r="M2732" t="str">
            <v>Chatas de acero inoxidable</v>
          </cell>
          <cell r="O2732" t="str">
            <v>EQUIPOS CLINICOS FUNGIBLE / NOMINABLE</v>
          </cell>
          <cell r="P2732">
            <v>6250</v>
          </cell>
          <cell r="T2732" t="str">
            <v>Bueno</v>
          </cell>
          <cell r="U2732" t="str">
            <v>N/T</v>
          </cell>
        </row>
        <row r="2733">
          <cell r="J2733" t="str">
            <v>42-04-07-00-2725</v>
          </cell>
          <cell r="K2733" t="str">
            <v>SC-00581</v>
          </cell>
          <cell r="L2733" t="str">
            <v>42-04-07-00-2725</v>
          </cell>
          <cell r="M2733" t="str">
            <v>Colchón de espuma 1 plaza</v>
          </cell>
          <cell r="O2733" t="str">
            <v>OTROS</v>
          </cell>
          <cell r="P2733">
            <v>25000</v>
          </cell>
          <cell r="T2733" t="str">
            <v>Bueno</v>
          </cell>
          <cell r="U2733" t="str">
            <v>N/T</v>
          </cell>
        </row>
        <row r="2734">
          <cell r="J2734" t="str">
            <v>42-04-07-00-2726</v>
          </cell>
          <cell r="K2734" t="str">
            <v>SC-00582</v>
          </cell>
          <cell r="L2734" t="str">
            <v>42-04-07-00-2726</v>
          </cell>
          <cell r="M2734" t="str">
            <v>Cabecera de espuma</v>
          </cell>
          <cell r="O2734" t="str">
            <v>OTROS</v>
          </cell>
          <cell r="P2734">
            <v>5200</v>
          </cell>
          <cell r="T2734" t="str">
            <v>Bueno</v>
          </cell>
          <cell r="U2734" t="str">
            <v>N/T</v>
          </cell>
        </row>
        <row r="2735">
          <cell r="J2735" t="str">
            <v>FN-05-02-02-2727</v>
          </cell>
          <cell r="K2735" t="str">
            <v>SC-00583</v>
          </cell>
          <cell r="L2735" t="str">
            <v>FN-05-02-02-2727</v>
          </cell>
          <cell r="M2735" t="str">
            <v>Frazadas</v>
          </cell>
          <cell r="O2735" t="str">
            <v>EQUIPOS DE COCINA FUNGIBLE / NOMINABLE</v>
          </cell>
          <cell r="P2735">
            <v>6000</v>
          </cell>
          <cell r="T2735" t="str">
            <v>Bueno</v>
          </cell>
          <cell r="U2735" t="str">
            <v>N/T</v>
          </cell>
        </row>
        <row r="2736">
          <cell r="J2736" t="str">
            <v>FN-04-07-00-2728</v>
          </cell>
          <cell r="K2736" t="str">
            <v>SC-00584</v>
          </cell>
          <cell r="L2736" t="str">
            <v>FN-04-07-00-2728</v>
          </cell>
          <cell r="M2736" t="str">
            <v>Sábanas</v>
          </cell>
          <cell r="O2736" t="str">
            <v>OTROS FUNGIBLE / NOMINABLE</v>
          </cell>
          <cell r="P2736">
            <v>4500</v>
          </cell>
          <cell r="T2736" t="str">
            <v>Bueno</v>
          </cell>
          <cell r="U2736" t="str">
            <v>N/T</v>
          </cell>
        </row>
        <row r="2737">
          <cell r="J2737" t="str">
            <v>42-04-07-00-2729</v>
          </cell>
          <cell r="K2737" t="str">
            <v>SC-00585</v>
          </cell>
          <cell r="L2737" t="str">
            <v>42-04-07-00-2729</v>
          </cell>
          <cell r="M2737" t="str">
            <v>Funda</v>
          </cell>
          <cell r="O2737" t="str">
            <v>OTROS</v>
          </cell>
          <cell r="P2737">
            <v>2000</v>
          </cell>
          <cell r="T2737" t="str">
            <v>Bueno</v>
          </cell>
          <cell r="U2737" t="str">
            <v>N/T</v>
          </cell>
        </row>
        <row r="2738">
          <cell r="J2738" t="str">
            <v>42-04-06-00-2730</v>
          </cell>
          <cell r="K2738" t="str">
            <v>SC-00586</v>
          </cell>
          <cell r="L2738" t="str">
            <v>42-04-06-00-2730</v>
          </cell>
          <cell r="M2738" t="str">
            <v>Repisa de alambre, 2 tablas madera</v>
          </cell>
          <cell r="O2738" t="str">
            <v>REPISA</v>
          </cell>
          <cell r="P2738">
            <v>20000</v>
          </cell>
          <cell r="T2738" t="str">
            <v>Bueno</v>
          </cell>
          <cell r="U2738" t="str">
            <v>N/T</v>
          </cell>
        </row>
        <row r="2739">
          <cell r="J2739" t="str">
            <v>42-04-07-00-2731</v>
          </cell>
          <cell r="K2739" t="str">
            <v>SC-00587</v>
          </cell>
          <cell r="L2739" t="str">
            <v>42-04-07-00-2731</v>
          </cell>
          <cell r="M2739" t="str">
            <v>Porta cortinas metálico</v>
          </cell>
          <cell r="O2739" t="str">
            <v>OTROS</v>
          </cell>
          <cell r="P2739">
            <v>1500</v>
          </cell>
          <cell r="T2739" t="str">
            <v>Bueno</v>
          </cell>
          <cell r="U2739" t="str">
            <v>N/T</v>
          </cell>
        </row>
        <row r="2740">
          <cell r="J2740" t="str">
            <v>FN-04-07-00-2732</v>
          </cell>
          <cell r="K2740" t="str">
            <v>SC-00588</v>
          </cell>
          <cell r="L2740" t="str">
            <v>FN-04-07-00-2732</v>
          </cell>
          <cell r="M2740" t="str">
            <v>Cortinas de chinz mantequilla</v>
          </cell>
          <cell r="O2740" t="str">
            <v>OTROS FUNGIBLE / NOMINABLE</v>
          </cell>
          <cell r="P2740">
            <v>12000</v>
          </cell>
          <cell r="T2740" t="str">
            <v>Bueno</v>
          </cell>
          <cell r="U2740" t="str">
            <v>N/T</v>
          </cell>
        </row>
        <row r="2741">
          <cell r="J2741" t="str">
            <v>42-04-07-00-2733</v>
          </cell>
          <cell r="K2741" t="str">
            <v>SC-00589</v>
          </cell>
          <cell r="L2741" t="str">
            <v>42-04-07-00-2733</v>
          </cell>
          <cell r="M2741" t="str">
            <v>Percha de madera 4 ganchos</v>
          </cell>
          <cell r="O2741" t="str">
            <v>OTROS</v>
          </cell>
          <cell r="P2741">
            <v>15000</v>
          </cell>
          <cell r="T2741" t="str">
            <v>Bueno</v>
          </cell>
          <cell r="U2741" t="str">
            <v>N/T</v>
          </cell>
        </row>
        <row r="2742">
          <cell r="J2742" t="str">
            <v>FN-04-07-00-2734</v>
          </cell>
          <cell r="K2742" t="str">
            <v>SC-00590</v>
          </cell>
          <cell r="L2742" t="str">
            <v>FN-04-07-00-2734</v>
          </cell>
          <cell r="M2742" t="str">
            <v>Basureros</v>
          </cell>
          <cell r="O2742" t="str">
            <v>OTROS FUNGIBLE / NOMINABLE</v>
          </cell>
          <cell r="P2742">
            <v>3000</v>
          </cell>
          <cell r="T2742" t="str">
            <v>Bueno</v>
          </cell>
          <cell r="U2742" t="str">
            <v>N/T</v>
          </cell>
        </row>
        <row r="2743">
          <cell r="J2743" t="str">
            <v>42-04-07-00-2735</v>
          </cell>
          <cell r="K2743" t="str">
            <v>SC-00591</v>
          </cell>
          <cell r="L2743" t="str">
            <v>42-04-07-00-2735</v>
          </cell>
          <cell r="M2743" t="str">
            <v>Dispensadores confort Pisa</v>
          </cell>
          <cell r="O2743" t="str">
            <v>OTROS</v>
          </cell>
          <cell r="P2743">
            <v>17000</v>
          </cell>
          <cell r="T2743" t="str">
            <v>Bueno</v>
          </cell>
          <cell r="U2743" t="str">
            <v>N/T</v>
          </cell>
        </row>
        <row r="2744">
          <cell r="J2744" t="str">
            <v>42-04-07-00-2736</v>
          </cell>
          <cell r="K2744" t="str">
            <v>SC-00592</v>
          </cell>
          <cell r="L2744" t="str">
            <v>42-04-07-00-2736</v>
          </cell>
          <cell r="M2744" t="str">
            <v>Espejo 110x50 cms.</v>
          </cell>
          <cell r="O2744" t="str">
            <v>OTROS</v>
          </cell>
          <cell r="P2744">
            <v>10000</v>
          </cell>
          <cell r="T2744" t="str">
            <v>Bueno</v>
          </cell>
          <cell r="U2744" t="str">
            <v>N/T</v>
          </cell>
        </row>
        <row r="2745">
          <cell r="J2745" t="str">
            <v>42-04-07-00-2737</v>
          </cell>
          <cell r="K2745" t="str">
            <v>SC-00593</v>
          </cell>
          <cell r="L2745" t="str">
            <v>42-04-07-00-2737</v>
          </cell>
          <cell r="M2745" t="str">
            <v>Ducha teléfono</v>
          </cell>
          <cell r="O2745" t="str">
            <v>OTROS</v>
          </cell>
          <cell r="P2745">
            <v>5000</v>
          </cell>
          <cell r="T2745" t="str">
            <v>Bueno</v>
          </cell>
          <cell r="U2745" t="str">
            <v>N/T</v>
          </cell>
        </row>
        <row r="2746">
          <cell r="J2746" t="str">
            <v>42-05-02-01-2738</v>
          </cell>
          <cell r="K2746" t="str">
            <v>SC-00594</v>
          </cell>
          <cell r="L2746" t="str">
            <v>42-05-02-01-2738</v>
          </cell>
          <cell r="M2746" t="str">
            <v>Alza cama</v>
          </cell>
          <cell r="O2746" t="str">
            <v>EQUIPOS CLINICOS</v>
          </cell>
          <cell r="P2746">
            <v>40000</v>
          </cell>
          <cell r="T2746" t="str">
            <v>Bueno</v>
          </cell>
          <cell r="U2746" t="str">
            <v>N/T</v>
          </cell>
        </row>
        <row r="2747">
          <cell r="J2747" t="str">
            <v>FN-04-07-00-2739</v>
          </cell>
          <cell r="K2747" t="str">
            <v>SC-00595</v>
          </cell>
          <cell r="L2747" t="str">
            <v>FN-04-07-00-2739</v>
          </cell>
          <cell r="M2747" t="str">
            <v>Porta cortinas metálicos</v>
          </cell>
          <cell r="O2747" t="str">
            <v>OTROS FUNGIBLE / NOMINABLE</v>
          </cell>
          <cell r="P2747">
            <v>1500</v>
          </cell>
          <cell r="T2747" t="str">
            <v>Bueno</v>
          </cell>
          <cell r="U2747" t="str">
            <v>N/T</v>
          </cell>
        </row>
        <row r="2748">
          <cell r="J2748" t="str">
            <v>FN-04-07-00-2740</v>
          </cell>
          <cell r="K2748" t="str">
            <v>SC-00596</v>
          </cell>
          <cell r="L2748" t="str">
            <v>FN-04-07-00-2740</v>
          </cell>
          <cell r="M2748" t="str">
            <v>Cortinas de chinz color rosado con cenefas</v>
          </cell>
          <cell r="O2748" t="str">
            <v>OTROS FUNGIBLE / NOMINABLE</v>
          </cell>
          <cell r="P2748">
            <v>12000</v>
          </cell>
          <cell r="T2748" t="str">
            <v>Bueno</v>
          </cell>
          <cell r="U2748" t="str">
            <v>N/T</v>
          </cell>
        </row>
        <row r="2749">
          <cell r="J2749" t="str">
            <v>42-05-01-01-2741</v>
          </cell>
          <cell r="K2749" t="str">
            <v>42-1206B</v>
          </cell>
          <cell r="L2749" t="str">
            <v>Reloj de pared</v>
          </cell>
          <cell r="M2749" t="str">
            <v>Reloj de pared</v>
          </cell>
          <cell r="O2749" t="str">
            <v>EQUIPO DE OFICINA</v>
          </cell>
          <cell r="P2749">
            <v>7500</v>
          </cell>
          <cell r="T2749" t="str">
            <v>Bueno</v>
          </cell>
          <cell r="U2749" t="str">
            <v>N/T</v>
          </cell>
        </row>
        <row r="2750">
          <cell r="J2750" t="str">
            <v>42-05-01-01-2742</v>
          </cell>
          <cell r="K2750" t="str">
            <v>SC-00598</v>
          </cell>
          <cell r="L2750" t="str">
            <v>42-05-01-01-2742</v>
          </cell>
          <cell r="M2750" t="str">
            <v>Termómetro ambiental</v>
          </cell>
          <cell r="O2750" t="str">
            <v>EQUIPO DE OFICINA</v>
          </cell>
          <cell r="P2750">
            <v>5900</v>
          </cell>
          <cell r="T2750" t="str">
            <v>Bueno</v>
          </cell>
          <cell r="U2750" t="str">
            <v>N/T</v>
          </cell>
        </row>
        <row r="2751">
          <cell r="J2751" t="str">
            <v>42-05-02-01-2743</v>
          </cell>
          <cell r="K2751" t="str">
            <v>SC-00599</v>
          </cell>
          <cell r="L2751" t="str">
            <v>42-05-02-01-2743</v>
          </cell>
          <cell r="M2751" t="str">
            <v>Porta suero metálico adosado a la pared</v>
          </cell>
          <cell r="O2751" t="str">
            <v>EQUIPOS CLINICOS</v>
          </cell>
          <cell r="P2751">
            <v>19000</v>
          </cell>
          <cell r="T2751" t="str">
            <v>Bueno</v>
          </cell>
          <cell r="U2751" t="str">
            <v>N/T</v>
          </cell>
        </row>
        <row r="2752">
          <cell r="J2752" t="str">
            <v>42-04-07-00-2744</v>
          </cell>
          <cell r="K2752" t="str">
            <v>SC-00600</v>
          </cell>
          <cell r="L2752" t="str">
            <v>42-04-07-00-2744</v>
          </cell>
          <cell r="M2752" t="str">
            <v>Colchones de cuna</v>
          </cell>
          <cell r="O2752" t="str">
            <v>OTROS</v>
          </cell>
          <cell r="P2752">
            <v>35000</v>
          </cell>
          <cell r="T2752" t="str">
            <v>Bueno</v>
          </cell>
          <cell r="U2752" t="str">
            <v>N/T</v>
          </cell>
        </row>
        <row r="2753">
          <cell r="J2753" t="str">
            <v>42-04-07-00-2745</v>
          </cell>
          <cell r="K2753" t="str">
            <v>SC-00601</v>
          </cell>
          <cell r="L2753" t="str">
            <v>42-04-07-00-2745</v>
          </cell>
          <cell r="M2753" t="str">
            <v>Basurero plástico blanco con tapa</v>
          </cell>
          <cell r="O2753" t="str">
            <v>OTROS</v>
          </cell>
          <cell r="P2753">
            <v>3500</v>
          </cell>
          <cell r="T2753" t="str">
            <v>Bueno</v>
          </cell>
          <cell r="U2753" t="str">
            <v>N/T</v>
          </cell>
        </row>
        <row r="2754">
          <cell r="J2754" t="str">
            <v>42-06-01-00-2746</v>
          </cell>
          <cell r="K2754" t="str">
            <v>SC-00602</v>
          </cell>
          <cell r="L2754" t="str">
            <v>42-06-01-00-2746</v>
          </cell>
          <cell r="M2754" t="str">
            <v>Monitor Mod. AY - 12P3A S/N° A73109M1AY01081</v>
          </cell>
          <cell r="O2754" t="str">
            <v>EQUIPOS COMPUTACIONALES Y PERIFÉRICOS</v>
          </cell>
          <cell r="P2754">
            <v>578000</v>
          </cell>
          <cell r="T2754" t="str">
            <v>Bueno</v>
          </cell>
          <cell r="U2754" t="str">
            <v>N/T</v>
          </cell>
        </row>
        <row r="2755">
          <cell r="J2755" t="str">
            <v>42-05-02-01-2747</v>
          </cell>
          <cell r="K2755" t="str">
            <v>SC-00603</v>
          </cell>
          <cell r="L2755" t="str">
            <v>42-05-02-01-2747</v>
          </cell>
          <cell r="M2755" t="str">
            <v>Transductor convexo Mod. C2 - SET S/N° A6B919310002481</v>
          </cell>
          <cell r="O2755" t="str">
            <v>EQUIPOS CLINICOS</v>
          </cell>
          <cell r="P2755">
            <v>300000</v>
          </cell>
          <cell r="T2755" t="str">
            <v>Bueno</v>
          </cell>
          <cell r="U2755" t="str">
            <v>N/T</v>
          </cell>
        </row>
        <row r="2756">
          <cell r="J2756" t="str">
            <v>42-05-02-01-2748</v>
          </cell>
          <cell r="K2756" t="str">
            <v>SC-00604</v>
          </cell>
          <cell r="L2756" t="str">
            <v>42-05-02-01-2748</v>
          </cell>
          <cell r="M2756" t="str">
            <v>Transductor endocavitario Mod. EC4 - 9/10ED S/N° A71900008903096</v>
          </cell>
          <cell r="O2756" t="str">
            <v>EQUIPOS CLINICOS</v>
          </cell>
          <cell r="P2756">
            <v>200000</v>
          </cell>
          <cell r="T2756" t="str">
            <v>Bueno</v>
          </cell>
          <cell r="U2756" t="str">
            <v>N/T</v>
          </cell>
        </row>
        <row r="2757">
          <cell r="J2757" t="str">
            <v>42-05-02-01-2749</v>
          </cell>
          <cell r="K2757" t="str">
            <v>SC-00605</v>
          </cell>
          <cell r="L2757" t="str">
            <v>42-05-02-01-2749</v>
          </cell>
          <cell r="M2757" t="str">
            <v>Video printer Mitsubishi Mod. P93W S/N° 1072002</v>
          </cell>
          <cell r="O2757" t="str">
            <v>EQUIPOS CLINICOS</v>
          </cell>
          <cell r="P2757">
            <v>25300</v>
          </cell>
          <cell r="T2757" t="str">
            <v>Bueno</v>
          </cell>
          <cell r="U2757" t="str">
            <v>Mitsubishi</v>
          </cell>
        </row>
        <row r="2758">
          <cell r="J2758" t="str">
            <v>42-06-01-00-2750</v>
          </cell>
          <cell r="K2758" t="str">
            <v>SC-00606</v>
          </cell>
          <cell r="L2758" t="str">
            <v>42-06-01-00-2750</v>
          </cell>
          <cell r="M2758" t="str">
            <v>UPS RS 1500 VA S/N° NB0642016210 Dicom</v>
          </cell>
          <cell r="O2758" t="str">
            <v>EQUIPOS COMPUTACIONALES Y PERIFÉRICOS</v>
          </cell>
          <cell r="P2758">
            <v>116860</v>
          </cell>
          <cell r="T2758" t="str">
            <v>Bueno</v>
          </cell>
          <cell r="U2758" t="str">
            <v>Dicom</v>
          </cell>
        </row>
        <row r="2759">
          <cell r="J2759" t="str">
            <v>42-04-07-00-2751</v>
          </cell>
          <cell r="K2759" t="str">
            <v>SC-00607</v>
          </cell>
          <cell r="L2759" t="str">
            <v>42-04-07-00-2751</v>
          </cell>
          <cell r="M2759" t="str">
            <v>Sillón cuero c/5 ruedas color burdeo</v>
          </cell>
          <cell r="O2759" t="str">
            <v>OTROS</v>
          </cell>
          <cell r="P2759">
            <v>110000</v>
          </cell>
          <cell r="T2759" t="str">
            <v>Bueno</v>
          </cell>
          <cell r="U2759" t="str">
            <v>N/T</v>
          </cell>
        </row>
        <row r="2760">
          <cell r="J2760" t="str">
            <v>42-04-07-00-2752</v>
          </cell>
          <cell r="K2760" t="str">
            <v>SC-00608</v>
          </cell>
          <cell r="L2760" t="str">
            <v>42-04-07-00-2752</v>
          </cell>
          <cell r="M2760" t="str">
            <v>Basurero plástico con tapa color blanco</v>
          </cell>
          <cell r="O2760" t="str">
            <v>OTROS</v>
          </cell>
          <cell r="P2760">
            <v>3000</v>
          </cell>
          <cell r="T2760" t="str">
            <v>Bueno</v>
          </cell>
          <cell r="U2760" t="str">
            <v>N/T</v>
          </cell>
        </row>
        <row r="2761">
          <cell r="J2761" t="str">
            <v>42-05-01-01-2753</v>
          </cell>
          <cell r="K2761" t="str">
            <v>SC-00609</v>
          </cell>
          <cell r="L2761" t="str">
            <v>42-05-01-01-2753</v>
          </cell>
          <cell r="M2761" t="str">
            <v>Refrigerador Fensa de color plomo Mod. Tension V Progess 3805</v>
          </cell>
          <cell r="O2761" t="str">
            <v>EQUIPO DE OFICINA</v>
          </cell>
          <cell r="P2761">
            <v>150000</v>
          </cell>
          <cell r="T2761" t="str">
            <v>Bueno</v>
          </cell>
          <cell r="U2761" t="str">
            <v>Fensa</v>
          </cell>
        </row>
        <row r="2762">
          <cell r="J2762" t="str">
            <v>FN-05-02-02-2754</v>
          </cell>
          <cell r="K2762" t="str">
            <v>SC-00610</v>
          </cell>
          <cell r="L2762" t="str">
            <v>FN-05-02-02-2754</v>
          </cell>
          <cell r="M2762" t="str">
            <v>Tablas de picar medianas de  color blanco</v>
          </cell>
          <cell r="O2762" t="str">
            <v>EQUIPOS DE COCINA FUNGIBLE / NOMINABLE</v>
          </cell>
          <cell r="P2762">
            <v>4500</v>
          </cell>
          <cell r="T2762" t="str">
            <v>Bueno</v>
          </cell>
          <cell r="U2762" t="str">
            <v>N/T</v>
          </cell>
        </row>
        <row r="2763">
          <cell r="J2763" t="str">
            <v>42-05-02-02-2755</v>
          </cell>
          <cell r="K2763" t="str">
            <v>SC-00611</v>
          </cell>
          <cell r="L2763" t="str">
            <v>42-05-02-02-2755</v>
          </cell>
          <cell r="M2763" t="str">
            <v>Asadera chica</v>
          </cell>
          <cell r="O2763" t="str">
            <v>EQUIPOS DE COCINA</v>
          </cell>
          <cell r="P2763">
            <v>1990</v>
          </cell>
          <cell r="T2763" t="str">
            <v>Bueno</v>
          </cell>
          <cell r="U2763" t="str">
            <v>N/T</v>
          </cell>
        </row>
        <row r="2764">
          <cell r="J2764" t="str">
            <v>FN-05-02-02-2756</v>
          </cell>
          <cell r="K2764" t="str">
            <v>SC-00612</v>
          </cell>
          <cell r="L2764" t="str">
            <v>FN-05-02-02-2756</v>
          </cell>
          <cell r="M2764" t="str">
            <v>Asadera de aluminio grandes</v>
          </cell>
          <cell r="O2764" t="str">
            <v>EQUIPOS DE COCINA FUNGIBLE / NOMINABLE</v>
          </cell>
          <cell r="P2764">
            <v>2490</v>
          </cell>
          <cell r="T2764" t="str">
            <v>Bueno</v>
          </cell>
          <cell r="U2764" t="str">
            <v>N/T</v>
          </cell>
        </row>
        <row r="2765">
          <cell r="J2765" t="str">
            <v>42-05-02-02-2757</v>
          </cell>
          <cell r="K2765" t="str">
            <v>SC-00613</v>
          </cell>
          <cell r="L2765" t="str">
            <v>42-05-02-02-2757</v>
          </cell>
          <cell r="M2765" t="str">
            <v>Asaderas de aluminio grandes Fantuzzi</v>
          </cell>
          <cell r="O2765" t="str">
            <v>EQUIPOS DE COCINA</v>
          </cell>
          <cell r="P2765">
            <v>3990</v>
          </cell>
          <cell r="T2765" t="str">
            <v>Bueno</v>
          </cell>
          <cell r="U2765" t="str">
            <v>Fantuzzi</v>
          </cell>
        </row>
        <row r="2766">
          <cell r="J2766" t="str">
            <v>FN-05-02-02-2758</v>
          </cell>
          <cell r="K2766" t="str">
            <v>SC-00614</v>
          </cell>
          <cell r="L2766" t="str">
            <v>FN-05-02-02-2758</v>
          </cell>
          <cell r="M2766" t="str">
            <v>Azucareros de acero inoxidable</v>
          </cell>
          <cell r="O2766" t="str">
            <v>EQUIPOS DE COCINA FUNGIBLE / NOMINABLE</v>
          </cell>
          <cell r="P2766">
            <v>990</v>
          </cell>
          <cell r="T2766" t="str">
            <v>Bueno</v>
          </cell>
          <cell r="U2766" t="str">
            <v>N/T</v>
          </cell>
        </row>
        <row r="2767">
          <cell r="J2767" t="str">
            <v>42-05-02-02-2759</v>
          </cell>
          <cell r="K2767" t="str">
            <v>SC-00615</v>
          </cell>
          <cell r="L2767" t="str">
            <v>42-05-02-02-2759</v>
          </cell>
          <cell r="M2767" t="str">
            <v>Bandejas rectangulares aluminio grandes 49x34 cms.</v>
          </cell>
          <cell r="O2767" t="str">
            <v>EQUIPOS DE COCINA</v>
          </cell>
          <cell r="P2767">
            <v>2490</v>
          </cell>
          <cell r="T2767" t="str">
            <v>Bueno</v>
          </cell>
          <cell r="U2767" t="str">
            <v>N/T</v>
          </cell>
        </row>
        <row r="2768">
          <cell r="J2768" t="str">
            <v>FN-05-02-02-2760</v>
          </cell>
          <cell r="K2768" t="str">
            <v>SC-00616</v>
          </cell>
          <cell r="L2768" t="str">
            <v>FN-05-02-02-2760</v>
          </cell>
          <cell r="M2768" t="str">
            <v>Bandejas de aluminio grandes redondas</v>
          </cell>
          <cell r="O2768" t="str">
            <v>EQUIPOS DE COCINA FUNGIBLE / NOMINABLE</v>
          </cell>
          <cell r="P2768">
            <v>1990</v>
          </cell>
          <cell r="T2768" t="str">
            <v>Bueno</v>
          </cell>
          <cell r="U2768" t="str">
            <v>N/T</v>
          </cell>
        </row>
        <row r="2769">
          <cell r="J2769" t="str">
            <v>42-05-02-02-2761</v>
          </cell>
          <cell r="K2769" t="str">
            <v>SC-00617</v>
          </cell>
          <cell r="L2769" t="str">
            <v>42-05-02-02-2761</v>
          </cell>
          <cell r="M2769" t="str">
            <v>Bandejas plásticas rectangulares de colores</v>
          </cell>
          <cell r="O2769" t="str">
            <v>EQUIPOS DE COCINA</v>
          </cell>
          <cell r="P2769">
            <v>1490</v>
          </cell>
          <cell r="T2769" t="str">
            <v>Bueno</v>
          </cell>
          <cell r="U2769" t="str">
            <v>N/T</v>
          </cell>
        </row>
        <row r="2770">
          <cell r="J2770" t="str">
            <v>FN-05-02-02-2762</v>
          </cell>
          <cell r="K2770" t="str">
            <v>SC-00618</v>
          </cell>
          <cell r="L2770" t="str">
            <v>FN-05-02-02-2762</v>
          </cell>
          <cell r="M2770" t="str">
            <v>Bandejas redondas enlozadas</v>
          </cell>
          <cell r="O2770" t="str">
            <v>EQUIPOS DE COCINA FUNGIBLE / NOMINABLE</v>
          </cell>
          <cell r="P2770">
            <v>2990</v>
          </cell>
          <cell r="T2770" t="str">
            <v>Bueno</v>
          </cell>
          <cell r="U2770" t="str">
            <v>N/T</v>
          </cell>
        </row>
        <row r="2771">
          <cell r="J2771" t="str">
            <v>FN-05-02-02-2763</v>
          </cell>
          <cell r="K2771" t="str">
            <v>SC-00619</v>
          </cell>
          <cell r="L2771" t="str">
            <v>FN-05-02-02-2763</v>
          </cell>
          <cell r="M2771" t="str">
            <v>Bandejas cuadradas de aluminio</v>
          </cell>
          <cell r="O2771" t="str">
            <v>EQUIPOS DE COCINA FUNGIBLE / NOMINABLE</v>
          </cell>
          <cell r="P2771">
            <v>2990</v>
          </cell>
          <cell r="T2771" t="str">
            <v>Bueno</v>
          </cell>
          <cell r="U2771" t="str">
            <v>N/T</v>
          </cell>
        </row>
        <row r="2772">
          <cell r="J2772" t="str">
            <v>FN-05-02-02-2764</v>
          </cell>
          <cell r="K2772" t="str">
            <v>SC-00620</v>
          </cell>
          <cell r="L2772" t="str">
            <v>FN-05-02-02-2764</v>
          </cell>
          <cell r="M2772" t="str">
            <v>Bandejas cuadradas de karey</v>
          </cell>
          <cell r="O2772" t="str">
            <v>EQUIPOS DE COCINA FUNGIBLE / NOMINABLE</v>
          </cell>
          <cell r="P2772">
            <v>2000</v>
          </cell>
          <cell r="T2772" t="str">
            <v>Bueno</v>
          </cell>
          <cell r="U2772" t="str">
            <v>N/T</v>
          </cell>
        </row>
        <row r="2773">
          <cell r="J2773" t="str">
            <v>FN-05-02-02-2765</v>
          </cell>
          <cell r="K2773" t="str">
            <v>SC-00621</v>
          </cell>
          <cell r="L2773" t="str">
            <v>FN-05-02-02-2765</v>
          </cell>
          <cell r="M2773" t="str">
            <v>Loncheras cuadradas de color rojo/ azul</v>
          </cell>
          <cell r="O2773" t="str">
            <v>EQUIPOS DE COCINA FUNGIBLE / NOMINABLE</v>
          </cell>
          <cell r="P2773">
            <v>5000</v>
          </cell>
          <cell r="T2773" t="str">
            <v>Bueno</v>
          </cell>
          <cell r="U2773" t="str">
            <v>N/T</v>
          </cell>
        </row>
        <row r="2774">
          <cell r="J2774" t="str">
            <v>42-05-02-02-2766</v>
          </cell>
          <cell r="K2774" t="str">
            <v>SC-00622</v>
          </cell>
          <cell r="L2774" t="str">
            <v>42-05-02-02-2766</v>
          </cell>
          <cell r="M2774" t="str">
            <v>Lechero enlozado de aluminio de 3 lts.</v>
          </cell>
          <cell r="O2774" t="str">
            <v>EQUIPOS DE COCINA</v>
          </cell>
          <cell r="P2774">
            <v>2000</v>
          </cell>
          <cell r="T2774" t="str">
            <v>Bueno</v>
          </cell>
          <cell r="U2774" t="str">
            <v>N/T</v>
          </cell>
        </row>
        <row r="2775">
          <cell r="J2775" t="str">
            <v>42-05-02-02-2767</v>
          </cell>
          <cell r="K2775" t="str">
            <v>SC-00623</v>
          </cell>
          <cell r="L2775" t="str">
            <v>42-05-02-02-2767</v>
          </cell>
          <cell r="M2775" t="str">
            <v>Bol acero inoxidable 28 cms.</v>
          </cell>
          <cell r="O2775" t="str">
            <v>EQUIPOS DE COCINA</v>
          </cell>
          <cell r="P2775">
            <v>2490</v>
          </cell>
          <cell r="T2775" t="str">
            <v>Bueno</v>
          </cell>
          <cell r="U2775" t="str">
            <v>N/T</v>
          </cell>
        </row>
        <row r="2776">
          <cell r="J2776" t="str">
            <v>42-05-02-02-2768</v>
          </cell>
          <cell r="K2776" t="str">
            <v>SC-00624</v>
          </cell>
          <cell r="L2776" t="str">
            <v>42-05-02-02-2768</v>
          </cell>
          <cell r="M2776" t="str">
            <v>Bol acero inoxidable 30 cms.</v>
          </cell>
          <cell r="O2776" t="str">
            <v>EQUIPOS DE COCINA</v>
          </cell>
          <cell r="P2776">
            <v>2490</v>
          </cell>
          <cell r="T2776" t="str">
            <v>Bueno</v>
          </cell>
          <cell r="U2776" t="str">
            <v>N/T</v>
          </cell>
        </row>
        <row r="2777">
          <cell r="J2777" t="str">
            <v>42-05-02-02-2769</v>
          </cell>
          <cell r="K2777" t="str">
            <v>SC-00625</v>
          </cell>
          <cell r="L2777" t="str">
            <v>42-05-02-02-2769</v>
          </cell>
          <cell r="M2777" t="str">
            <v>Colador estañado de 7 cm strainer</v>
          </cell>
          <cell r="O2777" t="str">
            <v>EQUIPOS DE COCINA</v>
          </cell>
          <cell r="P2777">
            <v>1500</v>
          </cell>
          <cell r="T2777" t="str">
            <v>Bueno</v>
          </cell>
          <cell r="U2777" t="str">
            <v>N/T</v>
          </cell>
        </row>
        <row r="2778">
          <cell r="J2778" t="str">
            <v>42-05-02-02-2770</v>
          </cell>
          <cell r="K2778" t="str">
            <v>SC-00626</v>
          </cell>
          <cell r="L2778" t="str">
            <v>42-05-02-02-2770</v>
          </cell>
          <cell r="M2778" t="str">
            <v>Colador estañado de 10 cm strainer</v>
          </cell>
          <cell r="O2778" t="str">
            <v>EQUIPOS DE COCINA</v>
          </cell>
          <cell r="P2778">
            <v>2900</v>
          </cell>
          <cell r="T2778" t="str">
            <v>Bueno</v>
          </cell>
          <cell r="U2778" t="str">
            <v>N/T</v>
          </cell>
        </row>
        <row r="2779">
          <cell r="J2779" t="str">
            <v>42-05-02-02-2771</v>
          </cell>
          <cell r="K2779" t="str">
            <v>SC-00627</v>
          </cell>
          <cell r="L2779" t="str">
            <v>42-05-02-02-2771</v>
          </cell>
          <cell r="M2779" t="str">
            <v>Rallador metalez de acero inoxidable</v>
          </cell>
          <cell r="O2779" t="str">
            <v>EQUIPOS DE COCINA</v>
          </cell>
          <cell r="P2779">
            <v>1150</v>
          </cell>
          <cell r="T2779" t="str">
            <v>Bueno</v>
          </cell>
          <cell r="U2779" t="str">
            <v>N/T</v>
          </cell>
        </row>
        <row r="2780">
          <cell r="J2780" t="str">
            <v>FN-05-02-02-2772</v>
          </cell>
          <cell r="K2780" t="str">
            <v>SC-00628</v>
          </cell>
          <cell r="L2780" t="str">
            <v>FN-05-02-02-2772</v>
          </cell>
          <cell r="M2780" t="str">
            <v>Bombillas</v>
          </cell>
          <cell r="O2780" t="str">
            <v>EQUIPOS DE COCINA FUNGIBLE / NOMINABLE</v>
          </cell>
          <cell r="P2780">
            <v>600</v>
          </cell>
          <cell r="T2780" t="str">
            <v>Bueno</v>
          </cell>
          <cell r="U2780" t="str">
            <v>N/T</v>
          </cell>
        </row>
        <row r="2781">
          <cell r="J2781" t="str">
            <v>42-05-02-02-2773</v>
          </cell>
          <cell r="K2781" t="str">
            <v>SC-00629</v>
          </cell>
          <cell r="L2781" t="str">
            <v>42-05-02-02-2773</v>
          </cell>
          <cell r="M2781" t="str">
            <v>Cafeteras de acero inoxidable chicas</v>
          </cell>
          <cell r="O2781" t="str">
            <v>EQUIPOS DE COCINA</v>
          </cell>
          <cell r="P2781">
            <v>1400</v>
          </cell>
          <cell r="T2781" t="str">
            <v>Bueno</v>
          </cell>
          <cell r="U2781" t="str">
            <v>N/T</v>
          </cell>
        </row>
        <row r="2782">
          <cell r="J2782" t="str">
            <v>42-04-07-00-2774</v>
          </cell>
          <cell r="K2782" t="str">
            <v>SC-00630</v>
          </cell>
          <cell r="L2782" t="str">
            <v>42-04-07-00-2774</v>
          </cell>
          <cell r="M2782" t="str">
            <v>Caja plástica para el pan</v>
          </cell>
          <cell r="O2782" t="str">
            <v>OTROS</v>
          </cell>
          <cell r="P2782">
            <v>3500</v>
          </cell>
          <cell r="T2782" t="str">
            <v>Bueno</v>
          </cell>
          <cell r="U2782" t="str">
            <v>N/T</v>
          </cell>
        </row>
        <row r="2783">
          <cell r="J2783" t="str">
            <v>FN-05-02-02-2775</v>
          </cell>
          <cell r="K2783" t="str">
            <v>SC-00631</v>
          </cell>
          <cell r="L2783" t="str">
            <v>FN-05-02-02-2775</v>
          </cell>
          <cell r="M2783" t="str">
            <v>Coladores de aluminio con base</v>
          </cell>
          <cell r="O2783" t="str">
            <v>EQUIPOS DE COCINA FUNGIBLE / NOMINABLE</v>
          </cell>
          <cell r="P2783">
            <v>1500</v>
          </cell>
          <cell r="T2783" t="str">
            <v>Bueno</v>
          </cell>
          <cell r="U2783" t="str">
            <v>N/T</v>
          </cell>
        </row>
        <row r="2784">
          <cell r="J2784" t="str">
            <v>FN-05-02-02-2776</v>
          </cell>
          <cell r="K2784" t="str">
            <v>SC-00632</v>
          </cell>
          <cell r="L2784" t="str">
            <v>FN-05-02-02-2776</v>
          </cell>
          <cell r="M2784" t="str">
            <v>Cucharas grandes</v>
          </cell>
          <cell r="O2784" t="str">
            <v>EQUIPOS DE COCINA FUNGIBLE / NOMINABLE</v>
          </cell>
          <cell r="P2784">
            <v>200</v>
          </cell>
          <cell r="T2784" t="str">
            <v>Bueno</v>
          </cell>
          <cell r="U2784" t="str">
            <v>N/T</v>
          </cell>
        </row>
        <row r="2785">
          <cell r="J2785" t="str">
            <v>FN-05-02-02-2777</v>
          </cell>
          <cell r="K2785" t="str">
            <v>SC-00633</v>
          </cell>
          <cell r="L2785" t="str">
            <v>FN-05-02-02-2777</v>
          </cell>
          <cell r="M2785" t="str">
            <v>Cucharas de te</v>
          </cell>
          <cell r="O2785" t="str">
            <v>EQUIPOS DE COCINA FUNGIBLE / NOMINABLE</v>
          </cell>
          <cell r="P2785">
            <v>120</v>
          </cell>
          <cell r="T2785" t="str">
            <v>Bueno</v>
          </cell>
          <cell r="U2785" t="str">
            <v>N/T</v>
          </cell>
        </row>
        <row r="2786">
          <cell r="J2786" t="str">
            <v>FN-05-02-02-2778</v>
          </cell>
          <cell r="K2786" t="str">
            <v>SC-00634</v>
          </cell>
          <cell r="L2786" t="str">
            <v>FN-05-02-02-2778</v>
          </cell>
          <cell r="M2786" t="str">
            <v>Cucharones de acero inoxidable</v>
          </cell>
          <cell r="O2786" t="str">
            <v>EQUIPOS DE COCINA FUNGIBLE / NOMINABLE</v>
          </cell>
          <cell r="P2786">
            <v>1200</v>
          </cell>
          <cell r="T2786" t="str">
            <v>Bueno</v>
          </cell>
          <cell r="U2786" t="str">
            <v>N/T</v>
          </cell>
        </row>
        <row r="2787">
          <cell r="J2787" t="str">
            <v>FN-05-02-02-2779</v>
          </cell>
          <cell r="K2787" t="str">
            <v>SC-00635</v>
          </cell>
          <cell r="L2787" t="str">
            <v>FN-05-02-02-2779</v>
          </cell>
          <cell r="M2787" t="str">
            <v>Cuchillos</v>
          </cell>
          <cell r="O2787" t="str">
            <v>EQUIPOS DE COCINA FUNGIBLE / NOMINABLE</v>
          </cell>
          <cell r="P2787">
            <v>200</v>
          </cell>
          <cell r="T2787" t="str">
            <v>Bueno</v>
          </cell>
          <cell r="U2787" t="str">
            <v>N/T</v>
          </cell>
        </row>
        <row r="2788">
          <cell r="J2788" t="str">
            <v>42-05-02-02-2780</v>
          </cell>
          <cell r="K2788" t="str">
            <v>SC-00636</v>
          </cell>
          <cell r="L2788" t="str">
            <v>42-05-02-02-2780</v>
          </cell>
          <cell r="M2788" t="str">
            <v>Destapador de tarros</v>
          </cell>
          <cell r="O2788" t="str">
            <v>EQUIPOS DE COCINA</v>
          </cell>
          <cell r="P2788">
            <v>500</v>
          </cell>
          <cell r="T2788" t="str">
            <v>Bueno</v>
          </cell>
          <cell r="U2788" t="str">
            <v>N/T</v>
          </cell>
        </row>
        <row r="2789">
          <cell r="J2789" t="str">
            <v>FN-05-02-02-2781</v>
          </cell>
          <cell r="K2789" t="str">
            <v>SC-00637</v>
          </cell>
          <cell r="L2789" t="str">
            <v>FN-05-02-02-2781</v>
          </cell>
          <cell r="M2789" t="str">
            <v>Espumadores de aluminio chico</v>
          </cell>
          <cell r="O2789" t="str">
            <v>EQUIPOS DE COCINA FUNGIBLE / NOMINABLE</v>
          </cell>
          <cell r="P2789">
            <v>900</v>
          </cell>
          <cell r="T2789" t="str">
            <v>Bueno</v>
          </cell>
          <cell r="U2789" t="str">
            <v>N/T</v>
          </cell>
        </row>
        <row r="2790">
          <cell r="J2790" t="str">
            <v>FN-05-02-02-2782</v>
          </cell>
          <cell r="K2790" t="str">
            <v>SC-00638</v>
          </cell>
          <cell r="L2790" t="str">
            <v>FN-05-02-02-2782</v>
          </cell>
          <cell r="M2790" t="str">
            <v>Bandejas de color café claro</v>
          </cell>
          <cell r="O2790" t="str">
            <v>EQUIPOS DE COCINA FUNGIBLE / NOMINABLE</v>
          </cell>
          <cell r="P2790">
            <v>4500</v>
          </cell>
          <cell r="T2790" t="str">
            <v>Bueno</v>
          </cell>
          <cell r="U2790" t="str">
            <v>N/T</v>
          </cell>
        </row>
        <row r="2791">
          <cell r="J2791" t="str">
            <v>FN-05-02-02-2783</v>
          </cell>
          <cell r="K2791" t="str">
            <v>SC-00639</v>
          </cell>
          <cell r="L2791" t="str">
            <v>FN-05-02-02-2783</v>
          </cell>
          <cell r="M2791" t="str">
            <v>Jarros enlozados chicos</v>
          </cell>
          <cell r="O2791" t="str">
            <v>EQUIPOS DE COCINA FUNGIBLE / NOMINABLE</v>
          </cell>
          <cell r="P2791">
            <v>350</v>
          </cell>
          <cell r="T2791" t="str">
            <v>Bueno</v>
          </cell>
          <cell r="U2791" t="str">
            <v>N/T</v>
          </cell>
        </row>
        <row r="2792">
          <cell r="J2792" t="str">
            <v>FN-05-02-02-2784</v>
          </cell>
          <cell r="K2792" t="str">
            <v>SC-00640</v>
          </cell>
          <cell r="L2792" t="str">
            <v>FN-05-02-02-2784</v>
          </cell>
          <cell r="M2792" t="str">
            <v>Jarros plásticos de agua de 1 ½ Lts</v>
          </cell>
          <cell r="O2792" t="str">
            <v>EQUIPOS DE COCINA FUNGIBLE / NOMINABLE</v>
          </cell>
          <cell r="P2792">
            <v>650</v>
          </cell>
          <cell r="T2792" t="str">
            <v>Bueno</v>
          </cell>
          <cell r="U2792" t="str">
            <v>N/T</v>
          </cell>
        </row>
        <row r="2793">
          <cell r="J2793" t="str">
            <v>42-05-02-02-2785</v>
          </cell>
          <cell r="K2793" t="str">
            <v>SC-00641</v>
          </cell>
          <cell r="L2793" t="str">
            <v>42-05-02-02-2785</v>
          </cell>
          <cell r="M2793" t="str">
            <v>Jarro alumino par té</v>
          </cell>
          <cell r="O2793" t="str">
            <v>EQUIPOS DE COCINA</v>
          </cell>
          <cell r="P2793">
            <v>700</v>
          </cell>
          <cell r="T2793" t="str">
            <v>Bueno</v>
          </cell>
          <cell r="U2793" t="str">
            <v>N/T</v>
          </cell>
        </row>
        <row r="2794">
          <cell r="J2794" t="str">
            <v>FN-05-02-02-2786</v>
          </cell>
          <cell r="K2794" t="str">
            <v>SC-00642</v>
          </cell>
          <cell r="L2794" t="str">
            <v>FN-05-02-02-2786</v>
          </cell>
          <cell r="M2794" t="str">
            <v>Mantequilleros miniatura de vidrio</v>
          </cell>
          <cell r="O2794" t="str">
            <v>EQUIPOS DE COCINA FUNGIBLE / NOMINABLE</v>
          </cell>
          <cell r="P2794">
            <v>300</v>
          </cell>
          <cell r="T2794" t="str">
            <v>Bueno</v>
          </cell>
          <cell r="U2794" t="str">
            <v>N/T</v>
          </cell>
        </row>
        <row r="2795">
          <cell r="J2795" t="str">
            <v>FN-05-02-02-2787</v>
          </cell>
          <cell r="K2795" t="str">
            <v>SC-00643</v>
          </cell>
          <cell r="L2795" t="str">
            <v>FN-05-02-02-2787</v>
          </cell>
          <cell r="M2795" t="str">
            <v>Ollas de aluminio chicas</v>
          </cell>
          <cell r="O2795" t="str">
            <v>EQUIPOS DE COCINA FUNGIBLE / NOMINABLE</v>
          </cell>
          <cell r="P2795">
            <v>3990</v>
          </cell>
          <cell r="T2795" t="str">
            <v>Bueno</v>
          </cell>
          <cell r="U2795" t="str">
            <v>N/T</v>
          </cell>
        </row>
        <row r="2796">
          <cell r="J2796" t="str">
            <v>FN-05-02-02-2788</v>
          </cell>
          <cell r="K2796" t="str">
            <v>SC-00644</v>
          </cell>
          <cell r="L2796" t="str">
            <v>FN-05-02-02-2788</v>
          </cell>
          <cell r="M2796" t="str">
            <v>Ollas de aluminio grande</v>
          </cell>
          <cell r="O2796" t="str">
            <v>EQUIPOS DE COCINA FUNGIBLE / NOMINABLE</v>
          </cell>
          <cell r="P2796">
            <v>7990</v>
          </cell>
          <cell r="T2796" t="str">
            <v>Bueno</v>
          </cell>
          <cell r="U2796" t="str">
            <v>N/T</v>
          </cell>
        </row>
        <row r="2797">
          <cell r="J2797" t="str">
            <v>FN-05-02-02-2789</v>
          </cell>
          <cell r="K2797" t="str">
            <v>SC-00645</v>
          </cell>
          <cell r="L2797" t="str">
            <v>FN-05-02-02-2789</v>
          </cell>
          <cell r="M2797" t="str">
            <v>Ollas de aluminio medianas</v>
          </cell>
          <cell r="O2797" t="str">
            <v>EQUIPOS DE COCINA FUNGIBLE / NOMINABLE</v>
          </cell>
          <cell r="P2797">
            <v>4990</v>
          </cell>
          <cell r="T2797" t="str">
            <v>Bueno</v>
          </cell>
          <cell r="U2797" t="str">
            <v>N/T</v>
          </cell>
        </row>
        <row r="2798">
          <cell r="J2798" t="str">
            <v>42-05-02-02-2790</v>
          </cell>
          <cell r="K2798" t="str">
            <v>SC-00646</v>
          </cell>
          <cell r="L2798" t="str">
            <v>42-05-02-02-2790</v>
          </cell>
          <cell r="M2798" t="str">
            <v>Paila de Aluminio</v>
          </cell>
          <cell r="O2798" t="str">
            <v>EQUIPOS DE COCINA</v>
          </cell>
          <cell r="P2798">
            <v>650</v>
          </cell>
          <cell r="T2798" t="str">
            <v>Bueno</v>
          </cell>
          <cell r="U2798" t="str">
            <v>N/T</v>
          </cell>
        </row>
        <row r="2799">
          <cell r="J2799" t="str">
            <v>42-05-02-02-2791</v>
          </cell>
          <cell r="K2799" t="str">
            <v>SC-00647</v>
          </cell>
          <cell r="L2799" t="str">
            <v>42-05-02-02-2791</v>
          </cell>
          <cell r="M2799" t="str">
            <v>Piedra grande para moler condimentos</v>
          </cell>
          <cell r="O2799" t="str">
            <v>EQUIPOS DE COCINA</v>
          </cell>
          <cell r="P2799">
            <v>2500</v>
          </cell>
          <cell r="T2799" t="str">
            <v>Bueno</v>
          </cell>
          <cell r="U2799" t="str">
            <v>N/T</v>
          </cell>
        </row>
        <row r="2800">
          <cell r="J2800" t="str">
            <v>42-05-02-01-2792</v>
          </cell>
          <cell r="K2800" t="str">
            <v>SC-00648</v>
          </cell>
          <cell r="L2800" t="str">
            <v>42-05-02-01-2792</v>
          </cell>
          <cell r="M2800" t="str">
            <v>Pinza para tomar el pan</v>
          </cell>
          <cell r="O2800" t="str">
            <v>EQUIPOS CLINICOS</v>
          </cell>
          <cell r="P2800">
            <v>900</v>
          </cell>
          <cell r="T2800" t="str">
            <v>Bueno</v>
          </cell>
          <cell r="U2800" t="str">
            <v>N/T</v>
          </cell>
        </row>
        <row r="2801">
          <cell r="J2801" t="str">
            <v>FN-05-02-02-2793</v>
          </cell>
          <cell r="K2801" t="str">
            <v>SC-00649</v>
          </cell>
          <cell r="L2801" t="str">
            <v>FN-05-02-02-2793</v>
          </cell>
          <cell r="M2801" t="str">
            <v>Platos taza de loza</v>
          </cell>
          <cell r="O2801" t="str">
            <v>EQUIPOS DE COCINA FUNGIBLE / NOMINABLE</v>
          </cell>
          <cell r="P2801">
            <v>300</v>
          </cell>
          <cell r="T2801" t="str">
            <v>Bueno</v>
          </cell>
          <cell r="U2801" t="str">
            <v>N/T</v>
          </cell>
        </row>
        <row r="2802">
          <cell r="J2802" t="str">
            <v>FN-05-02-02-2794</v>
          </cell>
          <cell r="K2802" t="str">
            <v>SC-00650</v>
          </cell>
          <cell r="L2802" t="str">
            <v>FN-05-02-02-2794</v>
          </cell>
          <cell r="M2802" t="str">
            <v>Prensa para hacer puré</v>
          </cell>
          <cell r="O2802" t="str">
            <v>EQUIPOS DE COCINA FUNGIBLE / NOMINABLE</v>
          </cell>
          <cell r="P2802">
            <v>2490</v>
          </cell>
          <cell r="T2802" t="str">
            <v>Bueno</v>
          </cell>
          <cell r="U2802" t="str">
            <v>N/T</v>
          </cell>
        </row>
        <row r="2803">
          <cell r="J2803" t="str">
            <v>42-05-02-02-2795</v>
          </cell>
          <cell r="K2803" t="str">
            <v>SC-00651</v>
          </cell>
          <cell r="L2803" t="str">
            <v>42-05-02-02-2795</v>
          </cell>
          <cell r="M2803" t="str">
            <v>Rallador de aluminio</v>
          </cell>
          <cell r="O2803" t="str">
            <v>EQUIPOS DE COCINA</v>
          </cell>
          <cell r="P2803">
            <v>2000</v>
          </cell>
          <cell r="T2803" t="str">
            <v>Bueno</v>
          </cell>
          <cell r="U2803" t="str">
            <v>N/T</v>
          </cell>
        </row>
        <row r="2804">
          <cell r="J2804" t="str">
            <v>42-05-02-02-2796</v>
          </cell>
          <cell r="K2804" t="str">
            <v>SC-00652</v>
          </cell>
          <cell r="L2804" t="str">
            <v>42-05-02-02-2796</v>
          </cell>
          <cell r="M2804" t="str">
            <v>Sartén grande</v>
          </cell>
          <cell r="O2804" t="str">
            <v>EQUIPOS DE COCINA</v>
          </cell>
          <cell r="P2804">
            <v>4000</v>
          </cell>
          <cell r="T2804" t="str">
            <v>Bueno</v>
          </cell>
          <cell r="U2804" t="str">
            <v>N/T</v>
          </cell>
        </row>
        <row r="2805">
          <cell r="J2805" t="str">
            <v>FN-05-02-02-2797</v>
          </cell>
          <cell r="K2805" t="str">
            <v>SC-00653</v>
          </cell>
          <cell r="L2805" t="str">
            <v>FN-05-02-02-2797</v>
          </cell>
          <cell r="M2805" t="str">
            <v>Rejillas secador de platos acero inoxidable</v>
          </cell>
          <cell r="O2805" t="str">
            <v>EQUIPOS DE COCINA FUNGIBLE / NOMINABLE</v>
          </cell>
          <cell r="P2805">
            <v>1000</v>
          </cell>
          <cell r="T2805" t="str">
            <v>Bueno</v>
          </cell>
          <cell r="U2805" t="str">
            <v>N/T</v>
          </cell>
        </row>
        <row r="2806">
          <cell r="J2806" t="str">
            <v>FN-05-02-02-2798</v>
          </cell>
          <cell r="K2806" t="str">
            <v>SC-00654</v>
          </cell>
          <cell r="L2806" t="str">
            <v>FN-05-02-02-2798</v>
          </cell>
          <cell r="M2806" t="str">
            <v>Tenedores</v>
          </cell>
          <cell r="O2806" t="str">
            <v>EQUIPOS DE COCINA FUNGIBLE / NOMINABLE</v>
          </cell>
          <cell r="P2806">
            <v>120</v>
          </cell>
          <cell r="T2806" t="str">
            <v>Bueno</v>
          </cell>
          <cell r="U2806" t="str">
            <v>N/T</v>
          </cell>
        </row>
        <row r="2807">
          <cell r="J2807" t="str">
            <v>FN-05-02-02-2799</v>
          </cell>
          <cell r="K2807" t="str">
            <v>SC-00655</v>
          </cell>
          <cell r="L2807" t="str">
            <v>FN-05-02-02-2799</v>
          </cell>
          <cell r="M2807" t="str">
            <v>Teteras de aluminio chicas</v>
          </cell>
          <cell r="O2807" t="str">
            <v>EQUIPOS DE COCINA FUNGIBLE / NOMINABLE</v>
          </cell>
          <cell r="P2807">
            <v>1800</v>
          </cell>
          <cell r="T2807" t="str">
            <v>Bueno</v>
          </cell>
          <cell r="U2807" t="str">
            <v>N/T</v>
          </cell>
        </row>
        <row r="2808">
          <cell r="J2808" t="str">
            <v>FN-05-02-02-2800</v>
          </cell>
          <cell r="K2808" t="str">
            <v>SC-00656</v>
          </cell>
          <cell r="L2808" t="str">
            <v>FN-05-02-02-2800</v>
          </cell>
          <cell r="M2808" t="str">
            <v>Teteras de aluminio de 10 lts</v>
          </cell>
          <cell r="O2808" t="str">
            <v>EQUIPOS DE COCINA FUNGIBLE / NOMINABLE</v>
          </cell>
          <cell r="P2808">
            <v>4495</v>
          </cell>
          <cell r="T2808" t="str">
            <v>Bueno</v>
          </cell>
          <cell r="U2808" t="str">
            <v>N/T</v>
          </cell>
        </row>
        <row r="2809">
          <cell r="J2809" t="str">
            <v>FN-05-02-02-2801</v>
          </cell>
          <cell r="K2809" t="str">
            <v>SC-00657</v>
          </cell>
          <cell r="L2809" t="str">
            <v>FN-05-02-02-2801</v>
          </cell>
          <cell r="M2809" t="str">
            <v>Platos bajos color blanco</v>
          </cell>
          <cell r="O2809" t="str">
            <v>EQUIPOS DE COCINA FUNGIBLE / NOMINABLE</v>
          </cell>
          <cell r="P2809">
            <v>250</v>
          </cell>
          <cell r="T2809" t="str">
            <v>Bueno</v>
          </cell>
          <cell r="U2809" t="str">
            <v>N/T</v>
          </cell>
        </row>
        <row r="2810">
          <cell r="J2810" t="str">
            <v>FN-05-02-02-2802</v>
          </cell>
          <cell r="K2810" t="str">
            <v>SC-00658</v>
          </cell>
          <cell r="L2810" t="str">
            <v>FN-05-02-02-2802</v>
          </cell>
          <cell r="M2810" t="str">
            <v>Platos hondos color blanco</v>
          </cell>
          <cell r="O2810" t="str">
            <v>EQUIPOS DE COCINA FUNGIBLE / NOMINABLE</v>
          </cell>
          <cell r="P2810">
            <v>250</v>
          </cell>
          <cell r="T2810" t="str">
            <v>Bueno</v>
          </cell>
          <cell r="U2810" t="str">
            <v>N/T</v>
          </cell>
        </row>
        <row r="2811">
          <cell r="J2811" t="str">
            <v>FN-05-02-02-2803</v>
          </cell>
          <cell r="K2811" t="str">
            <v>SC-00659</v>
          </cell>
          <cell r="L2811" t="str">
            <v>FN-05-02-02-2803</v>
          </cell>
          <cell r="M2811" t="str">
            <v>Platos postre color blanco</v>
          </cell>
          <cell r="O2811" t="str">
            <v>EQUIPOS DE COCINA FUNGIBLE / NOMINABLE</v>
          </cell>
          <cell r="P2811">
            <v>200</v>
          </cell>
          <cell r="T2811" t="str">
            <v>Bueno</v>
          </cell>
          <cell r="U2811" t="str">
            <v>N/T</v>
          </cell>
        </row>
        <row r="2812">
          <cell r="J2812" t="str">
            <v>42-05-02-02-2804</v>
          </cell>
          <cell r="K2812" t="str">
            <v>SC-00660</v>
          </cell>
          <cell r="L2812" t="str">
            <v>42-05-02-02-2804</v>
          </cell>
          <cell r="M2812" t="str">
            <v>Platos taza color blanco</v>
          </cell>
          <cell r="O2812" t="str">
            <v>EQUIPOS DE COCINA</v>
          </cell>
          <cell r="P2812">
            <v>130</v>
          </cell>
          <cell r="T2812" t="str">
            <v>Bueno</v>
          </cell>
          <cell r="U2812" t="str">
            <v>N/T</v>
          </cell>
        </row>
        <row r="2813">
          <cell r="J2813" t="str">
            <v>FN-05-02-02-2805</v>
          </cell>
          <cell r="K2813" t="str">
            <v>SC-00661</v>
          </cell>
          <cell r="L2813" t="str">
            <v>FN-05-02-02-2805</v>
          </cell>
          <cell r="M2813" t="str">
            <v>Tazas color blanco</v>
          </cell>
          <cell r="O2813" t="str">
            <v>EQUIPOS DE COCINA FUNGIBLE / NOMINABLE</v>
          </cell>
          <cell r="P2813">
            <v>140</v>
          </cell>
          <cell r="T2813" t="str">
            <v>Bueno</v>
          </cell>
          <cell r="U2813" t="str">
            <v>N/T</v>
          </cell>
        </row>
        <row r="2814">
          <cell r="J2814" t="str">
            <v>FN-05-02-02-2806</v>
          </cell>
          <cell r="K2814" t="str">
            <v>SC-00662</v>
          </cell>
          <cell r="L2814" t="str">
            <v>FN-05-02-02-2806</v>
          </cell>
          <cell r="M2814" t="str">
            <v>Bandejas para ensaladas</v>
          </cell>
          <cell r="O2814" t="str">
            <v>EQUIPOS DE COCINA FUNGIBLE / NOMINABLE</v>
          </cell>
          <cell r="P2814">
            <v>6000</v>
          </cell>
          <cell r="T2814" t="str">
            <v>Bueno</v>
          </cell>
          <cell r="U2814" t="str">
            <v>N/T</v>
          </cell>
        </row>
        <row r="2815">
          <cell r="J2815" t="str">
            <v>FN-05-02-02-2807</v>
          </cell>
          <cell r="K2815" t="str">
            <v>SC-00663</v>
          </cell>
          <cell r="L2815" t="str">
            <v>FN-05-02-02-2807</v>
          </cell>
          <cell r="M2815" t="str">
            <v>Posillos  para postre</v>
          </cell>
          <cell r="O2815" t="str">
            <v>EQUIPOS DE COCINA FUNGIBLE / NOMINABLE</v>
          </cell>
          <cell r="P2815">
            <v>2600</v>
          </cell>
          <cell r="T2815" t="str">
            <v>Bueno</v>
          </cell>
          <cell r="U2815" t="str">
            <v>N/T</v>
          </cell>
        </row>
        <row r="2816">
          <cell r="J2816" t="str">
            <v>42-04-07-00-2808</v>
          </cell>
          <cell r="K2816" t="str">
            <v>SC-00664</v>
          </cell>
          <cell r="L2816" t="str">
            <v>42-04-07-00-2808</v>
          </cell>
          <cell r="M2816" t="str">
            <v>Basurero plástico con tapa color blanco</v>
          </cell>
          <cell r="O2816" t="str">
            <v>OTROS</v>
          </cell>
          <cell r="P2816">
            <v>4000</v>
          </cell>
          <cell r="T2816" t="str">
            <v>Bueno</v>
          </cell>
          <cell r="U2816" t="str">
            <v>N/T</v>
          </cell>
        </row>
        <row r="2817">
          <cell r="J2817" t="str">
            <v>42-04-07-00-2809</v>
          </cell>
          <cell r="K2817" t="str">
            <v>SC-00665</v>
          </cell>
          <cell r="L2817" t="str">
            <v>42-04-07-00-2809</v>
          </cell>
          <cell r="M2817" t="str">
            <v>Dispensador de jabón</v>
          </cell>
          <cell r="O2817" t="str">
            <v>OTROS</v>
          </cell>
          <cell r="P2817">
            <v>17000</v>
          </cell>
          <cell r="T2817" t="str">
            <v>Bueno</v>
          </cell>
          <cell r="U2817" t="str">
            <v>N/T</v>
          </cell>
        </row>
        <row r="2818">
          <cell r="J2818" t="str">
            <v>42-04-07-00-2810</v>
          </cell>
          <cell r="K2818" t="str">
            <v>SC-00666</v>
          </cell>
          <cell r="L2818" t="str">
            <v>42-04-07-00-2810</v>
          </cell>
          <cell r="M2818" t="str">
            <v>Dispensadores papel higienico marca Pisa</v>
          </cell>
          <cell r="O2818" t="str">
            <v>OTROS</v>
          </cell>
          <cell r="P2818">
            <v>17000</v>
          </cell>
          <cell r="T2818" t="str">
            <v>Bueno</v>
          </cell>
          <cell r="U2818" t="str">
            <v>N/T</v>
          </cell>
        </row>
        <row r="2819">
          <cell r="J2819" t="str">
            <v>42-04-07-00-2811</v>
          </cell>
          <cell r="K2819" t="str">
            <v>SC-00667</v>
          </cell>
          <cell r="L2819" t="str">
            <v>42-04-07-00-2811</v>
          </cell>
          <cell r="M2819" t="str">
            <v>Dispensador de jabón</v>
          </cell>
          <cell r="O2819" t="str">
            <v>OTROS</v>
          </cell>
          <cell r="P2819">
            <v>17000</v>
          </cell>
          <cell r="T2819" t="str">
            <v>Bueno</v>
          </cell>
          <cell r="U2819" t="str">
            <v>N/T</v>
          </cell>
        </row>
        <row r="2820">
          <cell r="J2820" t="str">
            <v>42-04-07-00-2812</v>
          </cell>
          <cell r="K2820" t="str">
            <v>SC-00668</v>
          </cell>
          <cell r="L2820" t="str">
            <v>42-04-07-00-2812</v>
          </cell>
          <cell r="M2820" t="str">
            <v>Espejos marco aluminio 80x50 cms.</v>
          </cell>
          <cell r="O2820" t="str">
            <v>OTROS</v>
          </cell>
          <cell r="P2820">
            <v>3000</v>
          </cell>
          <cell r="T2820" t="str">
            <v>Bueno</v>
          </cell>
          <cell r="U2820" t="str">
            <v>N/T</v>
          </cell>
        </row>
        <row r="2821">
          <cell r="J2821" t="str">
            <v>42-04-07-00-2813</v>
          </cell>
          <cell r="K2821" t="str">
            <v>SC-00669</v>
          </cell>
          <cell r="L2821" t="str">
            <v>42-04-07-00-2813</v>
          </cell>
          <cell r="M2821" t="str">
            <v>Dispensador de jabón</v>
          </cell>
          <cell r="O2821" t="str">
            <v>OTROS</v>
          </cell>
          <cell r="P2821">
            <v>17000</v>
          </cell>
          <cell r="T2821" t="str">
            <v>Bueno</v>
          </cell>
          <cell r="U2821" t="str">
            <v>N/T</v>
          </cell>
        </row>
        <row r="2822">
          <cell r="J2822" t="str">
            <v>42-04-07-00-2814</v>
          </cell>
          <cell r="K2822" t="str">
            <v>SC-00670</v>
          </cell>
          <cell r="L2822" t="str">
            <v>42-04-07-00-2814</v>
          </cell>
          <cell r="M2822" t="str">
            <v>Porta cortinas metálico</v>
          </cell>
          <cell r="O2822" t="str">
            <v>OTROS</v>
          </cell>
          <cell r="P2822">
            <v>17000</v>
          </cell>
          <cell r="T2822" t="str">
            <v>Bueno</v>
          </cell>
          <cell r="U2822" t="str">
            <v>N/T</v>
          </cell>
        </row>
        <row r="2823">
          <cell r="J2823" t="str">
            <v>FN-04-07-00-2815</v>
          </cell>
          <cell r="K2823" t="str">
            <v>SC-00671</v>
          </cell>
          <cell r="L2823" t="str">
            <v>FN-04-07-00-2815</v>
          </cell>
          <cell r="M2823" t="str">
            <v>Cortinas color mostaza</v>
          </cell>
          <cell r="O2823" t="str">
            <v>OTROS FUNGIBLE / NOMINABLE</v>
          </cell>
          <cell r="P2823">
            <v>17000</v>
          </cell>
          <cell r="T2823" t="str">
            <v>Bueno</v>
          </cell>
          <cell r="U2823" t="str">
            <v>N/T</v>
          </cell>
        </row>
        <row r="2824">
          <cell r="J2824" t="str">
            <v>42-05-02-01-2816</v>
          </cell>
          <cell r="K2824" t="str">
            <v>SC-00672</v>
          </cell>
          <cell r="L2824" t="str">
            <v>42-05-02-01-2816</v>
          </cell>
          <cell r="M2824" t="str">
            <v>Bandeja acero inox. 26,5x16,5 cms.</v>
          </cell>
          <cell r="O2824" t="str">
            <v>EQUIPOS CLINICOS</v>
          </cell>
          <cell r="P2824">
            <v>30000</v>
          </cell>
          <cell r="T2824" t="str">
            <v>Bueno</v>
          </cell>
          <cell r="U2824" t="str">
            <v>N/T</v>
          </cell>
        </row>
        <row r="2825">
          <cell r="J2825" t="str">
            <v>42-05-02-01-2817</v>
          </cell>
          <cell r="K2825" t="str">
            <v>SC-00673</v>
          </cell>
          <cell r="L2825" t="str">
            <v>42-05-02-01-2817</v>
          </cell>
          <cell r="M2825" t="str">
            <v>Caja acero inox. Unicef con tapa 22x8 cms.</v>
          </cell>
          <cell r="O2825" t="str">
            <v>EQUIPOS CLINICOS</v>
          </cell>
          <cell r="P2825">
            <v>12458</v>
          </cell>
          <cell r="T2825" t="str">
            <v>Bueno</v>
          </cell>
          <cell r="U2825" t="str">
            <v>N/T</v>
          </cell>
        </row>
        <row r="2826">
          <cell r="J2826" t="str">
            <v>42-05-02-01-2818</v>
          </cell>
          <cell r="K2826" t="str">
            <v>SC-00674</v>
          </cell>
          <cell r="L2826" t="str">
            <v>42-05-02-01-2818</v>
          </cell>
          <cell r="M2826" t="str">
            <v>Martillo de reflejos</v>
          </cell>
          <cell r="O2826" t="str">
            <v>EQUIPOS CLINICOS</v>
          </cell>
          <cell r="P2826">
            <v>19000</v>
          </cell>
          <cell r="T2826" t="str">
            <v>Bueno</v>
          </cell>
          <cell r="U2826" t="str">
            <v>N/T</v>
          </cell>
        </row>
        <row r="2827">
          <cell r="J2827" t="str">
            <v>42-05-02-01-2819</v>
          </cell>
          <cell r="K2827" t="str">
            <v>SC-00675</v>
          </cell>
          <cell r="L2827" t="str">
            <v>42-05-02-01-2819</v>
          </cell>
          <cell r="M2827" t="str">
            <v>Pinza kelly curva</v>
          </cell>
          <cell r="O2827" t="str">
            <v>EQUIPOS CLINICOS</v>
          </cell>
          <cell r="P2827">
            <v>20000</v>
          </cell>
          <cell r="T2827" t="str">
            <v>Bueno</v>
          </cell>
          <cell r="U2827" t="str">
            <v>N/T</v>
          </cell>
        </row>
        <row r="2828">
          <cell r="J2828" t="str">
            <v>FN-05-02-01-2820</v>
          </cell>
          <cell r="K2828" t="str">
            <v>SC-00676</v>
          </cell>
          <cell r="L2828" t="str">
            <v>FN-05-02-01-2820</v>
          </cell>
          <cell r="M2828" t="str">
            <v>Pinza porta agujas</v>
          </cell>
          <cell r="O2828" t="str">
            <v>EQUIPOS CLINICOS FUNGIBLE / NOMINABLE</v>
          </cell>
          <cell r="P2828">
            <v>15500</v>
          </cell>
          <cell r="T2828" t="str">
            <v>Bueno</v>
          </cell>
          <cell r="U2828" t="str">
            <v>N/T</v>
          </cell>
        </row>
        <row r="2829">
          <cell r="J2829" t="str">
            <v>42-05-02-02-2821</v>
          </cell>
          <cell r="K2829" t="str">
            <v>SC-00677</v>
          </cell>
          <cell r="L2829" t="str">
            <v>42-05-02-02-2821</v>
          </cell>
          <cell r="M2829" t="str">
            <v>Posillos acero inoxidable Unicef</v>
          </cell>
          <cell r="O2829" t="str">
            <v>EQUIPOS DE COCINA</v>
          </cell>
          <cell r="P2829">
            <v>12000</v>
          </cell>
          <cell r="T2829" t="str">
            <v>Bueno</v>
          </cell>
          <cell r="U2829" t="str">
            <v>N/T</v>
          </cell>
        </row>
        <row r="2830">
          <cell r="J2830" t="str">
            <v>FN-05-02-01-2822</v>
          </cell>
          <cell r="K2830" t="str">
            <v>SC-00678</v>
          </cell>
          <cell r="L2830" t="str">
            <v>FN-05-02-01-2822</v>
          </cell>
          <cell r="M2830" t="str">
            <v>Riñones acero inox. 21 cms.</v>
          </cell>
          <cell r="O2830" t="str">
            <v>EQUIPOS CLINICOS FUNGIBLE / NOMINABLE</v>
          </cell>
          <cell r="P2830">
            <v>5000</v>
          </cell>
          <cell r="T2830" t="str">
            <v>Bueno</v>
          </cell>
          <cell r="U2830" t="str">
            <v>N/T</v>
          </cell>
        </row>
        <row r="2831">
          <cell r="J2831" t="str">
            <v>FN-05-02-01-2823</v>
          </cell>
          <cell r="K2831" t="str">
            <v>SC-00679</v>
          </cell>
          <cell r="L2831" t="str">
            <v>FN-05-02-01-2823</v>
          </cell>
          <cell r="M2831" t="str">
            <v>Riñones 25 cms.</v>
          </cell>
          <cell r="O2831" t="str">
            <v>EQUIPOS CLINICOS FUNGIBLE / NOMINABLE</v>
          </cell>
          <cell r="P2831">
            <v>14000</v>
          </cell>
          <cell r="T2831" t="str">
            <v>Bueno</v>
          </cell>
          <cell r="U2831" t="str">
            <v>N/T</v>
          </cell>
        </row>
        <row r="2832">
          <cell r="J2832" t="str">
            <v>FN-05-02-01-2824</v>
          </cell>
          <cell r="K2832" t="str">
            <v>SC-00680</v>
          </cell>
          <cell r="L2832" t="str">
            <v>FN-05-02-01-2824</v>
          </cell>
          <cell r="M2832" t="str">
            <v>Tambores acero inoxidables c/tapa 13x17 cms.</v>
          </cell>
          <cell r="O2832" t="str">
            <v>EQUIPOS CLINICOS FUNGIBLE / NOMINABLE</v>
          </cell>
          <cell r="P2832">
            <v>30000</v>
          </cell>
          <cell r="T2832" t="str">
            <v>Bueno</v>
          </cell>
          <cell r="U2832" t="str">
            <v>N/T</v>
          </cell>
        </row>
        <row r="2833">
          <cell r="J2833" t="str">
            <v>42-05-02-01-2825</v>
          </cell>
          <cell r="K2833" t="str">
            <v>SC-00681</v>
          </cell>
          <cell r="L2833" t="str">
            <v>42-05-02-01-2825</v>
          </cell>
          <cell r="M2833" t="str">
            <v>CAJA PIE DIABETICO Nº 1</v>
          </cell>
          <cell r="O2833" t="str">
            <v>EQUIPOS CLINICOS</v>
          </cell>
          <cell r="P2833">
            <v>9500</v>
          </cell>
          <cell r="T2833" t="str">
            <v>Bueno</v>
          </cell>
          <cell r="U2833" t="str">
            <v>N/T</v>
          </cell>
        </row>
        <row r="2834">
          <cell r="J2834" t="str">
            <v>42-05-02-06-2826</v>
          </cell>
          <cell r="K2834" t="str">
            <v>SC-00682</v>
          </cell>
          <cell r="L2834" t="str">
            <v>42-05-02-06-2826</v>
          </cell>
          <cell r="M2834" t="str">
            <v>Alicate curvo de 13,5 cms.</v>
          </cell>
          <cell r="O2834" t="str">
            <v>HERRAMIENTAS</v>
          </cell>
          <cell r="P2834">
            <v>6500</v>
          </cell>
          <cell r="T2834" t="str">
            <v>Bueno</v>
          </cell>
          <cell r="U2834" t="str">
            <v>N/T</v>
          </cell>
        </row>
        <row r="2835">
          <cell r="J2835" t="str">
            <v>42-05-02-06-2827</v>
          </cell>
          <cell r="K2835" t="str">
            <v>SC-00683</v>
          </cell>
          <cell r="L2835" t="str">
            <v>42-05-02-06-2827</v>
          </cell>
          <cell r="M2835" t="str">
            <v>Alicate de uñas 13 cms.</v>
          </cell>
          <cell r="O2835" t="str">
            <v>HERRAMIENTAS</v>
          </cell>
          <cell r="P2835">
            <v>6000</v>
          </cell>
          <cell r="T2835" t="str">
            <v>Bueno</v>
          </cell>
          <cell r="U2835" t="str">
            <v>N/T</v>
          </cell>
        </row>
        <row r="2836">
          <cell r="J2836" t="str">
            <v>42-05-02-01-2828</v>
          </cell>
          <cell r="K2836" t="str">
            <v>SC-00684</v>
          </cell>
          <cell r="L2836" t="str">
            <v>42-05-02-01-2828</v>
          </cell>
          <cell r="M2836" t="str">
            <v>Caja acero inox. de 20x10x4,5 cms.</v>
          </cell>
          <cell r="O2836" t="str">
            <v>EQUIPOS CLINICOS</v>
          </cell>
          <cell r="P2836">
            <v>9500</v>
          </cell>
          <cell r="T2836" t="str">
            <v>Bueno</v>
          </cell>
          <cell r="U2836" t="str">
            <v>N/T</v>
          </cell>
        </row>
        <row r="2837">
          <cell r="J2837" t="str">
            <v>42-05-02-01-2829</v>
          </cell>
          <cell r="K2837" t="str">
            <v>SC-00685</v>
          </cell>
          <cell r="L2837" t="str">
            <v>42-05-02-01-2829</v>
          </cell>
          <cell r="M2837" t="str">
            <v>Lima de 17,5 cms.  ( Espátula crochet )</v>
          </cell>
          <cell r="O2837" t="str">
            <v>EQUIPOS CLINICOS</v>
          </cell>
          <cell r="P2837">
            <v>2500</v>
          </cell>
          <cell r="T2837" t="str">
            <v>Bueno</v>
          </cell>
          <cell r="U2837" t="str">
            <v>N/T</v>
          </cell>
        </row>
        <row r="2838">
          <cell r="J2838" t="str">
            <v>42-05-02-01-2830</v>
          </cell>
          <cell r="K2838" t="str">
            <v>SC-00686</v>
          </cell>
          <cell r="L2838" t="str">
            <v>42-05-02-01-2830</v>
          </cell>
          <cell r="M2838" t="str">
            <v>CAJA PIE DIABETICO Nº 2</v>
          </cell>
          <cell r="O2838" t="str">
            <v>EQUIPOS CLINICOS</v>
          </cell>
          <cell r="P2838">
            <v>9500</v>
          </cell>
          <cell r="T2838" t="str">
            <v>Bueno</v>
          </cell>
          <cell r="U2838" t="str">
            <v>N/T</v>
          </cell>
        </row>
        <row r="2839">
          <cell r="J2839" t="str">
            <v>42-05-02-06-2831</v>
          </cell>
          <cell r="K2839" t="str">
            <v>SC-00687</v>
          </cell>
          <cell r="L2839" t="str">
            <v>42-05-02-06-2831</v>
          </cell>
          <cell r="M2839" t="str">
            <v>Alicate curvo de 13,5 cms.</v>
          </cell>
          <cell r="O2839" t="str">
            <v>HERRAMIENTAS</v>
          </cell>
          <cell r="P2839">
            <v>6500</v>
          </cell>
          <cell r="T2839" t="str">
            <v>Bueno</v>
          </cell>
          <cell r="U2839" t="str">
            <v>N/T</v>
          </cell>
        </row>
        <row r="2840">
          <cell r="J2840" t="str">
            <v>42-05-02-06-2832</v>
          </cell>
          <cell r="K2840" t="str">
            <v>SC-00688</v>
          </cell>
          <cell r="L2840" t="str">
            <v>42-05-02-06-2832</v>
          </cell>
          <cell r="M2840" t="str">
            <v>Alicate de uñas de 13 cms.</v>
          </cell>
          <cell r="O2840" t="str">
            <v>HERRAMIENTAS</v>
          </cell>
          <cell r="P2840">
            <v>6000</v>
          </cell>
          <cell r="T2840" t="str">
            <v>Bueno</v>
          </cell>
          <cell r="U2840" t="str">
            <v>N/T</v>
          </cell>
        </row>
        <row r="2841">
          <cell r="J2841" t="str">
            <v>42-05-02-01-2833</v>
          </cell>
          <cell r="K2841" t="str">
            <v>SC-00689</v>
          </cell>
          <cell r="L2841" t="str">
            <v>42-05-02-01-2833</v>
          </cell>
          <cell r="M2841" t="str">
            <v>Caja acero inox. de 20x10x4,5 cms.</v>
          </cell>
          <cell r="O2841" t="str">
            <v>EQUIPOS CLINICOS</v>
          </cell>
          <cell r="P2841">
            <v>9500</v>
          </cell>
          <cell r="T2841" t="str">
            <v>Bueno</v>
          </cell>
          <cell r="U2841" t="str">
            <v>N/T</v>
          </cell>
        </row>
        <row r="2842">
          <cell r="J2842" t="str">
            <v>42-05-02-01-2834</v>
          </cell>
          <cell r="K2842" t="str">
            <v>SC-00690</v>
          </cell>
          <cell r="L2842" t="str">
            <v>42-05-02-01-2834</v>
          </cell>
          <cell r="M2842" t="str">
            <v>Espátula crochet 17,5 cms.</v>
          </cell>
          <cell r="O2842" t="str">
            <v>EQUIPOS CLINICOS</v>
          </cell>
          <cell r="P2842">
            <v>6580</v>
          </cell>
          <cell r="T2842" t="str">
            <v>Bueno</v>
          </cell>
          <cell r="U2842" t="str">
            <v>N/T</v>
          </cell>
        </row>
        <row r="2843">
          <cell r="J2843" t="str">
            <v>42-05-02-01-2835</v>
          </cell>
          <cell r="K2843" t="str">
            <v>SC-00691</v>
          </cell>
          <cell r="L2843" t="str">
            <v>42-05-02-01-2835</v>
          </cell>
          <cell r="M2843" t="str">
            <v>CAJA CIRUGIA MENOR Nº 1</v>
          </cell>
          <cell r="O2843" t="str">
            <v>EQUIPOS CLINICOS</v>
          </cell>
          <cell r="P2843">
            <v>9500</v>
          </cell>
          <cell r="T2843" t="str">
            <v>Bueno</v>
          </cell>
          <cell r="U2843" t="str">
            <v>N/T</v>
          </cell>
        </row>
        <row r="2844">
          <cell r="J2844" t="str">
            <v>42-05-02-01-2836</v>
          </cell>
          <cell r="K2844" t="str">
            <v>SC-00692</v>
          </cell>
          <cell r="L2844" t="str">
            <v>42-05-02-01-2836</v>
          </cell>
          <cell r="M2844" t="str">
            <v>Caja acero inox. de 20x10x4 cms.</v>
          </cell>
          <cell r="O2844" t="str">
            <v>EQUIPOS CLINICOS</v>
          </cell>
          <cell r="P2844">
            <v>9900</v>
          </cell>
          <cell r="T2844" t="str">
            <v>Bueno</v>
          </cell>
          <cell r="U2844" t="str">
            <v>N/T</v>
          </cell>
        </row>
        <row r="2845">
          <cell r="J2845" t="str">
            <v>42-05-02-01-2837</v>
          </cell>
          <cell r="K2845" t="str">
            <v>SC-00693</v>
          </cell>
          <cell r="L2845" t="str">
            <v>42-05-02-01-2837</v>
          </cell>
          <cell r="M2845" t="str">
            <v>Estilete de 15 cms.</v>
          </cell>
          <cell r="O2845" t="str">
            <v>EQUIPOS CLINICOS</v>
          </cell>
          <cell r="P2845">
            <v>3300</v>
          </cell>
          <cell r="T2845" t="str">
            <v>Bueno</v>
          </cell>
          <cell r="U2845" t="str">
            <v>N/T</v>
          </cell>
        </row>
        <row r="2846">
          <cell r="J2846" t="str">
            <v>FN-05-02-01-2838</v>
          </cell>
          <cell r="K2846" t="str">
            <v>SC-00694</v>
          </cell>
          <cell r="L2846" t="str">
            <v>FN-05-02-01-2838</v>
          </cell>
          <cell r="M2846" t="str">
            <v>Farabauts de 15 cms.</v>
          </cell>
          <cell r="O2846" t="str">
            <v>EQUIPOS CLINICOS FUNGIBLE / NOMINABLE</v>
          </cell>
          <cell r="P2846">
            <v>3380</v>
          </cell>
          <cell r="T2846" t="str">
            <v>Bueno</v>
          </cell>
          <cell r="U2846" t="str">
            <v>N/T</v>
          </cell>
        </row>
        <row r="2847">
          <cell r="J2847" t="str">
            <v>42-05-02-01-2839</v>
          </cell>
          <cell r="K2847" t="str">
            <v>SC-00695</v>
          </cell>
          <cell r="L2847" t="str">
            <v>42-05-02-01-2839</v>
          </cell>
          <cell r="M2847" t="str">
            <v>Mango bisturí de 12 cms.</v>
          </cell>
          <cell r="O2847" t="str">
            <v>EQUIPOS CLINICOS</v>
          </cell>
          <cell r="P2847">
            <v>1300</v>
          </cell>
          <cell r="T2847" t="str">
            <v>Bueno</v>
          </cell>
          <cell r="U2847" t="str">
            <v>N/T</v>
          </cell>
        </row>
        <row r="2848">
          <cell r="J2848" t="str">
            <v>42-05-02-01-2840</v>
          </cell>
          <cell r="K2848" t="str">
            <v>SC-00696</v>
          </cell>
          <cell r="L2848" t="str">
            <v>42-05-02-01-2840</v>
          </cell>
          <cell r="M2848" t="str">
            <v>Pinza kelly curva de 16 ½ cms.</v>
          </cell>
          <cell r="O2848" t="str">
            <v>EQUIPOS CLINICOS</v>
          </cell>
          <cell r="P2848">
            <v>2270</v>
          </cell>
          <cell r="T2848" t="str">
            <v>Bueno</v>
          </cell>
          <cell r="U2848" t="str">
            <v>N/T</v>
          </cell>
        </row>
        <row r="2849">
          <cell r="J2849" t="str">
            <v>42-05-02-01-2841</v>
          </cell>
          <cell r="K2849" t="str">
            <v>SC-00697</v>
          </cell>
          <cell r="L2849" t="str">
            <v>42-05-02-01-2841</v>
          </cell>
          <cell r="M2849" t="str">
            <v>Pinza Kelly recta de 14 cms.</v>
          </cell>
          <cell r="O2849" t="str">
            <v>EQUIPOS CLINICOS</v>
          </cell>
          <cell r="P2849">
            <v>2270</v>
          </cell>
          <cell r="T2849" t="str">
            <v>Bueno</v>
          </cell>
          <cell r="U2849" t="str">
            <v>N/T</v>
          </cell>
        </row>
        <row r="2850">
          <cell r="J2850" t="str">
            <v>42-05-02-01-2842</v>
          </cell>
          <cell r="K2850" t="str">
            <v>SC-00698</v>
          </cell>
          <cell r="L2850" t="str">
            <v>42-05-02-01-2842</v>
          </cell>
          <cell r="M2850" t="str">
            <v>Pinza mosquito curva de 12 ½ cms.</v>
          </cell>
          <cell r="O2850" t="str">
            <v>EQUIPOS CLINICOS</v>
          </cell>
          <cell r="P2850">
            <v>2070</v>
          </cell>
          <cell r="T2850" t="str">
            <v>Bueno</v>
          </cell>
          <cell r="U2850" t="str">
            <v>N/T</v>
          </cell>
        </row>
        <row r="2851">
          <cell r="J2851" t="str">
            <v>42-05-02-01-2843</v>
          </cell>
          <cell r="K2851" t="str">
            <v>SC-00699</v>
          </cell>
          <cell r="L2851" t="str">
            <v>42-05-02-01-2843</v>
          </cell>
          <cell r="M2851" t="str">
            <v>Pinza mosquito recta de 12 cms.</v>
          </cell>
          <cell r="O2851" t="str">
            <v>EQUIPOS CLINICOS</v>
          </cell>
          <cell r="P2851">
            <v>2070</v>
          </cell>
          <cell r="T2851" t="str">
            <v>Bueno</v>
          </cell>
          <cell r="U2851" t="str">
            <v>N/T</v>
          </cell>
        </row>
        <row r="2852">
          <cell r="J2852" t="str">
            <v>FN-05-02-01-2844</v>
          </cell>
          <cell r="K2852" t="str">
            <v>SC-00700</v>
          </cell>
          <cell r="L2852" t="str">
            <v>FN-05-02-01-2844</v>
          </cell>
          <cell r="M2852" t="str">
            <v>Pinzas  mosquito rectas de 13 cms.</v>
          </cell>
          <cell r="O2852" t="str">
            <v>EQUIPOS CLINICOS FUNGIBLE / NOMINABLE</v>
          </cell>
          <cell r="P2852">
            <v>2070</v>
          </cell>
          <cell r="T2852" t="str">
            <v>Bueno</v>
          </cell>
          <cell r="U2852" t="str">
            <v>N/T</v>
          </cell>
        </row>
        <row r="2853">
          <cell r="J2853" t="str">
            <v>FN-05-02-01-2845</v>
          </cell>
          <cell r="K2853" t="str">
            <v>SC-00701</v>
          </cell>
          <cell r="L2853" t="str">
            <v>FN-05-02-01-2845</v>
          </cell>
          <cell r="M2853" t="str">
            <v>Pinzas de campo de 9 ½ cms.</v>
          </cell>
          <cell r="O2853" t="str">
            <v>EQUIPOS CLINICOS FUNGIBLE / NOMINABLE</v>
          </cell>
          <cell r="P2853">
            <v>1870</v>
          </cell>
          <cell r="T2853" t="str">
            <v>Bueno</v>
          </cell>
          <cell r="U2853" t="str">
            <v>N/T</v>
          </cell>
        </row>
        <row r="2854">
          <cell r="J2854" t="str">
            <v>FN-05-02-01-2846</v>
          </cell>
          <cell r="K2854" t="str">
            <v>SC-00702</v>
          </cell>
          <cell r="L2854" t="str">
            <v>FN-05-02-01-2846</v>
          </cell>
          <cell r="M2854" t="str">
            <v>Pinzas mosquito curvas de 12 ½ cms.</v>
          </cell>
          <cell r="O2854" t="str">
            <v>EQUIPOS CLINICOS FUNGIBLE / NOMINABLE</v>
          </cell>
          <cell r="P2854">
            <v>2070</v>
          </cell>
          <cell r="T2854" t="str">
            <v>Bueno</v>
          </cell>
          <cell r="U2854" t="str">
            <v>N/T</v>
          </cell>
        </row>
        <row r="2855">
          <cell r="J2855" t="str">
            <v>FN-05-02-01-2847</v>
          </cell>
          <cell r="K2855" t="str">
            <v>SC-00703</v>
          </cell>
          <cell r="L2855" t="str">
            <v>FN-05-02-01-2847</v>
          </cell>
          <cell r="M2855" t="str">
            <v>Pinzas mosquito curvas de 12 cms.</v>
          </cell>
          <cell r="O2855" t="str">
            <v>EQUIPOS CLINICOS FUNGIBLE / NOMINABLE</v>
          </cell>
          <cell r="P2855">
            <v>2070</v>
          </cell>
          <cell r="T2855" t="str">
            <v>Bueno</v>
          </cell>
          <cell r="U2855" t="str">
            <v>N/T</v>
          </cell>
        </row>
        <row r="2856">
          <cell r="J2856" t="str">
            <v>FN-05-02-01-2848</v>
          </cell>
          <cell r="K2856" t="str">
            <v>SC-00704</v>
          </cell>
          <cell r="L2856" t="str">
            <v>FN-05-02-01-2848</v>
          </cell>
          <cell r="M2856" t="str">
            <v>Porta agujas de 18 cms.</v>
          </cell>
          <cell r="O2856" t="str">
            <v>EQUIPOS CLINICOS FUNGIBLE / NOMINABLE</v>
          </cell>
          <cell r="P2856">
            <v>3500</v>
          </cell>
          <cell r="T2856" t="str">
            <v>Bueno</v>
          </cell>
          <cell r="U2856" t="str">
            <v>N/T</v>
          </cell>
        </row>
        <row r="2857">
          <cell r="J2857" t="str">
            <v>42-05-02-01-2849</v>
          </cell>
          <cell r="K2857" t="str">
            <v>SC-00705</v>
          </cell>
          <cell r="L2857" t="str">
            <v>42-05-02-01-2849</v>
          </cell>
          <cell r="M2857" t="str">
            <v>Sonda acanalada de 13 cms.</v>
          </cell>
          <cell r="O2857" t="str">
            <v>EQUIPOS CLINICOS</v>
          </cell>
          <cell r="P2857">
            <v>1270</v>
          </cell>
          <cell r="T2857" t="str">
            <v>Bueno</v>
          </cell>
          <cell r="U2857" t="str">
            <v>N/T</v>
          </cell>
        </row>
        <row r="2858">
          <cell r="J2858" t="str">
            <v>42-05-02-01-2850</v>
          </cell>
          <cell r="K2858" t="str">
            <v>SC-00706</v>
          </cell>
          <cell r="L2858" t="str">
            <v>42-05-02-01-2850</v>
          </cell>
          <cell r="M2858" t="str">
            <v>Tijera curva de 14 cms.</v>
          </cell>
          <cell r="O2858" t="str">
            <v>EQUIPOS CLINICOS</v>
          </cell>
          <cell r="P2858">
            <v>3070</v>
          </cell>
          <cell r="T2858" t="str">
            <v>Bueno</v>
          </cell>
          <cell r="U2858" t="str">
            <v>N/T</v>
          </cell>
        </row>
        <row r="2859">
          <cell r="J2859" t="str">
            <v>42-05-02-01-2851</v>
          </cell>
          <cell r="K2859" t="str">
            <v>SC-00707</v>
          </cell>
          <cell r="L2859" t="str">
            <v>42-05-02-01-2851</v>
          </cell>
          <cell r="M2859" t="str">
            <v>CAJA CIRUGIA MENOR Nº 2</v>
          </cell>
          <cell r="O2859" t="str">
            <v>EQUIPOS CLINICOS</v>
          </cell>
          <cell r="P2859">
            <v>9500</v>
          </cell>
          <cell r="T2859" t="str">
            <v>Bueno</v>
          </cell>
          <cell r="U2859" t="str">
            <v>N/T</v>
          </cell>
        </row>
        <row r="2860">
          <cell r="J2860" t="str">
            <v>42-05-02-01-2852</v>
          </cell>
          <cell r="K2860" t="str">
            <v>SC-00708</v>
          </cell>
          <cell r="L2860" t="str">
            <v>42-05-02-01-2852</v>
          </cell>
          <cell r="M2860" t="str">
            <v>Caja acero inox. de 20x10x5 ½  cms</v>
          </cell>
          <cell r="O2860" t="str">
            <v>EQUIPOS CLINICOS</v>
          </cell>
          <cell r="P2860">
            <v>9900</v>
          </cell>
          <cell r="T2860" t="str">
            <v>Bueno</v>
          </cell>
          <cell r="U2860" t="str">
            <v>N/T</v>
          </cell>
        </row>
        <row r="2861">
          <cell r="J2861" t="str">
            <v>42-05-02-01-2853</v>
          </cell>
          <cell r="K2861" t="str">
            <v>SC-00709</v>
          </cell>
          <cell r="L2861" t="str">
            <v>42-05-02-01-2853</v>
          </cell>
          <cell r="M2861" t="str">
            <v>Estilete de 15 cms.</v>
          </cell>
          <cell r="O2861" t="str">
            <v>EQUIPOS CLINICOS</v>
          </cell>
          <cell r="P2861">
            <v>3300</v>
          </cell>
          <cell r="T2861" t="str">
            <v>Bueno</v>
          </cell>
          <cell r="U2861" t="str">
            <v>N/T</v>
          </cell>
        </row>
        <row r="2862">
          <cell r="J2862" t="str">
            <v>42-05-02-01-2854</v>
          </cell>
          <cell r="K2862" t="str">
            <v>SC-00710</v>
          </cell>
          <cell r="L2862" t="str">
            <v>42-05-02-01-2854</v>
          </cell>
          <cell r="M2862" t="str">
            <v>Farabauts de 15 cms.</v>
          </cell>
          <cell r="O2862" t="str">
            <v>EQUIPOS CLINICOS</v>
          </cell>
          <cell r="P2862">
            <v>3380</v>
          </cell>
          <cell r="T2862" t="str">
            <v>Bueno</v>
          </cell>
          <cell r="U2862" t="str">
            <v>N/T</v>
          </cell>
        </row>
        <row r="2863">
          <cell r="J2863" t="str">
            <v>42-05-02-01-2855</v>
          </cell>
          <cell r="K2863" t="str">
            <v>SC-00711</v>
          </cell>
          <cell r="L2863" t="str">
            <v>42-05-02-01-2855</v>
          </cell>
          <cell r="M2863" t="str">
            <v>Mango bisturí de 12 ½ cms.</v>
          </cell>
          <cell r="O2863" t="str">
            <v>EQUIPOS CLINICOS</v>
          </cell>
          <cell r="P2863">
            <v>1300</v>
          </cell>
          <cell r="T2863" t="str">
            <v>Bueno</v>
          </cell>
          <cell r="U2863" t="str">
            <v>N/T</v>
          </cell>
        </row>
        <row r="2864">
          <cell r="J2864" t="str">
            <v>42-05-02-01-2856</v>
          </cell>
          <cell r="K2864" t="str">
            <v>SC-00712</v>
          </cell>
          <cell r="L2864" t="str">
            <v>42-05-02-01-2856</v>
          </cell>
          <cell r="M2864" t="str">
            <v>Pinza anatómica de 15 cms.</v>
          </cell>
          <cell r="O2864" t="str">
            <v>EQUIPOS CLINICOS</v>
          </cell>
          <cell r="P2864">
            <v>1270</v>
          </cell>
          <cell r="T2864" t="str">
            <v>Bueno</v>
          </cell>
          <cell r="U2864" t="str">
            <v>N/T</v>
          </cell>
        </row>
        <row r="2865">
          <cell r="J2865" t="str">
            <v>42-05-02-01-2857</v>
          </cell>
          <cell r="K2865" t="str">
            <v>SC-00713</v>
          </cell>
          <cell r="L2865" t="str">
            <v>42-05-02-01-2857</v>
          </cell>
          <cell r="M2865" t="str">
            <v>Pinza de campo de 13 cms.</v>
          </cell>
          <cell r="O2865" t="str">
            <v>EQUIPOS CLINICOS</v>
          </cell>
          <cell r="P2865">
            <v>1870</v>
          </cell>
          <cell r="T2865" t="str">
            <v>Bueno</v>
          </cell>
          <cell r="U2865" t="str">
            <v>N/T</v>
          </cell>
        </row>
        <row r="2866">
          <cell r="J2866" t="str">
            <v>42-05-02-01-2858</v>
          </cell>
          <cell r="K2866" t="str">
            <v>SC-00714</v>
          </cell>
          <cell r="L2866" t="str">
            <v>42-05-02-01-2858</v>
          </cell>
          <cell r="M2866" t="str">
            <v>Pinza Kelly recta de 14 cms.</v>
          </cell>
          <cell r="O2866" t="str">
            <v>EQUIPOS CLINICOS</v>
          </cell>
          <cell r="P2866">
            <v>2270</v>
          </cell>
          <cell r="T2866" t="str">
            <v>Bueno</v>
          </cell>
          <cell r="U2866" t="str">
            <v>N/T</v>
          </cell>
        </row>
        <row r="2867">
          <cell r="J2867" t="str">
            <v>42-05-02-01-2859</v>
          </cell>
          <cell r="K2867" t="str">
            <v>SC-00715</v>
          </cell>
          <cell r="L2867" t="str">
            <v>42-05-02-01-2859</v>
          </cell>
          <cell r="M2867" t="str">
            <v>Pinza Kelly recta de 16 cms.</v>
          </cell>
          <cell r="O2867" t="str">
            <v>EQUIPOS CLINICOS</v>
          </cell>
          <cell r="P2867">
            <v>2270</v>
          </cell>
          <cell r="T2867" t="str">
            <v>Bueno</v>
          </cell>
          <cell r="U2867" t="str">
            <v>N/T</v>
          </cell>
        </row>
        <row r="2868">
          <cell r="J2868" t="str">
            <v>42-05-02-01-2860</v>
          </cell>
          <cell r="K2868" t="str">
            <v>SC-00716</v>
          </cell>
          <cell r="L2868" t="str">
            <v>42-05-02-01-2860</v>
          </cell>
          <cell r="M2868" t="str">
            <v>Pinzas de campo de 11 cms.</v>
          </cell>
          <cell r="O2868" t="str">
            <v>EQUIPOS CLINICOS</v>
          </cell>
          <cell r="P2868">
            <v>1870</v>
          </cell>
          <cell r="T2868" t="str">
            <v>Bueno</v>
          </cell>
          <cell r="U2868" t="str">
            <v>N/T</v>
          </cell>
        </row>
        <row r="2869">
          <cell r="J2869" t="str">
            <v>42-05-02-01-2861</v>
          </cell>
          <cell r="K2869" t="str">
            <v>SC-00717</v>
          </cell>
          <cell r="L2869" t="str">
            <v>42-05-02-01-2861</v>
          </cell>
          <cell r="M2869" t="str">
            <v>Pinzas de campo de 9 cms.</v>
          </cell>
          <cell r="O2869" t="str">
            <v>EQUIPOS CLINICOS</v>
          </cell>
          <cell r="P2869">
            <v>1870</v>
          </cell>
          <cell r="T2869" t="str">
            <v>Bueno</v>
          </cell>
          <cell r="U2869" t="str">
            <v>N/T</v>
          </cell>
        </row>
        <row r="2870">
          <cell r="J2870" t="str">
            <v>42-05-02-01-2862</v>
          </cell>
          <cell r="K2870" t="str">
            <v>SC-00718</v>
          </cell>
          <cell r="L2870" t="str">
            <v>42-05-02-01-2862</v>
          </cell>
          <cell r="M2870" t="str">
            <v>Pinzas mosquito curvas de 12 ½ cms.</v>
          </cell>
          <cell r="O2870" t="str">
            <v>EQUIPOS CLINICOS</v>
          </cell>
          <cell r="P2870">
            <v>2070</v>
          </cell>
          <cell r="T2870" t="str">
            <v>Bueno</v>
          </cell>
          <cell r="U2870" t="str">
            <v>N/T</v>
          </cell>
        </row>
        <row r="2871">
          <cell r="J2871" t="str">
            <v>42-05-02-01-2863</v>
          </cell>
          <cell r="K2871" t="str">
            <v>SC-00719</v>
          </cell>
          <cell r="L2871" t="str">
            <v>42-05-02-01-2863</v>
          </cell>
          <cell r="M2871" t="str">
            <v>Porta agujas de 16 cms.</v>
          </cell>
          <cell r="O2871" t="str">
            <v>EQUIPOS CLINICOS</v>
          </cell>
          <cell r="P2871">
            <v>3500</v>
          </cell>
          <cell r="T2871" t="str">
            <v>Bueno</v>
          </cell>
          <cell r="U2871" t="str">
            <v>N/T</v>
          </cell>
        </row>
        <row r="2872">
          <cell r="J2872" t="str">
            <v>42-05-02-01-2864</v>
          </cell>
          <cell r="K2872" t="str">
            <v>SC-00720</v>
          </cell>
          <cell r="L2872" t="str">
            <v>42-05-02-01-2864</v>
          </cell>
          <cell r="M2872" t="str">
            <v>Sonda acanalada de 15 cms.</v>
          </cell>
          <cell r="O2872" t="str">
            <v>EQUIPOS CLINICOS</v>
          </cell>
          <cell r="P2872">
            <v>1270</v>
          </cell>
          <cell r="T2872" t="str">
            <v>Bueno</v>
          </cell>
          <cell r="U2872" t="str">
            <v>N/T</v>
          </cell>
        </row>
        <row r="2873">
          <cell r="J2873" t="str">
            <v>42-05-02-01-2865</v>
          </cell>
          <cell r="K2873" t="str">
            <v>SC-00721</v>
          </cell>
          <cell r="L2873" t="str">
            <v>42-05-02-01-2865</v>
          </cell>
          <cell r="M2873" t="str">
            <v>Tijera curva de 16 cms.</v>
          </cell>
          <cell r="O2873" t="str">
            <v>EQUIPOS CLINICOS</v>
          </cell>
          <cell r="P2873">
            <v>1870</v>
          </cell>
          <cell r="T2873" t="str">
            <v>Bueno</v>
          </cell>
          <cell r="U2873" t="str">
            <v>N/T</v>
          </cell>
        </row>
        <row r="2874">
          <cell r="J2874" t="str">
            <v>42-05-02-01-2866</v>
          </cell>
          <cell r="K2874" t="str">
            <v>SC-00722</v>
          </cell>
          <cell r="L2874" t="str">
            <v>42-05-02-01-2866</v>
          </cell>
          <cell r="M2874" t="str">
            <v>Tijera recta de 15 cms.</v>
          </cell>
          <cell r="O2874" t="str">
            <v>EQUIPOS CLINICOS</v>
          </cell>
          <cell r="P2874">
            <v>1870</v>
          </cell>
          <cell r="T2874" t="str">
            <v>Bueno</v>
          </cell>
          <cell r="U2874" t="str">
            <v>N/T</v>
          </cell>
        </row>
        <row r="2875">
          <cell r="J2875" t="str">
            <v>42-05-02-01-2867</v>
          </cell>
          <cell r="K2875" t="str">
            <v>SC-00723</v>
          </cell>
          <cell r="L2875" t="str">
            <v>42-05-02-01-2867</v>
          </cell>
          <cell r="M2875" t="str">
            <v>Cajas  metálicas de Raquídea con 1 trocar</v>
          </cell>
          <cell r="O2875" t="str">
            <v>EQUIPOS CLINICOS</v>
          </cell>
          <cell r="P2875">
            <v>3500</v>
          </cell>
          <cell r="T2875" t="str">
            <v>Bueno</v>
          </cell>
          <cell r="U2875" t="str">
            <v>N/T</v>
          </cell>
        </row>
        <row r="2876">
          <cell r="J2876" t="str">
            <v>42-05-02-01-2868</v>
          </cell>
          <cell r="K2876" t="str">
            <v>SC-00724</v>
          </cell>
          <cell r="L2876" t="str">
            <v>42-05-02-01-2868</v>
          </cell>
          <cell r="M2876" t="str">
            <v>Cajas punción lumbar metálica de 20x10x3 ½  con 3 trocar</v>
          </cell>
          <cell r="O2876" t="str">
            <v>EQUIPOS CLINICOS</v>
          </cell>
          <cell r="P2876">
            <v>3500</v>
          </cell>
          <cell r="T2876" t="str">
            <v>Bueno</v>
          </cell>
          <cell r="U2876" t="str">
            <v>N/T</v>
          </cell>
        </row>
        <row r="2877">
          <cell r="J2877" t="str">
            <v>42-05-02-01-2869</v>
          </cell>
          <cell r="K2877" t="str">
            <v>SC-00725</v>
          </cell>
          <cell r="L2877" t="str">
            <v>42-05-02-01-2869</v>
          </cell>
          <cell r="M2877" t="str">
            <v>Riñones chicos de acero inox.</v>
          </cell>
          <cell r="O2877" t="str">
            <v>EQUIPOS CLINICOS</v>
          </cell>
          <cell r="P2877">
            <v>2300</v>
          </cell>
          <cell r="T2877" t="str">
            <v>Bueno</v>
          </cell>
          <cell r="U2877" t="str">
            <v>N/T</v>
          </cell>
        </row>
        <row r="2878">
          <cell r="J2878" t="str">
            <v>42-05-02-01-2870</v>
          </cell>
          <cell r="K2878" t="str">
            <v>SC-00726</v>
          </cell>
          <cell r="L2878" t="str">
            <v>42-05-02-01-2870</v>
          </cell>
          <cell r="M2878" t="str">
            <v>Riñones grandes de acero inox.</v>
          </cell>
          <cell r="O2878" t="str">
            <v>EQUIPOS CLINICOS</v>
          </cell>
          <cell r="P2878">
            <v>2500</v>
          </cell>
          <cell r="T2878" t="str">
            <v>Bueno</v>
          </cell>
          <cell r="U2878" t="str">
            <v>N/T</v>
          </cell>
        </row>
        <row r="2879">
          <cell r="J2879" t="str">
            <v>42-05-02-01-2871</v>
          </cell>
          <cell r="K2879" t="str">
            <v>SC-00727</v>
          </cell>
          <cell r="L2879" t="str">
            <v>42-05-02-01-2871</v>
          </cell>
          <cell r="M2879" t="str">
            <v>Riñones de aluminio</v>
          </cell>
          <cell r="O2879" t="str">
            <v>EQUIPOS CLINICOS</v>
          </cell>
          <cell r="P2879">
            <v>2000</v>
          </cell>
          <cell r="T2879" t="str">
            <v>Bueno</v>
          </cell>
          <cell r="U2879" t="str">
            <v>N/T</v>
          </cell>
        </row>
        <row r="2880">
          <cell r="J2880" t="str">
            <v>42-05-02-01-2872</v>
          </cell>
          <cell r="K2880" t="str">
            <v>SC-00728</v>
          </cell>
          <cell r="L2880" t="str">
            <v>42-05-02-01-2872</v>
          </cell>
          <cell r="M2880" t="str">
            <v>Tambor acero inox. 26x16 cms.</v>
          </cell>
          <cell r="O2880" t="str">
            <v>EQUIPOS CLINICOS</v>
          </cell>
          <cell r="P2880">
            <v>2000</v>
          </cell>
          <cell r="T2880" t="str">
            <v>Bueno</v>
          </cell>
          <cell r="U2880" t="str">
            <v>N/T</v>
          </cell>
        </row>
        <row r="2881">
          <cell r="J2881" t="str">
            <v>42-05-02-01-2873</v>
          </cell>
          <cell r="K2881" t="str">
            <v>SC-00729</v>
          </cell>
          <cell r="L2881" t="str">
            <v>42-05-02-01-2873</v>
          </cell>
          <cell r="M2881" t="str">
            <v>Tambores acero inox. 31x30 cms.</v>
          </cell>
          <cell r="O2881" t="str">
            <v>EQUIPOS CLINICOS</v>
          </cell>
          <cell r="P2881">
            <v>2500</v>
          </cell>
          <cell r="T2881" t="str">
            <v>Bueno</v>
          </cell>
          <cell r="U2881" t="str">
            <v>N/T</v>
          </cell>
        </row>
        <row r="2882">
          <cell r="J2882" t="str">
            <v>42-05-02-01-2874</v>
          </cell>
          <cell r="K2882" t="str">
            <v>SC-00730</v>
          </cell>
          <cell r="L2882" t="str">
            <v>42-05-02-01-2874</v>
          </cell>
          <cell r="M2882" t="str">
            <v>Tambores acero inox. 37x30 cms.</v>
          </cell>
          <cell r="O2882" t="str">
            <v>EQUIPOS CLINICOS</v>
          </cell>
          <cell r="P2882">
            <v>3000</v>
          </cell>
          <cell r="T2882" t="str">
            <v>Bueno</v>
          </cell>
          <cell r="U2882" t="str">
            <v>N/T</v>
          </cell>
        </row>
        <row r="2883">
          <cell r="J2883" t="str">
            <v>42-05-02-01-2875</v>
          </cell>
          <cell r="K2883" t="str">
            <v>SC-00731</v>
          </cell>
          <cell r="L2883" t="str">
            <v>42-05-02-01-2875</v>
          </cell>
          <cell r="M2883" t="str">
            <v>Tijeras estériles</v>
          </cell>
          <cell r="O2883" t="str">
            <v>EQUIPOS CLINICOS</v>
          </cell>
          <cell r="P2883">
            <v>1870</v>
          </cell>
          <cell r="T2883" t="str">
            <v>Bueno</v>
          </cell>
          <cell r="U2883" t="str">
            <v>N/T</v>
          </cell>
        </row>
        <row r="2884">
          <cell r="J2884" t="str">
            <v>42-05-02-01-2876</v>
          </cell>
          <cell r="K2884" t="str">
            <v>SC-00732</v>
          </cell>
          <cell r="L2884" t="str">
            <v>42-05-02-01-2876</v>
          </cell>
          <cell r="M2884" t="str">
            <v>Tijeras grandes de 21 cms.</v>
          </cell>
          <cell r="O2884" t="str">
            <v>EQUIPOS CLINICOS</v>
          </cell>
          <cell r="P2884">
            <v>1870</v>
          </cell>
          <cell r="T2884" t="str">
            <v>Bueno</v>
          </cell>
          <cell r="U2884" t="str">
            <v>N/T</v>
          </cell>
        </row>
        <row r="2885">
          <cell r="J2885" t="str">
            <v>FN-05-02-01-2877</v>
          </cell>
          <cell r="K2885" t="str">
            <v>SC-00733</v>
          </cell>
          <cell r="L2885" t="str">
            <v>FN-05-02-01-2877</v>
          </cell>
          <cell r="M2885" t="str">
            <v>Equipos  de curación con 1 pinza quirúrgica y 1 pinza anatómica</v>
          </cell>
          <cell r="O2885" t="str">
            <v>EQUIPOS CLINICOS FUNGIBLE / NOMINABLE</v>
          </cell>
          <cell r="P2885">
            <v>10000</v>
          </cell>
          <cell r="T2885" t="str">
            <v>Bueno</v>
          </cell>
          <cell r="U2885" t="str">
            <v>N/T</v>
          </cell>
        </row>
        <row r="2886">
          <cell r="J2886" t="str">
            <v>42-05-02-01-2878</v>
          </cell>
          <cell r="K2886" t="str">
            <v>SC-00734</v>
          </cell>
          <cell r="L2886" t="str">
            <v>42-05-02-01-2878</v>
          </cell>
          <cell r="M2886" t="str">
            <v>Equipos de sutura con 2 pinzas Kelly, 1 porta agujas, 1 tijera y 1 pinza  quirúrgica</v>
          </cell>
          <cell r="O2886" t="str">
            <v>EQUIPOS CLINICOS</v>
          </cell>
          <cell r="P2886">
            <v>10000</v>
          </cell>
          <cell r="T2886" t="str">
            <v>Bueno</v>
          </cell>
          <cell r="U2886" t="str">
            <v>N/T</v>
          </cell>
        </row>
        <row r="2887">
          <cell r="J2887" t="str">
            <v>42-05-02-01-2879</v>
          </cell>
          <cell r="K2887" t="str">
            <v>SC-00735</v>
          </cell>
          <cell r="L2887" t="str">
            <v>42-05-02-01-2879</v>
          </cell>
          <cell r="M2887" t="str">
            <v>Lavatorio de acero inoxidable</v>
          </cell>
          <cell r="O2887" t="str">
            <v>EQUIPOS CLINICOS</v>
          </cell>
          <cell r="P2887">
            <v>3000</v>
          </cell>
          <cell r="T2887" t="str">
            <v>Bueno</v>
          </cell>
          <cell r="U2887" t="str">
            <v>N/T</v>
          </cell>
        </row>
        <row r="2888">
          <cell r="J2888" t="str">
            <v>42-05-02-01-2880</v>
          </cell>
          <cell r="K2888" t="str">
            <v>SC-00736</v>
          </cell>
          <cell r="L2888" t="str">
            <v>42-05-02-01-2880</v>
          </cell>
          <cell r="M2888" t="str">
            <v>Bandejas para tratamiento</v>
          </cell>
          <cell r="O2888" t="str">
            <v>EQUIPOS CLINICOS</v>
          </cell>
          <cell r="P2888">
            <v>6000</v>
          </cell>
          <cell r="T2888" t="str">
            <v>Bueno</v>
          </cell>
          <cell r="U2888" t="str">
            <v>N/T</v>
          </cell>
        </row>
        <row r="2889">
          <cell r="J2889" t="str">
            <v>42-05-02-01-2881</v>
          </cell>
          <cell r="K2889" t="str">
            <v>SC-00737</v>
          </cell>
          <cell r="L2889" t="str">
            <v>42-05-02-01-2881</v>
          </cell>
          <cell r="M2889" t="str">
            <v>CAJA DE CIRUGÍA MENOR Nº 6</v>
          </cell>
          <cell r="O2889" t="str">
            <v>EQUIPOS CLINICOS</v>
          </cell>
          <cell r="P2889">
            <v>9500</v>
          </cell>
          <cell r="T2889" t="str">
            <v>Bueno</v>
          </cell>
          <cell r="U2889" t="str">
            <v>N/T</v>
          </cell>
        </row>
        <row r="2890">
          <cell r="J2890" t="str">
            <v>42-04-07-00-2882</v>
          </cell>
          <cell r="K2890" t="str">
            <v>SC-00738</v>
          </cell>
          <cell r="L2890" t="str">
            <v>42-04-07-00-2882</v>
          </cell>
          <cell r="M2890" t="str">
            <v>Caja de acero inox. de 20x10x5 cms.</v>
          </cell>
          <cell r="O2890" t="str">
            <v>OTROS</v>
          </cell>
          <cell r="P2890">
            <v>9900</v>
          </cell>
          <cell r="T2890" t="str">
            <v>Bueno</v>
          </cell>
          <cell r="U2890" t="str">
            <v>N/T</v>
          </cell>
        </row>
        <row r="2891">
          <cell r="J2891" t="str">
            <v>42-05-02-01-2883</v>
          </cell>
          <cell r="K2891" t="str">
            <v>SC-00739</v>
          </cell>
          <cell r="L2891" t="str">
            <v>42-05-02-01-2883</v>
          </cell>
          <cell r="M2891" t="str">
            <v>Estilete abotonado de 15 cms.</v>
          </cell>
          <cell r="O2891" t="str">
            <v>EQUIPOS CLINICOS</v>
          </cell>
          <cell r="P2891">
            <v>3300</v>
          </cell>
          <cell r="T2891" t="str">
            <v>Bueno</v>
          </cell>
          <cell r="U2891" t="str">
            <v>N/T</v>
          </cell>
        </row>
        <row r="2892">
          <cell r="J2892" t="str">
            <v>42-05-02-01-2884</v>
          </cell>
          <cell r="K2892" t="str">
            <v>SC-00740</v>
          </cell>
          <cell r="L2892" t="str">
            <v>42-05-02-01-2884</v>
          </cell>
          <cell r="M2892" t="str">
            <v>Farabeauf  ( 1 de 15 cms. 1 de 14 ½ cms.)</v>
          </cell>
          <cell r="O2892" t="str">
            <v>EQUIPOS CLINICOS</v>
          </cell>
          <cell r="P2892">
            <v>3380</v>
          </cell>
          <cell r="T2892" t="str">
            <v>Bueno</v>
          </cell>
          <cell r="U2892" t="str">
            <v>N/T</v>
          </cell>
        </row>
        <row r="2893">
          <cell r="J2893" t="str">
            <v>42-05-02-01-2885</v>
          </cell>
          <cell r="K2893" t="str">
            <v>SC-00741</v>
          </cell>
          <cell r="L2893" t="str">
            <v>42-05-02-01-2885</v>
          </cell>
          <cell r="M2893" t="str">
            <v>Mango bisturí de 12 cms.</v>
          </cell>
          <cell r="O2893" t="str">
            <v>EQUIPOS CLINICOS</v>
          </cell>
          <cell r="P2893">
            <v>1300</v>
          </cell>
          <cell r="T2893" t="str">
            <v>Bueno</v>
          </cell>
          <cell r="U2893" t="str">
            <v>N/T</v>
          </cell>
        </row>
        <row r="2894">
          <cell r="J2894" t="str">
            <v>42-05-02-01-2886</v>
          </cell>
          <cell r="K2894" t="str">
            <v>SC-00742</v>
          </cell>
          <cell r="L2894" t="str">
            <v>42-05-02-01-2886</v>
          </cell>
          <cell r="M2894" t="str">
            <v>Pinza anatómica de 14 cms.</v>
          </cell>
          <cell r="O2894" t="str">
            <v>EQUIPOS CLINICOS</v>
          </cell>
          <cell r="P2894">
            <v>1270</v>
          </cell>
          <cell r="T2894" t="str">
            <v>Bueno</v>
          </cell>
          <cell r="U2894" t="str">
            <v>N/T</v>
          </cell>
        </row>
        <row r="2895">
          <cell r="J2895" t="str">
            <v>42-05-02-01-2887</v>
          </cell>
          <cell r="K2895" t="str">
            <v>SC-00743</v>
          </cell>
          <cell r="L2895" t="str">
            <v>42-05-02-01-2887</v>
          </cell>
          <cell r="M2895" t="str">
            <v>Pinza quirúrgica de 14 cms.</v>
          </cell>
          <cell r="O2895" t="str">
            <v>EQUIPOS CLINICOS</v>
          </cell>
          <cell r="P2895">
            <v>1470</v>
          </cell>
          <cell r="T2895" t="str">
            <v>Bueno</v>
          </cell>
          <cell r="U2895" t="str">
            <v>N/T</v>
          </cell>
        </row>
        <row r="2896">
          <cell r="J2896" t="str">
            <v>42-05-02-01-2888</v>
          </cell>
          <cell r="K2896" t="str">
            <v>SC-00744</v>
          </cell>
          <cell r="L2896" t="str">
            <v>42-05-02-01-2888</v>
          </cell>
          <cell r="M2896" t="str">
            <v>Pinzas Kelly curvas de 14 cms.</v>
          </cell>
          <cell r="O2896" t="str">
            <v>EQUIPOS CLINICOS</v>
          </cell>
          <cell r="P2896">
            <v>2270</v>
          </cell>
          <cell r="T2896" t="str">
            <v>Bueno</v>
          </cell>
          <cell r="U2896" t="str">
            <v>N/T</v>
          </cell>
        </row>
        <row r="2897">
          <cell r="J2897" t="str">
            <v>42-05-02-01-2889</v>
          </cell>
          <cell r="K2897" t="str">
            <v>SC-00745</v>
          </cell>
          <cell r="L2897" t="str">
            <v>42-05-02-01-2889</v>
          </cell>
          <cell r="M2897" t="str">
            <v>Pinzas mosquitos curvas de 12 cms.</v>
          </cell>
          <cell r="O2897" t="str">
            <v>EQUIPOS CLINICOS</v>
          </cell>
          <cell r="P2897">
            <v>2070</v>
          </cell>
          <cell r="T2897" t="str">
            <v>Bueno</v>
          </cell>
          <cell r="U2897" t="str">
            <v>N/T</v>
          </cell>
        </row>
        <row r="2898">
          <cell r="J2898" t="str">
            <v>42-05-02-01-2890</v>
          </cell>
          <cell r="K2898" t="str">
            <v>SC-00746</v>
          </cell>
          <cell r="L2898" t="str">
            <v>42-05-02-01-2890</v>
          </cell>
          <cell r="M2898" t="str">
            <v>Porta agujas de 16 cms.</v>
          </cell>
          <cell r="O2898" t="str">
            <v>EQUIPOS CLINICOS</v>
          </cell>
          <cell r="P2898">
            <v>3500</v>
          </cell>
          <cell r="T2898" t="str">
            <v>Bueno</v>
          </cell>
          <cell r="U2898" t="str">
            <v>N/T</v>
          </cell>
        </row>
        <row r="2899">
          <cell r="J2899" t="str">
            <v>42-05-02-01-2891</v>
          </cell>
          <cell r="K2899" t="str">
            <v>SC-00747</v>
          </cell>
          <cell r="L2899" t="str">
            <v>42-05-02-01-2891</v>
          </cell>
          <cell r="M2899" t="str">
            <v>Sonda acanalada de 15 cms.</v>
          </cell>
          <cell r="O2899" t="str">
            <v>EQUIPOS CLINICOS</v>
          </cell>
          <cell r="P2899">
            <v>1270</v>
          </cell>
          <cell r="T2899" t="str">
            <v>Bueno</v>
          </cell>
          <cell r="U2899" t="str">
            <v>N/T</v>
          </cell>
        </row>
        <row r="2900">
          <cell r="J2900" t="str">
            <v>42-05-02-01-2892</v>
          </cell>
          <cell r="K2900" t="str">
            <v>SC-00748</v>
          </cell>
          <cell r="L2900" t="str">
            <v>42-05-02-01-2892</v>
          </cell>
          <cell r="M2900" t="str">
            <v>Tijera recta de 15 cms.</v>
          </cell>
          <cell r="O2900" t="str">
            <v>EQUIPOS CLINICOS</v>
          </cell>
          <cell r="P2900">
            <v>1870</v>
          </cell>
          <cell r="T2900" t="str">
            <v>Bueno</v>
          </cell>
          <cell r="U2900" t="str">
            <v>N/T</v>
          </cell>
        </row>
        <row r="2901">
          <cell r="J2901" t="str">
            <v>42-05-02-01-2893</v>
          </cell>
          <cell r="K2901" t="str">
            <v>SC-00749</v>
          </cell>
          <cell r="L2901" t="str">
            <v>42-05-02-01-2893</v>
          </cell>
          <cell r="M2901" t="str">
            <v>CAJA CIRUGÍA MENOR Nº 7</v>
          </cell>
          <cell r="O2901" t="str">
            <v>EQUIPOS CLINICOS</v>
          </cell>
          <cell r="P2901">
            <v>9500</v>
          </cell>
          <cell r="T2901" t="str">
            <v>Bueno</v>
          </cell>
          <cell r="U2901" t="str">
            <v>N/T</v>
          </cell>
        </row>
        <row r="2902">
          <cell r="J2902" t="str">
            <v>42-04-07-00-2894</v>
          </cell>
          <cell r="K2902" t="str">
            <v>SC-00750</v>
          </cell>
          <cell r="L2902" t="str">
            <v>42-04-07-00-2894</v>
          </cell>
          <cell r="M2902" t="str">
            <v>Caja de acero inox. de 20x10x5 cms.</v>
          </cell>
          <cell r="O2902" t="str">
            <v>OTROS</v>
          </cell>
          <cell r="P2902">
            <v>9900</v>
          </cell>
          <cell r="T2902" t="str">
            <v>Bueno</v>
          </cell>
          <cell r="U2902" t="str">
            <v>N/T</v>
          </cell>
        </row>
        <row r="2903">
          <cell r="J2903" t="str">
            <v>42-05-02-01-2895</v>
          </cell>
          <cell r="K2903" t="str">
            <v>SC-00751</v>
          </cell>
          <cell r="L2903" t="str">
            <v>42-05-02-01-2895</v>
          </cell>
          <cell r="M2903" t="str">
            <v>Estilete abotonado de 15 cms.</v>
          </cell>
          <cell r="O2903" t="str">
            <v>EQUIPOS CLINICOS</v>
          </cell>
          <cell r="P2903">
            <v>3300</v>
          </cell>
          <cell r="T2903" t="str">
            <v>Bueno</v>
          </cell>
          <cell r="U2903" t="str">
            <v>N/T</v>
          </cell>
        </row>
        <row r="2904">
          <cell r="J2904" t="str">
            <v>42-05-02-01-2896</v>
          </cell>
          <cell r="K2904" t="str">
            <v>SC-00752</v>
          </cell>
          <cell r="L2904" t="str">
            <v>42-05-02-01-2896</v>
          </cell>
          <cell r="M2904" t="str">
            <v>Farabeauf  (1 de 15 cms. 1 de 14 ½ cms.)</v>
          </cell>
          <cell r="O2904" t="str">
            <v>EQUIPOS CLINICOS</v>
          </cell>
          <cell r="P2904">
            <v>3380</v>
          </cell>
          <cell r="T2904" t="str">
            <v>Bueno</v>
          </cell>
          <cell r="U2904" t="str">
            <v>N/T</v>
          </cell>
        </row>
        <row r="2905">
          <cell r="J2905" t="str">
            <v>42-05-02-01-2897</v>
          </cell>
          <cell r="K2905" t="str">
            <v>SC-00753</v>
          </cell>
          <cell r="L2905" t="str">
            <v>42-05-02-01-2897</v>
          </cell>
          <cell r="M2905" t="str">
            <v>Mango bisturí de 12 cms.</v>
          </cell>
          <cell r="O2905" t="str">
            <v>EQUIPOS CLINICOS</v>
          </cell>
          <cell r="P2905">
            <v>1300</v>
          </cell>
          <cell r="T2905" t="str">
            <v>Bueno</v>
          </cell>
          <cell r="U2905" t="str">
            <v>N/T</v>
          </cell>
        </row>
        <row r="2906">
          <cell r="J2906" t="str">
            <v>42-05-02-01-2898</v>
          </cell>
          <cell r="K2906" t="str">
            <v>SC-00754</v>
          </cell>
          <cell r="L2906" t="str">
            <v>42-05-02-01-2898</v>
          </cell>
          <cell r="M2906" t="str">
            <v xml:space="preserve">Pinza anatómica de 14 cms. </v>
          </cell>
          <cell r="O2906" t="str">
            <v>EQUIPOS CLINICOS</v>
          </cell>
          <cell r="P2906">
            <v>1470</v>
          </cell>
          <cell r="T2906" t="str">
            <v>Bueno</v>
          </cell>
          <cell r="U2906" t="str">
            <v>N/T</v>
          </cell>
        </row>
        <row r="2907">
          <cell r="J2907" t="str">
            <v>42-05-02-01-2899</v>
          </cell>
          <cell r="K2907" t="str">
            <v>SC-00755</v>
          </cell>
          <cell r="L2907" t="str">
            <v>42-05-02-01-2899</v>
          </cell>
          <cell r="M2907" t="str">
            <v>Pinza Kelly rectas de 14 cms.</v>
          </cell>
          <cell r="O2907" t="str">
            <v>EQUIPOS CLINICOS</v>
          </cell>
          <cell r="P2907">
            <v>2270</v>
          </cell>
          <cell r="T2907" t="str">
            <v>Bueno</v>
          </cell>
          <cell r="U2907" t="str">
            <v>N/T</v>
          </cell>
        </row>
        <row r="2908">
          <cell r="J2908" t="str">
            <v>42-05-02-01-2900</v>
          </cell>
          <cell r="K2908" t="str">
            <v>SC-00756</v>
          </cell>
          <cell r="L2908" t="str">
            <v>42-05-02-01-2900</v>
          </cell>
          <cell r="M2908" t="str">
            <v>Pinza quirúrgica de 14 cms.</v>
          </cell>
          <cell r="O2908" t="str">
            <v>EQUIPOS CLINICOS</v>
          </cell>
          <cell r="P2908">
            <v>1470</v>
          </cell>
          <cell r="T2908" t="str">
            <v>Bueno</v>
          </cell>
          <cell r="U2908" t="str">
            <v>N/T</v>
          </cell>
        </row>
        <row r="2909">
          <cell r="J2909" t="str">
            <v>42-05-02-01-2901</v>
          </cell>
          <cell r="K2909" t="str">
            <v>SC-00757</v>
          </cell>
          <cell r="L2909" t="str">
            <v>42-05-02-01-2901</v>
          </cell>
          <cell r="M2909" t="str">
            <v>Pinzas Kelly curvas de 14 cms.</v>
          </cell>
          <cell r="O2909" t="str">
            <v>EQUIPOS CLINICOS</v>
          </cell>
          <cell r="P2909">
            <v>2270</v>
          </cell>
          <cell r="T2909" t="str">
            <v>Bueno</v>
          </cell>
          <cell r="U2909" t="str">
            <v>N/T</v>
          </cell>
        </row>
        <row r="2910">
          <cell r="J2910" t="str">
            <v>42-05-02-01-2902</v>
          </cell>
          <cell r="K2910" t="str">
            <v>SC-00758</v>
          </cell>
          <cell r="L2910" t="str">
            <v>42-05-02-01-2902</v>
          </cell>
          <cell r="M2910" t="str">
            <v>Pinzas mosquitos curvas de 12 cms.</v>
          </cell>
          <cell r="O2910" t="str">
            <v>EQUIPOS CLINICOS</v>
          </cell>
          <cell r="P2910">
            <v>2070</v>
          </cell>
          <cell r="T2910" t="str">
            <v>Bueno</v>
          </cell>
          <cell r="U2910" t="str">
            <v>N/T</v>
          </cell>
        </row>
        <row r="2911">
          <cell r="J2911" t="str">
            <v>42-05-02-01-2903</v>
          </cell>
          <cell r="K2911" t="str">
            <v>SC-00759</v>
          </cell>
          <cell r="L2911" t="str">
            <v>42-05-02-01-2903</v>
          </cell>
          <cell r="M2911" t="str">
            <v>Porta agujas de 16 cms.</v>
          </cell>
          <cell r="O2911" t="str">
            <v>EQUIPOS CLINICOS</v>
          </cell>
          <cell r="P2911">
            <v>3500</v>
          </cell>
          <cell r="T2911" t="str">
            <v>Bueno</v>
          </cell>
          <cell r="U2911" t="str">
            <v>N/T</v>
          </cell>
        </row>
        <row r="2912">
          <cell r="J2912" t="str">
            <v>42-05-02-01-2904</v>
          </cell>
          <cell r="K2912" t="str">
            <v>SC-00760</v>
          </cell>
          <cell r="L2912" t="str">
            <v>42-05-02-01-2904</v>
          </cell>
          <cell r="M2912" t="str">
            <v>Sonda acanalada 12,5 cms.</v>
          </cell>
          <cell r="O2912" t="str">
            <v>EQUIPOS CLINICOS</v>
          </cell>
          <cell r="P2912">
            <v>1270</v>
          </cell>
          <cell r="T2912" t="str">
            <v>Bueno</v>
          </cell>
          <cell r="U2912" t="str">
            <v>N/T</v>
          </cell>
        </row>
        <row r="2913">
          <cell r="J2913" t="str">
            <v>42-05-02-01-2905</v>
          </cell>
          <cell r="K2913" t="str">
            <v>SC-00761</v>
          </cell>
          <cell r="L2913" t="str">
            <v>42-05-02-01-2905</v>
          </cell>
          <cell r="M2913" t="str">
            <v>Tijera recta de 14,5 cms.</v>
          </cell>
          <cell r="O2913" t="str">
            <v>EQUIPOS CLINICOS</v>
          </cell>
          <cell r="P2913">
            <v>1870</v>
          </cell>
          <cell r="T2913" t="str">
            <v>Bueno</v>
          </cell>
          <cell r="U2913" t="str">
            <v>N/T</v>
          </cell>
        </row>
        <row r="2914">
          <cell r="J2914" t="str">
            <v>42-05-02-01-2906</v>
          </cell>
          <cell r="K2914" t="str">
            <v>SC-00762</v>
          </cell>
          <cell r="L2914" t="str">
            <v>42-05-02-01-2906</v>
          </cell>
          <cell r="M2914" t="str">
            <v>Tijera recta de 15 cms.</v>
          </cell>
          <cell r="O2914" t="str">
            <v>EQUIPOS CLINICOS</v>
          </cell>
          <cell r="P2914">
            <v>1870</v>
          </cell>
          <cell r="T2914" t="str">
            <v>Bueno</v>
          </cell>
          <cell r="U2914" t="str">
            <v>N/T</v>
          </cell>
        </row>
        <row r="2915">
          <cell r="J2915" t="str">
            <v>42-05-02-01-2907</v>
          </cell>
          <cell r="K2915" t="str">
            <v>SC-00763</v>
          </cell>
          <cell r="L2915" t="str">
            <v>42-05-02-01-2907</v>
          </cell>
          <cell r="M2915" t="str">
            <v>CAJA DE CIRUGÍA MENOR Nº 8</v>
          </cell>
          <cell r="O2915" t="str">
            <v>EQUIPOS CLINICOS</v>
          </cell>
          <cell r="P2915">
            <v>9500</v>
          </cell>
          <cell r="T2915" t="str">
            <v>Bueno</v>
          </cell>
          <cell r="U2915" t="str">
            <v>N/T</v>
          </cell>
        </row>
        <row r="2916">
          <cell r="J2916" t="str">
            <v>42-04-07-00-2908</v>
          </cell>
          <cell r="K2916" t="str">
            <v>SC-00764</v>
          </cell>
          <cell r="L2916" t="str">
            <v>42-04-07-00-2908</v>
          </cell>
          <cell r="M2916" t="str">
            <v>Caja de acero inox. De 20x10x5 cms.</v>
          </cell>
          <cell r="O2916" t="str">
            <v>OTROS</v>
          </cell>
          <cell r="P2916">
            <v>9900</v>
          </cell>
          <cell r="T2916" t="str">
            <v>Bueno</v>
          </cell>
          <cell r="U2916" t="str">
            <v>N/T</v>
          </cell>
        </row>
        <row r="2917">
          <cell r="J2917" t="str">
            <v>42-05-02-01-2909</v>
          </cell>
          <cell r="K2917" t="str">
            <v>SC-00765</v>
          </cell>
          <cell r="L2917" t="str">
            <v>42-05-02-01-2909</v>
          </cell>
          <cell r="M2917" t="str">
            <v>Estilete abotonado de 15 cms.</v>
          </cell>
          <cell r="O2917" t="str">
            <v>EQUIPOS CLINICOS</v>
          </cell>
          <cell r="P2917">
            <v>3300</v>
          </cell>
          <cell r="T2917" t="str">
            <v>Bueno</v>
          </cell>
          <cell r="U2917" t="str">
            <v>N/T</v>
          </cell>
        </row>
        <row r="2918">
          <cell r="J2918" t="str">
            <v>42-05-02-01-2910</v>
          </cell>
          <cell r="K2918" t="str">
            <v>SC-00766</v>
          </cell>
          <cell r="L2918" t="str">
            <v>42-05-02-01-2910</v>
          </cell>
          <cell r="M2918" t="str">
            <v>Farabeauf  ( 1 de 15 cms. 1 de 14 ½ cms. )</v>
          </cell>
          <cell r="O2918" t="str">
            <v>EQUIPOS CLINICOS</v>
          </cell>
          <cell r="P2918">
            <v>3380</v>
          </cell>
          <cell r="T2918" t="str">
            <v>Bueno</v>
          </cell>
          <cell r="U2918" t="str">
            <v>N/T</v>
          </cell>
        </row>
        <row r="2919">
          <cell r="J2919" t="str">
            <v>42-05-02-01-2911</v>
          </cell>
          <cell r="K2919" t="str">
            <v>SC-00767</v>
          </cell>
          <cell r="L2919" t="str">
            <v>42-05-02-01-2911</v>
          </cell>
          <cell r="M2919" t="str">
            <v>Mango bisturí de 12 cms.</v>
          </cell>
          <cell r="O2919" t="str">
            <v>EQUIPOS CLINICOS</v>
          </cell>
          <cell r="P2919">
            <v>1300</v>
          </cell>
          <cell r="T2919" t="str">
            <v>Bueno</v>
          </cell>
          <cell r="U2919" t="str">
            <v>N/T</v>
          </cell>
        </row>
        <row r="2920">
          <cell r="J2920" t="str">
            <v>42-05-02-01-2912</v>
          </cell>
          <cell r="K2920" t="str">
            <v>SC-00768</v>
          </cell>
          <cell r="L2920" t="str">
            <v>42-05-02-01-2912</v>
          </cell>
          <cell r="M2920" t="str">
            <v>Pinza anatómica de 14 cms.</v>
          </cell>
          <cell r="O2920" t="str">
            <v>EQUIPOS CLINICOS</v>
          </cell>
          <cell r="P2920">
            <v>1470</v>
          </cell>
          <cell r="T2920" t="str">
            <v>Bueno</v>
          </cell>
          <cell r="U2920" t="str">
            <v>N/T</v>
          </cell>
        </row>
        <row r="2921">
          <cell r="J2921" t="str">
            <v>42-05-02-01-2913</v>
          </cell>
          <cell r="K2921" t="str">
            <v>SC-00769</v>
          </cell>
          <cell r="L2921" t="str">
            <v>42-05-02-01-2913</v>
          </cell>
          <cell r="M2921" t="str">
            <v>Pinza Kelly rectas de 14 cms.</v>
          </cell>
          <cell r="O2921" t="str">
            <v>EQUIPOS CLINICOS</v>
          </cell>
          <cell r="P2921">
            <v>2270</v>
          </cell>
          <cell r="T2921" t="str">
            <v>Bueno</v>
          </cell>
          <cell r="U2921" t="str">
            <v>N/T</v>
          </cell>
        </row>
        <row r="2922">
          <cell r="J2922" t="str">
            <v>42-05-02-01-2914</v>
          </cell>
          <cell r="K2922" t="str">
            <v>SC-00770</v>
          </cell>
          <cell r="L2922" t="str">
            <v>42-05-02-01-2914</v>
          </cell>
          <cell r="M2922" t="str">
            <v>Pinza quirúrgica de 14 cms.</v>
          </cell>
          <cell r="O2922" t="str">
            <v>EQUIPOS CLINICOS</v>
          </cell>
          <cell r="P2922">
            <v>1470</v>
          </cell>
          <cell r="T2922" t="str">
            <v>Bueno</v>
          </cell>
          <cell r="U2922" t="str">
            <v>N/T</v>
          </cell>
        </row>
        <row r="2923">
          <cell r="J2923" t="str">
            <v>42-05-02-01-2915</v>
          </cell>
          <cell r="K2923" t="str">
            <v>SC-00771</v>
          </cell>
          <cell r="L2923" t="str">
            <v>42-05-02-01-2915</v>
          </cell>
          <cell r="M2923" t="str">
            <v>Pinzas Kelly curvas de 14 cms.</v>
          </cell>
          <cell r="O2923" t="str">
            <v>EQUIPOS CLINICOS</v>
          </cell>
          <cell r="P2923">
            <v>2270</v>
          </cell>
          <cell r="T2923" t="str">
            <v>Bueno</v>
          </cell>
          <cell r="U2923" t="str">
            <v>N/T</v>
          </cell>
        </row>
        <row r="2924">
          <cell r="J2924" t="str">
            <v>42-05-02-01-2916</v>
          </cell>
          <cell r="K2924" t="str">
            <v>SC-00772</v>
          </cell>
          <cell r="L2924" t="str">
            <v>42-05-02-01-2916</v>
          </cell>
          <cell r="M2924" t="str">
            <v xml:space="preserve">Pinzas mosquitos curvas de 12 cms.                    </v>
          </cell>
          <cell r="O2924" t="str">
            <v>EQUIPOS CLINICOS</v>
          </cell>
          <cell r="P2924">
            <v>2070</v>
          </cell>
          <cell r="T2924" t="str">
            <v>Bueno</v>
          </cell>
          <cell r="U2924" t="str">
            <v>N/T</v>
          </cell>
        </row>
        <row r="2925">
          <cell r="J2925" t="str">
            <v>42-05-02-01-2917</v>
          </cell>
          <cell r="K2925" t="str">
            <v>SC-00773</v>
          </cell>
          <cell r="L2925" t="str">
            <v>42-05-02-01-2917</v>
          </cell>
          <cell r="M2925" t="str">
            <v>Porta agujas de 16 cms.</v>
          </cell>
          <cell r="O2925" t="str">
            <v>EQUIPOS CLINICOS</v>
          </cell>
          <cell r="P2925">
            <v>3500</v>
          </cell>
          <cell r="T2925" t="str">
            <v>Bueno</v>
          </cell>
          <cell r="U2925" t="str">
            <v>N/T</v>
          </cell>
        </row>
        <row r="2926">
          <cell r="J2926" t="str">
            <v>42-05-02-01-2918</v>
          </cell>
          <cell r="K2926" t="str">
            <v>SC-00774</v>
          </cell>
          <cell r="L2926" t="str">
            <v>42-05-02-01-2918</v>
          </cell>
          <cell r="M2926" t="str">
            <v>CAJA CIRUGIA MENOR Nº 3</v>
          </cell>
          <cell r="O2926" t="str">
            <v>EQUIPOS CLINICOS</v>
          </cell>
          <cell r="P2926">
            <v>9500</v>
          </cell>
          <cell r="T2926" t="str">
            <v>Bueno</v>
          </cell>
          <cell r="U2926" t="str">
            <v>N/T</v>
          </cell>
        </row>
        <row r="2927">
          <cell r="J2927" t="str">
            <v>42-05-02-01-2919</v>
          </cell>
          <cell r="K2927" t="str">
            <v>SC-00775</v>
          </cell>
          <cell r="L2927" t="str">
            <v>42-05-02-01-2919</v>
          </cell>
          <cell r="M2927" t="str">
            <v>Caja acero inox. 20x10x5 ½ cms.</v>
          </cell>
          <cell r="O2927" t="str">
            <v>EQUIPOS CLINICOS</v>
          </cell>
          <cell r="P2927">
            <v>9900</v>
          </cell>
          <cell r="T2927" t="str">
            <v>Bueno</v>
          </cell>
          <cell r="U2927" t="str">
            <v>N/T</v>
          </cell>
        </row>
        <row r="2928">
          <cell r="J2928" t="str">
            <v>42-05-02-01-2920</v>
          </cell>
          <cell r="K2928" t="str">
            <v>SC-00776</v>
          </cell>
          <cell r="L2928" t="str">
            <v>42-05-02-01-2920</v>
          </cell>
          <cell r="M2928" t="str">
            <v>Farabeuf de 15 cms.</v>
          </cell>
          <cell r="O2928" t="str">
            <v>EQUIPOS CLINICOS</v>
          </cell>
          <cell r="P2928">
            <v>3380</v>
          </cell>
          <cell r="T2928" t="str">
            <v>Bueno</v>
          </cell>
          <cell r="U2928" t="str">
            <v>N/T</v>
          </cell>
        </row>
        <row r="2929">
          <cell r="J2929" t="str">
            <v>42-05-02-01-2921</v>
          </cell>
          <cell r="K2929" t="str">
            <v>SC-00777</v>
          </cell>
          <cell r="L2929" t="str">
            <v>42-05-02-01-2921</v>
          </cell>
          <cell r="M2929" t="str">
            <v>Kelly curva de 14 ½ cms.</v>
          </cell>
          <cell r="O2929" t="str">
            <v>EQUIPOS CLINICOS</v>
          </cell>
          <cell r="P2929">
            <v>2070</v>
          </cell>
          <cell r="T2929" t="str">
            <v>Bueno</v>
          </cell>
          <cell r="U2929" t="str">
            <v>N/T</v>
          </cell>
        </row>
        <row r="2930">
          <cell r="J2930" t="str">
            <v>42-05-02-01-2922</v>
          </cell>
          <cell r="K2930" t="str">
            <v>SC-00778</v>
          </cell>
          <cell r="L2930" t="str">
            <v>42-05-02-01-2922</v>
          </cell>
          <cell r="M2930" t="str">
            <v>Mango bisturí 12 ½ cms.</v>
          </cell>
          <cell r="O2930" t="str">
            <v>EQUIPOS CLINICOS</v>
          </cell>
          <cell r="P2930">
            <v>1300</v>
          </cell>
          <cell r="T2930" t="str">
            <v>Bueno</v>
          </cell>
          <cell r="U2930" t="str">
            <v>N/T</v>
          </cell>
        </row>
        <row r="2931">
          <cell r="J2931" t="str">
            <v>42-05-02-01-2923</v>
          </cell>
          <cell r="K2931" t="str">
            <v>SC-00779</v>
          </cell>
          <cell r="L2931" t="str">
            <v>42-05-02-01-2923</v>
          </cell>
          <cell r="M2931" t="str">
            <v>Mosquito recta de 13 cms.</v>
          </cell>
          <cell r="O2931" t="str">
            <v>EQUIPOS CLINICOS</v>
          </cell>
          <cell r="P2931">
            <v>2070</v>
          </cell>
          <cell r="T2931" t="str">
            <v>Bueno</v>
          </cell>
          <cell r="U2931" t="str">
            <v>N/T</v>
          </cell>
        </row>
        <row r="2932">
          <cell r="J2932" t="str">
            <v>42-05-02-01-2924</v>
          </cell>
          <cell r="K2932" t="str">
            <v>SC-00780</v>
          </cell>
          <cell r="L2932" t="str">
            <v>42-05-02-01-2924</v>
          </cell>
          <cell r="M2932" t="str">
            <v>Mosquitos curvas de 12 ½ cms</v>
          </cell>
          <cell r="O2932" t="str">
            <v>EQUIPOS CLINICOS</v>
          </cell>
          <cell r="P2932">
            <v>2070</v>
          </cell>
          <cell r="T2932" t="str">
            <v>Bueno</v>
          </cell>
          <cell r="U2932" t="str">
            <v>N/T</v>
          </cell>
        </row>
        <row r="2933">
          <cell r="J2933" t="str">
            <v>42-05-02-01-2925</v>
          </cell>
          <cell r="K2933" t="str">
            <v>SC-00781</v>
          </cell>
          <cell r="L2933" t="str">
            <v>42-05-02-01-2925</v>
          </cell>
          <cell r="M2933" t="str">
            <v>Pinzas de campo de 13  cms.</v>
          </cell>
          <cell r="O2933" t="str">
            <v>EQUIPOS CLINICOS</v>
          </cell>
          <cell r="P2933">
            <v>1870</v>
          </cell>
          <cell r="T2933" t="str">
            <v>Bueno</v>
          </cell>
          <cell r="U2933" t="str">
            <v>N/T</v>
          </cell>
        </row>
        <row r="2934">
          <cell r="J2934" t="str">
            <v>42-05-02-01-2926</v>
          </cell>
          <cell r="K2934" t="str">
            <v>SC-00782</v>
          </cell>
          <cell r="L2934" t="str">
            <v>42-05-02-01-2926</v>
          </cell>
          <cell r="M2934" t="str">
            <v>Porta agujas de 16 cms.</v>
          </cell>
          <cell r="O2934" t="str">
            <v>EQUIPOS CLINICOS</v>
          </cell>
          <cell r="P2934">
            <v>3500</v>
          </cell>
          <cell r="T2934" t="str">
            <v>Bueno</v>
          </cell>
          <cell r="U2934" t="str">
            <v>N/T</v>
          </cell>
        </row>
        <row r="2935">
          <cell r="J2935" t="str">
            <v>42-05-02-01-2927</v>
          </cell>
          <cell r="K2935" t="str">
            <v>SC-00783</v>
          </cell>
          <cell r="L2935" t="str">
            <v>42-05-02-01-2927</v>
          </cell>
          <cell r="M2935" t="str">
            <v>Sonda acanalada de 15 cms.</v>
          </cell>
          <cell r="O2935" t="str">
            <v>EQUIPOS CLINICOS</v>
          </cell>
          <cell r="P2935">
            <v>1270</v>
          </cell>
          <cell r="T2935" t="str">
            <v>Bueno</v>
          </cell>
          <cell r="U2935" t="str">
            <v>N/T</v>
          </cell>
        </row>
        <row r="2936">
          <cell r="J2936" t="str">
            <v>42-05-02-01-2928</v>
          </cell>
          <cell r="K2936" t="str">
            <v>SC-00784</v>
          </cell>
          <cell r="L2936" t="str">
            <v>42-05-02-01-2928</v>
          </cell>
          <cell r="M2936" t="str">
            <v>Tijera curva de 14 cms.</v>
          </cell>
          <cell r="O2936" t="str">
            <v>EQUIPOS CLINICOS</v>
          </cell>
          <cell r="P2936">
            <v>1870</v>
          </cell>
          <cell r="T2936" t="str">
            <v>Bueno</v>
          </cell>
          <cell r="U2936" t="str">
            <v>N/T</v>
          </cell>
        </row>
        <row r="2937">
          <cell r="J2937" t="str">
            <v>42-05-02-01-2929</v>
          </cell>
          <cell r="K2937" t="str">
            <v>SC-00785</v>
          </cell>
          <cell r="L2937" t="str">
            <v>42-05-02-01-2929</v>
          </cell>
          <cell r="M2937" t="str">
            <v>CAJA CIRUGIA MENOR Nº 4</v>
          </cell>
          <cell r="O2937" t="str">
            <v>EQUIPOS CLINICOS</v>
          </cell>
          <cell r="P2937">
            <v>9500</v>
          </cell>
          <cell r="T2937" t="str">
            <v>Bueno</v>
          </cell>
          <cell r="U2937" t="str">
            <v>N/T</v>
          </cell>
        </row>
        <row r="2938">
          <cell r="J2938" t="str">
            <v>42-04-07-00-2930</v>
          </cell>
          <cell r="K2938" t="str">
            <v>SC-00786</v>
          </cell>
          <cell r="L2938" t="str">
            <v>42-04-07-00-2930</v>
          </cell>
          <cell r="M2938" t="str">
            <v>Caja  acero inox. de 20x10x5 ½ cms.</v>
          </cell>
          <cell r="O2938" t="str">
            <v>OTROS</v>
          </cell>
          <cell r="P2938">
            <v>9900</v>
          </cell>
          <cell r="T2938" t="str">
            <v>Bueno</v>
          </cell>
          <cell r="U2938" t="str">
            <v>N/T</v>
          </cell>
        </row>
        <row r="2939">
          <cell r="J2939" t="str">
            <v>42-05-02-01-2931</v>
          </cell>
          <cell r="K2939" t="str">
            <v>SC-00787</v>
          </cell>
          <cell r="L2939" t="str">
            <v>42-05-02-01-2931</v>
          </cell>
          <cell r="M2939" t="str">
            <v>Farabauf de 9 ½ cms.</v>
          </cell>
          <cell r="O2939" t="str">
            <v>EQUIPOS CLINICOS</v>
          </cell>
          <cell r="P2939">
            <v>3380</v>
          </cell>
          <cell r="T2939" t="str">
            <v>Bueno</v>
          </cell>
          <cell r="U2939" t="str">
            <v>N/T</v>
          </cell>
        </row>
        <row r="2940">
          <cell r="J2940" t="str">
            <v>42-05-02-01-2932</v>
          </cell>
          <cell r="K2940" t="str">
            <v>SC-00788</v>
          </cell>
          <cell r="L2940" t="str">
            <v>42-05-02-01-2932</v>
          </cell>
          <cell r="M2940" t="str">
            <v>Porta agujas de 16 ½ cms.</v>
          </cell>
          <cell r="O2940" t="str">
            <v>EQUIPOS CLINICOS</v>
          </cell>
          <cell r="P2940">
            <v>3500</v>
          </cell>
          <cell r="T2940" t="str">
            <v>Bueno</v>
          </cell>
          <cell r="U2940" t="str">
            <v>N/T</v>
          </cell>
        </row>
        <row r="2941">
          <cell r="J2941" t="str">
            <v>42-05-02-01-2933</v>
          </cell>
          <cell r="K2941" t="str">
            <v>SC-00789</v>
          </cell>
          <cell r="L2941" t="str">
            <v>42-05-02-01-2933</v>
          </cell>
          <cell r="M2941" t="str">
            <v>Mango bisturí de 12 ½ cms.</v>
          </cell>
          <cell r="O2941" t="str">
            <v>EQUIPOS CLINICOS</v>
          </cell>
          <cell r="P2941">
            <v>1300</v>
          </cell>
          <cell r="T2941" t="str">
            <v>Bueno</v>
          </cell>
          <cell r="U2941" t="str">
            <v>N/T</v>
          </cell>
        </row>
        <row r="2942">
          <cell r="J2942" t="str">
            <v>42-05-02-01-2934</v>
          </cell>
          <cell r="K2942" t="str">
            <v>SC-00790</v>
          </cell>
          <cell r="L2942" t="str">
            <v>42-05-02-01-2934</v>
          </cell>
          <cell r="M2942" t="str">
            <v>Sonda acanalada de 13  cms.</v>
          </cell>
          <cell r="O2942" t="str">
            <v>EQUIPOS CLINICOS</v>
          </cell>
          <cell r="P2942">
            <v>1270</v>
          </cell>
          <cell r="T2942" t="str">
            <v>Bueno</v>
          </cell>
          <cell r="U2942" t="str">
            <v>N/T</v>
          </cell>
        </row>
        <row r="2943">
          <cell r="J2943" t="str">
            <v>42-05-02-01-2935</v>
          </cell>
          <cell r="K2943" t="str">
            <v>SC-00791</v>
          </cell>
          <cell r="L2943" t="str">
            <v>42-05-02-01-2935</v>
          </cell>
          <cell r="M2943" t="str">
            <v>Estilete abotonado de 15 cms.</v>
          </cell>
          <cell r="O2943" t="str">
            <v>EQUIPOS CLINICOS</v>
          </cell>
          <cell r="P2943">
            <v>3300</v>
          </cell>
          <cell r="T2943" t="str">
            <v>Bueno</v>
          </cell>
          <cell r="U2943" t="str">
            <v>N/T</v>
          </cell>
        </row>
        <row r="2944">
          <cell r="J2944" t="str">
            <v>42-05-02-01-2936</v>
          </cell>
          <cell r="K2944" t="str">
            <v>SC-00792</v>
          </cell>
          <cell r="L2944" t="str">
            <v>42-05-02-01-2936</v>
          </cell>
          <cell r="M2944" t="str">
            <v>Tijera recta de 14 cms.</v>
          </cell>
          <cell r="O2944" t="str">
            <v>EQUIPOS CLINICOS</v>
          </cell>
          <cell r="P2944">
            <v>1870</v>
          </cell>
          <cell r="T2944" t="str">
            <v>Bueno</v>
          </cell>
          <cell r="U2944" t="str">
            <v>N/T</v>
          </cell>
        </row>
        <row r="2945">
          <cell r="J2945" t="str">
            <v>42-05-02-01-2937</v>
          </cell>
          <cell r="K2945" t="str">
            <v>SC-00793</v>
          </cell>
          <cell r="L2945" t="str">
            <v>42-05-02-01-2937</v>
          </cell>
          <cell r="M2945" t="str">
            <v>Kelly recta de 14 cms.</v>
          </cell>
          <cell r="O2945" t="str">
            <v>EQUIPOS CLINICOS</v>
          </cell>
          <cell r="P2945">
            <v>2070</v>
          </cell>
          <cell r="T2945" t="str">
            <v>Bueno</v>
          </cell>
          <cell r="U2945" t="str">
            <v>N/T</v>
          </cell>
        </row>
        <row r="2946">
          <cell r="J2946" t="str">
            <v>42-05-02-01-2938</v>
          </cell>
          <cell r="K2946" t="str">
            <v>SC-00794</v>
          </cell>
          <cell r="L2946" t="str">
            <v>42-05-02-01-2938</v>
          </cell>
          <cell r="M2946" t="str">
            <v>Mosquitos curvas de 12 ½ cms.</v>
          </cell>
          <cell r="O2946" t="str">
            <v>EQUIPOS CLINICOS</v>
          </cell>
          <cell r="P2946">
            <v>2070</v>
          </cell>
          <cell r="T2946" t="str">
            <v>Bueno</v>
          </cell>
          <cell r="U2946" t="str">
            <v>N/T</v>
          </cell>
        </row>
        <row r="2947">
          <cell r="J2947" t="str">
            <v>42-05-02-01-2939</v>
          </cell>
          <cell r="K2947" t="str">
            <v>SC-00795</v>
          </cell>
          <cell r="L2947" t="str">
            <v>42-05-02-01-2939</v>
          </cell>
          <cell r="M2947" t="str">
            <v>Mosquitos rectas de 12 cms.</v>
          </cell>
          <cell r="O2947" t="str">
            <v>EQUIPOS CLINICOS</v>
          </cell>
          <cell r="P2947">
            <v>2070</v>
          </cell>
          <cell r="T2947" t="str">
            <v>Bueno</v>
          </cell>
          <cell r="U2947" t="str">
            <v>N/T</v>
          </cell>
        </row>
        <row r="2948">
          <cell r="J2948" t="str">
            <v>42-05-02-01-2940</v>
          </cell>
          <cell r="K2948" t="str">
            <v>SC-00796</v>
          </cell>
          <cell r="L2948" t="str">
            <v>42-05-02-01-2940</v>
          </cell>
          <cell r="M2948" t="str">
            <v>Pinzas de campo ( 1 de 9 cms, 1 de 10 cms. )</v>
          </cell>
          <cell r="O2948" t="str">
            <v>EQUIPOS CLINICOS</v>
          </cell>
          <cell r="P2948">
            <v>1870</v>
          </cell>
          <cell r="T2948" t="str">
            <v>Bueno</v>
          </cell>
          <cell r="U2948" t="str">
            <v>N/T</v>
          </cell>
        </row>
        <row r="2949">
          <cell r="J2949" t="str">
            <v>42-05-02-01-2941</v>
          </cell>
          <cell r="K2949" t="str">
            <v>SC-00797</v>
          </cell>
          <cell r="L2949" t="str">
            <v>42-05-02-01-2941</v>
          </cell>
          <cell r="M2949" t="str">
            <v>Pinza quirurjica 12,5 cms.</v>
          </cell>
          <cell r="O2949" t="str">
            <v>EQUIPOS CLINICOS</v>
          </cell>
          <cell r="P2949">
            <v>1470</v>
          </cell>
          <cell r="T2949" t="str">
            <v>Bueno</v>
          </cell>
          <cell r="U2949" t="str">
            <v>N/T</v>
          </cell>
        </row>
        <row r="2950">
          <cell r="J2950" t="str">
            <v>42-05-02-01-2942</v>
          </cell>
          <cell r="K2950" t="str">
            <v>SC-00798</v>
          </cell>
          <cell r="L2950" t="str">
            <v>42-05-02-01-2942</v>
          </cell>
          <cell r="M2950" t="str">
            <v>Kelly curva 13,5 cms.</v>
          </cell>
          <cell r="O2950" t="str">
            <v>EQUIPOS CLINICOS</v>
          </cell>
          <cell r="P2950">
            <v>2070</v>
          </cell>
          <cell r="T2950" t="str">
            <v>Bueno</v>
          </cell>
          <cell r="U2950" t="str">
            <v>N/T</v>
          </cell>
        </row>
        <row r="2951">
          <cell r="J2951" t="str">
            <v>42-05-02-01-2943</v>
          </cell>
          <cell r="K2951" t="str">
            <v>SC-00799</v>
          </cell>
          <cell r="L2951" t="str">
            <v>42-05-02-01-2943</v>
          </cell>
          <cell r="M2951" t="str">
            <v>Mosquito curva 12 cms.</v>
          </cell>
          <cell r="O2951" t="str">
            <v>EQUIPOS CLINICOS</v>
          </cell>
          <cell r="P2951">
            <v>2070</v>
          </cell>
          <cell r="T2951" t="str">
            <v>Bueno</v>
          </cell>
          <cell r="U2951" t="str">
            <v>N/T</v>
          </cell>
        </row>
        <row r="2952">
          <cell r="J2952" t="str">
            <v>42-05-02-01-2944</v>
          </cell>
          <cell r="K2952" t="str">
            <v>SC-00800</v>
          </cell>
          <cell r="L2952" t="str">
            <v>42-05-02-01-2944</v>
          </cell>
          <cell r="M2952" t="str">
            <v>CAJA CIRUGÍA MENOR Nº 5</v>
          </cell>
          <cell r="O2952" t="str">
            <v>EQUIPOS CLINICOS</v>
          </cell>
          <cell r="P2952">
            <v>9500</v>
          </cell>
          <cell r="T2952" t="str">
            <v>Bueno</v>
          </cell>
          <cell r="U2952" t="str">
            <v>N/T</v>
          </cell>
        </row>
        <row r="2953">
          <cell r="J2953" t="str">
            <v>42-04-07-00-2945</v>
          </cell>
          <cell r="K2953" t="str">
            <v>SC-00801</v>
          </cell>
          <cell r="L2953" t="str">
            <v>42-04-07-00-2945</v>
          </cell>
          <cell r="M2953" t="str">
            <v>Caja de acero inox. de 20x10x5 cms.</v>
          </cell>
          <cell r="O2953" t="str">
            <v>OTROS</v>
          </cell>
          <cell r="P2953">
            <v>9900</v>
          </cell>
          <cell r="T2953" t="str">
            <v>Bueno</v>
          </cell>
          <cell r="U2953" t="str">
            <v>N/T</v>
          </cell>
        </row>
        <row r="2954">
          <cell r="J2954" t="str">
            <v>42-05-02-01-2946</v>
          </cell>
          <cell r="K2954" t="str">
            <v>SC-00802</v>
          </cell>
          <cell r="L2954" t="str">
            <v>42-05-02-01-2946</v>
          </cell>
          <cell r="M2954" t="str">
            <v>Estilete abotonado de 15 cms.</v>
          </cell>
          <cell r="O2954" t="str">
            <v>EQUIPOS CLINICOS</v>
          </cell>
          <cell r="P2954">
            <v>3300</v>
          </cell>
          <cell r="T2954" t="str">
            <v>Bueno</v>
          </cell>
          <cell r="U2954" t="str">
            <v>N/T</v>
          </cell>
        </row>
        <row r="2955">
          <cell r="J2955" t="str">
            <v>42-05-02-01-2947</v>
          </cell>
          <cell r="K2955" t="str">
            <v>SC-00803</v>
          </cell>
          <cell r="L2955" t="str">
            <v>42-05-02-01-2947</v>
          </cell>
          <cell r="M2955" t="str">
            <v>Farabeauf  (1 de 15 cms. 1 de 14 ½ cms.)</v>
          </cell>
          <cell r="O2955" t="str">
            <v>EQUIPOS CLINICOS</v>
          </cell>
          <cell r="P2955">
            <v>3380</v>
          </cell>
          <cell r="T2955" t="str">
            <v>Bueno</v>
          </cell>
          <cell r="U2955" t="str">
            <v>N/T</v>
          </cell>
        </row>
        <row r="2956">
          <cell r="J2956" t="str">
            <v>42-05-02-01-2948</v>
          </cell>
          <cell r="K2956" t="str">
            <v>SC-00804</v>
          </cell>
          <cell r="L2956" t="str">
            <v>42-05-02-01-2948</v>
          </cell>
          <cell r="M2956" t="str">
            <v>Mango bisturí de 12 cms.</v>
          </cell>
          <cell r="O2956" t="str">
            <v>EQUIPOS CLINICOS</v>
          </cell>
          <cell r="P2956">
            <v>1300</v>
          </cell>
          <cell r="T2956" t="str">
            <v>Bueno</v>
          </cell>
          <cell r="U2956" t="str">
            <v>N/T</v>
          </cell>
        </row>
        <row r="2957">
          <cell r="J2957" t="str">
            <v>42-05-02-01-2949</v>
          </cell>
          <cell r="K2957" t="str">
            <v>SC-00805</v>
          </cell>
          <cell r="L2957" t="str">
            <v>42-05-02-01-2949</v>
          </cell>
          <cell r="M2957" t="str">
            <v>Pinza anatómica de 14 cms.</v>
          </cell>
          <cell r="O2957" t="str">
            <v>EQUIPOS CLINICOS</v>
          </cell>
          <cell r="P2957">
            <v>1270</v>
          </cell>
          <cell r="T2957" t="str">
            <v>Bueno</v>
          </cell>
          <cell r="U2957" t="str">
            <v>N/T</v>
          </cell>
        </row>
        <row r="2958">
          <cell r="J2958" t="str">
            <v>42-05-02-01-2950</v>
          </cell>
          <cell r="K2958" t="str">
            <v>SC-00806</v>
          </cell>
          <cell r="L2958" t="str">
            <v>42-05-02-01-2950</v>
          </cell>
          <cell r="M2958" t="str">
            <v>Pinza quirúrgica de 14 cms.</v>
          </cell>
          <cell r="O2958" t="str">
            <v>EQUIPOS CLINICOS</v>
          </cell>
          <cell r="P2958">
            <v>1470</v>
          </cell>
          <cell r="T2958" t="str">
            <v>Bueno</v>
          </cell>
          <cell r="U2958" t="str">
            <v>N/T</v>
          </cell>
        </row>
        <row r="2959">
          <cell r="J2959" t="str">
            <v>42-05-02-01-2951</v>
          </cell>
          <cell r="K2959" t="str">
            <v>SC-00807</v>
          </cell>
          <cell r="L2959" t="str">
            <v>42-05-02-01-2951</v>
          </cell>
          <cell r="M2959" t="str">
            <v>Pinzas Kelly curvas de 14 cms.</v>
          </cell>
          <cell r="O2959" t="str">
            <v>EQUIPOS CLINICOS</v>
          </cell>
          <cell r="P2959">
            <v>2270</v>
          </cell>
          <cell r="T2959" t="str">
            <v>Bueno</v>
          </cell>
          <cell r="U2959" t="str">
            <v>N/T</v>
          </cell>
        </row>
        <row r="2960">
          <cell r="J2960" t="str">
            <v>42-05-02-01-2952</v>
          </cell>
          <cell r="K2960" t="str">
            <v>SC-00808</v>
          </cell>
          <cell r="L2960" t="str">
            <v>42-05-02-01-2952</v>
          </cell>
          <cell r="M2960" t="str">
            <v>Pinzas mosquitos curvas de 12 cms.</v>
          </cell>
          <cell r="O2960" t="str">
            <v>EQUIPOS CLINICOS</v>
          </cell>
          <cell r="P2960">
            <v>2070</v>
          </cell>
          <cell r="T2960" t="str">
            <v>Bueno</v>
          </cell>
          <cell r="U2960" t="str">
            <v>N/T</v>
          </cell>
        </row>
        <row r="2961">
          <cell r="J2961" t="str">
            <v>42-05-02-01-2953</v>
          </cell>
          <cell r="K2961" t="str">
            <v>SC-00809</v>
          </cell>
          <cell r="L2961" t="str">
            <v>42-05-02-01-2953</v>
          </cell>
          <cell r="M2961" t="str">
            <v>Porta agujas de 16 cms.</v>
          </cell>
          <cell r="O2961" t="str">
            <v>EQUIPOS CLINICOS</v>
          </cell>
          <cell r="P2961">
            <v>3500</v>
          </cell>
          <cell r="T2961" t="str">
            <v>Bueno</v>
          </cell>
          <cell r="U2961" t="str">
            <v>N/T</v>
          </cell>
        </row>
        <row r="2962">
          <cell r="J2962" t="str">
            <v>42-05-02-01-2954</v>
          </cell>
          <cell r="K2962" t="str">
            <v>SC-00810</v>
          </cell>
          <cell r="L2962" t="str">
            <v>42-05-02-01-2954</v>
          </cell>
          <cell r="M2962" t="str">
            <v>Sonda acanalada de 15 cms.</v>
          </cell>
          <cell r="O2962" t="str">
            <v>EQUIPOS CLINICOS</v>
          </cell>
          <cell r="P2962">
            <v>1270</v>
          </cell>
          <cell r="T2962" t="str">
            <v>Bueno</v>
          </cell>
          <cell r="U2962" t="str">
            <v>N/T</v>
          </cell>
        </row>
        <row r="2963">
          <cell r="J2963" t="str">
            <v>42-05-02-01-2955</v>
          </cell>
          <cell r="K2963" t="str">
            <v>SC-00811</v>
          </cell>
          <cell r="L2963" t="str">
            <v>42-05-02-01-2955</v>
          </cell>
          <cell r="M2963" t="str">
            <v>Tijera recta de 15 cms.</v>
          </cell>
          <cell r="O2963" t="str">
            <v>EQUIPOS CLINICOS</v>
          </cell>
          <cell r="P2963">
            <v>1870</v>
          </cell>
          <cell r="T2963" t="str">
            <v>Bueno</v>
          </cell>
          <cell r="U2963" t="str">
            <v>N/T</v>
          </cell>
        </row>
        <row r="2964">
          <cell r="J2964" t="str">
            <v>42-05-01-01-2956</v>
          </cell>
          <cell r="K2964" t="str">
            <v>SC-00812</v>
          </cell>
          <cell r="L2964" t="str">
            <v>42-05-01-01-2956</v>
          </cell>
          <cell r="M2964" t="str">
            <v>Corchetera Torre color ploma</v>
          </cell>
          <cell r="O2964" t="str">
            <v>EQUIPO DE OFICINA</v>
          </cell>
          <cell r="P2964">
            <v>3500</v>
          </cell>
          <cell r="T2964" t="str">
            <v>Bueno</v>
          </cell>
          <cell r="U2964" t="str">
            <v>N/T</v>
          </cell>
        </row>
        <row r="2965">
          <cell r="J2965" t="str">
            <v>42-04-07-00-2957</v>
          </cell>
          <cell r="K2965" t="str">
            <v>SC-00813</v>
          </cell>
          <cell r="L2965" t="str">
            <v>42-04-07-00-2957</v>
          </cell>
          <cell r="M2965" t="str">
            <v>Dispensador de jabón</v>
          </cell>
          <cell r="O2965" t="str">
            <v>OTROS</v>
          </cell>
          <cell r="P2965">
            <v>17000</v>
          </cell>
          <cell r="T2965" t="str">
            <v>Bueno</v>
          </cell>
          <cell r="U2965" t="str">
            <v>N/T</v>
          </cell>
        </row>
        <row r="2966">
          <cell r="J2966" t="str">
            <v>FN-04-07-00-2958</v>
          </cell>
          <cell r="K2966" t="str">
            <v>SC-00814</v>
          </cell>
          <cell r="L2966" t="str">
            <v>FN-04-07-00-2958</v>
          </cell>
          <cell r="M2966" t="str">
            <v>Porta cortinas</v>
          </cell>
          <cell r="O2966" t="str">
            <v>OTROS FUNGIBLE / NOMINABLE</v>
          </cell>
          <cell r="P2966">
            <v>1500</v>
          </cell>
          <cell r="T2966" t="str">
            <v>Bueno</v>
          </cell>
          <cell r="U2966" t="str">
            <v>N/T</v>
          </cell>
        </row>
        <row r="2967">
          <cell r="J2967" t="str">
            <v>FN-04-07-00-2959</v>
          </cell>
          <cell r="K2967" t="str">
            <v>SC-00815</v>
          </cell>
          <cell r="L2967" t="str">
            <v>FN-04-07-00-2959</v>
          </cell>
          <cell r="M2967" t="str">
            <v>Cortinas color plomo</v>
          </cell>
          <cell r="O2967" t="str">
            <v>OTROS FUNGIBLE / NOMINABLE</v>
          </cell>
          <cell r="P2967">
            <v>12000</v>
          </cell>
          <cell r="T2967" t="str">
            <v>Bueno</v>
          </cell>
          <cell r="U2967" t="str">
            <v>N/T</v>
          </cell>
        </row>
        <row r="2968">
          <cell r="J2968" t="str">
            <v>42-05-01-01-2960</v>
          </cell>
          <cell r="K2968" t="str">
            <v>42-1206B</v>
          </cell>
          <cell r="L2968" t="str">
            <v>Reloj de pared</v>
          </cell>
          <cell r="M2968" t="str">
            <v>Reloj</v>
          </cell>
          <cell r="O2968" t="str">
            <v>EQUIPO DE OFICINA</v>
          </cell>
          <cell r="P2968">
            <v>3000</v>
          </cell>
          <cell r="T2968" t="str">
            <v>Bueno</v>
          </cell>
          <cell r="U2968" t="str">
            <v>N/T</v>
          </cell>
        </row>
        <row r="2969">
          <cell r="J2969" t="str">
            <v>42-04-07-00-2961</v>
          </cell>
          <cell r="K2969" t="str">
            <v>SC-00817</v>
          </cell>
          <cell r="L2969" t="str">
            <v>42-04-07-00-2961</v>
          </cell>
          <cell r="M2969" t="str">
            <v>Taza de baño</v>
          </cell>
          <cell r="O2969" t="str">
            <v>OTROS</v>
          </cell>
          <cell r="P2969">
            <v>30000</v>
          </cell>
          <cell r="T2969" t="str">
            <v>Bueno</v>
          </cell>
          <cell r="U2969" t="str">
            <v>N/T</v>
          </cell>
        </row>
        <row r="2970">
          <cell r="J2970" t="str">
            <v>42-04-07-00-2962</v>
          </cell>
          <cell r="K2970" t="str">
            <v>SC-00818</v>
          </cell>
          <cell r="L2970" t="str">
            <v>42-04-07-00-2962</v>
          </cell>
          <cell r="M2970" t="str">
            <v>Lavamanos</v>
          </cell>
          <cell r="O2970" t="str">
            <v>OTROS</v>
          </cell>
          <cell r="P2970">
            <v>35000</v>
          </cell>
          <cell r="T2970" t="str">
            <v>Bueno</v>
          </cell>
          <cell r="U2970" t="str">
            <v>N/T</v>
          </cell>
        </row>
        <row r="2971">
          <cell r="J2971" t="str">
            <v>42-04-07-00-2963</v>
          </cell>
          <cell r="K2971" t="str">
            <v>SC-00819</v>
          </cell>
          <cell r="L2971" t="str">
            <v>42-04-07-00-2963</v>
          </cell>
          <cell r="M2971" t="str">
            <v>Percha de bronce</v>
          </cell>
          <cell r="O2971" t="str">
            <v>OTROS</v>
          </cell>
          <cell r="P2971">
            <v>10000</v>
          </cell>
          <cell r="T2971" t="str">
            <v>Bueno</v>
          </cell>
          <cell r="U2971" t="str">
            <v>N/T</v>
          </cell>
        </row>
        <row r="2972">
          <cell r="J2972" t="str">
            <v>42-04-07-00-2964</v>
          </cell>
          <cell r="K2972" t="str">
            <v>SC-00820</v>
          </cell>
          <cell r="L2972" t="str">
            <v>42-04-07-00-2964</v>
          </cell>
          <cell r="M2972" t="str">
            <v>Porta confort</v>
          </cell>
          <cell r="O2972" t="str">
            <v>OTROS</v>
          </cell>
          <cell r="P2972">
            <v>7000</v>
          </cell>
          <cell r="T2972" t="str">
            <v>Bueno</v>
          </cell>
          <cell r="U2972" t="str">
            <v>N/T</v>
          </cell>
        </row>
        <row r="2973">
          <cell r="J2973" t="str">
            <v>42-04-07-00-2965</v>
          </cell>
          <cell r="K2973" t="str">
            <v>SC-00821</v>
          </cell>
          <cell r="L2973" t="str">
            <v>42-04-07-00-2965</v>
          </cell>
          <cell r="M2973" t="str">
            <v>Espejo</v>
          </cell>
          <cell r="O2973" t="str">
            <v>OTROS</v>
          </cell>
          <cell r="P2973">
            <v>10000</v>
          </cell>
          <cell r="T2973" t="str">
            <v>Bueno</v>
          </cell>
          <cell r="U2973" t="str">
            <v>N/T</v>
          </cell>
        </row>
        <row r="2974">
          <cell r="J2974" t="str">
            <v>42-04-07-00-2966</v>
          </cell>
          <cell r="K2974" t="str">
            <v>SC-00822</v>
          </cell>
          <cell r="L2974" t="str">
            <v>42-04-07-00-2966</v>
          </cell>
          <cell r="M2974" t="str">
            <v>Papelero plástico con tapa color blanco</v>
          </cell>
          <cell r="O2974" t="str">
            <v>OTROS</v>
          </cell>
          <cell r="P2974">
            <v>3000</v>
          </cell>
          <cell r="T2974" t="str">
            <v>Bueno</v>
          </cell>
          <cell r="U2974" t="str">
            <v>N/T</v>
          </cell>
        </row>
        <row r="2975">
          <cell r="J2975" t="str">
            <v>FN-05-02-06-2967</v>
          </cell>
          <cell r="K2975" t="str">
            <v>SC-00823</v>
          </cell>
          <cell r="L2975" t="str">
            <v>FN-05-02-06-2967</v>
          </cell>
          <cell r="M2975" t="str">
            <v>Alicates</v>
          </cell>
          <cell r="O2975" t="str">
            <v>HERRAMIENTAS FUNGIBLE / NOMINABLE</v>
          </cell>
          <cell r="P2975">
            <v>5200</v>
          </cell>
          <cell r="T2975" t="str">
            <v>Bueno</v>
          </cell>
          <cell r="U2975" t="str">
            <v>N/T</v>
          </cell>
        </row>
        <row r="2976">
          <cell r="J2976" t="str">
            <v>42-05-02-06-2968</v>
          </cell>
          <cell r="K2976" t="str">
            <v>SC-00824</v>
          </cell>
          <cell r="L2976" t="str">
            <v>42-05-02-06-2968</v>
          </cell>
          <cell r="M2976" t="str">
            <v>Martillo</v>
          </cell>
          <cell r="O2976" t="str">
            <v>HERRAMIENTAS</v>
          </cell>
          <cell r="P2976">
            <v>5600</v>
          </cell>
          <cell r="T2976" t="str">
            <v>Bueno</v>
          </cell>
          <cell r="U2976" t="str">
            <v>N/T</v>
          </cell>
        </row>
        <row r="2977">
          <cell r="J2977" t="str">
            <v>FN-05-02-06-2969</v>
          </cell>
          <cell r="K2977" t="str">
            <v>SC-00825</v>
          </cell>
          <cell r="L2977" t="str">
            <v>FN-05-02-06-2969</v>
          </cell>
          <cell r="M2977" t="str">
            <v>Atornilladores paleta</v>
          </cell>
          <cell r="O2977" t="str">
            <v>HERRAMIENTAS FUNGIBLE / NOMINABLE</v>
          </cell>
          <cell r="P2977">
            <v>5600</v>
          </cell>
          <cell r="T2977" t="str">
            <v>Bueno</v>
          </cell>
          <cell r="U2977" t="str">
            <v>N/T</v>
          </cell>
        </row>
        <row r="2978">
          <cell r="J2978" t="str">
            <v>42-05-02-06-2970</v>
          </cell>
          <cell r="K2978" t="str">
            <v>SC-00826</v>
          </cell>
          <cell r="L2978" t="str">
            <v>42-05-02-06-2970</v>
          </cell>
          <cell r="M2978" t="str">
            <v>Atornillador cruz</v>
          </cell>
          <cell r="O2978" t="str">
            <v>HERRAMIENTAS</v>
          </cell>
          <cell r="P2978">
            <v>5600</v>
          </cell>
          <cell r="T2978" t="str">
            <v>Bueno</v>
          </cell>
          <cell r="U2978" t="str">
            <v>N/T</v>
          </cell>
        </row>
        <row r="2979">
          <cell r="J2979" t="str">
            <v>42-05-02-06-2971</v>
          </cell>
          <cell r="K2979" t="str">
            <v>SC-00827</v>
          </cell>
          <cell r="L2979" t="str">
            <v>42-05-02-06-2971</v>
          </cell>
          <cell r="M2979" t="str">
            <v>Serrucho 65 cms.</v>
          </cell>
          <cell r="O2979" t="str">
            <v>HERRAMIENTAS</v>
          </cell>
          <cell r="P2979">
            <v>5600</v>
          </cell>
          <cell r="T2979" t="str">
            <v>Bueno</v>
          </cell>
          <cell r="U2979" t="str">
            <v>N/T</v>
          </cell>
        </row>
        <row r="2980">
          <cell r="J2980" t="str">
            <v>FN-05-02-05-2972</v>
          </cell>
          <cell r="K2980" t="str">
            <v>SC-00828</v>
          </cell>
          <cell r="L2980" t="str">
            <v>FN-05-02-05-2972</v>
          </cell>
          <cell r="M2980" t="str">
            <v>Pares de botas Nº 42</v>
          </cell>
          <cell r="O2980" t="str">
            <v>EQUIPOS DE SEGURIDAD FUNGIBLE / NOMINABLE</v>
          </cell>
          <cell r="P2980">
            <v>5600</v>
          </cell>
          <cell r="T2980" t="str">
            <v>Bueno</v>
          </cell>
          <cell r="U2980" t="str">
            <v>N/T</v>
          </cell>
        </row>
        <row r="2981">
          <cell r="J2981" t="str">
            <v>42-05-02-02-2973</v>
          </cell>
          <cell r="K2981" t="str">
            <v>SC-00829</v>
          </cell>
          <cell r="L2981" t="str">
            <v>42-05-02-02-2973</v>
          </cell>
          <cell r="M2981" t="str">
            <v>Canasto de mimbre 60x75 cms.</v>
          </cell>
          <cell r="O2981" t="str">
            <v>EQUIPOS DE COCINA</v>
          </cell>
          <cell r="P2981">
            <v>150000</v>
          </cell>
          <cell r="T2981" t="str">
            <v>Bueno</v>
          </cell>
          <cell r="U2981" t="str">
            <v>N/T</v>
          </cell>
        </row>
        <row r="2982">
          <cell r="J2982" t="str">
            <v>42-04-07-00-2974</v>
          </cell>
          <cell r="K2982" t="str">
            <v>SC-00830</v>
          </cell>
          <cell r="L2982" t="str">
            <v>42-04-07-00-2974</v>
          </cell>
          <cell r="M2982" t="str">
            <v>Dispensador de jabón</v>
          </cell>
          <cell r="O2982" t="str">
            <v>OTROS</v>
          </cell>
          <cell r="P2982">
            <v>17000</v>
          </cell>
          <cell r="T2982" t="str">
            <v>Bueno</v>
          </cell>
          <cell r="U2982" t="str">
            <v>N/T</v>
          </cell>
        </row>
        <row r="2983">
          <cell r="J2983" t="str">
            <v>42-04-06-00-2975</v>
          </cell>
          <cell r="K2983" t="str">
            <v>SC-00831</v>
          </cell>
          <cell r="L2983" t="str">
            <v>42-04-06-00-2975</v>
          </cell>
          <cell r="M2983" t="str">
            <v>Repisa exhibidor aluminio para trofeos, 2 puertas corredizas ( Deportivo )</v>
          </cell>
          <cell r="O2983" t="str">
            <v>REPISA</v>
          </cell>
          <cell r="P2983">
            <v>76000</v>
          </cell>
          <cell r="T2983" t="str">
            <v>Bueno</v>
          </cell>
          <cell r="U2983" t="str">
            <v>N/T</v>
          </cell>
        </row>
        <row r="2984">
          <cell r="J2984" t="str">
            <v>42-04-07-00-2976</v>
          </cell>
          <cell r="K2984" t="str">
            <v>SC-00832</v>
          </cell>
          <cell r="L2984" t="str">
            <v>42-04-07-00-2976</v>
          </cell>
          <cell r="M2984" t="str">
            <v>Basurero plastico color blanco</v>
          </cell>
          <cell r="O2984" t="str">
            <v>OTROS</v>
          </cell>
          <cell r="P2984">
            <v>3000</v>
          </cell>
          <cell r="T2984" t="str">
            <v>Bueno</v>
          </cell>
          <cell r="U2984" t="str">
            <v>N/T</v>
          </cell>
        </row>
        <row r="2985">
          <cell r="J2985" t="str">
            <v>42-04-07-00-2977</v>
          </cell>
          <cell r="K2985" t="str">
            <v>SC-00833</v>
          </cell>
          <cell r="L2985" t="str">
            <v>42-04-07-00-2977</v>
          </cell>
          <cell r="M2985" t="str">
            <v>Espejo de 31 ½ x 41 ½ cms.</v>
          </cell>
          <cell r="O2985" t="str">
            <v>OTROS</v>
          </cell>
          <cell r="P2985">
            <v>10000</v>
          </cell>
          <cell r="T2985" t="str">
            <v>Bueno</v>
          </cell>
          <cell r="U2985" t="str">
            <v>N/T</v>
          </cell>
        </row>
        <row r="2986">
          <cell r="J2986" t="str">
            <v>42-04-07-00-2978</v>
          </cell>
          <cell r="K2986" t="str">
            <v>SC-00834</v>
          </cell>
          <cell r="L2986" t="str">
            <v>42-04-07-00-2978</v>
          </cell>
          <cell r="M2986" t="str">
            <v>Porta toallas</v>
          </cell>
          <cell r="O2986" t="str">
            <v>OTROS</v>
          </cell>
          <cell r="P2986">
            <v>17000</v>
          </cell>
          <cell r="T2986" t="str">
            <v>Bueno</v>
          </cell>
          <cell r="U2986" t="str">
            <v>N/T</v>
          </cell>
        </row>
        <row r="2987">
          <cell r="J2987" t="str">
            <v>42-04-07-00-2979</v>
          </cell>
          <cell r="K2987" t="str">
            <v>SC-00835</v>
          </cell>
          <cell r="L2987" t="str">
            <v>42-04-07-00-2979</v>
          </cell>
          <cell r="M2987" t="str">
            <v>Porta jabón</v>
          </cell>
          <cell r="O2987" t="str">
            <v>OTROS</v>
          </cell>
          <cell r="P2987">
            <v>17000</v>
          </cell>
          <cell r="T2987" t="str">
            <v>Bueno</v>
          </cell>
          <cell r="U2987" t="str">
            <v>N/T</v>
          </cell>
        </row>
        <row r="2988">
          <cell r="J2988" t="str">
            <v>42-04-07-00-2980</v>
          </cell>
          <cell r="K2988" t="str">
            <v>SC-00836</v>
          </cell>
          <cell r="L2988" t="str">
            <v>42-04-07-00-2980</v>
          </cell>
          <cell r="M2988" t="str">
            <v>Percha loza</v>
          </cell>
          <cell r="O2988" t="str">
            <v>OTROS</v>
          </cell>
          <cell r="P2988">
            <v>17000</v>
          </cell>
          <cell r="T2988" t="str">
            <v>Bueno</v>
          </cell>
          <cell r="U2988" t="str">
            <v>N/T</v>
          </cell>
        </row>
        <row r="2989">
          <cell r="J2989" t="str">
            <v>42-04-07-00-2981</v>
          </cell>
          <cell r="K2989" t="str">
            <v>SC-00837</v>
          </cell>
          <cell r="L2989" t="str">
            <v>42-04-07-00-2981</v>
          </cell>
          <cell r="M2989" t="str">
            <v>Porta toallas</v>
          </cell>
          <cell r="O2989" t="str">
            <v>OTROS</v>
          </cell>
          <cell r="P2989">
            <v>17000</v>
          </cell>
          <cell r="U2989" t="str">
            <v>N/T</v>
          </cell>
        </row>
        <row r="2990">
          <cell r="J2990" t="str">
            <v>42-04-07-00-2982</v>
          </cell>
          <cell r="K2990" t="str">
            <v>SC-00838</v>
          </cell>
          <cell r="L2990" t="str">
            <v>42-04-07-00-2982</v>
          </cell>
          <cell r="M2990" t="str">
            <v>Porta jabón</v>
          </cell>
          <cell r="O2990" t="str">
            <v>OTROS</v>
          </cell>
          <cell r="P2990">
            <v>17000</v>
          </cell>
          <cell r="U2990" t="str">
            <v>N/T</v>
          </cell>
        </row>
        <row r="2991">
          <cell r="J2991" t="str">
            <v>42-04-07-00-2983</v>
          </cell>
          <cell r="K2991" t="str">
            <v>SC-00839</v>
          </cell>
          <cell r="L2991" t="str">
            <v>42-04-07-00-2983</v>
          </cell>
          <cell r="M2991" t="str">
            <v>Porta confort</v>
          </cell>
          <cell r="O2991" t="str">
            <v>OTROS</v>
          </cell>
          <cell r="P2991">
            <v>17000</v>
          </cell>
          <cell r="U2991" t="str">
            <v>N/T</v>
          </cell>
        </row>
        <row r="2992">
          <cell r="J2992" t="str">
            <v>42-04-07-00-2984</v>
          </cell>
          <cell r="K2992" t="str">
            <v>SC-00840</v>
          </cell>
          <cell r="L2992" t="str">
            <v>42-04-07-00-2984</v>
          </cell>
          <cell r="M2992" t="str">
            <v>Percha madera con 4 ganchos</v>
          </cell>
          <cell r="O2992" t="str">
            <v>OTROS</v>
          </cell>
          <cell r="P2992">
            <v>10000</v>
          </cell>
          <cell r="U2992" t="str">
            <v>N/T</v>
          </cell>
        </row>
        <row r="2993">
          <cell r="J2993" t="str">
            <v>42-04-07-00-2985</v>
          </cell>
          <cell r="K2993" t="str">
            <v>SC-00841</v>
          </cell>
          <cell r="L2993" t="str">
            <v>42-04-07-00-2985</v>
          </cell>
          <cell r="M2993" t="str">
            <v>Espejos marco dorado de 31 ½ x 41 ½ cms.</v>
          </cell>
          <cell r="O2993" t="str">
            <v>OTROS</v>
          </cell>
          <cell r="P2993">
            <v>10000</v>
          </cell>
          <cell r="T2993" t="str">
            <v>Bueno</v>
          </cell>
          <cell r="U2993" t="str">
            <v>N/T</v>
          </cell>
        </row>
        <row r="2994">
          <cell r="J2994" t="str">
            <v>42-04-07-00-2986</v>
          </cell>
          <cell r="K2994" t="str">
            <v>SC-00842</v>
          </cell>
          <cell r="L2994" t="str">
            <v>42-04-07-00-2986</v>
          </cell>
          <cell r="M2994" t="str">
            <v>Porta confort</v>
          </cell>
          <cell r="O2994" t="str">
            <v>OTROS</v>
          </cell>
          <cell r="P2994">
            <v>17000</v>
          </cell>
          <cell r="T2994" t="str">
            <v>Bueno</v>
          </cell>
          <cell r="U2994" t="str">
            <v>N/T</v>
          </cell>
        </row>
        <row r="2995">
          <cell r="J2995" t="str">
            <v>42-04-07-00-2987</v>
          </cell>
          <cell r="K2995" t="str">
            <v>SC-00843</v>
          </cell>
          <cell r="L2995" t="str">
            <v>42-04-07-00-2987</v>
          </cell>
          <cell r="M2995" t="str">
            <v>Porta jabón</v>
          </cell>
          <cell r="O2995" t="str">
            <v>OTROS</v>
          </cell>
          <cell r="P2995">
            <v>17000</v>
          </cell>
          <cell r="T2995" t="str">
            <v>Bueno</v>
          </cell>
          <cell r="U2995" t="str">
            <v>N/T</v>
          </cell>
        </row>
        <row r="2996">
          <cell r="J2996" t="str">
            <v>42-04-07-00-2988</v>
          </cell>
          <cell r="K2996" t="str">
            <v>SC-00844</v>
          </cell>
          <cell r="L2996" t="str">
            <v>42-04-07-00-2988</v>
          </cell>
          <cell r="M2996" t="str">
            <v>Porta toallas</v>
          </cell>
          <cell r="O2996" t="str">
            <v>OTROS</v>
          </cell>
          <cell r="P2996">
            <v>17000</v>
          </cell>
          <cell r="T2996" t="str">
            <v>Bueno</v>
          </cell>
          <cell r="U2996" t="str">
            <v>N/T</v>
          </cell>
        </row>
        <row r="2997">
          <cell r="J2997" t="str">
            <v>42-04-07-00-2989</v>
          </cell>
          <cell r="K2997" t="str">
            <v>SC-00845</v>
          </cell>
          <cell r="L2997" t="str">
            <v>42-04-07-00-2989</v>
          </cell>
          <cell r="M2997" t="str">
            <v>Porta cortinas</v>
          </cell>
          <cell r="O2997" t="str">
            <v>OTROS</v>
          </cell>
          <cell r="P2997">
            <v>1500</v>
          </cell>
          <cell r="T2997" t="str">
            <v>Bueno</v>
          </cell>
          <cell r="U2997" t="str">
            <v>N/T</v>
          </cell>
        </row>
        <row r="2998">
          <cell r="J2998" t="str">
            <v>FN-04-07-00-2990</v>
          </cell>
          <cell r="K2998" t="str">
            <v>SC-00846</v>
          </cell>
          <cell r="L2998" t="str">
            <v>FN-04-07-00-2990</v>
          </cell>
          <cell r="M2998" t="str">
            <v>Cortinas color beige</v>
          </cell>
          <cell r="O2998" t="str">
            <v>OTROS FUNGIBLE / NOMINABLE</v>
          </cell>
          <cell r="P2998">
            <v>12000</v>
          </cell>
          <cell r="T2998" t="str">
            <v>Bueno</v>
          </cell>
          <cell r="U2998" t="str">
            <v>N/T</v>
          </cell>
        </row>
        <row r="2999">
          <cell r="J2999" t="str">
            <v>42-04-07-00-2991</v>
          </cell>
          <cell r="K2999" t="str">
            <v>SC-00847</v>
          </cell>
          <cell r="L2999" t="str">
            <v>42-04-07-00-2991</v>
          </cell>
          <cell r="M2999" t="str">
            <v>Colchón CIC</v>
          </cell>
          <cell r="O2999" t="str">
            <v>OTROS</v>
          </cell>
          <cell r="P2999">
            <v>67000</v>
          </cell>
          <cell r="T2999" t="str">
            <v>Bueno</v>
          </cell>
          <cell r="U2999" t="str">
            <v>N/T</v>
          </cell>
        </row>
        <row r="3000">
          <cell r="J3000" t="str">
            <v>42-04-07-00-2992</v>
          </cell>
          <cell r="K3000" t="str">
            <v>SC-00848</v>
          </cell>
          <cell r="L3000" t="str">
            <v>42-04-07-00-2992</v>
          </cell>
          <cell r="M3000" t="str">
            <v>Espejo de 60x40 cms. marco negro</v>
          </cell>
          <cell r="O3000" t="str">
            <v>OTROS</v>
          </cell>
          <cell r="P3000">
            <v>12000</v>
          </cell>
          <cell r="T3000" t="str">
            <v>Bueno</v>
          </cell>
          <cell r="U3000" t="str">
            <v>N/T</v>
          </cell>
        </row>
        <row r="3001">
          <cell r="J3001" t="str">
            <v>42-04-07-00-2993</v>
          </cell>
          <cell r="K3001" t="str">
            <v>SC-00849</v>
          </cell>
          <cell r="L3001" t="str">
            <v>42-04-07-00-2993</v>
          </cell>
          <cell r="M3001" t="str">
            <v>Papelero plástico</v>
          </cell>
          <cell r="O3001" t="str">
            <v>OTROS</v>
          </cell>
          <cell r="P3001">
            <v>3000</v>
          </cell>
          <cell r="T3001" t="str">
            <v>Bueno</v>
          </cell>
          <cell r="U3001" t="str">
            <v>N/T</v>
          </cell>
        </row>
        <row r="3002">
          <cell r="J3002" t="str">
            <v>42-04-07-00-2994</v>
          </cell>
          <cell r="K3002" t="str">
            <v>SC-00850</v>
          </cell>
          <cell r="L3002" t="str">
            <v>42-04-07-00-2994</v>
          </cell>
          <cell r="M3002" t="str">
            <v>Porta jabón</v>
          </cell>
          <cell r="O3002" t="str">
            <v>OTROS</v>
          </cell>
          <cell r="P3002">
            <v>17000</v>
          </cell>
          <cell r="T3002" t="str">
            <v>Bueno</v>
          </cell>
          <cell r="U3002" t="str">
            <v>N/T</v>
          </cell>
        </row>
        <row r="3003">
          <cell r="J3003" t="str">
            <v>42-04-07-00-2995</v>
          </cell>
          <cell r="K3003" t="str">
            <v>SC-00851</v>
          </cell>
          <cell r="L3003" t="str">
            <v>42-04-07-00-2995</v>
          </cell>
          <cell r="M3003" t="str">
            <v>Porta confort</v>
          </cell>
          <cell r="O3003" t="str">
            <v>OTROS</v>
          </cell>
          <cell r="P3003">
            <v>17000</v>
          </cell>
          <cell r="T3003" t="str">
            <v>Bueno</v>
          </cell>
          <cell r="U3003" t="str">
            <v>N/T</v>
          </cell>
        </row>
        <row r="3004">
          <cell r="J3004" t="str">
            <v>42-04-07-00-2996</v>
          </cell>
          <cell r="K3004" t="str">
            <v>SC-00852</v>
          </cell>
          <cell r="L3004" t="str">
            <v>42-04-07-00-2996</v>
          </cell>
          <cell r="M3004" t="str">
            <v>Ducha teléfono</v>
          </cell>
          <cell r="O3004" t="str">
            <v>OTROS</v>
          </cell>
          <cell r="P3004">
            <v>12500</v>
          </cell>
          <cell r="T3004" t="str">
            <v>Bueno</v>
          </cell>
          <cell r="U3004" t="str">
            <v>N/T</v>
          </cell>
        </row>
        <row r="3005">
          <cell r="J3005" t="str">
            <v>NN-06-01-00-2997</v>
          </cell>
          <cell r="K3005" t="str">
            <v>SC-00853</v>
          </cell>
          <cell r="L3005" t="str">
            <v>NN-06-01-00-2997</v>
          </cell>
          <cell r="M3005" t="str">
            <v>Computador marca Olidata Nº ID A 2894</v>
          </cell>
          <cell r="O3005" t="str">
            <v>EQUIPOS COMPUTACIONALES Y PERIFÉRICOS EN ARRIENDO</v>
          </cell>
          <cell r="P3005">
            <v>142800</v>
          </cell>
          <cell r="T3005" t="str">
            <v>Bueno</v>
          </cell>
          <cell r="U3005" t="str">
            <v>Olidata</v>
          </cell>
        </row>
        <row r="3006">
          <cell r="J3006" t="str">
            <v>NN-06-01-00-2998</v>
          </cell>
          <cell r="K3006" t="str">
            <v>SC-00854</v>
          </cell>
          <cell r="L3006" t="str">
            <v>NN-06-01-00-2998</v>
          </cell>
          <cell r="M3006" t="str">
            <v>Monitor LCD marca Olidata 17"  Mod. 7005L11 S. 75L11N-75K2372-020957</v>
          </cell>
          <cell r="O3006" t="str">
            <v>EQUIPOS COMPUTACIONALES Y PERIFÉRICOS EN ARRIENDO</v>
          </cell>
          <cell r="P3006">
            <v>14000</v>
          </cell>
          <cell r="T3006" t="str">
            <v>Bueno</v>
          </cell>
          <cell r="U3006" t="str">
            <v>Olidata</v>
          </cell>
        </row>
        <row r="3007">
          <cell r="J3007" t="str">
            <v>NN-06-01-00-2999</v>
          </cell>
          <cell r="K3007" t="str">
            <v>SC-00855</v>
          </cell>
          <cell r="L3007" t="str">
            <v>NN-06-01-00-2999</v>
          </cell>
          <cell r="M3007" t="str">
            <v>Teclado marca Olidata Mod. K7563 Serie Nº K75630703024646</v>
          </cell>
          <cell r="O3007" t="str">
            <v>EQUIPOS COMPUTACIONALES Y PERIFÉRICOS EN ARRIENDO</v>
          </cell>
          <cell r="P3007">
            <v>4000</v>
          </cell>
          <cell r="T3007" t="str">
            <v>Bueno</v>
          </cell>
          <cell r="U3007" t="str">
            <v>Olidata</v>
          </cell>
        </row>
        <row r="3008">
          <cell r="J3008" t="str">
            <v>42-06-01-00-3000</v>
          </cell>
          <cell r="K3008" t="str">
            <v>SC-00856</v>
          </cell>
          <cell r="L3008" t="str">
            <v>42-06-01-00-3000</v>
          </cell>
          <cell r="M3008" t="str">
            <v>Mouse Optico Mod. KM-8920</v>
          </cell>
          <cell r="O3008" t="str">
            <v>EQUIPOS COMPUTACIONALES Y PERIFÉRICOS</v>
          </cell>
          <cell r="P3008">
            <v>3000</v>
          </cell>
          <cell r="T3008" t="str">
            <v>Bueno</v>
          </cell>
          <cell r="U3008" t="str">
            <v>KM</v>
          </cell>
        </row>
        <row r="3009">
          <cell r="J3009" t="str">
            <v>42-05-01-01-3001</v>
          </cell>
          <cell r="K3009" t="str">
            <v>SC-00857</v>
          </cell>
          <cell r="L3009" t="str">
            <v>42-05-01-01-3001</v>
          </cell>
          <cell r="M3009" t="str">
            <v>Porta timbres metálico color rojo</v>
          </cell>
          <cell r="O3009" t="str">
            <v>EQUIPO DE OFICINA</v>
          </cell>
          <cell r="P3009">
            <v>12000</v>
          </cell>
          <cell r="T3009" t="str">
            <v>Bueno</v>
          </cell>
          <cell r="U3009" t="str">
            <v>N/T</v>
          </cell>
        </row>
        <row r="3010">
          <cell r="J3010" t="str">
            <v>42-05-01-01-3002</v>
          </cell>
          <cell r="K3010" t="str">
            <v>SC-00858</v>
          </cell>
          <cell r="L3010" t="str">
            <v>42-05-01-01-3002</v>
          </cell>
          <cell r="M3010" t="str">
            <v>Porta Scotch grande color negro</v>
          </cell>
          <cell r="O3010" t="str">
            <v>EQUIPO DE OFICINA</v>
          </cell>
          <cell r="P3010">
            <v>3000</v>
          </cell>
          <cell r="T3010" t="str">
            <v>Bueno</v>
          </cell>
          <cell r="U3010" t="str">
            <v>N/T</v>
          </cell>
        </row>
        <row r="3011">
          <cell r="J3011" t="str">
            <v>42-04-07-00-3003</v>
          </cell>
          <cell r="K3011" t="str">
            <v>SC-00859</v>
          </cell>
          <cell r="L3011" t="str">
            <v>42-04-07-00-3003</v>
          </cell>
          <cell r="M3011" t="str">
            <v>Basurero metálico</v>
          </cell>
          <cell r="O3011" t="str">
            <v>OTROS</v>
          </cell>
          <cell r="P3011">
            <v>3000</v>
          </cell>
          <cell r="T3011" t="str">
            <v>Bueno</v>
          </cell>
          <cell r="U3011" t="str">
            <v>N/T</v>
          </cell>
        </row>
        <row r="3012">
          <cell r="J3012" t="str">
            <v>42-04-07-00-3004</v>
          </cell>
          <cell r="K3012" t="str">
            <v>SC-00860</v>
          </cell>
          <cell r="L3012" t="str">
            <v>42-04-07-00-3004</v>
          </cell>
          <cell r="M3012" t="str">
            <v>Soporte cortina</v>
          </cell>
          <cell r="O3012" t="str">
            <v>OTROS</v>
          </cell>
          <cell r="P3012">
            <v>1500</v>
          </cell>
          <cell r="T3012" t="str">
            <v>Bueno</v>
          </cell>
          <cell r="U3012" t="str">
            <v>N/T</v>
          </cell>
        </row>
        <row r="3013">
          <cell r="J3013" t="str">
            <v>42-04-07-00-3005</v>
          </cell>
          <cell r="K3013" t="str">
            <v>SC-00861</v>
          </cell>
          <cell r="L3013" t="str">
            <v>42-04-07-00-3005</v>
          </cell>
          <cell r="M3013" t="str">
            <v>Cortinas color verde</v>
          </cell>
          <cell r="O3013" t="str">
            <v>OTROS</v>
          </cell>
          <cell r="P3013">
            <v>12000</v>
          </cell>
          <cell r="T3013" t="str">
            <v>Bueno</v>
          </cell>
          <cell r="U3013" t="str">
            <v>N/T</v>
          </cell>
        </row>
        <row r="3014">
          <cell r="J3014" t="str">
            <v>42-05-01-01-3006</v>
          </cell>
          <cell r="K3014" t="str">
            <v>SC-00862</v>
          </cell>
          <cell r="L3014" t="str">
            <v>42-05-01-01-3006</v>
          </cell>
          <cell r="M3014" t="str">
            <v>Calefactor oleogeno somela mod 2010 T.</v>
          </cell>
          <cell r="O3014" t="str">
            <v>EQUIPO DE OFICINA</v>
          </cell>
          <cell r="P3014">
            <v>20000</v>
          </cell>
          <cell r="T3014" t="str">
            <v>Bueno</v>
          </cell>
          <cell r="U3014" t="str">
            <v>Somela</v>
          </cell>
        </row>
        <row r="3015">
          <cell r="J3015" t="str">
            <v>42-05-01-01-3007</v>
          </cell>
          <cell r="K3015" t="str">
            <v>SC-00863</v>
          </cell>
          <cell r="L3015" t="str">
            <v>42-05-01-01-3007</v>
          </cell>
          <cell r="M3015" t="str">
            <v>Teléfono Telefónica Mod. Aromo S/Nº 20847932304F022006044497</v>
          </cell>
          <cell r="O3015" t="str">
            <v>EQUIPO DE OFICINA</v>
          </cell>
          <cell r="P3015">
            <v>30000</v>
          </cell>
          <cell r="T3015" t="str">
            <v>Bueno</v>
          </cell>
          <cell r="U3015" t="str">
            <v>Aromo</v>
          </cell>
        </row>
        <row r="3016">
          <cell r="J3016" t="str">
            <v>NN-06-01-00-3008</v>
          </cell>
          <cell r="K3016" t="str">
            <v>SC-00864</v>
          </cell>
          <cell r="L3016" t="str">
            <v>NN-06-01-00-3008</v>
          </cell>
          <cell r="M3016" t="str">
            <v>Computador Olidata S/Nº 011427-000001</v>
          </cell>
          <cell r="O3016" t="str">
            <v>EQUIPOS COMPUTACIONALES Y PERIFÉRICOS EN ARRIENDO</v>
          </cell>
          <cell r="P3016">
            <v>142800</v>
          </cell>
          <cell r="T3016" t="str">
            <v>Bueno</v>
          </cell>
          <cell r="U3016" t="str">
            <v>Olidata</v>
          </cell>
        </row>
        <row r="3017">
          <cell r="J3017" t="str">
            <v>NN-06-01-00-3009</v>
          </cell>
          <cell r="K3017" t="str">
            <v>SC-00865</v>
          </cell>
          <cell r="L3017" t="str">
            <v>NN-06-01-00-3009</v>
          </cell>
          <cell r="M3017" t="str">
            <v>Monitor LCD Olidata 17" Mod. W7006S-8AE2354-01360D</v>
          </cell>
          <cell r="O3017" t="str">
            <v>EQUIPOS COMPUTACIONALES Y PERIFÉRICOS EN ARRIENDO</v>
          </cell>
          <cell r="P3017">
            <v>14000</v>
          </cell>
          <cell r="T3017" t="str">
            <v>Bueno</v>
          </cell>
          <cell r="U3017" t="str">
            <v>Olidata</v>
          </cell>
        </row>
        <row r="3018">
          <cell r="J3018" t="str">
            <v>NN-06-01-00-3010</v>
          </cell>
          <cell r="K3018" t="str">
            <v>SC-00866</v>
          </cell>
          <cell r="L3018" t="str">
            <v>NN-06-01-00-3010</v>
          </cell>
          <cell r="M3018" t="str">
            <v>Teclado Olidata Mod. K 5108 S/Nº K510080903012191</v>
          </cell>
          <cell r="O3018" t="str">
            <v>EQUIPOS COMPUTACIONALES Y PERIFÉRICOS EN ARRIENDO</v>
          </cell>
          <cell r="P3018">
            <v>4000</v>
          </cell>
          <cell r="T3018" t="str">
            <v>Bueno</v>
          </cell>
          <cell r="U3018" t="str">
            <v>Olidata</v>
          </cell>
        </row>
        <row r="3019">
          <cell r="J3019" t="str">
            <v>NN-06-01-00-3011</v>
          </cell>
          <cell r="K3019" t="str">
            <v>SC-00867</v>
          </cell>
          <cell r="L3019" t="str">
            <v>NN-06-01-00-3011</v>
          </cell>
          <cell r="M3019" t="str">
            <v>Mouse optico Olidata Mod. KM 8942</v>
          </cell>
          <cell r="O3019" t="str">
            <v>EQUIPOS COMPUTACIONALES Y PERIFÉRICOS EN ARRIENDO</v>
          </cell>
          <cell r="P3019">
            <v>3000</v>
          </cell>
          <cell r="T3019" t="str">
            <v>Bueno</v>
          </cell>
          <cell r="U3019" t="str">
            <v>Olidata</v>
          </cell>
        </row>
        <row r="3020">
          <cell r="J3020" t="str">
            <v>42-05-01-01-3012</v>
          </cell>
          <cell r="K3020" t="str">
            <v>SC-00868</v>
          </cell>
          <cell r="L3020" t="str">
            <v>42-05-01-01-3012</v>
          </cell>
          <cell r="M3020" t="str">
            <v>Corchetera marca Torre color rojo/negro</v>
          </cell>
          <cell r="O3020" t="str">
            <v>EQUIPO DE OFICINA</v>
          </cell>
          <cell r="P3020">
            <v>3500</v>
          </cell>
          <cell r="T3020" t="str">
            <v>Bueno</v>
          </cell>
          <cell r="U3020" t="str">
            <v>torre</v>
          </cell>
        </row>
        <row r="3021">
          <cell r="J3021" t="str">
            <v>42-04-07-00-3013</v>
          </cell>
          <cell r="K3021" t="str">
            <v>SC-00869</v>
          </cell>
          <cell r="L3021" t="str">
            <v>42-04-07-00-3013</v>
          </cell>
          <cell r="M3021" t="str">
            <v>Basurero</v>
          </cell>
          <cell r="O3021" t="str">
            <v>OTROS</v>
          </cell>
          <cell r="P3021">
            <v>3000</v>
          </cell>
          <cell r="T3021" t="str">
            <v>Bueno</v>
          </cell>
          <cell r="U3021" t="str">
            <v>N/T</v>
          </cell>
        </row>
        <row r="3022">
          <cell r="J3022" t="str">
            <v>NN-06-01-00-3014</v>
          </cell>
          <cell r="K3022" t="str">
            <v>SC-00870</v>
          </cell>
          <cell r="L3022" t="str">
            <v>NN-06-01-00-3014</v>
          </cell>
          <cell r="M3022" t="str">
            <v>Computador Olidata ID Nº A2605 S/Nº 008920-000355</v>
          </cell>
          <cell r="O3022" t="str">
            <v>EQUIPOS COMPUTACIONALES Y PERIFÉRICOS EN ARRIENDO</v>
          </cell>
          <cell r="P3022">
            <v>142800</v>
          </cell>
          <cell r="T3022" t="str">
            <v>Bueno</v>
          </cell>
          <cell r="U3022" t="str">
            <v>Olidata</v>
          </cell>
        </row>
        <row r="3023">
          <cell r="J3023" t="str">
            <v>NN-06-01-00-3015</v>
          </cell>
          <cell r="K3023" t="str">
            <v>SC-00871</v>
          </cell>
          <cell r="L3023" t="str">
            <v>NN-06-01-00-3015</v>
          </cell>
          <cell r="M3023" t="str">
            <v>Monitor LCD Olidata 17" Mod. 7005L11 S/Nº 75L11N-75K2372-01874B</v>
          </cell>
          <cell r="O3023" t="str">
            <v>EQUIPOS COMPUTACIONALES Y PERIFÉRICOS EN ARRIENDO</v>
          </cell>
          <cell r="P3023">
            <v>14000</v>
          </cell>
          <cell r="T3023" t="str">
            <v>Bueno</v>
          </cell>
          <cell r="U3023" t="str">
            <v>Olidata</v>
          </cell>
        </row>
        <row r="3024">
          <cell r="J3024" t="str">
            <v>NN-06-01-00-3016</v>
          </cell>
          <cell r="K3024" t="str">
            <v>SC-00872</v>
          </cell>
          <cell r="L3024" t="str">
            <v>NN-06-01-00-3016</v>
          </cell>
          <cell r="M3024" t="str">
            <v>Teclado Olidata Mod. K 7563 S/Nº K75630703004127</v>
          </cell>
          <cell r="O3024" t="str">
            <v>EQUIPOS COMPUTACIONALES Y PERIFÉRICOS EN ARRIENDO</v>
          </cell>
          <cell r="P3024">
            <v>4000</v>
          </cell>
          <cell r="T3024" t="str">
            <v>Bueno</v>
          </cell>
          <cell r="U3024" t="str">
            <v>Olidata</v>
          </cell>
        </row>
        <row r="3025">
          <cell r="J3025" t="str">
            <v>NN-06-01-00-3017</v>
          </cell>
          <cell r="K3025" t="str">
            <v>SC-00873</v>
          </cell>
          <cell r="L3025" t="str">
            <v>NN-06-01-00-3017</v>
          </cell>
          <cell r="M3025" t="str">
            <v>Mouse optico Olidata Mod. KM 8920</v>
          </cell>
          <cell r="O3025" t="str">
            <v>EQUIPOS COMPUTACIONALES Y PERIFÉRICOS EN ARRIENDO</v>
          </cell>
          <cell r="P3025">
            <v>3000</v>
          </cell>
          <cell r="T3025" t="str">
            <v>Bueno</v>
          </cell>
          <cell r="U3025" t="str">
            <v>Olidata</v>
          </cell>
        </row>
        <row r="3026">
          <cell r="J3026" t="str">
            <v>42-04-07-00-3018</v>
          </cell>
          <cell r="K3026" t="str">
            <v>SC-00874</v>
          </cell>
          <cell r="L3026" t="str">
            <v>42-04-07-00-3018</v>
          </cell>
          <cell r="M3026" t="str">
            <v>Basurero metálico c/tapa y pedal</v>
          </cell>
          <cell r="O3026" t="str">
            <v>OTROS</v>
          </cell>
          <cell r="P3026">
            <v>15000</v>
          </cell>
          <cell r="T3026" t="str">
            <v>Bueno</v>
          </cell>
          <cell r="U3026" t="str">
            <v>N/T</v>
          </cell>
        </row>
        <row r="3027">
          <cell r="J3027" t="str">
            <v>42-05-01-01-3019</v>
          </cell>
          <cell r="K3027" t="str">
            <v>SC-00875</v>
          </cell>
          <cell r="L3027" t="str">
            <v>42-05-01-01-3019</v>
          </cell>
          <cell r="M3027" t="str">
            <v>Corchetera Torre negro!roja</v>
          </cell>
          <cell r="O3027" t="str">
            <v>EQUIPO DE OFICINA</v>
          </cell>
          <cell r="P3027">
            <v>3000</v>
          </cell>
          <cell r="T3027" t="str">
            <v>Bueno</v>
          </cell>
          <cell r="U3027" t="str">
            <v>Torre</v>
          </cell>
        </row>
        <row r="3028">
          <cell r="J3028" t="str">
            <v>42-05-01-01-3020</v>
          </cell>
          <cell r="K3028" t="str">
            <v>SC-00876</v>
          </cell>
          <cell r="L3028" t="str">
            <v>42-05-01-01-3020</v>
          </cell>
          <cell r="M3028" t="str">
            <v>Porta scotch grande color azul</v>
          </cell>
          <cell r="O3028" t="str">
            <v>EQUIPO DE OFICINA</v>
          </cell>
          <cell r="P3028">
            <v>5000</v>
          </cell>
          <cell r="T3028" t="str">
            <v>Bueno</v>
          </cell>
          <cell r="U3028" t="str">
            <v>N/T</v>
          </cell>
        </row>
        <row r="3029">
          <cell r="J3029" t="str">
            <v>42-05-02-01-3021</v>
          </cell>
          <cell r="K3029" t="str">
            <v>SC-00877</v>
          </cell>
          <cell r="L3029" t="str">
            <v>42-05-02-01-3021</v>
          </cell>
          <cell r="M3029" t="str">
            <v>Monitor GPS Navman MDT 860-MK2 S/Nº 0809E11030066</v>
          </cell>
          <cell r="O3029" t="str">
            <v>EQUIPOS CLINICOS</v>
          </cell>
          <cell r="P3029">
            <v>289804</v>
          </cell>
          <cell r="T3029" t="str">
            <v>Bueno</v>
          </cell>
          <cell r="U3029" t="str">
            <v>Navman</v>
          </cell>
        </row>
        <row r="3030">
          <cell r="J3030" t="str">
            <v>42-03-02-00-3022</v>
          </cell>
          <cell r="K3030" t="str">
            <v>SC-00878</v>
          </cell>
          <cell r="L3030" t="str">
            <v>42-03-02-00-3022</v>
          </cell>
          <cell r="M3030" t="str">
            <v>Gata Hidráulica</v>
          </cell>
          <cell r="O3030" t="str">
            <v>EQUIPOS DE VEHICULO</v>
          </cell>
          <cell r="P3030">
            <v>5600</v>
          </cell>
          <cell r="T3030" t="str">
            <v>Bueno</v>
          </cell>
          <cell r="U3030" t="str">
            <v>N/T</v>
          </cell>
        </row>
        <row r="3031">
          <cell r="J3031" t="str">
            <v>42-05-02-05-3023</v>
          </cell>
          <cell r="K3031" t="str">
            <v>SC-00879</v>
          </cell>
          <cell r="L3031" t="str">
            <v>42-05-02-05-3023</v>
          </cell>
          <cell r="M3031" t="str">
            <v>Extintor incendio tipo Dioxido de Carbono de 4 Kgs.</v>
          </cell>
          <cell r="O3031" t="str">
            <v>EQUIPOS DE SEGURIDAD</v>
          </cell>
          <cell r="P3031">
            <v>25000</v>
          </cell>
          <cell r="T3031" t="str">
            <v>Bueno</v>
          </cell>
          <cell r="U3031" t="str">
            <v>N/T</v>
          </cell>
        </row>
        <row r="3032">
          <cell r="J3032" t="str">
            <v>FN-03-02-00-3024</v>
          </cell>
          <cell r="K3032" t="str">
            <v>SC-00880</v>
          </cell>
          <cell r="L3032" t="str">
            <v>FN-03-02-00-3024</v>
          </cell>
          <cell r="M3032" t="str">
            <v>Limpia Parabrisas</v>
          </cell>
          <cell r="O3032" t="str">
            <v>EQUIPOS DE VEHICULO FUNGIBLE / NOMINABLE</v>
          </cell>
          <cell r="P3032">
            <v>5600</v>
          </cell>
          <cell r="T3032" t="str">
            <v>Bueno</v>
          </cell>
          <cell r="U3032" t="str">
            <v>N/T</v>
          </cell>
        </row>
        <row r="3033">
          <cell r="J3033" t="str">
            <v>42-05-02-06-3025</v>
          </cell>
          <cell r="K3033" t="str">
            <v>SC-00881</v>
          </cell>
          <cell r="L3033" t="str">
            <v>42-05-02-06-3025</v>
          </cell>
          <cell r="M3033" t="str">
            <v>Llave de rueda con barrote</v>
          </cell>
          <cell r="O3033" t="str">
            <v>HERRAMIENTAS</v>
          </cell>
          <cell r="P3033">
            <v>5600</v>
          </cell>
          <cell r="T3033" t="str">
            <v>Bueno</v>
          </cell>
          <cell r="U3033" t="str">
            <v>N/T</v>
          </cell>
        </row>
        <row r="3034">
          <cell r="J3034" t="str">
            <v>42-03-02-00-3026</v>
          </cell>
          <cell r="K3034" t="str">
            <v>SC-00882</v>
          </cell>
          <cell r="L3034" t="str">
            <v>42-03-02-00-3026</v>
          </cell>
          <cell r="M3034" t="str">
            <v>Llaves de contacto</v>
          </cell>
          <cell r="O3034" t="str">
            <v>EQUIPOS DE VEHICULO</v>
          </cell>
          <cell r="P3034">
            <v>5600</v>
          </cell>
          <cell r="T3034" t="str">
            <v>Bueno</v>
          </cell>
          <cell r="U3034" t="str">
            <v>N/T</v>
          </cell>
        </row>
        <row r="3035">
          <cell r="J3035" t="str">
            <v>42-03-02-00-3027</v>
          </cell>
          <cell r="K3035" t="str">
            <v>SC-00883</v>
          </cell>
          <cell r="L3035" t="str">
            <v>42-03-02-00-3027</v>
          </cell>
          <cell r="M3035" t="str">
            <v>Aro cromado con estrella</v>
          </cell>
          <cell r="O3035" t="str">
            <v>EQUIPOS DE VEHICULO</v>
          </cell>
          <cell r="P3035">
            <v>5600</v>
          </cell>
          <cell r="T3035" t="str">
            <v>Bueno</v>
          </cell>
          <cell r="U3035" t="str">
            <v>N/T</v>
          </cell>
        </row>
        <row r="3036">
          <cell r="J3036" t="str">
            <v>FN-03-02-00-3028</v>
          </cell>
          <cell r="K3036" t="str">
            <v>SC-00884</v>
          </cell>
          <cell r="L3036" t="str">
            <v>FN-03-02-00-3028</v>
          </cell>
          <cell r="M3036" t="str">
            <v>Triángulos refractantes</v>
          </cell>
          <cell r="O3036" t="str">
            <v>EQUIPOS DE VEHICULO FUNGIBLE / NOMINABLE</v>
          </cell>
          <cell r="P3036">
            <v>5600</v>
          </cell>
          <cell r="T3036" t="str">
            <v>Bueno</v>
          </cell>
          <cell r="U3036" t="str">
            <v>N/T</v>
          </cell>
        </row>
        <row r="3037">
          <cell r="J3037" t="str">
            <v>42-03-02-00-3029</v>
          </cell>
          <cell r="K3037" t="str">
            <v>SC-00885</v>
          </cell>
          <cell r="L3037" t="str">
            <v>42-03-02-00-3029</v>
          </cell>
          <cell r="M3037" t="str">
            <v>Barrote Gata</v>
          </cell>
          <cell r="O3037" t="str">
            <v>EQUIPOS DE VEHICULO</v>
          </cell>
          <cell r="P3037">
            <v>5600</v>
          </cell>
          <cell r="T3037" t="str">
            <v>Bueno</v>
          </cell>
          <cell r="U3037" t="str">
            <v>N/T</v>
          </cell>
        </row>
        <row r="3038">
          <cell r="J3038" t="str">
            <v>42-03-01-00-3030</v>
          </cell>
          <cell r="K3038" t="str">
            <v>SC-00886</v>
          </cell>
          <cell r="L3038" t="str">
            <v>42-03-01-00-3030</v>
          </cell>
          <cell r="M3038" t="str">
            <v>Neumático de repuesto</v>
          </cell>
          <cell r="O3038" t="str">
            <v>REPUESTOS</v>
          </cell>
          <cell r="P3038">
            <v>33000</v>
          </cell>
          <cell r="T3038" t="str">
            <v>Bueno</v>
          </cell>
          <cell r="U3038" t="str">
            <v>N/T</v>
          </cell>
        </row>
        <row r="3039">
          <cell r="J3039" t="str">
            <v>FN-03-02-00-3031</v>
          </cell>
          <cell r="K3039" t="str">
            <v>SC-00887</v>
          </cell>
          <cell r="L3039" t="str">
            <v>FN-03-02-00-3031</v>
          </cell>
          <cell r="M3039" t="str">
            <v>Espejos exteriores</v>
          </cell>
          <cell r="O3039" t="str">
            <v>EQUIPOS DE VEHICULO FUNGIBLE / NOMINABLE</v>
          </cell>
          <cell r="P3039">
            <v>5600</v>
          </cell>
          <cell r="T3039" t="str">
            <v>Bueno</v>
          </cell>
          <cell r="U3039" t="str">
            <v>N/T</v>
          </cell>
        </row>
        <row r="3040">
          <cell r="J3040" t="str">
            <v>42-05-02-06-3032</v>
          </cell>
          <cell r="K3040" t="str">
            <v>SC-00888</v>
          </cell>
          <cell r="L3040" t="str">
            <v>42-05-02-06-3032</v>
          </cell>
          <cell r="M3040" t="str">
            <v>Llave ajustable</v>
          </cell>
          <cell r="O3040" t="str">
            <v>HERRAMIENTAS</v>
          </cell>
          <cell r="P3040">
            <v>5600</v>
          </cell>
          <cell r="T3040" t="str">
            <v>Bueno</v>
          </cell>
          <cell r="U3040" t="str">
            <v>N/T</v>
          </cell>
        </row>
        <row r="3041">
          <cell r="J3041" t="str">
            <v>FN-05-02-06-3033</v>
          </cell>
          <cell r="K3041" t="str">
            <v>SC-00889</v>
          </cell>
          <cell r="L3041" t="str">
            <v>FN-05-02-06-3033</v>
          </cell>
          <cell r="M3041" t="str">
            <v>Llaves de punta</v>
          </cell>
          <cell r="O3041" t="str">
            <v>HERRAMIENTAS FUNGIBLE / NOMINABLE</v>
          </cell>
          <cell r="P3041">
            <v>5600</v>
          </cell>
          <cell r="T3041" t="str">
            <v>Bueno</v>
          </cell>
          <cell r="U3041" t="str">
            <v>N/T</v>
          </cell>
        </row>
        <row r="3042">
          <cell r="J3042" t="str">
            <v>42-05-02-06-3034</v>
          </cell>
          <cell r="K3042" t="str">
            <v>SC-00890</v>
          </cell>
          <cell r="L3042" t="str">
            <v>42-05-02-06-3034</v>
          </cell>
          <cell r="M3042" t="str">
            <v>Llaves hallen 12 mm</v>
          </cell>
          <cell r="O3042" t="str">
            <v>HERRAMIENTAS</v>
          </cell>
          <cell r="P3042">
            <v>5600</v>
          </cell>
          <cell r="T3042" t="str">
            <v>Bueno</v>
          </cell>
          <cell r="U3042" t="str">
            <v>N/T</v>
          </cell>
        </row>
        <row r="3043">
          <cell r="J3043" t="str">
            <v>FN-05-02-06-3035</v>
          </cell>
          <cell r="K3043" t="str">
            <v>SC-00891</v>
          </cell>
          <cell r="L3043" t="str">
            <v>FN-05-02-06-3035</v>
          </cell>
          <cell r="M3043" t="str">
            <v>Llaves tubo</v>
          </cell>
          <cell r="O3043" t="str">
            <v>HERRAMIENTAS FUNGIBLE / NOMINABLE</v>
          </cell>
          <cell r="P3043">
            <v>5600</v>
          </cell>
          <cell r="T3043" t="str">
            <v>Bueno</v>
          </cell>
          <cell r="U3043" t="str">
            <v>N/T</v>
          </cell>
        </row>
        <row r="3044">
          <cell r="J3044" t="str">
            <v>42-05-02-06-3036</v>
          </cell>
          <cell r="K3044" t="str">
            <v>SC-00892</v>
          </cell>
          <cell r="L3044" t="str">
            <v>42-05-02-06-3036</v>
          </cell>
          <cell r="M3044" t="str">
            <v>Martillo</v>
          </cell>
          <cell r="O3044" t="str">
            <v>HERRAMIENTAS</v>
          </cell>
          <cell r="P3044">
            <v>5600</v>
          </cell>
          <cell r="T3044" t="str">
            <v>Bueno</v>
          </cell>
          <cell r="U3044" t="str">
            <v>N/T</v>
          </cell>
        </row>
        <row r="3045">
          <cell r="J3045" t="str">
            <v>42-05-02-06-3037</v>
          </cell>
          <cell r="K3045" t="str">
            <v>SC-00893</v>
          </cell>
          <cell r="L3045" t="str">
            <v>42-05-02-06-3037</v>
          </cell>
          <cell r="M3045" t="str">
            <v>Alicate</v>
          </cell>
          <cell r="O3045" t="str">
            <v>HERRAMIENTAS</v>
          </cell>
          <cell r="P3045">
            <v>5600</v>
          </cell>
          <cell r="T3045" t="str">
            <v>Bueno</v>
          </cell>
          <cell r="U3045" t="str">
            <v>N/T</v>
          </cell>
        </row>
        <row r="3046">
          <cell r="J3046" t="str">
            <v>FN-05-02-06-3038</v>
          </cell>
          <cell r="K3046" t="str">
            <v>SC-00894</v>
          </cell>
          <cell r="L3046" t="str">
            <v>FN-05-02-06-3038</v>
          </cell>
          <cell r="M3046" t="str">
            <v>Atornilladores paleta</v>
          </cell>
          <cell r="O3046" t="str">
            <v>HERRAMIENTAS FUNGIBLE / NOMINABLE</v>
          </cell>
          <cell r="P3046">
            <v>5600</v>
          </cell>
          <cell r="T3046" t="str">
            <v>Bueno</v>
          </cell>
          <cell r="U3046" t="str">
            <v>N/T</v>
          </cell>
        </row>
        <row r="3047">
          <cell r="J3047" t="str">
            <v>42-03-02-00-3039</v>
          </cell>
          <cell r="K3047" t="str">
            <v>SC-00895</v>
          </cell>
          <cell r="L3047" t="str">
            <v>42-03-02-00-3039</v>
          </cell>
          <cell r="M3047" t="str">
            <v>Asiento longitudinal</v>
          </cell>
          <cell r="N3047">
            <v>1</v>
          </cell>
          <cell r="O3047" t="str">
            <v>EQUIPOS DE VEHICULO</v>
          </cell>
          <cell r="P3047">
            <v>30000</v>
          </cell>
          <cell r="T3047" t="str">
            <v>Bueno</v>
          </cell>
          <cell r="U3047" t="str">
            <v>N/T</v>
          </cell>
        </row>
        <row r="3048">
          <cell r="J3048" t="str">
            <v>42-05-02-01-3040</v>
          </cell>
          <cell r="K3048" t="str">
            <v>SC-00896</v>
          </cell>
          <cell r="L3048" t="str">
            <v>42-05-02-01-3040</v>
          </cell>
          <cell r="M3048" t="str">
            <v>Camilla Ferno Washington, modelo 25</v>
          </cell>
          <cell r="N3048">
            <v>1</v>
          </cell>
          <cell r="O3048" t="str">
            <v>EQUIPOS CLINICOS</v>
          </cell>
          <cell r="P3048">
            <v>110500</v>
          </cell>
          <cell r="T3048" t="str">
            <v>Bueno</v>
          </cell>
          <cell r="U3048" t="str">
            <v>N/T</v>
          </cell>
        </row>
        <row r="3049">
          <cell r="J3049" t="str">
            <v>42-03-02-00-3041</v>
          </cell>
          <cell r="K3049" t="str">
            <v>SC-00897</v>
          </cell>
          <cell r="L3049" t="str">
            <v>42-03-02-00-3041</v>
          </cell>
          <cell r="M3049" t="str">
            <v>Ducto de calefacción Ext. Cab</v>
          </cell>
          <cell r="N3049">
            <v>1</v>
          </cell>
          <cell r="O3049" t="str">
            <v>EQUIPOS DE VEHICULO</v>
          </cell>
          <cell r="P3049">
            <v>30000</v>
          </cell>
          <cell r="T3049" t="str">
            <v>Bueno</v>
          </cell>
          <cell r="U3049" t="str">
            <v>N/T</v>
          </cell>
        </row>
        <row r="3050">
          <cell r="J3050" t="str">
            <v>42-03-02-00-3042</v>
          </cell>
          <cell r="K3050" t="str">
            <v>SC-00898</v>
          </cell>
          <cell r="L3050" t="str">
            <v>42-03-02-00-3042</v>
          </cell>
          <cell r="M3050" t="str">
            <v>Ventilador oscilante 12 Volt</v>
          </cell>
          <cell r="O3050" t="str">
            <v>EQUIPOS DE VEHICULO</v>
          </cell>
          <cell r="P3050">
            <v>36452</v>
          </cell>
          <cell r="T3050" t="str">
            <v>Bueno</v>
          </cell>
          <cell r="U3050" t="str">
            <v>N/T</v>
          </cell>
        </row>
        <row r="3051">
          <cell r="J3051" t="str">
            <v>42-03-02-00-3043</v>
          </cell>
          <cell r="K3051" t="str">
            <v>SC-00899</v>
          </cell>
          <cell r="L3051" t="str">
            <v>42-03-02-00-3043</v>
          </cell>
          <cell r="M3051" t="str">
            <v>Foco iluminación acceso trasera</v>
          </cell>
          <cell r="O3051" t="str">
            <v>EQUIPOS DE VEHICULO</v>
          </cell>
          <cell r="P3051">
            <v>50000</v>
          </cell>
          <cell r="T3051" t="str">
            <v>Bueno</v>
          </cell>
          <cell r="U3051" t="str">
            <v>N/T</v>
          </cell>
        </row>
        <row r="3052">
          <cell r="J3052" t="str">
            <v>42-03-02-00-3044</v>
          </cell>
          <cell r="K3052" t="str">
            <v>SC-00900</v>
          </cell>
          <cell r="L3052" t="str">
            <v>42-03-02-00-3044</v>
          </cell>
          <cell r="M3052" t="str">
            <v>Sirena electrónica Federal Signa</v>
          </cell>
          <cell r="O3052" t="str">
            <v>EQUIPOS DE VEHICULO</v>
          </cell>
          <cell r="P3052">
            <v>165374</v>
          </cell>
          <cell r="T3052" t="str">
            <v>Bueno</v>
          </cell>
          <cell r="U3052" t="str">
            <v>N/T</v>
          </cell>
        </row>
        <row r="3053">
          <cell r="J3053" t="str">
            <v>42-03-02-00-3045</v>
          </cell>
          <cell r="K3053" t="str">
            <v>SC-00901</v>
          </cell>
          <cell r="L3053" t="str">
            <v>42-03-02-00-3045</v>
          </cell>
          <cell r="M3053" t="str">
            <v>Contracabina c/ ventana corrediza</v>
          </cell>
          <cell r="O3053" t="str">
            <v>EQUIPOS DE VEHICULO</v>
          </cell>
          <cell r="P3053">
            <v>150000</v>
          </cell>
          <cell r="T3053" t="str">
            <v>Bueno</v>
          </cell>
          <cell r="U3053" t="str">
            <v>N/T</v>
          </cell>
        </row>
        <row r="3054">
          <cell r="J3054" t="str">
            <v>FN-03-02-00-3046</v>
          </cell>
          <cell r="K3054" t="str">
            <v>SC-00902</v>
          </cell>
          <cell r="L3054" t="str">
            <v>FN-03-02-00-3046</v>
          </cell>
          <cell r="M3054" t="str">
            <v>Pasamanos zincados</v>
          </cell>
          <cell r="N3054">
            <v>1</v>
          </cell>
          <cell r="O3054" t="str">
            <v>EQUIPOS DE VEHICULO FUNGIBLE / NOMINABLE</v>
          </cell>
          <cell r="P3054">
            <v>12000</v>
          </cell>
          <cell r="T3054" t="str">
            <v>Bueno</v>
          </cell>
          <cell r="U3054" t="str">
            <v>N/T</v>
          </cell>
        </row>
        <row r="3055">
          <cell r="J3055" t="str">
            <v>42-05-02-01-3047</v>
          </cell>
          <cell r="K3055" t="str">
            <v>SC-00903</v>
          </cell>
          <cell r="L3055" t="str">
            <v>42-05-02-01-3047</v>
          </cell>
          <cell r="M3055" t="str">
            <v>Tabla espinal adulto</v>
          </cell>
          <cell r="O3055" t="str">
            <v>EQUIPOS CLINICOS</v>
          </cell>
          <cell r="P3055">
            <v>72900</v>
          </cell>
          <cell r="T3055" t="str">
            <v>Bueno</v>
          </cell>
          <cell r="U3055" t="str">
            <v>N/T</v>
          </cell>
        </row>
        <row r="3056">
          <cell r="J3056" t="str">
            <v>42-03-02-00-3048</v>
          </cell>
          <cell r="K3056" t="str">
            <v>SC-00904</v>
          </cell>
          <cell r="L3056" t="str">
            <v>42-03-02-00-3048</v>
          </cell>
          <cell r="M3056" t="str">
            <v>Pisadera trasera</v>
          </cell>
          <cell r="N3056">
            <v>1</v>
          </cell>
          <cell r="O3056" t="str">
            <v>EQUIPOS DE VEHICULO</v>
          </cell>
          <cell r="P3056">
            <v>50000</v>
          </cell>
          <cell r="T3056" t="str">
            <v>Bueno</v>
          </cell>
          <cell r="U3056" t="str">
            <v>N/T</v>
          </cell>
        </row>
        <row r="3057">
          <cell r="J3057" t="str">
            <v>42-03-02-00-3049</v>
          </cell>
          <cell r="K3057" t="str">
            <v>SC-00905</v>
          </cell>
          <cell r="L3057" t="str">
            <v>42-03-02-00-3049</v>
          </cell>
          <cell r="M3057" t="str">
            <v>Caja porta drogas</v>
          </cell>
          <cell r="O3057" t="str">
            <v>EQUIPOS DE VEHICULO</v>
          </cell>
          <cell r="P3057">
            <v>60000</v>
          </cell>
          <cell r="T3057" t="str">
            <v>Bueno</v>
          </cell>
          <cell r="U3057" t="str">
            <v>N/T</v>
          </cell>
        </row>
        <row r="3058">
          <cell r="J3058" t="str">
            <v>42-05-02-01-3050</v>
          </cell>
          <cell r="K3058" t="str">
            <v>SC-00906</v>
          </cell>
          <cell r="L3058" t="str">
            <v>42-05-02-01-3050</v>
          </cell>
          <cell r="M3058" t="str">
            <v>Inmovilizador de cabeza</v>
          </cell>
          <cell r="O3058" t="str">
            <v>EQUIPOS CLINICOS</v>
          </cell>
          <cell r="P3058">
            <v>35000</v>
          </cell>
          <cell r="T3058" t="str">
            <v>Bueno</v>
          </cell>
          <cell r="U3058" t="str">
            <v>N/T</v>
          </cell>
        </row>
        <row r="3059">
          <cell r="J3059" t="str">
            <v>42-03-02-00-3051</v>
          </cell>
          <cell r="K3059" t="str">
            <v>SC-00907</v>
          </cell>
          <cell r="L3059" t="str">
            <v>42-03-02-00-3051</v>
          </cell>
          <cell r="M3059" t="str">
            <v>Parlante de 100 w</v>
          </cell>
          <cell r="N3059">
            <v>1</v>
          </cell>
          <cell r="O3059" t="str">
            <v>EQUIPOS DE VEHICULO</v>
          </cell>
          <cell r="P3059">
            <v>25000</v>
          </cell>
          <cell r="T3059" t="str">
            <v>Bueno</v>
          </cell>
          <cell r="U3059" t="str">
            <v>N/T</v>
          </cell>
        </row>
        <row r="3060">
          <cell r="J3060" t="str">
            <v>FN-03-02-00-3052</v>
          </cell>
          <cell r="K3060" t="str">
            <v>SC-00908</v>
          </cell>
          <cell r="L3060" t="str">
            <v>FN-03-02-00-3052</v>
          </cell>
          <cell r="M3060" t="str">
            <v>Pasamanos flexibles</v>
          </cell>
          <cell r="N3060">
            <v>1</v>
          </cell>
          <cell r="O3060" t="str">
            <v>EQUIPOS DE VEHICULO FUNGIBLE / NOMINABLE</v>
          </cell>
          <cell r="P3060">
            <v>15000</v>
          </cell>
          <cell r="T3060" t="str">
            <v>Bueno</v>
          </cell>
          <cell r="U3060" t="str">
            <v>N/T</v>
          </cell>
        </row>
        <row r="3061">
          <cell r="J3061" t="str">
            <v>42-03-02-00-3053</v>
          </cell>
          <cell r="K3061" t="str">
            <v>SC-00909</v>
          </cell>
          <cell r="L3061" t="str">
            <v>42-03-02-00-3053</v>
          </cell>
          <cell r="M3061" t="str">
            <v>Porta sueros</v>
          </cell>
          <cell r="O3061" t="str">
            <v>EQUIPOS DE VEHICULO</v>
          </cell>
          <cell r="P3061">
            <v>12000</v>
          </cell>
          <cell r="T3061" t="str">
            <v>Bueno</v>
          </cell>
          <cell r="U3061" t="str">
            <v>N/T</v>
          </cell>
        </row>
        <row r="3062">
          <cell r="J3062" t="str">
            <v>FN-03-02-00-3054</v>
          </cell>
          <cell r="K3062" t="str">
            <v>SC-00910</v>
          </cell>
          <cell r="L3062" t="str">
            <v>FN-03-02-00-3054</v>
          </cell>
          <cell r="M3062" t="str">
            <v>Toma corrientes 12 Volt</v>
          </cell>
          <cell r="N3062">
            <v>1</v>
          </cell>
          <cell r="O3062" t="str">
            <v>EQUIPOS DE VEHICULO FUNGIBLE / NOMINABLE</v>
          </cell>
          <cell r="P3062">
            <v>16000</v>
          </cell>
          <cell r="T3062" t="str">
            <v>Bueno</v>
          </cell>
          <cell r="U3062" t="str">
            <v>N/T</v>
          </cell>
        </row>
        <row r="3063">
          <cell r="J3063" t="str">
            <v>42-03-02-00-3055</v>
          </cell>
          <cell r="K3063" t="str">
            <v>SC-00911</v>
          </cell>
          <cell r="L3063" t="str">
            <v>42-03-02-00-3055</v>
          </cell>
          <cell r="M3063" t="str">
            <v>Asiento paramédico</v>
          </cell>
          <cell r="N3063">
            <v>1</v>
          </cell>
          <cell r="O3063" t="str">
            <v>EQUIPOS DE VEHICULO</v>
          </cell>
          <cell r="P3063">
            <v>54500</v>
          </cell>
          <cell r="T3063" t="str">
            <v>Bueno</v>
          </cell>
          <cell r="U3063" t="str">
            <v>N/T</v>
          </cell>
        </row>
        <row r="3064">
          <cell r="J3064" t="str">
            <v>42-03-02-00-3056</v>
          </cell>
          <cell r="K3064" t="str">
            <v>SC-00912</v>
          </cell>
          <cell r="L3064" t="str">
            <v>42-03-02-00-3056</v>
          </cell>
          <cell r="M3064" t="str">
            <v xml:space="preserve">Carro auxiliar móvil porta cilindro Oxigeno   </v>
          </cell>
          <cell r="O3064" t="str">
            <v>EQUIPOS DE VEHICULO</v>
          </cell>
          <cell r="P3064">
            <v>50000</v>
          </cell>
          <cell r="T3064" t="str">
            <v>Bueno</v>
          </cell>
          <cell r="U3064" t="str">
            <v>N/T</v>
          </cell>
        </row>
        <row r="3065">
          <cell r="J3065" t="str">
            <v>42-03-02-00-3057</v>
          </cell>
          <cell r="K3065" t="str">
            <v>SC-00913</v>
          </cell>
          <cell r="L3065" t="str">
            <v>42-03-02-00-3057</v>
          </cell>
          <cell r="M3065" t="str">
            <v xml:space="preserve">Extractor de aire 12 Volt </v>
          </cell>
          <cell r="O3065" t="str">
            <v>EQUIPOS DE VEHICULO</v>
          </cell>
          <cell r="P3065">
            <v>25000</v>
          </cell>
          <cell r="T3065" t="str">
            <v>Bueno</v>
          </cell>
          <cell r="U3065" t="str">
            <v>N/T</v>
          </cell>
        </row>
        <row r="3066">
          <cell r="J3066" t="str">
            <v>FN-05-02-01-3058</v>
          </cell>
          <cell r="K3066" t="str">
            <v>SC-00914</v>
          </cell>
          <cell r="L3066" t="str">
            <v>FN-05-02-01-3058</v>
          </cell>
          <cell r="M3066" t="str">
            <v>Collares cervicales adultos</v>
          </cell>
          <cell r="O3066" t="str">
            <v>EQUIPOS CLINICOS FUNGIBLE / NOMINABLE</v>
          </cell>
          <cell r="P3066">
            <v>60000</v>
          </cell>
          <cell r="T3066" t="str">
            <v>Bueno</v>
          </cell>
          <cell r="U3066" t="str">
            <v>N/T</v>
          </cell>
        </row>
        <row r="3067">
          <cell r="J3067" t="str">
            <v>FN-05-02-01-3059</v>
          </cell>
          <cell r="K3067" t="str">
            <v>SC-00915</v>
          </cell>
          <cell r="L3067" t="str">
            <v>FN-05-02-01-3059</v>
          </cell>
          <cell r="M3067" t="str">
            <v>Collares cervicales pediátricos</v>
          </cell>
          <cell r="O3067" t="str">
            <v>EQUIPOS CLINICOS FUNGIBLE / NOMINABLE</v>
          </cell>
          <cell r="P3067">
            <v>50000</v>
          </cell>
          <cell r="T3067" t="str">
            <v>Bueno</v>
          </cell>
          <cell r="U3067" t="str">
            <v>N/T</v>
          </cell>
        </row>
        <row r="3068">
          <cell r="J3068" t="str">
            <v>42-05-02-01-3060</v>
          </cell>
          <cell r="K3068" t="str">
            <v>SC-00916</v>
          </cell>
          <cell r="L3068" t="str">
            <v>42-05-02-01-3060</v>
          </cell>
          <cell r="M3068" t="str">
            <v xml:space="preserve">Tabla espinal de tórax </v>
          </cell>
          <cell r="O3068" t="str">
            <v>EQUIPOS CLINICOS</v>
          </cell>
          <cell r="P3068">
            <v>25000</v>
          </cell>
          <cell r="T3068" t="str">
            <v>Bueno</v>
          </cell>
          <cell r="U3068" t="str">
            <v>N/T</v>
          </cell>
        </row>
        <row r="3069">
          <cell r="J3069" t="str">
            <v>42-05-02-01-3061</v>
          </cell>
          <cell r="K3069" t="str">
            <v>SC-00917</v>
          </cell>
          <cell r="L3069" t="str">
            <v>42-05-02-01-3061</v>
          </cell>
          <cell r="M3069" t="str">
            <v>Resucitador manual adulto</v>
          </cell>
          <cell r="O3069" t="str">
            <v>EQUIPOS CLINICOS</v>
          </cell>
          <cell r="P3069">
            <v>58000</v>
          </cell>
          <cell r="T3069" t="str">
            <v>Bueno</v>
          </cell>
          <cell r="U3069" t="str">
            <v>N/T</v>
          </cell>
        </row>
        <row r="3070">
          <cell r="J3070" t="str">
            <v>FN-05-02-01-3062</v>
          </cell>
          <cell r="K3070" t="str">
            <v>SC-00918</v>
          </cell>
          <cell r="L3070" t="str">
            <v>FN-05-02-01-3062</v>
          </cell>
          <cell r="M3070" t="str">
            <v>Resucitador manual Pediátrico</v>
          </cell>
          <cell r="O3070" t="str">
            <v>EQUIPOS CLINICOS FUNGIBLE / NOMINABLE</v>
          </cell>
          <cell r="P3070">
            <v>40000</v>
          </cell>
          <cell r="T3070" t="str">
            <v>Bueno</v>
          </cell>
          <cell r="U3070" t="str">
            <v>N/T</v>
          </cell>
        </row>
        <row r="3071">
          <cell r="J3071" t="str">
            <v>42-04-07-00-3063</v>
          </cell>
          <cell r="K3071" t="str">
            <v>SC-00919</v>
          </cell>
          <cell r="L3071" t="str">
            <v>42-04-07-00-3063</v>
          </cell>
          <cell r="M3071" t="str">
            <v>Basurero acero inoxidable c/ tapa</v>
          </cell>
          <cell r="O3071" t="str">
            <v>OTROS</v>
          </cell>
          <cell r="P3071">
            <v>3000</v>
          </cell>
          <cell r="T3071" t="str">
            <v>Bueno</v>
          </cell>
          <cell r="U3071" t="str">
            <v>N/T</v>
          </cell>
        </row>
        <row r="3072">
          <cell r="J3072" t="str">
            <v>42-05-02-01-3064</v>
          </cell>
          <cell r="K3072" t="str">
            <v>SC-00920</v>
          </cell>
          <cell r="L3072" t="str">
            <v>42-05-02-01-3064</v>
          </cell>
          <cell r="M3072" t="str">
            <v xml:space="preserve">Cilindro oxigeno 9 mt ³ </v>
          </cell>
          <cell r="O3072" t="str">
            <v>EQUIPOS CLINICOS</v>
          </cell>
          <cell r="P3072">
            <v>57900</v>
          </cell>
          <cell r="T3072" t="str">
            <v>Bueno</v>
          </cell>
          <cell r="U3072" t="str">
            <v>N/T</v>
          </cell>
        </row>
        <row r="3073">
          <cell r="J3073" t="str">
            <v>42-05-02-01-3065</v>
          </cell>
          <cell r="K3073" t="str">
            <v>SC-00921</v>
          </cell>
          <cell r="L3073" t="str">
            <v>42-05-02-01-3065</v>
          </cell>
          <cell r="M3073" t="str">
            <v>Bolso férulas adulto</v>
          </cell>
          <cell r="O3073" t="str">
            <v>EQUIPOS CLINICOS</v>
          </cell>
          <cell r="P3073">
            <v>10000</v>
          </cell>
          <cell r="T3073" t="str">
            <v>Bueno</v>
          </cell>
          <cell r="U3073" t="str">
            <v>N/T</v>
          </cell>
        </row>
        <row r="3074">
          <cell r="J3074" t="str">
            <v>42-05-02-01-3066</v>
          </cell>
          <cell r="K3074" t="str">
            <v>SC-00922</v>
          </cell>
          <cell r="L3074" t="str">
            <v>42-05-02-01-3066</v>
          </cell>
          <cell r="M3074" t="str">
            <v>Bolso férulas pediátricas</v>
          </cell>
          <cell r="O3074" t="str">
            <v>EQUIPOS CLINICOS</v>
          </cell>
          <cell r="P3074">
            <v>10000</v>
          </cell>
          <cell r="T3074" t="str">
            <v>Bueno</v>
          </cell>
          <cell r="U3074" t="str">
            <v>N/T</v>
          </cell>
        </row>
        <row r="3075">
          <cell r="J3075" t="str">
            <v>42-05-02-01-3067</v>
          </cell>
          <cell r="K3075" t="str">
            <v>SC-00923</v>
          </cell>
          <cell r="L3075" t="str">
            <v>42-05-02-01-3067</v>
          </cell>
          <cell r="M3075" t="str">
            <v>Esfingomanometro Novation</v>
          </cell>
          <cell r="O3075" t="str">
            <v>EQUIPOS CLINICOS</v>
          </cell>
          <cell r="P3075">
            <v>35000</v>
          </cell>
          <cell r="T3075" t="str">
            <v>Bueno</v>
          </cell>
          <cell r="U3075" t="str">
            <v>N/T</v>
          </cell>
        </row>
        <row r="3076">
          <cell r="J3076" t="str">
            <v>42-05-02-01-3068</v>
          </cell>
          <cell r="K3076" t="str">
            <v>SC-00924</v>
          </cell>
          <cell r="L3076" t="str">
            <v>42-05-02-01-3068</v>
          </cell>
          <cell r="M3076" t="str">
            <v>Fonendoscopio</v>
          </cell>
          <cell r="O3076" t="str">
            <v>EQUIPOS CLINICOS</v>
          </cell>
          <cell r="P3076">
            <v>30000</v>
          </cell>
          <cell r="T3076" t="str">
            <v>Bueno</v>
          </cell>
          <cell r="U3076" t="str">
            <v>N/T</v>
          </cell>
        </row>
        <row r="3077">
          <cell r="J3077" t="str">
            <v>42-05-02-05-3069</v>
          </cell>
          <cell r="K3077" t="str">
            <v>SC-00925</v>
          </cell>
          <cell r="L3077" t="str">
            <v>42-05-02-05-3069</v>
          </cell>
          <cell r="M3077" t="str">
            <v>Extindor incendio tipo ABC 4 Kgs.</v>
          </cell>
          <cell r="O3077" t="str">
            <v>EQUIPOS DE SEGURIDAD</v>
          </cell>
          <cell r="P3077">
            <v>25000</v>
          </cell>
          <cell r="T3077" t="str">
            <v>Bueno</v>
          </cell>
          <cell r="U3077" t="str">
            <v>N/T</v>
          </cell>
        </row>
        <row r="3078">
          <cell r="J3078" t="str">
            <v>42-04-07-00-3070</v>
          </cell>
          <cell r="K3078" t="str">
            <v>SC-00926</v>
          </cell>
          <cell r="L3078" t="str">
            <v>42-04-07-00-3070</v>
          </cell>
          <cell r="M3078" t="str">
            <v>Espejo 32x42 cms.</v>
          </cell>
          <cell r="O3078" t="str">
            <v>OTROS</v>
          </cell>
          <cell r="P3078">
            <v>10000</v>
          </cell>
          <cell r="T3078" t="str">
            <v>Bueno</v>
          </cell>
          <cell r="U3078" t="str">
            <v>N/T</v>
          </cell>
        </row>
        <row r="3079">
          <cell r="J3079" t="str">
            <v>42-04-07-00-3071</v>
          </cell>
          <cell r="K3079" t="str">
            <v>SC-00927</v>
          </cell>
          <cell r="L3079" t="str">
            <v>42-04-07-00-3071</v>
          </cell>
          <cell r="M3079" t="str">
            <v>Cajón madera 63x59x47 ams.</v>
          </cell>
          <cell r="O3079" t="str">
            <v>OTROS</v>
          </cell>
          <cell r="P3079">
            <v>20000</v>
          </cell>
          <cell r="T3079" t="str">
            <v>Bueno</v>
          </cell>
          <cell r="U3079" t="str">
            <v>N/T</v>
          </cell>
        </row>
        <row r="3080">
          <cell r="J3080" t="str">
            <v>42-05-02-02-3072</v>
          </cell>
          <cell r="K3080" t="str">
            <v>SC-00928</v>
          </cell>
          <cell r="L3080" t="str">
            <v>42-05-02-02-3072</v>
          </cell>
          <cell r="M3080" t="str">
            <v>Bidones plastico 25 Lts c/u con llave de agua</v>
          </cell>
          <cell r="O3080" t="str">
            <v>EQUIPOS DE COCINA</v>
          </cell>
          <cell r="P3080">
            <v>20000</v>
          </cell>
          <cell r="T3080" t="str">
            <v>Bueno</v>
          </cell>
          <cell r="U3080" t="str">
            <v>N/T</v>
          </cell>
        </row>
        <row r="3081">
          <cell r="J3081" t="str">
            <v>42-04-07-00-3073</v>
          </cell>
          <cell r="K3081" t="str">
            <v>SC-00929</v>
          </cell>
          <cell r="L3081" t="str">
            <v>42-04-07-00-3073</v>
          </cell>
          <cell r="M3081" t="str">
            <v>Dispensador de jabón Johnson</v>
          </cell>
          <cell r="O3081" t="str">
            <v>OTROS</v>
          </cell>
          <cell r="P3081">
            <v>17000</v>
          </cell>
          <cell r="T3081" t="str">
            <v>Bueno</v>
          </cell>
          <cell r="U3081" t="str">
            <v>Johnson</v>
          </cell>
        </row>
        <row r="3082">
          <cell r="J3082" t="str">
            <v>42-04-07-00-3074</v>
          </cell>
          <cell r="K3082" t="str">
            <v>SC-00930</v>
          </cell>
          <cell r="L3082" t="str">
            <v>42-04-07-00-3074</v>
          </cell>
          <cell r="M3082" t="str">
            <v>Portacortinas vestidor metálico con cortina color verde oscuro</v>
          </cell>
          <cell r="O3082" t="str">
            <v>OTROS</v>
          </cell>
          <cell r="P3082">
            <v>15000</v>
          </cell>
          <cell r="T3082" t="str">
            <v>Bueno</v>
          </cell>
          <cell r="U3082" t="str">
            <v>N/T</v>
          </cell>
        </row>
        <row r="3083">
          <cell r="J3083" t="str">
            <v>42-04-07-00-3075</v>
          </cell>
          <cell r="K3083" t="str">
            <v>SC-00931</v>
          </cell>
          <cell r="L3083" t="str">
            <v>42-04-07-00-3075</v>
          </cell>
          <cell r="M3083" t="str">
            <v>Papelero metálico color café</v>
          </cell>
          <cell r="O3083" t="str">
            <v>OTROS</v>
          </cell>
          <cell r="P3083">
            <v>5000</v>
          </cell>
          <cell r="T3083" t="str">
            <v>Bueno</v>
          </cell>
          <cell r="U3083" t="str">
            <v>N/T</v>
          </cell>
        </row>
        <row r="3084">
          <cell r="J3084" t="str">
            <v>42-05-02-01-3076</v>
          </cell>
          <cell r="K3084" t="str">
            <v>SC-00932</v>
          </cell>
          <cell r="L3084" t="str">
            <v>42-05-02-01-3076</v>
          </cell>
          <cell r="M3084" t="str">
            <v>Chasis 13x18</v>
          </cell>
          <cell r="O3084" t="str">
            <v>EQUIPOS CLINICOS</v>
          </cell>
          <cell r="P3084">
            <v>30000</v>
          </cell>
          <cell r="T3084" t="str">
            <v>Bueno</v>
          </cell>
          <cell r="U3084" t="str">
            <v>N/T</v>
          </cell>
        </row>
        <row r="3085">
          <cell r="J3085" t="str">
            <v>42-05-02-01-3077</v>
          </cell>
          <cell r="K3085" t="str">
            <v>SC-00933</v>
          </cell>
          <cell r="L3085" t="str">
            <v>42-05-02-01-3077</v>
          </cell>
          <cell r="M3085" t="str">
            <v>Chasis 30x40</v>
          </cell>
          <cell r="O3085" t="str">
            <v>EQUIPOS CLINICOS</v>
          </cell>
          <cell r="P3085">
            <v>30000</v>
          </cell>
          <cell r="T3085" t="str">
            <v>Bueno</v>
          </cell>
          <cell r="U3085" t="str">
            <v>N/T</v>
          </cell>
        </row>
        <row r="3086">
          <cell r="J3086" t="str">
            <v>42-05-02-01-3078</v>
          </cell>
          <cell r="K3086" t="str">
            <v>SC-00934</v>
          </cell>
          <cell r="L3086" t="str">
            <v>42-05-02-01-3078</v>
          </cell>
          <cell r="M3086" t="str">
            <v>Chasis 18x24</v>
          </cell>
          <cell r="O3086" t="str">
            <v>EQUIPOS CLINICOS</v>
          </cell>
          <cell r="P3086">
            <v>30000</v>
          </cell>
          <cell r="T3086" t="str">
            <v>Bueno</v>
          </cell>
          <cell r="U3086" t="str">
            <v>N/T</v>
          </cell>
        </row>
        <row r="3087">
          <cell r="J3087" t="str">
            <v>42-05-02-01-3079</v>
          </cell>
          <cell r="K3087" t="str">
            <v>SC-00935</v>
          </cell>
          <cell r="L3087" t="str">
            <v>42-05-02-01-3079</v>
          </cell>
          <cell r="M3087" t="str">
            <v>Chasis 35x35</v>
          </cell>
          <cell r="O3087" t="str">
            <v>EQUIPOS CLINICOS</v>
          </cell>
          <cell r="P3087">
            <v>30000</v>
          </cell>
          <cell r="T3087" t="str">
            <v>Bueno</v>
          </cell>
          <cell r="U3087" t="str">
            <v>N/T</v>
          </cell>
        </row>
        <row r="3088">
          <cell r="J3088" t="str">
            <v>42-05-02-01-3080</v>
          </cell>
          <cell r="K3088" t="str">
            <v>SC-00936</v>
          </cell>
          <cell r="L3088" t="str">
            <v>42-05-02-01-3080</v>
          </cell>
          <cell r="M3088" t="str">
            <v>Chasis 35x43</v>
          </cell>
          <cell r="O3088" t="str">
            <v>EQUIPOS CLINICOS</v>
          </cell>
          <cell r="P3088">
            <v>30000</v>
          </cell>
          <cell r="T3088" t="str">
            <v>Bueno</v>
          </cell>
          <cell r="U3088" t="str">
            <v>N/T</v>
          </cell>
        </row>
        <row r="3089">
          <cell r="J3089" t="str">
            <v>42-05-02-01-3081</v>
          </cell>
          <cell r="K3089" t="str">
            <v>SC-00937</v>
          </cell>
          <cell r="L3089" t="str">
            <v>42-05-02-01-3081</v>
          </cell>
          <cell r="M3089" t="str">
            <v>Chasis 24x30</v>
          </cell>
          <cell r="O3089" t="str">
            <v>EQUIPOS CLINICOS</v>
          </cell>
          <cell r="P3089">
            <v>30000</v>
          </cell>
          <cell r="T3089" t="str">
            <v>Bueno</v>
          </cell>
          <cell r="U3089" t="str">
            <v>N/T</v>
          </cell>
        </row>
        <row r="3090">
          <cell r="J3090" t="str">
            <v>42-03-02-00-3082</v>
          </cell>
          <cell r="K3090" t="str">
            <v>SC-00938</v>
          </cell>
          <cell r="L3090" t="str">
            <v>42-03-02-00-3082</v>
          </cell>
          <cell r="M3090" t="str">
            <v>Gata Hidráulica</v>
          </cell>
          <cell r="O3090" t="str">
            <v>EQUIPOS DE VEHICULO</v>
          </cell>
          <cell r="P3090">
            <v>5600</v>
          </cell>
          <cell r="T3090" t="str">
            <v>Bueno</v>
          </cell>
          <cell r="U3090" t="str">
            <v>N/T</v>
          </cell>
        </row>
        <row r="3091">
          <cell r="J3091" t="str">
            <v>42-03-02-00-3083</v>
          </cell>
          <cell r="K3091" t="str">
            <v>SC-00939</v>
          </cell>
          <cell r="L3091" t="str">
            <v>42-03-02-00-3083</v>
          </cell>
          <cell r="M3091" t="str">
            <v>Juegos limpia Parabrisas</v>
          </cell>
          <cell r="O3091" t="str">
            <v>EQUIPOS DE VEHICULO</v>
          </cell>
          <cell r="P3091">
            <v>5600</v>
          </cell>
          <cell r="T3091" t="str">
            <v>Bueno</v>
          </cell>
          <cell r="U3091" t="str">
            <v>N/T</v>
          </cell>
        </row>
        <row r="3092">
          <cell r="J3092" t="str">
            <v>42-03-02-00-3084</v>
          </cell>
          <cell r="K3092" t="str">
            <v>SC-00940</v>
          </cell>
          <cell r="L3092" t="str">
            <v>42-03-02-00-3084</v>
          </cell>
          <cell r="M3092" t="str">
            <v xml:space="preserve">Estuche plástico con un Manual  montaje Carrocería, un manual de </v>
          </cell>
          <cell r="O3092" t="str">
            <v>EQUIPOS DE VEHICULO</v>
          </cell>
          <cell r="P3092">
            <v>5600</v>
          </cell>
          <cell r="T3092" t="str">
            <v>Bueno</v>
          </cell>
          <cell r="U3092" t="str">
            <v>N/T</v>
          </cell>
        </row>
        <row r="3093">
          <cell r="J3093" t="str">
            <v>42-05-02-05-3085</v>
          </cell>
          <cell r="K3093" t="str">
            <v>SC-00941</v>
          </cell>
          <cell r="L3093" t="str">
            <v>42-05-02-05-3085</v>
          </cell>
          <cell r="M3093" t="str">
            <v>instrucciones de servicio, un talonario de servicio</v>
          </cell>
          <cell r="O3093" t="str">
            <v>EQUIPOS DE SEGURIDAD</v>
          </cell>
          <cell r="P3093">
            <v>2000</v>
          </cell>
          <cell r="T3093" t="str">
            <v>Bueno</v>
          </cell>
          <cell r="U3093" t="str">
            <v>N/T</v>
          </cell>
        </row>
        <row r="3094">
          <cell r="J3094" t="str">
            <v>42-03-02-00-3086</v>
          </cell>
          <cell r="K3094" t="str">
            <v>SC-00942</v>
          </cell>
          <cell r="L3094" t="str">
            <v>42-03-02-00-3086</v>
          </cell>
          <cell r="M3094" t="str">
            <v>Llave de contacto</v>
          </cell>
          <cell r="O3094" t="str">
            <v>EQUIPOS DE VEHICULO</v>
          </cell>
          <cell r="P3094">
            <v>5600</v>
          </cell>
          <cell r="T3094" t="str">
            <v>Bueno</v>
          </cell>
          <cell r="U3094" t="str">
            <v>N/T</v>
          </cell>
        </row>
        <row r="3095">
          <cell r="J3095" t="str">
            <v>42-03-02-00-3087</v>
          </cell>
          <cell r="K3095" t="str">
            <v>SC-00943</v>
          </cell>
          <cell r="L3095" t="str">
            <v>42-03-02-00-3087</v>
          </cell>
          <cell r="M3095" t="str">
            <v>Aro cromado con estrella</v>
          </cell>
          <cell r="O3095" t="str">
            <v>EQUIPOS DE VEHICULO</v>
          </cell>
          <cell r="P3095">
            <v>5600</v>
          </cell>
          <cell r="T3095" t="str">
            <v>Bueno</v>
          </cell>
          <cell r="U3095" t="str">
            <v>N/T</v>
          </cell>
        </row>
        <row r="3096">
          <cell r="J3096" t="str">
            <v>42-03-02-00-3088</v>
          </cell>
          <cell r="K3096" t="str">
            <v>SC-00944</v>
          </cell>
          <cell r="L3096" t="str">
            <v>42-03-02-00-3088</v>
          </cell>
          <cell r="M3096" t="str">
            <v>Triángulos refractantes</v>
          </cell>
          <cell r="O3096" t="str">
            <v>EQUIPOS DE VEHICULO</v>
          </cell>
          <cell r="P3096">
            <v>5600</v>
          </cell>
          <cell r="T3096" t="str">
            <v>Bueno</v>
          </cell>
          <cell r="U3096" t="str">
            <v>N/T</v>
          </cell>
        </row>
        <row r="3097">
          <cell r="J3097" t="str">
            <v>42-03-02-00-3089</v>
          </cell>
          <cell r="K3097" t="str">
            <v>SC-00945</v>
          </cell>
          <cell r="L3097" t="str">
            <v>42-03-02-00-3089</v>
          </cell>
          <cell r="M3097" t="str">
            <v>Barrote Gata</v>
          </cell>
          <cell r="O3097" t="str">
            <v>EQUIPOS DE VEHICULO</v>
          </cell>
          <cell r="P3097">
            <v>5600</v>
          </cell>
          <cell r="T3097" t="str">
            <v>Bueno</v>
          </cell>
          <cell r="U3097" t="str">
            <v>N/T</v>
          </cell>
        </row>
        <row r="3098">
          <cell r="J3098" t="str">
            <v>42-03-01-00-3090</v>
          </cell>
          <cell r="K3098" t="str">
            <v>SC-00946</v>
          </cell>
          <cell r="L3098" t="str">
            <v>42-03-01-00-3090</v>
          </cell>
          <cell r="M3098" t="str">
            <v>Neumático de repuesto</v>
          </cell>
          <cell r="O3098" t="str">
            <v>REPUESTOS</v>
          </cell>
          <cell r="P3098">
            <v>33000</v>
          </cell>
          <cell r="T3098" t="str">
            <v>Bueno</v>
          </cell>
          <cell r="U3098" t="str">
            <v>N/T</v>
          </cell>
        </row>
        <row r="3099">
          <cell r="J3099" t="str">
            <v>42-03-02-00-3091</v>
          </cell>
          <cell r="K3099" t="str">
            <v>SC-00947</v>
          </cell>
          <cell r="L3099" t="str">
            <v>42-03-02-00-3091</v>
          </cell>
          <cell r="M3099" t="str">
            <v>Espejos exteriores</v>
          </cell>
          <cell r="O3099" t="str">
            <v>EQUIPOS DE VEHICULO</v>
          </cell>
          <cell r="P3099">
            <v>15000</v>
          </cell>
          <cell r="T3099" t="str">
            <v>Bueno</v>
          </cell>
          <cell r="U3099" t="str">
            <v>N/T</v>
          </cell>
        </row>
        <row r="3100">
          <cell r="J3100" t="str">
            <v>42-05-02-06-3092</v>
          </cell>
          <cell r="K3100" t="str">
            <v>SC-00948</v>
          </cell>
          <cell r="L3100" t="str">
            <v>42-05-02-06-3092</v>
          </cell>
          <cell r="M3100" t="str">
            <v>Llave ajustable Stanley 8"</v>
          </cell>
          <cell r="O3100" t="str">
            <v>HERRAMIENTAS</v>
          </cell>
          <cell r="P3100">
            <v>5600</v>
          </cell>
          <cell r="T3100" t="str">
            <v>Bueno</v>
          </cell>
          <cell r="U3100" t="str">
            <v>N/T</v>
          </cell>
        </row>
        <row r="3101">
          <cell r="J3101" t="str">
            <v>42-05-02-06-3093</v>
          </cell>
          <cell r="K3101" t="str">
            <v>SC-00949</v>
          </cell>
          <cell r="L3101" t="str">
            <v>42-05-02-06-3093</v>
          </cell>
          <cell r="M3101" t="str">
            <v>Llaves de punta Force 8-10 / 13-17 / 19-22</v>
          </cell>
          <cell r="O3101" t="str">
            <v>HERRAMIENTAS</v>
          </cell>
          <cell r="P3101">
            <v>5600</v>
          </cell>
          <cell r="T3101" t="str">
            <v>Bueno</v>
          </cell>
          <cell r="U3101" t="str">
            <v>N/T</v>
          </cell>
        </row>
        <row r="3102">
          <cell r="J3102" t="str">
            <v>42-05-02-06-3094</v>
          </cell>
          <cell r="K3102" t="str">
            <v>SC-00950</v>
          </cell>
          <cell r="L3102" t="str">
            <v>42-05-02-06-3094</v>
          </cell>
          <cell r="M3102" t="str">
            <v>Llaves hallen Force 12 y 14 mm</v>
          </cell>
          <cell r="O3102" t="str">
            <v>HERRAMIENTAS</v>
          </cell>
          <cell r="P3102">
            <v>5600</v>
          </cell>
          <cell r="T3102" t="str">
            <v>Bueno</v>
          </cell>
          <cell r="U3102" t="str">
            <v>N/T</v>
          </cell>
        </row>
        <row r="3103">
          <cell r="J3103" t="str">
            <v>42-05-02-06-3095</v>
          </cell>
          <cell r="K3103" t="str">
            <v>SC-00951</v>
          </cell>
          <cell r="L3103" t="str">
            <v>42-05-02-06-3095</v>
          </cell>
          <cell r="M3103" t="str">
            <v>Llaves tubo 12x13mm, 18x19mm</v>
          </cell>
          <cell r="O3103" t="str">
            <v>HERRAMIENTAS</v>
          </cell>
          <cell r="P3103">
            <v>5600</v>
          </cell>
          <cell r="T3103" t="str">
            <v>Bueno</v>
          </cell>
          <cell r="U3103" t="str">
            <v>N/T</v>
          </cell>
        </row>
        <row r="3104">
          <cell r="J3104" t="str">
            <v>42-05-02-06-3096</v>
          </cell>
          <cell r="K3104" t="str">
            <v>SC-00952</v>
          </cell>
          <cell r="L3104" t="str">
            <v>42-05-02-06-3096</v>
          </cell>
          <cell r="M3104" t="str">
            <v>Martillo Stanley</v>
          </cell>
          <cell r="O3104" t="str">
            <v>HERRAMIENTAS</v>
          </cell>
          <cell r="P3104">
            <v>5600</v>
          </cell>
          <cell r="T3104" t="str">
            <v>Bueno</v>
          </cell>
          <cell r="U3104" t="str">
            <v>N/T</v>
          </cell>
        </row>
        <row r="3105">
          <cell r="J3105" t="str">
            <v>42-05-02-06-3097</v>
          </cell>
          <cell r="K3105" t="str">
            <v>SC-00953</v>
          </cell>
          <cell r="L3105" t="str">
            <v>42-05-02-06-3097</v>
          </cell>
          <cell r="M3105" t="str">
            <v xml:space="preserve">Atornilladores paleta Nicholson </v>
          </cell>
          <cell r="O3105" t="str">
            <v>HERRAMIENTAS</v>
          </cell>
          <cell r="P3105">
            <v>5600</v>
          </cell>
          <cell r="T3105" t="str">
            <v>Bueno</v>
          </cell>
          <cell r="U3105" t="str">
            <v>N/T</v>
          </cell>
        </row>
        <row r="3106">
          <cell r="J3106" t="str">
            <v>42-05-02-06-3098</v>
          </cell>
          <cell r="K3106" t="str">
            <v>SC-00954</v>
          </cell>
          <cell r="L3106" t="str">
            <v>42-05-02-06-3098</v>
          </cell>
          <cell r="M3106" t="str">
            <v>Atornillador cruz Nicholson</v>
          </cell>
          <cell r="O3106" t="str">
            <v>HERRAMIENTAS</v>
          </cell>
          <cell r="P3106">
            <v>5600</v>
          </cell>
          <cell r="T3106" t="str">
            <v>Bueno</v>
          </cell>
          <cell r="U3106" t="str">
            <v>N/T</v>
          </cell>
        </row>
        <row r="3107">
          <cell r="J3107" t="str">
            <v>42-03-02-00-3099</v>
          </cell>
          <cell r="K3107" t="str">
            <v>SC-00955</v>
          </cell>
          <cell r="L3107" t="str">
            <v>42-03-02-00-3099</v>
          </cell>
          <cell r="M3107" t="str">
            <v>Asiento longitudinal</v>
          </cell>
          <cell r="O3107" t="str">
            <v>EQUIPOS DE VEHICULO</v>
          </cell>
          <cell r="P3107">
            <v>30000</v>
          </cell>
          <cell r="T3107" t="str">
            <v>Bueno</v>
          </cell>
          <cell r="U3107" t="str">
            <v>N/T</v>
          </cell>
        </row>
        <row r="3108">
          <cell r="J3108" t="str">
            <v>42-05-02-01-3100</v>
          </cell>
          <cell r="K3108" t="str">
            <v>SC-00956</v>
          </cell>
          <cell r="L3108" t="str">
            <v>42-05-02-01-3100</v>
          </cell>
          <cell r="M3108" t="str">
            <v>Bomba aspiración de 12 Volt New Askir</v>
          </cell>
          <cell r="O3108" t="str">
            <v>EQUIPOS CLINICOS</v>
          </cell>
          <cell r="P3108">
            <v>231031</v>
          </cell>
          <cell r="U3108" t="str">
            <v>N/T</v>
          </cell>
        </row>
        <row r="3109">
          <cell r="J3109" t="str">
            <v>42-05-02-01-3101</v>
          </cell>
          <cell r="K3109" t="str">
            <v>SC-00957</v>
          </cell>
          <cell r="L3109" t="str">
            <v>42-05-02-01-3101</v>
          </cell>
          <cell r="M3109" t="str">
            <v>Camilla Sitmed 39 traslado mod.</v>
          </cell>
          <cell r="O3109" t="str">
            <v>EQUIPOS CLINICOS</v>
          </cell>
          <cell r="P3109">
            <v>110511</v>
          </cell>
          <cell r="T3109" t="str">
            <v>Bueno</v>
          </cell>
          <cell r="U3109" t="str">
            <v>N/T</v>
          </cell>
        </row>
        <row r="3110">
          <cell r="J3110" t="str">
            <v>42-03-02-00-3102</v>
          </cell>
          <cell r="K3110" t="str">
            <v>SC-00958</v>
          </cell>
          <cell r="L3110" t="str">
            <v>42-03-02-00-3102</v>
          </cell>
          <cell r="M3110" t="str">
            <v>Ducto de calefacción Ext. Cab</v>
          </cell>
          <cell r="O3110" t="str">
            <v>EQUIPOS DE VEHICULO</v>
          </cell>
          <cell r="P3110">
            <v>30000</v>
          </cell>
          <cell r="T3110" t="str">
            <v>Bueno</v>
          </cell>
          <cell r="U3110" t="str">
            <v>N/T</v>
          </cell>
        </row>
        <row r="3111">
          <cell r="J3111" t="str">
            <v>42-03-02-00-3103</v>
          </cell>
          <cell r="K3111" t="str">
            <v>SC-00959</v>
          </cell>
          <cell r="L3111" t="str">
            <v>42-03-02-00-3103</v>
          </cell>
          <cell r="M3111" t="str">
            <v>Ventilador oscilante 12 Volt</v>
          </cell>
          <cell r="O3111" t="str">
            <v>EQUIPOS DE VEHICULO</v>
          </cell>
          <cell r="P3111">
            <v>36400</v>
          </cell>
          <cell r="T3111" t="str">
            <v>Bueno</v>
          </cell>
          <cell r="U3111" t="str">
            <v>N/T</v>
          </cell>
        </row>
        <row r="3112">
          <cell r="J3112" t="str">
            <v>42-03-02-00-3104</v>
          </cell>
          <cell r="K3112" t="str">
            <v>SC-00960</v>
          </cell>
          <cell r="L3112" t="str">
            <v>42-03-02-00-3104</v>
          </cell>
          <cell r="M3112" t="str">
            <v>Foco iluminación acceso trasera</v>
          </cell>
          <cell r="O3112" t="str">
            <v>EQUIPOS DE VEHICULO</v>
          </cell>
          <cell r="P3112">
            <v>15000</v>
          </cell>
          <cell r="T3112" t="str">
            <v>Bueno</v>
          </cell>
          <cell r="U3112" t="str">
            <v>N/T</v>
          </cell>
        </row>
        <row r="3113">
          <cell r="J3113" t="str">
            <v>42-03-02-00-3105</v>
          </cell>
          <cell r="K3113" t="str">
            <v>SC-00961</v>
          </cell>
          <cell r="L3113" t="str">
            <v>42-03-02-00-3105</v>
          </cell>
          <cell r="M3113" t="str">
            <v>Sirena electrónica Code</v>
          </cell>
          <cell r="O3113" t="str">
            <v>EQUIPOS DE VEHICULO</v>
          </cell>
          <cell r="P3113">
            <v>16600</v>
          </cell>
          <cell r="T3113" t="str">
            <v>Bueno</v>
          </cell>
          <cell r="U3113" t="str">
            <v>N/T</v>
          </cell>
        </row>
        <row r="3114">
          <cell r="J3114" t="str">
            <v>42-03-02-00-3106</v>
          </cell>
          <cell r="K3114" t="str">
            <v>SC-00962</v>
          </cell>
          <cell r="L3114" t="str">
            <v>42-03-02-00-3106</v>
          </cell>
          <cell r="M3114" t="str">
            <v>Contracabina c/ ventana corrediza</v>
          </cell>
          <cell r="O3114" t="str">
            <v>EQUIPOS DE VEHICULO</v>
          </cell>
          <cell r="P3114">
            <v>150000</v>
          </cell>
          <cell r="T3114" t="str">
            <v>Bueno</v>
          </cell>
          <cell r="U3114" t="str">
            <v>N/T</v>
          </cell>
        </row>
        <row r="3115">
          <cell r="J3115" t="str">
            <v>42-03-02-00-3107</v>
          </cell>
          <cell r="K3115" t="str">
            <v>SC-00963</v>
          </cell>
          <cell r="L3115" t="str">
            <v>42-03-02-00-3107</v>
          </cell>
          <cell r="M3115" t="str">
            <v>Pasamanos zincados</v>
          </cell>
          <cell r="O3115" t="str">
            <v>EQUIPOS DE VEHICULO</v>
          </cell>
          <cell r="P3115">
            <v>12000</v>
          </cell>
          <cell r="T3115" t="str">
            <v>Bueno</v>
          </cell>
          <cell r="U3115" t="str">
            <v>N/T</v>
          </cell>
        </row>
        <row r="3116">
          <cell r="J3116" t="str">
            <v>42-05-02-01-3108</v>
          </cell>
          <cell r="K3116" t="str">
            <v>SC-00964</v>
          </cell>
          <cell r="L3116" t="str">
            <v>42-05-02-01-3108</v>
          </cell>
          <cell r="M3116" t="str">
            <v>Tabla espinal adulto</v>
          </cell>
          <cell r="O3116" t="str">
            <v>EQUIPOS CLINICOS</v>
          </cell>
          <cell r="P3116">
            <v>72900</v>
          </cell>
          <cell r="T3116" t="str">
            <v>Bueno</v>
          </cell>
          <cell r="U3116" t="str">
            <v>N/T</v>
          </cell>
        </row>
        <row r="3117">
          <cell r="J3117" t="str">
            <v>42-03-02-00-3109</v>
          </cell>
          <cell r="K3117" t="str">
            <v>SC-00965</v>
          </cell>
          <cell r="L3117" t="str">
            <v>42-03-02-00-3109</v>
          </cell>
          <cell r="M3117" t="str">
            <v>Pisadera trasera</v>
          </cell>
          <cell r="O3117" t="str">
            <v>EQUIPOS DE VEHICULO</v>
          </cell>
          <cell r="P3117">
            <v>50000</v>
          </cell>
          <cell r="T3117" t="str">
            <v>Bueno</v>
          </cell>
          <cell r="U3117" t="str">
            <v>N/T</v>
          </cell>
        </row>
        <row r="3118">
          <cell r="J3118" t="str">
            <v>42-03-02-00-3110</v>
          </cell>
          <cell r="K3118" t="str">
            <v>SC-00966</v>
          </cell>
          <cell r="L3118" t="str">
            <v>42-03-02-00-3110</v>
          </cell>
          <cell r="M3118" t="str">
            <v>Caja porta drogas</v>
          </cell>
          <cell r="O3118" t="str">
            <v>EQUIPOS DE VEHICULO</v>
          </cell>
          <cell r="P3118">
            <v>60000</v>
          </cell>
          <cell r="T3118" t="str">
            <v>Bueno</v>
          </cell>
          <cell r="U3118" t="str">
            <v>N/T</v>
          </cell>
        </row>
        <row r="3119">
          <cell r="J3119" t="str">
            <v>42-05-02-01-3111</v>
          </cell>
          <cell r="K3119" t="str">
            <v>SC-00967</v>
          </cell>
          <cell r="L3119" t="str">
            <v>42-05-02-01-3111</v>
          </cell>
          <cell r="M3119" t="str">
            <v>Inmovilizador de cabeza</v>
          </cell>
          <cell r="O3119" t="str">
            <v>EQUIPOS CLINICOS</v>
          </cell>
          <cell r="P3119">
            <v>35000</v>
          </cell>
          <cell r="T3119" t="str">
            <v>Bueno</v>
          </cell>
          <cell r="U3119" t="str">
            <v>N/T</v>
          </cell>
        </row>
        <row r="3120">
          <cell r="J3120" t="str">
            <v>42-03-02-00-3112</v>
          </cell>
          <cell r="K3120" t="str">
            <v>SC-00968</v>
          </cell>
          <cell r="L3120" t="str">
            <v>42-03-02-00-3112</v>
          </cell>
          <cell r="M3120" t="str">
            <v>Lamparas alta internas 12 Volt</v>
          </cell>
          <cell r="O3120" t="str">
            <v>EQUIPOS DE VEHICULO</v>
          </cell>
          <cell r="P3120">
            <v>25000</v>
          </cell>
          <cell r="T3120" t="str">
            <v>Bueno</v>
          </cell>
          <cell r="U3120" t="str">
            <v>N/T</v>
          </cell>
        </row>
        <row r="3121">
          <cell r="J3121" t="str">
            <v>42-03-02-00-3113</v>
          </cell>
          <cell r="K3121" t="str">
            <v>SC-00969</v>
          </cell>
          <cell r="L3121" t="str">
            <v>42-03-02-00-3113</v>
          </cell>
          <cell r="M3121" t="str">
            <v>Parlante de 100 w</v>
          </cell>
          <cell r="O3121" t="str">
            <v>EQUIPOS DE VEHICULO</v>
          </cell>
          <cell r="P3121">
            <v>25000</v>
          </cell>
          <cell r="T3121" t="str">
            <v>Bueno</v>
          </cell>
          <cell r="U3121" t="str">
            <v>N/T</v>
          </cell>
        </row>
        <row r="3122">
          <cell r="J3122" t="str">
            <v>FN-03-02-00-3114</v>
          </cell>
          <cell r="K3122" t="str">
            <v>SC-00970</v>
          </cell>
          <cell r="L3122" t="str">
            <v>FN-03-02-00-3114</v>
          </cell>
          <cell r="M3122" t="str">
            <v>Pasamanos flexibles</v>
          </cell>
          <cell r="O3122" t="str">
            <v>EQUIPOS DE VEHICULO FUNGIBLE / NOMINABLE</v>
          </cell>
          <cell r="P3122">
            <v>12000</v>
          </cell>
          <cell r="T3122" t="str">
            <v>Bueno</v>
          </cell>
          <cell r="U3122" t="str">
            <v>N/T</v>
          </cell>
        </row>
        <row r="3123">
          <cell r="J3123" t="str">
            <v>42-03-02-00-3115</v>
          </cell>
          <cell r="K3123" t="str">
            <v>SC-00971</v>
          </cell>
          <cell r="L3123" t="str">
            <v>42-03-02-00-3115</v>
          </cell>
          <cell r="M3123" t="str">
            <v>Toma corrientes 12 Volt</v>
          </cell>
          <cell r="O3123" t="str">
            <v>EQUIPOS DE VEHICULO</v>
          </cell>
          <cell r="P3123">
            <v>16000</v>
          </cell>
          <cell r="T3123" t="str">
            <v>Bueno</v>
          </cell>
          <cell r="U3123" t="str">
            <v>N/T</v>
          </cell>
        </row>
        <row r="3124">
          <cell r="J3124" t="str">
            <v>42-03-02-00-3116</v>
          </cell>
          <cell r="K3124" t="str">
            <v>SC-00972</v>
          </cell>
          <cell r="L3124" t="str">
            <v>42-03-02-00-3116</v>
          </cell>
          <cell r="M3124" t="str">
            <v>Asiento paramédico</v>
          </cell>
          <cell r="O3124" t="str">
            <v>EQUIPOS DE VEHICULO</v>
          </cell>
          <cell r="P3124">
            <v>54500</v>
          </cell>
          <cell r="T3124" t="str">
            <v>Bueno</v>
          </cell>
          <cell r="U3124" t="str">
            <v>N/T</v>
          </cell>
        </row>
        <row r="3125">
          <cell r="J3125" t="str">
            <v>42-03-02-00-3117</v>
          </cell>
          <cell r="K3125" t="str">
            <v>SC-00973</v>
          </cell>
          <cell r="L3125" t="str">
            <v>42-03-02-00-3117</v>
          </cell>
          <cell r="M3125" t="str">
            <v xml:space="preserve">Extractor de aire 12 Volt </v>
          </cell>
          <cell r="O3125" t="str">
            <v>EQUIPOS DE VEHICULO</v>
          </cell>
          <cell r="P3125">
            <v>25000</v>
          </cell>
          <cell r="T3125" t="str">
            <v>Bueno</v>
          </cell>
          <cell r="U3125" t="str">
            <v>N/T</v>
          </cell>
        </row>
        <row r="3126">
          <cell r="J3126" t="str">
            <v>42-05-02-01-3118</v>
          </cell>
          <cell r="K3126" t="str">
            <v>SC-00974</v>
          </cell>
          <cell r="L3126" t="str">
            <v>42-05-02-01-3118</v>
          </cell>
          <cell r="M3126" t="str">
            <v>Collares cervicales adultos</v>
          </cell>
          <cell r="O3126" t="str">
            <v>EQUIPOS CLINICOS</v>
          </cell>
          <cell r="P3126">
            <v>12000</v>
          </cell>
          <cell r="T3126" t="str">
            <v>Bueno</v>
          </cell>
          <cell r="U3126" t="str">
            <v>N/T</v>
          </cell>
        </row>
        <row r="3127">
          <cell r="J3127" t="str">
            <v>42-05-02-01-3119</v>
          </cell>
          <cell r="K3127" t="str">
            <v>SC-00975</v>
          </cell>
          <cell r="L3127" t="str">
            <v>42-05-02-01-3119</v>
          </cell>
          <cell r="M3127" t="str">
            <v xml:space="preserve">Tabla espinal de tórax </v>
          </cell>
          <cell r="O3127" t="str">
            <v>EQUIPOS CLINICOS</v>
          </cell>
          <cell r="P3127">
            <v>60000</v>
          </cell>
          <cell r="T3127" t="str">
            <v>Bueno</v>
          </cell>
          <cell r="U3127" t="str">
            <v>N/T</v>
          </cell>
        </row>
        <row r="3128">
          <cell r="J3128" t="str">
            <v>42-05-02-01-3120</v>
          </cell>
          <cell r="K3128" t="str">
            <v>SC-00976</v>
          </cell>
          <cell r="L3128" t="str">
            <v>42-05-02-01-3120</v>
          </cell>
          <cell r="M3128" t="str">
            <v>Tabla Espinal pediátrica</v>
          </cell>
          <cell r="O3128" t="str">
            <v>EQUIPOS CLINICOS</v>
          </cell>
          <cell r="P3128">
            <v>50000</v>
          </cell>
          <cell r="T3128" t="str">
            <v>Bueno</v>
          </cell>
          <cell r="U3128" t="str">
            <v>N/T</v>
          </cell>
        </row>
        <row r="3129">
          <cell r="J3129" t="str">
            <v>42-03-02-00-3121</v>
          </cell>
          <cell r="K3129" t="str">
            <v>SC-00977</v>
          </cell>
          <cell r="L3129" t="str">
            <v>42-03-02-00-3121</v>
          </cell>
          <cell r="M3129" t="str">
            <v>Busca camino manual</v>
          </cell>
          <cell r="O3129" t="str">
            <v>EQUIPOS DE VEHICULO</v>
          </cell>
          <cell r="P3129">
            <v>25000</v>
          </cell>
          <cell r="T3129" t="str">
            <v>Bueno</v>
          </cell>
          <cell r="U3129" t="str">
            <v>N/T</v>
          </cell>
        </row>
        <row r="3130">
          <cell r="J3130" t="str">
            <v>42-05-02-01-3122</v>
          </cell>
          <cell r="K3130" t="str">
            <v>SC-00978</v>
          </cell>
          <cell r="L3130" t="str">
            <v>42-05-02-01-3122</v>
          </cell>
          <cell r="M3130" t="str">
            <v>Cilindro oxigeno 9 mt ³ c/ manometro</v>
          </cell>
          <cell r="O3130" t="str">
            <v>EQUIPOS CLINICOS</v>
          </cell>
          <cell r="P3130">
            <v>58900</v>
          </cell>
          <cell r="T3130" t="str">
            <v>Bueno</v>
          </cell>
          <cell r="U3130" t="str">
            <v>N/T</v>
          </cell>
        </row>
        <row r="3131">
          <cell r="J3131" t="str">
            <v>42-05-02-01-3123</v>
          </cell>
          <cell r="K3131" t="str">
            <v>SC-00979</v>
          </cell>
          <cell r="L3131" t="str">
            <v>42-05-02-01-3123</v>
          </cell>
          <cell r="M3131" t="str">
            <v>Humidificador</v>
          </cell>
          <cell r="O3131" t="str">
            <v>EQUIPOS CLINICOS</v>
          </cell>
          <cell r="P3131">
            <v>40000</v>
          </cell>
          <cell r="T3131" t="str">
            <v>Bueno</v>
          </cell>
          <cell r="U3131" t="str">
            <v>N/T</v>
          </cell>
        </row>
        <row r="3132">
          <cell r="J3132" t="str">
            <v>42-03-02-00-3124</v>
          </cell>
          <cell r="K3132" t="str">
            <v>SC-00980</v>
          </cell>
          <cell r="L3132" t="str">
            <v>42-03-02-00-3124</v>
          </cell>
          <cell r="M3132" t="str">
            <v>Basurero</v>
          </cell>
          <cell r="O3132" t="str">
            <v>EQUIPOS DE VEHICULO</v>
          </cell>
          <cell r="P3132">
            <v>3000</v>
          </cell>
          <cell r="T3132" t="str">
            <v>Bueno</v>
          </cell>
          <cell r="U3132" t="str">
            <v>N/T</v>
          </cell>
        </row>
        <row r="3133">
          <cell r="J3133" t="str">
            <v>FN-04-07-00-3125</v>
          </cell>
          <cell r="K3133" t="str">
            <v>SC-00981</v>
          </cell>
          <cell r="L3133" t="str">
            <v>FN-04-07-00-3125</v>
          </cell>
          <cell r="M3133" t="str">
            <v>Porta cortinas metálico</v>
          </cell>
          <cell r="O3133" t="str">
            <v>OTROS FUNGIBLE / NOMINABLE</v>
          </cell>
          <cell r="P3133">
            <v>1500</v>
          </cell>
          <cell r="T3133" t="str">
            <v>Buena</v>
          </cell>
          <cell r="U3133" t="str">
            <v>N/T</v>
          </cell>
        </row>
        <row r="3134">
          <cell r="J3134" t="str">
            <v>FN-04-07-00-3126</v>
          </cell>
          <cell r="K3134" t="str">
            <v>SC-00982</v>
          </cell>
          <cell r="L3134" t="str">
            <v>FN-04-07-00-3126</v>
          </cell>
          <cell r="M3134" t="str">
            <v>Cortinas verde palta</v>
          </cell>
          <cell r="O3134" t="str">
            <v>OTROS FUNGIBLE / NOMINABLE</v>
          </cell>
          <cell r="P3134">
            <v>12000</v>
          </cell>
          <cell r="T3134" t="str">
            <v>Buena</v>
          </cell>
          <cell r="U3134" t="str">
            <v>N/T</v>
          </cell>
        </row>
        <row r="3135">
          <cell r="J3135" t="str">
            <v>FN-04-07-00-3127</v>
          </cell>
          <cell r="K3135" t="str">
            <v>SC-00983</v>
          </cell>
          <cell r="L3135" t="str">
            <v>FN-04-07-00-3127</v>
          </cell>
          <cell r="M3135" t="str">
            <v>Cenefas estampadas, con fondo Gris Perla.</v>
          </cell>
          <cell r="O3135" t="str">
            <v>OTROS FUNGIBLE / NOMINABLE</v>
          </cell>
          <cell r="P3135">
            <v>3500</v>
          </cell>
          <cell r="T3135" t="str">
            <v>Buena</v>
          </cell>
          <cell r="U3135" t="str">
            <v>N/T</v>
          </cell>
        </row>
        <row r="3136">
          <cell r="J3136" t="str">
            <v>42-05-01-01-3128</v>
          </cell>
          <cell r="K3136" t="str">
            <v>SC-00984</v>
          </cell>
          <cell r="L3136" t="str">
            <v>42-05-01-01-3128</v>
          </cell>
          <cell r="M3136" t="str">
            <v>Radio cassette marca Pioneer</v>
          </cell>
          <cell r="O3136" t="str">
            <v>EQUIPO DE OFICINA</v>
          </cell>
          <cell r="P3136">
            <v>17000</v>
          </cell>
          <cell r="T3136" t="str">
            <v>Bueno</v>
          </cell>
          <cell r="U3136" t="str">
            <v>Pioneer</v>
          </cell>
        </row>
        <row r="3137">
          <cell r="J3137" t="str">
            <v>42-03-02-00-3129</v>
          </cell>
          <cell r="K3137" t="str">
            <v>SC-00985</v>
          </cell>
          <cell r="L3137" t="str">
            <v>42-03-02-00-3129</v>
          </cell>
          <cell r="M3137" t="str">
            <v>Gata hidraulica</v>
          </cell>
          <cell r="O3137" t="str">
            <v>EQUIPOS DE VEHICULO</v>
          </cell>
          <cell r="P3137">
            <v>5600</v>
          </cell>
          <cell r="T3137" t="str">
            <v>Bueno</v>
          </cell>
          <cell r="U3137" t="str">
            <v>N/T</v>
          </cell>
        </row>
        <row r="3138">
          <cell r="J3138" t="str">
            <v>42-05-02-06-3130</v>
          </cell>
          <cell r="K3138" t="str">
            <v>SC-00986</v>
          </cell>
          <cell r="L3138" t="str">
            <v>42-05-02-06-3130</v>
          </cell>
          <cell r="M3138" t="str">
            <v>Llave de ruedas</v>
          </cell>
          <cell r="O3138" t="str">
            <v>HERRAMIENTAS</v>
          </cell>
          <cell r="P3138">
            <v>5600</v>
          </cell>
          <cell r="T3138" t="str">
            <v>Bueno</v>
          </cell>
          <cell r="U3138" t="str">
            <v>N/T</v>
          </cell>
        </row>
        <row r="3139">
          <cell r="J3139" t="str">
            <v>42-03-02-00-3131</v>
          </cell>
          <cell r="K3139" t="str">
            <v>SC-00987</v>
          </cell>
          <cell r="L3139" t="str">
            <v>42-03-02-00-3131</v>
          </cell>
          <cell r="M3139" t="str">
            <v>Barrote gata</v>
          </cell>
          <cell r="O3139" t="str">
            <v>EQUIPOS DE VEHICULO</v>
          </cell>
          <cell r="P3139">
            <v>5600</v>
          </cell>
          <cell r="T3139" t="str">
            <v>Bueno</v>
          </cell>
          <cell r="U3139" t="str">
            <v>N/T</v>
          </cell>
        </row>
        <row r="3140">
          <cell r="J3140" t="str">
            <v>42-03-02-00-3132</v>
          </cell>
          <cell r="K3140" t="str">
            <v>SC-00988</v>
          </cell>
          <cell r="L3140" t="str">
            <v>42-03-02-00-3132</v>
          </cell>
          <cell r="M3140" t="str">
            <v>Neumatico de repuesto</v>
          </cell>
          <cell r="O3140" t="str">
            <v>EQUIPOS DE VEHICULO</v>
          </cell>
          <cell r="P3140">
            <v>5600</v>
          </cell>
          <cell r="T3140" t="str">
            <v>Bueno</v>
          </cell>
          <cell r="U3140" t="str">
            <v>N/T</v>
          </cell>
        </row>
        <row r="3141">
          <cell r="J3141" t="str">
            <v>FN-03-02-00-3133</v>
          </cell>
          <cell r="K3141" t="str">
            <v>SC-00989</v>
          </cell>
          <cell r="L3141" t="str">
            <v>FN-03-02-00-3133</v>
          </cell>
          <cell r="M3141" t="str">
            <v>Triangulos refractantes</v>
          </cell>
          <cell r="O3141" t="str">
            <v>EQUIPOS DE VEHICULO FUNGIBLE / NOMINABLE</v>
          </cell>
          <cell r="P3141">
            <v>5600</v>
          </cell>
          <cell r="T3141" t="str">
            <v>Bueno</v>
          </cell>
          <cell r="U3141" t="str">
            <v>N/T</v>
          </cell>
        </row>
        <row r="3142">
          <cell r="J3142" t="str">
            <v>42-05-02-05-3134</v>
          </cell>
          <cell r="K3142" t="str">
            <v>SC-00990</v>
          </cell>
          <cell r="L3142" t="str">
            <v>42-05-02-05-3134</v>
          </cell>
          <cell r="M3142" t="str">
            <v>Botiquin</v>
          </cell>
          <cell r="O3142" t="str">
            <v>EQUIPOS DE SEGURIDAD</v>
          </cell>
          <cell r="P3142">
            <v>5600</v>
          </cell>
          <cell r="T3142" t="str">
            <v>Bueno</v>
          </cell>
          <cell r="U3142" t="str">
            <v>N/T</v>
          </cell>
        </row>
        <row r="3143">
          <cell r="J3143" t="str">
            <v>FN-04-07-00-3135</v>
          </cell>
          <cell r="K3143" t="str">
            <v>SC-00991</v>
          </cell>
          <cell r="L3143" t="str">
            <v>FN-04-07-00-3135</v>
          </cell>
          <cell r="M3143" t="str">
            <v>Espejos exteriores</v>
          </cell>
          <cell r="O3143" t="str">
            <v>OTROS FUNGIBLE / NOMINABLE</v>
          </cell>
          <cell r="P3143">
            <v>4000</v>
          </cell>
          <cell r="T3143" t="str">
            <v>Bueno</v>
          </cell>
          <cell r="U3143" t="str">
            <v>N/T</v>
          </cell>
        </row>
        <row r="3144">
          <cell r="J3144" t="str">
            <v>FN-05-01-01-3136</v>
          </cell>
          <cell r="K3144" t="str">
            <v>SC-00992</v>
          </cell>
          <cell r="L3144" t="str">
            <v>FN-05-01-01-3136</v>
          </cell>
          <cell r="M3144" t="str">
            <v>Balones gas 45 kgs.</v>
          </cell>
          <cell r="O3144" t="str">
            <v>EQUIPO DE OFICINA FUNGIBLE / NOMINABLE</v>
          </cell>
          <cell r="P3144">
            <v>25000</v>
          </cell>
          <cell r="T3144" t="str">
            <v>Bueno</v>
          </cell>
          <cell r="U3144" t="str">
            <v>N/T</v>
          </cell>
        </row>
        <row r="3145">
          <cell r="J3145" t="str">
            <v>FN-05-02-02-3137</v>
          </cell>
          <cell r="K3145" t="str">
            <v>SC-00993</v>
          </cell>
          <cell r="L3145" t="str">
            <v>FN-05-02-02-3137</v>
          </cell>
          <cell r="M3145" t="str">
            <v>Azucareros acero inoxidable</v>
          </cell>
          <cell r="O3145" t="str">
            <v>EQUIPOS DE COCINA FUNGIBLE / NOMINABLE</v>
          </cell>
          <cell r="P3145">
            <v>10000</v>
          </cell>
          <cell r="T3145" t="str">
            <v>Bueno</v>
          </cell>
          <cell r="U3145" t="str">
            <v>N/T</v>
          </cell>
        </row>
        <row r="3146">
          <cell r="J3146" t="str">
            <v>FN-05-02-02-3138</v>
          </cell>
          <cell r="K3146" t="str">
            <v>SC-00994</v>
          </cell>
          <cell r="L3146" t="str">
            <v>FN-05-02-02-3138</v>
          </cell>
          <cell r="M3146" t="str">
            <v>Cuchillos Hakansson Peperos</v>
          </cell>
          <cell r="O3146" t="str">
            <v>EQUIPOS DE COCINA FUNGIBLE / NOMINABLE</v>
          </cell>
          <cell r="P3146">
            <v>4900</v>
          </cell>
          <cell r="T3146" t="str">
            <v>Bueno</v>
          </cell>
          <cell r="U3146" t="str">
            <v>Hakansson</v>
          </cell>
        </row>
        <row r="3147">
          <cell r="J3147" t="str">
            <v>42-05-02-02-3139</v>
          </cell>
          <cell r="K3147" t="str">
            <v>SC-00995</v>
          </cell>
          <cell r="L3147" t="str">
            <v>42-05-02-02-3139</v>
          </cell>
          <cell r="M3147" t="str">
            <v>Rallador  Big chef mediano</v>
          </cell>
          <cell r="O3147" t="str">
            <v>EQUIPOS DE COCINA</v>
          </cell>
          <cell r="P3147">
            <v>10974</v>
          </cell>
          <cell r="T3147" t="str">
            <v>Bueno</v>
          </cell>
          <cell r="U3147" t="str">
            <v>N/T</v>
          </cell>
        </row>
        <row r="3148">
          <cell r="J3148" t="str">
            <v>42-05-02-02-3140</v>
          </cell>
          <cell r="K3148" t="str">
            <v>SC-00996</v>
          </cell>
          <cell r="L3148" t="str">
            <v>42-05-02-02-3140</v>
          </cell>
          <cell r="M3148" t="str">
            <v>Rallador Big Chef Chico</v>
          </cell>
          <cell r="O3148" t="str">
            <v>EQUIPOS DE COCINA</v>
          </cell>
          <cell r="P3148">
            <v>6500</v>
          </cell>
          <cell r="T3148" t="str">
            <v>Bueno</v>
          </cell>
          <cell r="U3148" t="str">
            <v>Big Chef</v>
          </cell>
        </row>
        <row r="3149">
          <cell r="J3149" t="str">
            <v>FN-05-02-02-3141</v>
          </cell>
          <cell r="K3149" t="str">
            <v>SC-00997</v>
          </cell>
          <cell r="L3149" t="str">
            <v>FN-05-02-02-3141</v>
          </cell>
          <cell r="M3149" t="str">
            <v>Compotera loza color blanco</v>
          </cell>
          <cell r="O3149" t="str">
            <v>EQUIPOS DE COCINA FUNGIBLE / NOMINABLE</v>
          </cell>
          <cell r="P3149">
            <v>500</v>
          </cell>
          <cell r="T3149" t="str">
            <v>Bueno</v>
          </cell>
          <cell r="U3149" t="str">
            <v>N/T</v>
          </cell>
        </row>
        <row r="3150">
          <cell r="J3150" t="str">
            <v>FN-05-02-02-3142</v>
          </cell>
          <cell r="K3150" t="str">
            <v>SC-00998</v>
          </cell>
          <cell r="L3150" t="str">
            <v>FN-05-02-02-3142</v>
          </cell>
          <cell r="M3150" t="str">
            <v>Cañas grandes</v>
          </cell>
          <cell r="O3150" t="str">
            <v>EQUIPOS DE COCINA FUNGIBLE / NOMINABLE</v>
          </cell>
          <cell r="P3150">
            <v>110</v>
          </cell>
          <cell r="T3150" t="str">
            <v>Bueno</v>
          </cell>
          <cell r="U3150" t="str">
            <v>N/T</v>
          </cell>
        </row>
        <row r="3151">
          <cell r="J3151" t="str">
            <v>FN-05-02-02-3143</v>
          </cell>
          <cell r="K3151" t="str">
            <v>SC-00999</v>
          </cell>
          <cell r="L3151" t="str">
            <v>FN-05-02-02-3143</v>
          </cell>
          <cell r="M3151" t="str">
            <v>Cucharas grandes</v>
          </cell>
          <cell r="O3151" t="str">
            <v>EQUIPOS DE COCINA FUNGIBLE / NOMINABLE</v>
          </cell>
          <cell r="P3151">
            <v>175</v>
          </cell>
          <cell r="T3151" t="str">
            <v>Bueno</v>
          </cell>
          <cell r="U3151" t="str">
            <v>N/T</v>
          </cell>
        </row>
        <row r="3152">
          <cell r="J3152" t="str">
            <v>FN-05-02-02-3144</v>
          </cell>
          <cell r="K3152" t="str">
            <v>SC-01000</v>
          </cell>
          <cell r="L3152" t="str">
            <v>FN-05-02-02-3144</v>
          </cell>
          <cell r="M3152" t="str">
            <v>Cucharitas chicas</v>
          </cell>
          <cell r="O3152" t="str">
            <v>EQUIPOS DE COCINA FUNGIBLE / NOMINABLE</v>
          </cell>
          <cell r="P3152">
            <v>144</v>
          </cell>
          <cell r="T3152" t="str">
            <v>Bueno</v>
          </cell>
          <cell r="U3152" t="str">
            <v>N/T</v>
          </cell>
        </row>
        <row r="3153">
          <cell r="J3153" t="str">
            <v>FN-05-02-02-3145</v>
          </cell>
          <cell r="K3153" t="str">
            <v>SC-01001</v>
          </cell>
          <cell r="L3153" t="str">
            <v>FN-05-02-02-3145</v>
          </cell>
          <cell r="M3153" t="str">
            <v>Cuchillos</v>
          </cell>
          <cell r="O3153" t="str">
            <v>EQUIPOS DE COCINA FUNGIBLE / NOMINABLE</v>
          </cell>
          <cell r="P3153">
            <v>192</v>
          </cell>
          <cell r="T3153" t="str">
            <v>Bueno</v>
          </cell>
          <cell r="U3153" t="str">
            <v>N/T</v>
          </cell>
        </row>
        <row r="3154">
          <cell r="J3154" t="str">
            <v>FN-05-02-02-3146</v>
          </cell>
          <cell r="K3154" t="str">
            <v>SC-01002</v>
          </cell>
          <cell r="L3154" t="str">
            <v>FN-05-02-02-3146</v>
          </cell>
          <cell r="M3154" t="str">
            <v>Ensaladera vidrio redonda</v>
          </cell>
          <cell r="O3154" t="str">
            <v>EQUIPOS DE COCINA FUNGIBLE / NOMINABLE</v>
          </cell>
          <cell r="P3154">
            <v>15000</v>
          </cell>
          <cell r="T3154" t="str">
            <v>Bueno</v>
          </cell>
          <cell r="U3154" t="str">
            <v>N/T</v>
          </cell>
        </row>
        <row r="3155">
          <cell r="J3155" t="str">
            <v>42-05-02-02-3147</v>
          </cell>
          <cell r="K3155" t="str">
            <v>SC-01003</v>
          </cell>
          <cell r="L3155" t="str">
            <v>42-05-02-02-3147</v>
          </cell>
          <cell r="M3155" t="str">
            <v>Azadera rectangular 2,9 l  vidrio</v>
          </cell>
          <cell r="O3155" t="str">
            <v>EQUIPOS DE COCINA</v>
          </cell>
          <cell r="P3155">
            <v>9542</v>
          </cell>
          <cell r="T3155" t="str">
            <v>Bueno</v>
          </cell>
          <cell r="U3155" t="str">
            <v>N/T</v>
          </cell>
        </row>
        <row r="3156">
          <cell r="J3156" t="str">
            <v>42-05-02-02-3148</v>
          </cell>
          <cell r="K3156" t="str">
            <v>SC-01004</v>
          </cell>
          <cell r="L3156" t="str">
            <v>42-05-02-02-3148</v>
          </cell>
          <cell r="M3156" t="str">
            <v>Templano Marinex</v>
          </cell>
          <cell r="O3156" t="str">
            <v>EQUIPOS DE COCINA</v>
          </cell>
          <cell r="P3156">
            <v>10000</v>
          </cell>
          <cell r="T3156" t="str">
            <v>Bueno</v>
          </cell>
          <cell r="U3156" t="str">
            <v>Marinex</v>
          </cell>
        </row>
        <row r="3157">
          <cell r="J3157" t="str">
            <v>FN-05-02-02-3149</v>
          </cell>
          <cell r="K3157" t="str">
            <v>SC-01005</v>
          </cell>
          <cell r="L3157" t="str">
            <v>FN-05-02-02-3149</v>
          </cell>
          <cell r="M3157" t="str">
            <v>Platos Ovalados 30 cm color blanco</v>
          </cell>
          <cell r="O3157" t="str">
            <v>EQUIPOS DE COCINA FUNGIBLE / NOMINABLE</v>
          </cell>
          <cell r="P3157">
            <v>3150</v>
          </cell>
          <cell r="T3157" t="str">
            <v>Bueno</v>
          </cell>
          <cell r="U3157" t="str">
            <v>N/T</v>
          </cell>
        </row>
        <row r="3158">
          <cell r="J3158" t="str">
            <v>FN-05-02-02-3150</v>
          </cell>
          <cell r="K3158" t="str">
            <v>SC-01006</v>
          </cell>
          <cell r="L3158" t="str">
            <v>FN-05-02-02-3150</v>
          </cell>
          <cell r="M3158" t="str">
            <v>Tazas performa color blanco</v>
          </cell>
          <cell r="O3158" t="str">
            <v>EQUIPOS DE COCINA FUNGIBLE / NOMINABLE</v>
          </cell>
          <cell r="P3158">
            <v>110</v>
          </cell>
          <cell r="T3158" t="str">
            <v>Bueno</v>
          </cell>
          <cell r="U3158" t="str">
            <v>N/T</v>
          </cell>
        </row>
        <row r="3159">
          <cell r="J3159" t="str">
            <v>FN-05-02-02-3151</v>
          </cell>
          <cell r="K3159" t="str">
            <v>SC-01007</v>
          </cell>
          <cell r="L3159" t="str">
            <v>FN-05-02-02-3151</v>
          </cell>
          <cell r="M3159" t="str">
            <v>Platillo 15 cms vidrio opal templado color blanco</v>
          </cell>
          <cell r="O3159" t="str">
            <v>EQUIPOS DE COCINA FUNGIBLE / NOMINABLE</v>
          </cell>
          <cell r="P3159">
            <v>455</v>
          </cell>
          <cell r="T3159" t="str">
            <v>Bueno</v>
          </cell>
          <cell r="U3159" t="str">
            <v>N/T</v>
          </cell>
        </row>
        <row r="3160">
          <cell r="J3160" t="str">
            <v>FN-05-02-02-3152</v>
          </cell>
          <cell r="K3160" t="str">
            <v>SC-01008</v>
          </cell>
          <cell r="L3160" t="str">
            <v>FN-05-02-02-3152</v>
          </cell>
          <cell r="M3160" t="str">
            <v>Fondos de aluminio de 50 Lts</v>
          </cell>
          <cell r="O3160" t="str">
            <v>EQUIPOS DE COCINA FUNGIBLE / NOMINABLE</v>
          </cell>
          <cell r="P3160">
            <v>17500</v>
          </cell>
          <cell r="T3160" t="str">
            <v>Bueno</v>
          </cell>
          <cell r="U3160" t="str">
            <v>N/T</v>
          </cell>
        </row>
        <row r="3161">
          <cell r="J3161" t="str">
            <v>FN-05-02-02-3153</v>
          </cell>
          <cell r="K3161" t="str">
            <v>SC-01009</v>
          </cell>
          <cell r="L3161" t="str">
            <v>FN-05-02-02-3153</v>
          </cell>
          <cell r="M3161" t="str">
            <v>Platos bajos de loza</v>
          </cell>
          <cell r="O3161" t="str">
            <v>EQUIPOS DE COCINA FUNGIBLE / NOMINABLE</v>
          </cell>
          <cell r="P3161">
            <v>660</v>
          </cell>
          <cell r="T3161" t="str">
            <v>Bueno</v>
          </cell>
          <cell r="U3161" t="str">
            <v>N/T</v>
          </cell>
        </row>
        <row r="3162">
          <cell r="J3162" t="str">
            <v>FN-05-02-02-3154</v>
          </cell>
          <cell r="K3162" t="str">
            <v>SC-01010</v>
          </cell>
          <cell r="L3162" t="str">
            <v>FN-05-02-02-3154</v>
          </cell>
          <cell r="M3162" t="str">
            <v>Platos postre de vidrio</v>
          </cell>
          <cell r="O3162" t="str">
            <v>EQUIPOS DE COCINA FUNGIBLE / NOMINABLE</v>
          </cell>
          <cell r="P3162">
            <v>310</v>
          </cell>
          <cell r="T3162" t="str">
            <v>Bueno</v>
          </cell>
          <cell r="U3162" t="str">
            <v>N/T</v>
          </cell>
        </row>
        <row r="3163">
          <cell r="J3163" t="str">
            <v>FN-05-02-02-3155</v>
          </cell>
          <cell r="K3163" t="str">
            <v>SC-01011</v>
          </cell>
          <cell r="L3163" t="str">
            <v>FN-05-02-02-3155</v>
          </cell>
          <cell r="M3163" t="str">
            <v>Platos servilletas de loza</v>
          </cell>
          <cell r="O3163" t="str">
            <v>EQUIPOS DE COCINA FUNGIBLE / NOMINABLE</v>
          </cell>
          <cell r="P3163">
            <v>300</v>
          </cell>
          <cell r="T3163" t="str">
            <v>Bueno</v>
          </cell>
          <cell r="U3163" t="str">
            <v>N/T</v>
          </cell>
        </row>
        <row r="3164">
          <cell r="J3164" t="str">
            <v>FN-05-02-02-3156</v>
          </cell>
          <cell r="K3164" t="str">
            <v>SC-01012</v>
          </cell>
          <cell r="L3164" t="str">
            <v>FN-05-02-02-3156</v>
          </cell>
          <cell r="M3164" t="str">
            <v>Platos hondos de loza</v>
          </cell>
          <cell r="O3164" t="str">
            <v>EQUIPOS DE COCINA FUNGIBLE / NOMINABLE</v>
          </cell>
          <cell r="P3164">
            <v>410</v>
          </cell>
          <cell r="T3164" t="str">
            <v>Bueno</v>
          </cell>
          <cell r="U3164" t="str">
            <v>N/T</v>
          </cell>
        </row>
        <row r="3165">
          <cell r="J3165" t="str">
            <v>FN-05-02-06-3157</v>
          </cell>
          <cell r="K3165" t="str">
            <v>SC-01013</v>
          </cell>
          <cell r="L3165" t="str">
            <v>FN-05-02-06-3157</v>
          </cell>
          <cell r="M3165" t="str">
            <v>Espatulas 4"</v>
          </cell>
          <cell r="O3165" t="str">
            <v>HERRAMIENTAS FUNGIBLE / NOMINABLE</v>
          </cell>
          <cell r="P3165">
            <v>1200</v>
          </cell>
          <cell r="T3165" t="str">
            <v>Bueno</v>
          </cell>
          <cell r="U3165" t="str">
            <v>N/T</v>
          </cell>
        </row>
        <row r="3166">
          <cell r="J3166" t="str">
            <v>42-05-02-06-3158</v>
          </cell>
          <cell r="K3166" t="str">
            <v>SC-01014</v>
          </cell>
          <cell r="L3166" t="str">
            <v>42-05-02-06-3158</v>
          </cell>
          <cell r="M3166" t="str">
            <v>Formones Stanley 1/4, 1/2, 3/4</v>
          </cell>
          <cell r="O3166" t="str">
            <v>HERRAMIENTAS</v>
          </cell>
          <cell r="P3166">
            <v>3000</v>
          </cell>
          <cell r="T3166" t="str">
            <v>Bueno</v>
          </cell>
          <cell r="U3166" t="str">
            <v>Stanley</v>
          </cell>
        </row>
        <row r="3167">
          <cell r="J3167" t="str">
            <v>42-05-02-06-3159</v>
          </cell>
          <cell r="K3167" t="str">
            <v>SC-01015</v>
          </cell>
          <cell r="L3167" t="str">
            <v>42-05-02-06-3159</v>
          </cell>
          <cell r="M3167" t="str">
            <v>Linterna sin marca color rojo</v>
          </cell>
          <cell r="O3167" t="str">
            <v>HERRAMIENTAS</v>
          </cell>
          <cell r="P3167">
            <v>3400</v>
          </cell>
          <cell r="T3167" t="str">
            <v>Bueno</v>
          </cell>
          <cell r="U3167" t="str">
            <v>N/T</v>
          </cell>
        </row>
        <row r="3168">
          <cell r="J3168" t="str">
            <v>42-05-02-06-3160</v>
          </cell>
          <cell r="K3168" t="str">
            <v>SC-01016</v>
          </cell>
          <cell r="L3168" t="str">
            <v>42-05-02-06-3160</v>
          </cell>
          <cell r="M3168" t="str">
            <v>Llaves punta corona ( 1/4, 9/16, 7/8, 3/4, 15/16-1", 15/16-1" ) pulg.</v>
          </cell>
          <cell r="O3168" t="str">
            <v>HERRAMIENTAS</v>
          </cell>
          <cell r="P3168">
            <v>5000</v>
          </cell>
          <cell r="T3168" t="str">
            <v>Bueno</v>
          </cell>
          <cell r="U3168" t="str">
            <v>N/T</v>
          </cell>
        </row>
        <row r="3169">
          <cell r="J3169" t="str">
            <v>42-05-02-06-3161</v>
          </cell>
          <cell r="K3169" t="str">
            <v>SC-01017</v>
          </cell>
          <cell r="L3169" t="str">
            <v>42-05-02-06-3161</v>
          </cell>
          <cell r="M3169" t="str">
            <v>Llaves punta corona ( 7, 12, 14, 15, 17, 18, 19, 20, 22/32 ) mm.</v>
          </cell>
          <cell r="O3169" t="str">
            <v>HERRAMIENTAS</v>
          </cell>
          <cell r="P3169">
            <v>5000</v>
          </cell>
          <cell r="T3169" t="str">
            <v>Bueno</v>
          </cell>
          <cell r="U3169" t="str">
            <v>N/T</v>
          </cell>
        </row>
        <row r="3170">
          <cell r="J3170" t="str">
            <v>FN-05-02-06-3162</v>
          </cell>
          <cell r="K3170" t="str">
            <v>SC-01018</v>
          </cell>
          <cell r="L3170" t="str">
            <v>FN-05-02-06-3162</v>
          </cell>
          <cell r="M3170" t="str">
            <v>Sacabocados</v>
          </cell>
          <cell r="O3170" t="str">
            <v>HERRAMIENTAS FUNGIBLE / NOMINABLE</v>
          </cell>
          <cell r="P3170">
            <v>2000</v>
          </cell>
          <cell r="T3170" t="str">
            <v>Bueno</v>
          </cell>
          <cell r="U3170" t="str">
            <v>N/T</v>
          </cell>
        </row>
        <row r="3171">
          <cell r="J3171" t="str">
            <v>FN-05-02-06-3163</v>
          </cell>
          <cell r="K3171" t="str">
            <v>SC-01019</v>
          </cell>
          <cell r="L3171" t="str">
            <v>FN-05-02-06-3163</v>
          </cell>
          <cell r="M3171" t="str">
            <v>Atornilladores cruz</v>
          </cell>
          <cell r="O3171" t="str">
            <v>HERRAMIENTAS FUNGIBLE / NOMINABLE</v>
          </cell>
          <cell r="P3171">
            <v>3500</v>
          </cell>
          <cell r="T3171" t="str">
            <v>Bueno</v>
          </cell>
          <cell r="U3171" t="str">
            <v>N/T</v>
          </cell>
        </row>
        <row r="3172">
          <cell r="J3172" t="str">
            <v>FN-05-02-06-3164</v>
          </cell>
          <cell r="K3172" t="str">
            <v>SC-01020</v>
          </cell>
          <cell r="L3172" t="str">
            <v>FN-05-02-06-3164</v>
          </cell>
          <cell r="M3172" t="str">
            <v>Atornilladores de paleta</v>
          </cell>
          <cell r="O3172" t="str">
            <v>HERRAMIENTAS FUNGIBLE / NOMINABLE</v>
          </cell>
          <cell r="P3172">
            <v>8000</v>
          </cell>
          <cell r="T3172" t="str">
            <v>Bueno</v>
          </cell>
          <cell r="U3172" t="str">
            <v>N/T</v>
          </cell>
        </row>
        <row r="3173">
          <cell r="J3173" t="str">
            <v>42-05-02-02-3165</v>
          </cell>
          <cell r="K3173" t="str">
            <v>SC-01021</v>
          </cell>
          <cell r="L3173" t="str">
            <v>42-05-02-02-3165</v>
          </cell>
          <cell r="M3173" t="str">
            <v>Azadon 5x7 "</v>
          </cell>
          <cell r="O3173" t="str">
            <v>EQUIPOS DE COCINA</v>
          </cell>
          <cell r="P3173">
            <v>2000</v>
          </cell>
          <cell r="T3173" t="str">
            <v>Bueno</v>
          </cell>
          <cell r="U3173" t="str">
            <v>N/T</v>
          </cell>
        </row>
        <row r="3174">
          <cell r="J3174" t="str">
            <v>FN-05-01-01-3166</v>
          </cell>
          <cell r="K3174" t="str">
            <v>SC-01022</v>
          </cell>
          <cell r="L3174" t="str">
            <v>FN-05-01-01-3166</v>
          </cell>
          <cell r="M3174" t="str">
            <v>Cilindros de gas 5 Kg.</v>
          </cell>
          <cell r="O3174" t="str">
            <v>EQUIPO DE OFICINA FUNGIBLE / NOMINABLE</v>
          </cell>
          <cell r="P3174">
            <v>10000</v>
          </cell>
          <cell r="T3174" t="str">
            <v>Bueno</v>
          </cell>
          <cell r="U3174" t="str">
            <v>N/T</v>
          </cell>
        </row>
        <row r="3175">
          <cell r="J3175" t="str">
            <v>FN-05-02-05-3167</v>
          </cell>
          <cell r="K3175" t="str">
            <v>SC-01023</v>
          </cell>
          <cell r="L3175" t="str">
            <v>FN-05-02-05-3167</v>
          </cell>
          <cell r="M3175" t="str">
            <v>Máscara de protección</v>
          </cell>
          <cell r="O3175" t="str">
            <v>EQUIPOS DE SEGURIDAD FUNGIBLE / NOMINABLE</v>
          </cell>
          <cell r="P3175">
            <v>6000</v>
          </cell>
          <cell r="T3175" t="str">
            <v>Bueno</v>
          </cell>
          <cell r="U3175" t="str">
            <v>N/T</v>
          </cell>
        </row>
        <row r="3176">
          <cell r="J3176" t="str">
            <v>42-05-02-05-3168</v>
          </cell>
          <cell r="K3176" t="str">
            <v>SC-01024</v>
          </cell>
          <cell r="L3176" t="str">
            <v>42-05-02-05-3168</v>
          </cell>
          <cell r="M3176" t="str">
            <v>Mascara de soldar</v>
          </cell>
          <cell r="O3176" t="str">
            <v>EQUIPOS DE SEGURIDAD</v>
          </cell>
          <cell r="P3176">
            <v>8000</v>
          </cell>
          <cell r="T3176" t="str">
            <v>Bueno</v>
          </cell>
          <cell r="U3176" t="str">
            <v>N/T</v>
          </cell>
        </row>
        <row r="3177">
          <cell r="J3177" t="str">
            <v>42-05-02-05-3169</v>
          </cell>
          <cell r="K3177" t="str">
            <v>SC-01025</v>
          </cell>
          <cell r="L3177" t="str">
            <v>42-05-02-05-3169</v>
          </cell>
          <cell r="M3177" t="str">
            <v>Overol cuerpo completo</v>
          </cell>
          <cell r="O3177" t="str">
            <v>EQUIPOS DE SEGURIDAD</v>
          </cell>
          <cell r="P3177">
            <v>10000</v>
          </cell>
          <cell r="T3177" t="str">
            <v>Bueno</v>
          </cell>
          <cell r="U3177" t="str">
            <v>N/T</v>
          </cell>
        </row>
        <row r="3178">
          <cell r="J3178" t="str">
            <v>FN-05-02-05-3170</v>
          </cell>
          <cell r="K3178" t="str">
            <v>SC-01026</v>
          </cell>
          <cell r="L3178" t="str">
            <v>FN-05-02-05-3170</v>
          </cell>
          <cell r="M3178" t="str">
            <v>Protectores auditivos marca Safeman</v>
          </cell>
          <cell r="O3178" t="str">
            <v>EQUIPOS DE SEGURIDAD FUNGIBLE / NOMINABLE</v>
          </cell>
          <cell r="P3178">
            <v>5000</v>
          </cell>
          <cell r="T3178" t="str">
            <v>Bueno</v>
          </cell>
          <cell r="U3178" t="str">
            <v>Safeman</v>
          </cell>
        </row>
        <row r="3179">
          <cell r="J3179" t="str">
            <v>42-05-02-06-3171</v>
          </cell>
          <cell r="K3179" t="str">
            <v>SC-01027</v>
          </cell>
          <cell r="L3179" t="str">
            <v>42-05-02-06-3171</v>
          </cell>
          <cell r="M3179" t="str">
            <v>Cincel 16"</v>
          </cell>
          <cell r="O3179" t="str">
            <v>HERRAMIENTAS</v>
          </cell>
          <cell r="P3179">
            <v>1000</v>
          </cell>
          <cell r="T3179" t="str">
            <v>Bueno</v>
          </cell>
          <cell r="U3179" t="str">
            <v>N/T</v>
          </cell>
        </row>
        <row r="3180">
          <cell r="J3180" t="str">
            <v>42-05-02-06-3172</v>
          </cell>
          <cell r="K3180" t="str">
            <v>SC-01028</v>
          </cell>
          <cell r="L3180" t="str">
            <v>42-05-02-06-3172</v>
          </cell>
          <cell r="M3180" t="str">
            <v>Cincel 3/4x10" FG Steel azul</v>
          </cell>
          <cell r="O3180" t="str">
            <v>HERRAMIENTAS</v>
          </cell>
          <cell r="P3180">
            <v>1000</v>
          </cell>
          <cell r="T3180" t="str">
            <v>Bueno</v>
          </cell>
          <cell r="U3180" t="str">
            <v>FG Steel</v>
          </cell>
        </row>
        <row r="3181">
          <cell r="J3181" t="str">
            <v>42-05-02-06-3173</v>
          </cell>
          <cell r="K3181" t="str">
            <v>SC-01029</v>
          </cell>
          <cell r="L3181" t="str">
            <v>42-05-02-06-3173</v>
          </cell>
          <cell r="M3181" t="str">
            <v>Caimanes Stanley 7"</v>
          </cell>
          <cell r="O3181" t="str">
            <v>HERRAMIENTAS</v>
          </cell>
          <cell r="P3181">
            <v>8000</v>
          </cell>
          <cell r="T3181" t="str">
            <v>Malo</v>
          </cell>
          <cell r="U3181" t="str">
            <v>Stanley</v>
          </cell>
        </row>
        <row r="3182">
          <cell r="J3182" t="str">
            <v>42-05-02-06-3174</v>
          </cell>
          <cell r="K3182" t="str">
            <v>SC-01030</v>
          </cell>
          <cell r="L3182" t="str">
            <v>42-05-02-06-3174</v>
          </cell>
          <cell r="M3182" t="str">
            <v>Limas planas Bellota</v>
          </cell>
          <cell r="O3182" t="str">
            <v>HERRAMIENTAS</v>
          </cell>
          <cell r="P3182">
            <v>1200</v>
          </cell>
          <cell r="T3182" t="str">
            <v>Regular</v>
          </cell>
          <cell r="U3182" t="str">
            <v>Bellota</v>
          </cell>
        </row>
        <row r="3183">
          <cell r="J3183" t="str">
            <v>42-05-02-06-3175</v>
          </cell>
          <cell r="K3183" t="str">
            <v>SC-01031</v>
          </cell>
          <cell r="L3183" t="str">
            <v>42-05-02-06-3175</v>
          </cell>
          <cell r="M3183" t="str">
            <v>Atornillador busca polo</v>
          </cell>
          <cell r="O3183" t="str">
            <v>HERRAMIENTAS</v>
          </cell>
          <cell r="P3183">
            <v>800</v>
          </cell>
          <cell r="T3183" t="str">
            <v>Bueno</v>
          </cell>
          <cell r="U3183" t="str">
            <v>N/T</v>
          </cell>
        </row>
        <row r="3184">
          <cell r="J3184" t="str">
            <v>42-04-07-00-3176</v>
          </cell>
          <cell r="K3184" t="str">
            <v>SC-01032</v>
          </cell>
          <cell r="L3184" t="str">
            <v>42-04-07-00-3176</v>
          </cell>
          <cell r="M3184" t="str">
            <v>Basurero blanco con tapa</v>
          </cell>
          <cell r="O3184" t="str">
            <v>OTROS</v>
          </cell>
          <cell r="P3184">
            <v>3000</v>
          </cell>
          <cell r="T3184" t="str">
            <v>Bueno</v>
          </cell>
          <cell r="U3184" t="str">
            <v>N/T</v>
          </cell>
        </row>
        <row r="3185">
          <cell r="J3185" t="str">
            <v>42-05-01-01-3177</v>
          </cell>
          <cell r="K3185" t="str">
            <v>SC-01033</v>
          </cell>
          <cell r="L3185" t="str">
            <v>42-05-01-01-3177</v>
          </cell>
          <cell r="M3185" t="str">
            <v>Corchetera chica color rojo/negro</v>
          </cell>
          <cell r="O3185" t="str">
            <v>EQUIPO DE OFICINA</v>
          </cell>
          <cell r="P3185">
            <v>4000</v>
          </cell>
          <cell r="T3185" t="str">
            <v>Bueno</v>
          </cell>
          <cell r="U3185" t="str">
            <v>N/T</v>
          </cell>
        </row>
        <row r="3186">
          <cell r="J3186" t="str">
            <v>42-04-07-00-3178</v>
          </cell>
          <cell r="K3186" t="str">
            <v>SC-01034</v>
          </cell>
          <cell r="L3186" t="str">
            <v>42-04-07-00-3178</v>
          </cell>
          <cell r="M3186" t="str">
            <v>BAÑO</v>
          </cell>
          <cell r="O3186" t="str">
            <v>OTROS</v>
          </cell>
          <cell r="P3186">
            <v>20000</v>
          </cell>
          <cell r="T3186" t="str">
            <v>Bueno</v>
          </cell>
          <cell r="U3186" t="str">
            <v>N/T</v>
          </cell>
        </row>
        <row r="3187">
          <cell r="J3187" t="str">
            <v>42-04-07-00-3179</v>
          </cell>
          <cell r="K3187" t="str">
            <v>SC-01035</v>
          </cell>
          <cell r="L3187" t="str">
            <v>42-04-07-00-3179</v>
          </cell>
          <cell r="M3187" t="str">
            <v>Porta toalla</v>
          </cell>
          <cell r="O3187" t="str">
            <v>OTROS</v>
          </cell>
          <cell r="P3187">
            <v>5000</v>
          </cell>
          <cell r="T3187" t="str">
            <v>Bueno</v>
          </cell>
          <cell r="U3187" t="str">
            <v>N/T</v>
          </cell>
        </row>
        <row r="3188">
          <cell r="J3188" t="str">
            <v>42-04-07-00-3180</v>
          </cell>
          <cell r="K3188" t="str">
            <v>SC-01036</v>
          </cell>
          <cell r="L3188" t="str">
            <v>42-04-07-00-3180</v>
          </cell>
          <cell r="M3188" t="str">
            <v>Porta Confort</v>
          </cell>
          <cell r="O3188" t="str">
            <v>OTROS</v>
          </cell>
          <cell r="P3188">
            <v>2500</v>
          </cell>
          <cell r="T3188" t="str">
            <v>Bueno</v>
          </cell>
          <cell r="U3188" t="str">
            <v>N/T</v>
          </cell>
        </row>
        <row r="3189">
          <cell r="J3189" t="str">
            <v>42-04-07-00-3181</v>
          </cell>
          <cell r="K3189" t="str">
            <v>SC-01037</v>
          </cell>
          <cell r="L3189" t="str">
            <v>42-04-07-00-3181</v>
          </cell>
          <cell r="M3189" t="str">
            <v>Porta cortina baño</v>
          </cell>
          <cell r="O3189" t="str">
            <v>OTROS</v>
          </cell>
          <cell r="P3189">
            <v>3000</v>
          </cell>
          <cell r="T3189" t="str">
            <v>Bueno</v>
          </cell>
          <cell r="U3189" t="str">
            <v>N/T</v>
          </cell>
        </row>
        <row r="3190">
          <cell r="J3190" t="str">
            <v>42-04-07-00-3182</v>
          </cell>
          <cell r="K3190" t="str">
            <v>SC-01038</v>
          </cell>
          <cell r="L3190" t="str">
            <v>42-04-07-00-3182</v>
          </cell>
          <cell r="M3190" t="str">
            <v>Cortina baño color blanca</v>
          </cell>
          <cell r="O3190" t="str">
            <v>OTROS</v>
          </cell>
          <cell r="P3190">
            <v>3000</v>
          </cell>
          <cell r="T3190" t="str">
            <v>Bueno</v>
          </cell>
          <cell r="U3190" t="str">
            <v>N/T</v>
          </cell>
        </row>
        <row r="3191">
          <cell r="J3191" t="str">
            <v>42-04-07-00-3183</v>
          </cell>
          <cell r="K3191" t="str">
            <v>SC-01039</v>
          </cell>
          <cell r="L3191" t="str">
            <v>42-04-07-00-3183</v>
          </cell>
          <cell r="M3191" t="str">
            <v>Espejo marco aluminio 70x60</v>
          </cell>
          <cell r="O3191" t="str">
            <v>OTROS</v>
          </cell>
          <cell r="P3191">
            <v>10000</v>
          </cell>
          <cell r="T3191" t="str">
            <v>Bueno</v>
          </cell>
          <cell r="U3191" t="str">
            <v>N/T</v>
          </cell>
        </row>
        <row r="3192">
          <cell r="J3192" t="str">
            <v>42-04-07-00-3184</v>
          </cell>
          <cell r="K3192" t="str">
            <v>SC-01040</v>
          </cell>
          <cell r="L3192" t="str">
            <v>42-04-07-00-3184</v>
          </cell>
          <cell r="M3192" t="str">
            <v>Basurero plástico con tapa color blanco</v>
          </cell>
          <cell r="O3192" t="str">
            <v>OTROS</v>
          </cell>
          <cell r="P3192">
            <v>1500</v>
          </cell>
          <cell r="T3192" t="str">
            <v>Bueno</v>
          </cell>
          <cell r="U3192" t="str">
            <v>N/T</v>
          </cell>
        </row>
        <row r="3193">
          <cell r="J3193" t="str">
            <v>42-05-02-01-3185</v>
          </cell>
          <cell r="K3193" t="str">
            <v>SC-01041</v>
          </cell>
          <cell r="L3193" t="str">
            <v>42-05-02-01-3185</v>
          </cell>
          <cell r="M3193" t="str">
            <v>Hunleigh healthcare Mod Betta II HM89</v>
          </cell>
          <cell r="N3193">
            <v>1</v>
          </cell>
          <cell r="O3193" t="str">
            <v>EQUIPOS CLINICOS</v>
          </cell>
          <cell r="P3193">
            <v>190000</v>
          </cell>
          <cell r="T3193" t="str">
            <v>Malo</v>
          </cell>
          <cell r="U3193" t="str">
            <v>Betta</v>
          </cell>
        </row>
        <row r="3194">
          <cell r="J3194" t="str">
            <v>42-05-01-01-3186</v>
          </cell>
          <cell r="K3194" t="str">
            <v>SC-01042</v>
          </cell>
          <cell r="L3194" t="str">
            <v>42-05-01-01-3186</v>
          </cell>
          <cell r="M3194" t="str">
            <v>Cargador de pilas universal Mod. MW 398</v>
          </cell>
          <cell r="O3194" t="str">
            <v>EQUIPO DE OFICINA</v>
          </cell>
          <cell r="P3194">
            <v>10000</v>
          </cell>
          <cell r="T3194" t="str">
            <v>Malo</v>
          </cell>
          <cell r="U3194" t="str">
            <v>N/T</v>
          </cell>
        </row>
        <row r="3195">
          <cell r="J3195" t="str">
            <v>42-06-01-00-3187</v>
          </cell>
          <cell r="K3195" t="str">
            <v>SC-01043</v>
          </cell>
          <cell r="L3195" t="str">
            <v>42-06-01-00-3187</v>
          </cell>
          <cell r="M3195" t="str">
            <v>Teclado marca Aopen s/n 22000386</v>
          </cell>
          <cell r="O3195" t="str">
            <v>EQUIPOS COMPUTACIONALES Y PERIFÉRICOS</v>
          </cell>
          <cell r="P3195">
            <v>4000</v>
          </cell>
          <cell r="T3195" t="str">
            <v>Malo</v>
          </cell>
          <cell r="U3195" t="str">
            <v>Aopen</v>
          </cell>
        </row>
        <row r="3196">
          <cell r="J3196" t="str">
            <v>42-05-02-01-3188</v>
          </cell>
          <cell r="K3196" t="str">
            <v>SC-01044</v>
          </cell>
          <cell r="L3196" t="str">
            <v>42-05-02-01-3188</v>
          </cell>
          <cell r="M3196" t="str">
            <v>Aesculap tipo GF 90 / GF 92</v>
          </cell>
          <cell r="O3196" t="str">
            <v>EQUIPOS CLINICOS</v>
          </cell>
          <cell r="P3196">
            <v>4000</v>
          </cell>
          <cell r="T3196" t="str">
            <v>Malo</v>
          </cell>
          <cell r="U3196" t="str">
            <v>N/T</v>
          </cell>
        </row>
        <row r="3197">
          <cell r="J3197" t="str">
            <v>42-05-02-01-3189</v>
          </cell>
          <cell r="K3197" t="str">
            <v>SC-01045</v>
          </cell>
          <cell r="L3197" t="str">
            <v>42-05-02-01-3189</v>
          </cell>
          <cell r="M3197" t="str">
            <v>Hidro Pacmel Mod. PX - 15</v>
          </cell>
          <cell r="O3197" t="str">
            <v>EQUIPOS CLINICOS</v>
          </cell>
          <cell r="P3197">
            <v>170000</v>
          </cell>
          <cell r="T3197" t="str">
            <v>Malo</v>
          </cell>
          <cell r="U3197" t="str">
            <v>Pacmel</v>
          </cell>
        </row>
        <row r="3198">
          <cell r="J3198" t="str">
            <v>42-04-02-00-3190</v>
          </cell>
          <cell r="K3198" t="str">
            <v>SC-01046</v>
          </cell>
          <cell r="L3198" t="str">
            <v>42-04-02-00-3190</v>
          </cell>
          <cell r="M3198" t="str">
            <v>Silla incompleta sin ruedas con apoya brazos y respaldo color negro/rojo</v>
          </cell>
          <cell r="O3198" t="str">
            <v>SILLAS</v>
          </cell>
          <cell r="P3198">
            <v>5000</v>
          </cell>
          <cell r="T3198" t="str">
            <v>Malo</v>
          </cell>
          <cell r="U3198" t="str">
            <v>N/T</v>
          </cell>
        </row>
        <row r="3199">
          <cell r="J3199" t="str">
            <v>42-04-02-00-3191</v>
          </cell>
          <cell r="K3199" t="str">
            <v>SC-01047</v>
          </cell>
          <cell r="L3199" t="str">
            <v>42-04-02-00-3191</v>
          </cell>
          <cell r="M3199" t="str">
            <v>Silla metal / madera</v>
          </cell>
          <cell r="O3199" t="str">
            <v>SILLAS</v>
          </cell>
          <cell r="P3199">
            <v>3000</v>
          </cell>
          <cell r="T3199" t="str">
            <v>Malo</v>
          </cell>
          <cell r="U3199" t="str">
            <v>N/T</v>
          </cell>
        </row>
        <row r="3200">
          <cell r="J3200" t="str">
            <v>42-04-07-00-3192</v>
          </cell>
          <cell r="K3200" t="str">
            <v>SC-01048</v>
          </cell>
          <cell r="L3200" t="str">
            <v>42-04-07-00-3192</v>
          </cell>
          <cell r="M3200" t="str">
            <v>Dispensador de jabón Pisa / Prolim</v>
          </cell>
          <cell r="O3200" t="str">
            <v>OTROS</v>
          </cell>
          <cell r="P3200">
            <v>5000</v>
          </cell>
          <cell r="T3200" t="str">
            <v>Malo</v>
          </cell>
          <cell r="U3200" t="str">
            <v>N/T</v>
          </cell>
        </row>
        <row r="3201">
          <cell r="J3201" t="str">
            <v>42-03-01-00-3193</v>
          </cell>
          <cell r="K3201" t="str">
            <v>SC-01049</v>
          </cell>
          <cell r="L3201" t="str">
            <v>42-03-01-00-3193</v>
          </cell>
          <cell r="M3201" t="str">
            <v>Filtro de aire para vehiculo</v>
          </cell>
          <cell r="O3201" t="str">
            <v>REPUESTOS</v>
          </cell>
          <cell r="P3201">
            <v>3000</v>
          </cell>
          <cell r="T3201" t="str">
            <v>Malo</v>
          </cell>
          <cell r="U3201" t="str">
            <v>N/T</v>
          </cell>
        </row>
        <row r="3202">
          <cell r="J3202" t="str">
            <v>42-04-07-00-3194</v>
          </cell>
          <cell r="K3202" t="str">
            <v>SC-01050</v>
          </cell>
          <cell r="L3202" t="str">
            <v>42-04-07-00-3194</v>
          </cell>
          <cell r="M3202" t="str">
            <v>Caja con documentos dental años 2004/2005</v>
          </cell>
          <cell r="O3202" t="str">
            <v>OTROS</v>
          </cell>
          <cell r="P3202">
            <v>5000</v>
          </cell>
          <cell r="T3202" t="str">
            <v>Malo</v>
          </cell>
          <cell r="U3202" t="str">
            <v>N/T</v>
          </cell>
        </row>
        <row r="3203">
          <cell r="J3203" t="str">
            <v>42-05-02-05-3195</v>
          </cell>
          <cell r="K3203" t="str">
            <v>SC-01051</v>
          </cell>
          <cell r="L3203" t="str">
            <v>42-05-02-05-3195</v>
          </cell>
          <cell r="M3203" t="str">
            <v>Extintor polvo químico seco de 10 Kg</v>
          </cell>
          <cell r="O3203" t="str">
            <v>EQUIPOS DE SEGURIDAD</v>
          </cell>
          <cell r="P3203">
            <v>25000</v>
          </cell>
          <cell r="T3203" t="str">
            <v>Malo</v>
          </cell>
          <cell r="U3203" t="str">
            <v>N/T</v>
          </cell>
        </row>
        <row r="3204">
          <cell r="J3204" t="str">
            <v>42-03-01-00-3196</v>
          </cell>
          <cell r="K3204" t="str">
            <v>SC-01052</v>
          </cell>
          <cell r="L3204" t="str">
            <v>42-03-01-00-3196</v>
          </cell>
          <cell r="M3204" t="str">
            <v>Rotulas vehiculo</v>
          </cell>
          <cell r="O3204" t="str">
            <v>REPUESTOS</v>
          </cell>
          <cell r="P3204">
            <v>3000</v>
          </cell>
          <cell r="T3204" t="str">
            <v>Malo</v>
          </cell>
          <cell r="U3204" t="str">
            <v>N/T</v>
          </cell>
        </row>
        <row r="3205">
          <cell r="J3205" t="str">
            <v>42-03-01-00-3197</v>
          </cell>
          <cell r="K3205" t="str">
            <v>SC-01053</v>
          </cell>
          <cell r="L3205" t="str">
            <v>42-03-01-00-3197</v>
          </cell>
          <cell r="M3205" t="str">
            <v>Pastillas de freno vehiculo</v>
          </cell>
          <cell r="O3205" t="str">
            <v>REPUESTOS</v>
          </cell>
          <cell r="P3205">
            <v>1000</v>
          </cell>
          <cell r="T3205" t="str">
            <v>Malo</v>
          </cell>
          <cell r="U3205" t="str">
            <v>N/T</v>
          </cell>
        </row>
        <row r="3206">
          <cell r="J3206" t="str">
            <v>42-04-07-00-3198</v>
          </cell>
          <cell r="K3206" t="str">
            <v>SC-01054</v>
          </cell>
          <cell r="L3206" t="str">
            <v>42-04-07-00-3198</v>
          </cell>
          <cell r="M3206" t="str">
            <v>Caja con mascarillas desechables</v>
          </cell>
          <cell r="O3206" t="str">
            <v>OTROS</v>
          </cell>
          <cell r="P3206">
            <v>3000</v>
          </cell>
          <cell r="T3206" t="str">
            <v>Malo</v>
          </cell>
          <cell r="U3206" t="str">
            <v>N/T</v>
          </cell>
        </row>
        <row r="3207">
          <cell r="J3207" t="str">
            <v>42-05-02-01-3199</v>
          </cell>
          <cell r="K3207" t="str">
            <v>SC-01055</v>
          </cell>
          <cell r="L3207" t="str">
            <v>42-05-02-01-3199</v>
          </cell>
          <cell r="M3207" t="str">
            <v>Bolsa nylon con mascarillas y tubos desechables</v>
          </cell>
          <cell r="N3207">
            <v>1</v>
          </cell>
          <cell r="O3207" t="str">
            <v>EQUIPOS CLINICOS</v>
          </cell>
          <cell r="P3207">
            <v>1000</v>
          </cell>
          <cell r="T3207" t="str">
            <v>Malo</v>
          </cell>
          <cell r="U3207" t="str">
            <v>N/T</v>
          </cell>
        </row>
        <row r="3208">
          <cell r="J3208" t="str">
            <v>42-03-01-00-3200</v>
          </cell>
          <cell r="K3208" t="str">
            <v>SC-01056</v>
          </cell>
          <cell r="L3208" t="str">
            <v>42-03-01-00-3200</v>
          </cell>
          <cell r="M3208" t="str">
            <v>Discos de frenos de vehiculos</v>
          </cell>
          <cell r="O3208" t="str">
            <v>REPUESTOS</v>
          </cell>
          <cell r="P3208">
            <v>1500</v>
          </cell>
          <cell r="T3208" t="str">
            <v>Malo</v>
          </cell>
          <cell r="U3208" t="str">
            <v>N/T</v>
          </cell>
        </row>
        <row r="3209">
          <cell r="J3209" t="str">
            <v>42-04-07-00-3201</v>
          </cell>
          <cell r="K3209" t="str">
            <v>SC-01057</v>
          </cell>
          <cell r="L3209" t="str">
            <v>42-04-07-00-3201</v>
          </cell>
          <cell r="M3209" t="str">
            <v>Cajas Fas con una llave para agua en desuso c/u, numeradas 1,2,3,4</v>
          </cell>
          <cell r="N3209">
            <v>1</v>
          </cell>
          <cell r="O3209" t="str">
            <v>OTROS</v>
          </cell>
          <cell r="P3209">
            <v>3500</v>
          </cell>
          <cell r="T3209" t="str">
            <v>Malo</v>
          </cell>
          <cell r="U3209" t="str">
            <v>N/T</v>
          </cell>
        </row>
        <row r="3210">
          <cell r="J3210" t="str">
            <v>42-04-07-00-3202</v>
          </cell>
          <cell r="K3210" t="str">
            <v>SC-01058</v>
          </cell>
          <cell r="L3210" t="str">
            <v>42-04-07-00-3202</v>
          </cell>
          <cell r="M3210" t="str">
            <v>Caja Fas con 2 llaves en desuso, numerada 5</v>
          </cell>
          <cell r="N3210">
            <v>1</v>
          </cell>
          <cell r="O3210" t="str">
            <v>OTROS</v>
          </cell>
          <cell r="P3210">
            <v>5000</v>
          </cell>
          <cell r="T3210" t="str">
            <v>Malo</v>
          </cell>
          <cell r="U3210" t="str">
            <v>N/T</v>
          </cell>
        </row>
        <row r="3211">
          <cell r="J3211" t="str">
            <v>42-04-07-00-3203</v>
          </cell>
          <cell r="K3211" t="str">
            <v>SC-01059</v>
          </cell>
          <cell r="L3211" t="str">
            <v>42-04-07-00-3203</v>
          </cell>
          <cell r="M3211" t="str">
            <v>Caja Fas con 3 llaves en desuso, numerada 6</v>
          </cell>
          <cell r="N3211">
            <v>1</v>
          </cell>
          <cell r="O3211" t="str">
            <v>OTROS</v>
          </cell>
          <cell r="P3211">
            <v>3200</v>
          </cell>
          <cell r="T3211" t="str">
            <v>Malo</v>
          </cell>
          <cell r="U3211" t="str">
            <v>N/T</v>
          </cell>
        </row>
        <row r="3212">
          <cell r="J3212" t="str">
            <v>42-04-07-00-3204</v>
          </cell>
          <cell r="K3212" t="str">
            <v>SC-01060</v>
          </cell>
          <cell r="L3212" t="str">
            <v>42-04-07-00-3204</v>
          </cell>
          <cell r="M3212" t="str">
            <v>Caja Fas con 5 llaves en desuso, numerada 7</v>
          </cell>
          <cell r="N3212">
            <v>1</v>
          </cell>
          <cell r="O3212" t="str">
            <v>OTROS</v>
          </cell>
          <cell r="P3212">
            <v>3200</v>
          </cell>
          <cell r="T3212" t="str">
            <v>Malo</v>
          </cell>
          <cell r="U3212" t="str">
            <v>N/T</v>
          </cell>
        </row>
        <row r="3213">
          <cell r="J3213" t="str">
            <v>42-04-07-00-3205</v>
          </cell>
          <cell r="K3213" t="str">
            <v>SC-01061</v>
          </cell>
          <cell r="L3213" t="str">
            <v>42-04-07-00-3205</v>
          </cell>
          <cell r="M3213" t="str">
            <v>Caja Fas con partes de llaves, numerada 8</v>
          </cell>
          <cell r="N3213">
            <v>1</v>
          </cell>
          <cell r="O3213" t="str">
            <v>OTROS</v>
          </cell>
          <cell r="P3213">
            <v>3200</v>
          </cell>
          <cell r="T3213" t="str">
            <v>Malo</v>
          </cell>
          <cell r="U3213" t="str">
            <v>N/T</v>
          </cell>
        </row>
        <row r="3214">
          <cell r="J3214" t="str">
            <v>42-04-07-00-3206</v>
          </cell>
          <cell r="K3214" t="str">
            <v>SC-01062</v>
          </cell>
          <cell r="L3214" t="str">
            <v>42-04-07-00-3206</v>
          </cell>
          <cell r="M3214" t="str">
            <v>Caja Fas con llaves de paso despuntes numerada 9</v>
          </cell>
          <cell r="N3214">
            <v>1</v>
          </cell>
          <cell r="O3214" t="str">
            <v>OTROS</v>
          </cell>
          <cell r="P3214">
            <v>3200</v>
          </cell>
          <cell r="T3214" t="str">
            <v>Malo</v>
          </cell>
          <cell r="U3214" t="str">
            <v>N/T</v>
          </cell>
        </row>
        <row r="3215">
          <cell r="J3215" t="str">
            <v>42-04-07-00-3207</v>
          </cell>
          <cell r="K3215" t="str">
            <v>SC-01063</v>
          </cell>
          <cell r="L3215" t="str">
            <v>42-04-07-00-3207</v>
          </cell>
          <cell r="M3215" t="str">
            <v>Caja con acoples para dos llaves ( 4  acoples ) numerada 10</v>
          </cell>
          <cell r="N3215">
            <v>1</v>
          </cell>
          <cell r="O3215" t="str">
            <v>OTROS</v>
          </cell>
          <cell r="P3215">
            <v>3200</v>
          </cell>
          <cell r="T3215" t="str">
            <v>Malo</v>
          </cell>
          <cell r="U3215" t="str">
            <v>N/T</v>
          </cell>
        </row>
        <row r="3216">
          <cell r="J3216" t="str">
            <v>42-04-07-00-3208</v>
          </cell>
          <cell r="K3216" t="str">
            <v>SC-01064</v>
          </cell>
          <cell r="L3216" t="str">
            <v>42-04-07-00-3208</v>
          </cell>
          <cell r="M3216" t="str">
            <v>Caja con acoples lavamanos para dos llaves ( 4 unidades ) numerada 11</v>
          </cell>
          <cell r="N3216">
            <v>1</v>
          </cell>
          <cell r="O3216" t="str">
            <v>OTROS</v>
          </cell>
          <cell r="P3216">
            <v>3200</v>
          </cell>
          <cell r="T3216" t="str">
            <v>Malo</v>
          </cell>
          <cell r="U3216" t="str">
            <v>N/T</v>
          </cell>
        </row>
        <row r="3217">
          <cell r="J3217" t="str">
            <v>42-04-07-00-3209</v>
          </cell>
          <cell r="K3217" t="str">
            <v>SC-01065</v>
          </cell>
          <cell r="L3217" t="str">
            <v>42-04-07-00-3209</v>
          </cell>
          <cell r="M3217" t="str">
            <v>Caja con 20 porta toallas nova ( sin usar )</v>
          </cell>
          <cell r="O3217" t="str">
            <v>OTROS</v>
          </cell>
          <cell r="P3217">
            <v>7500</v>
          </cell>
          <cell r="T3217" t="str">
            <v>Malo</v>
          </cell>
          <cell r="U3217" t="str">
            <v>N/T</v>
          </cell>
        </row>
        <row r="3218">
          <cell r="J3218" t="str">
            <v>42-04-07-00-3210</v>
          </cell>
          <cell r="K3218" t="str">
            <v>SC-01066</v>
          </cell>
          <cell r="L3218" t="str">
            <v>42-04-07-00-3210</v>
          </cell>
          <cell r="M3218" t="str">
            <v>Caja con desechos varios</v>
          </cell>
          <cell r="O3218" t="str">
            <v>OTROS</v>
          </cell>
          <cell r="P3218">
            <v>3500</v>
          </cell>
          <cell r="T3218" t="str">
            <v>Malo</v>
          </cell>
          <cell r="U3218" t="str">
            <v>N/T</v>
          </cell>
        </row>
        <row r="3219">
          <cell r="J3219" t="str">
            <v>42-03-01-00-3211</v>
          </cell>
          <cell r="K3219" t="str">
            <v>SC-01067</v>
          </cell>
          <cell r="L3219" t="str">
            <v>42-03-01-00-3211</v>
          </cell>
          <cell r="M3219" t="str">
            <v>Bateria Yoko 95D31R de 12 Volts</v>
          </cell>
          <cell r="N3219">
            <v>1</v>
          </cell>
          <cell r="O3219" t="str">
            <v>REPUESTOS</v>
          </cell>
          <cell r="P3219">
            <v>4500</v>
          </cell>
          <cell r="T3219" t="str">
            <v>Malo</v>
          </cell>
          <cell r="U3219" t="str">
            <v>Yoco</v>
          </cell>
        </row>
        <row r="3220">
          <cell r="J3220" t="str">
            <v>42-04-02-00-3212</v>
          </cell>
          <cell r="K3220" t="str">
            <v>SC-01068</v>
          </cell>
          <cell r="L3220" t="str">
            <v>42-04-02-00-3212</v>
          </cell>
          <cell r="M3220" t="str">
            <v>Silla de ruedas sin marca</v>
          </cell>
          <cell r="O3220" t="str">
            <v>SILLAS</v>
          </cell>
          <cell r="P3220">
            <v>7500</v>
          </cell>
          <cell r="T3220" t="str">
            <v>Malo</v>
          </cell>
          <cell r="U3220" t="str">
            <v>N/T</v>
          </cell>
        </row>
        <row r="3221">
          <cell r="J3221" t="str">
            <v>42-04-07-00-3213</v>
          </cell>
          <cell r="K3221" t="str">
            <v>SC-01069</v>
          </cell>
          <cell r="L3221" t="str">
            <v>42-04-07-00-3213</v>
          </cell>
          <cell r="M3221" t="str">
            <v>Tapas bandejas de iluminación, para 2 tubos de 40 Watts</v>
          </cell>
          <cell r="N3221">
            <v>1</v>
          </cell>
          <cell r="O3221" t="str">
            <v>OTROS</v>
          </cell>
          <cell r="P3221">
            <v>3500</v>
          </cell>
          <cell r="T3221" t="str">
            <v>Malo</v>
          </cell>
          <cell r="U3221" t="str">
            <v>N/T</v>
          </cell>
        </row>
        <row r="3222">
          <cell r="J3222" t="str">
            <v>42-04-07-00-3214</v>
          </cell>
          <cell r="K3222" t="str">
            <v>SC-01070</v>
          </cell>
          <cell r="L3222" t="str">
            <v>42-04-07-00-3214</v>
          </cell>
          <cell r="M3222" t="str">
            <v>Tapas bandejas de iluminación, para 1 tubo de 40 Watts</v>
          </cell>
          <cell r="N3222">
            <v>1</v>
          </cell>
          <cell r="O3222" t="str">
            <v>OTROS</v>
          </cell>
          <cell r="P3222">
            <v>3500</v>
          </cell>
          <cell r="T3222" t="str">
            <v>Malo</v>
          </cell>
          <cell r="U3222" t="str">
            <v>N/T</v>
          </cell>
        </row>
        <row r="3223">
          <cell r="J3223" t="str">
            <v>42-06-01-00-3215</v>
          </cell>
          <cell r="K3223" t="str">
            <v>SC-01071</v>
          </cell>
          <cell r="L3223" t="str">
            <v>42-06-01-00-3215</v>
          </cell>
          <cell r="M3223" t="str">
            <v>Monitor Mitac Mod. MA01</v>
          </cell>
          <cell r="O3223" t="str">
            <v>EQUIPOS COMPUTACIONALES Y PERIFÉRICOS</v>
          </cell>
          <cell r="P3223">
            <v>7000</v>
          </cell>
          <cell r="T3223" t="str">
            <v>Malo</v>
          </cell>
          <cell r="U3223" t="str">
            <v>Mitac</v>
          </cell>
        </row>
        <row r="3224">
          <cell r="J3224" t="str">
            <v>42-06-01-00-3216</v>
          </cell>
          <cell r="K3224" t="str">
            <v>SC-01072</v>
          </cell>
          <cell r="L3224" t="str">
            <v>42-06-01-00-3216</v>
          </cell>
          <cell r="M3224" t="str">
            <v>Tarjeta madre Aopen</v>
          </cell>
          <cell r="O3224" t="str">
            <v>EQUIPOS COMPUTACIONALES Y PERIFÉRICOS</v>
          </cell>
          <cell r="P3224">
            <v>2000</v>
          </cell>
          <cell r="T3224" t="str">
            <v>Malo</v>
          </cell>
          <cell r="U3224" t="str">
            <v>Aopen</v>
          </cell>
        </row>
        <row r="3225">
          <cell r="J3225" t="str">
            <v>42-06-01-00-3217</v>
          </cell>
          <cell r="K3225" t="str">
            <v>SC-01073</v>
          </cell>
          <cell r="L3225" t="str">
            <v>42-06-01-00-3217</v>
          </cell>
          <cell r="M3225" t="str">
            <v>Impresora Epson LX 300 Mod. P850A</v>
          </cell>
          <cell r="O3225" t="str">
            <v>EQUIPOS COMPUTACIONALES Y PERIFÉRICOS</v>
          </cell>
          <cell r="P3225">
            <v>3000</v>
          </cell>
          <cell r="T3225" t="str">
            <v>Malo</v>
          </cell>
          <cell r="U3225" t="str">
            <v>Epson</v>
          </cell>
        </row>
        <row r="3226">
          <cell r="J3226" t="str">
            <v>42-06-01-00-3218</v>
          </cell>
          <cell r="K3226" t="str">
            <v>SC-01074</v>
          </cell>
          <cell r="L3226" t="str">
            <v>42-06-01-00-3218</v>
          </cell>
          <cell r="M3226" t="str">
            <v>Impresora Epson Stylus C45, Mod. B 161B</v>
          </cell>
          <cell r="O3226" t="str">
            <v>EQUIPOS COMPUTACIONALES Y PERIFÉRICOS</v>
          </cell>
          <cell r="P3226">
            <v>3500</v>
          </cell>
          <cell r="T3226" t="str">
            <v>Malo</v>
          </cell>
          <cell r="U3226" t="str">
            <v>Epson</v>
          </cell>
        </row>
        <row r="3227">
          <cell r="J3227" t="str">
            <v>42-06-01-00-3219</v>
          </cell>
          <cell r="K3227" t="str">
            <v>SC-01075</v>
          </cell>
          <cell r="L3227" t="str">
            <v>42-06-01-00-3219</v>
          </cell>
          <cell r="M3227" t="str">
            <v>Mouse Aopen serie 329001583</v>
          </cell>
          <cell r="O3227" t="str">
            <v>EQUIPOS COMPUTACIONALES Y PERIFÉRICOS</v>
          </cell>
          <cell r="P3227">
            <v>1000</v>
          </cell>
          <cell r="T3227" t="str">
            <v>Malo</v>
          </cell>
          <cell r="U3227" t="str">
            <v>Aopen</v>
          </cell>
        </row>
        <row r="3228">
          <cell r="J3228" t="str">
            <v>42-06-01-00-3220</v>
          </cell>
          <cell r="K3228" t="str">
            <v>SC-01076</v>
          </cell>
          <cell r="L3228" t="str">
            <v>42-06-01-00-3220</v>
          </cell>
          <cell r="M3228" t="str">
            <v>Mouse 1300 serie C9452588</v>
          </cell>
          <cell r="O3228" t="str">
            <v>EQUIPOS COMPUTACIONALES Y PERIFÉRICOS</v>
          </cell>
          <cell r="P3228">
            <v>1000</v>
          </cell>
          <cell r="T3228" t="str">
            <v>Malo</v>
          </cell>
          <cell r="U3228" t="str">
            <v>N/T</v>
          </cell>
        </row>
        <row r="3229">
          <cell r="J3229" t="str">
            <v>FN-04-07-00-3221</v>
          </cell>
          <cell r="K3229" t="str">
            <v>SC-01077</v>
          </cell>
          <cell r="L3229" t="str">
            <v>FN-04-07-00-3221</v>
          </cell>
          <cell r="M3229" t="str">
            <v>Sombrero de huaso color negro</v>
          </cell>
          <cell r="O3229" t="str">
            <v>OTROS FUNGIBLE / NOMINABLE</v>
          </cell>
          <cell r="P3229">
            <v>10000</v>
          </cell>
          <cell r="T3229" t="str">
            <v>Bueno</v>
          </cell>
          <cell r="U3229" t="str">
            <v>N/T</v>
          </cell>
        </row>
        <row r="3230">
          <cell r="J3230" t="str">
            <v>FN-04-07-00-3222</v>
          </cell>
          <cell r="K3230" t="str">
            <v>SC-01078</v>
          </cell>
          <cell r="L3230" t="str">
            <v>FN-04-07-00-3222</v>
          </cell>
          <cell r="M3230" t="str">
            <v>Sombrero de huaso color plomo</v>
          </cell>
          <cell r="O3230" t="str">
            <v>OTROS FUNGIBLE / NOMINABLE</v>
          </cell>
          <cell r="P3230">
            <v>10000</v>
          </cell>
          <cell r="T3230" t="str">
            <v>Bueno</v>
          </cell>
          <cell r="U3230" t="str">
            <v>N/T</v>
          </cell>
        </row>
        <row r="3231">
          <cell r="J3231" t="str">
            <v>42-04-07-00-3223</v>
          </cell>
          <cell r="K3231" t="str">
            <v>SC-01079</v>
          </cell>
          <cell r="L3231" t="str">
            <v>42-04-07-00-3223</v>
          </cell>
          <cell r="M3231" t="str">
            <v>Chupalla  de paja</v>
          </cell>
          <cell r="O3231" t="str">
            <v>OTROS</v>
          </cell>
          <cell r="P3231">
            <v>13000</v>
          </cell>
          <cell r="T3231" t="str">
            <v>Bueno</v>
          </cell>
          <cell r="U3231" t="str">
            <v>N/T</v>
          </cell>
        </row>
        <row r="3232">
          <cell r="J3232" t="str">
            <v>FN-04-07-00-3224</v>
          </cell>
          <cell r="K3232" t="str">
            <v>SC-01080</v>
          </cell>
          <cell r="L3232" t="str">
            <v>FN-04-07-00-3224</v>
          </cell>
          <cell r="M3232" t="str">
            <v>Chamantos de huaso</v>
          </cell>
          <cell r="O3232" t="str">
            <v>OTROS FUNGIBLE / NOMINABLE</v>
          </cell>
          <cell r="P3232">
            <v>22000</v>
          </cell>
          <cell r="T3232" t="str">
            <v>Bueno</v>
          </cell>
          <cell r="U3232" t="str">
            <v>N/T</v>
          </cell>
        </row>
        <row r="3233">
          <cell r="J3233" t="str">
            <v>FN-04-07-00-3225</v>
          </cell>
          <cell r="K3233" t="str">
            <v>SC-01081</v>
          </cell>
          <cell r="L3233" t="str">
            <v>FN-04-07-00-3225</v>
          </cell>
          <cell r="M3233" t="str">
            <v>Ponchos artesanales color café</v>
          </cell>
          <cell r="O3233" t="str">
            <v>OTROS FUNGIBLE / NOMINABLE</v>
          </cell>
          <cell r="P3233">
            <v>23500</v>
          </cell>
          <cell r="T3233" t="str">
            <v>Bueno</v>
          </cell>
          <cell r="U3233" t="str">
            <v>N/T</v>
          </cell>
        </row>
        <row r="3234">
          <cell r="J3234" t="str">
            <v>FN-04-07-00-3226</v>
          </cell>
          <cell r="K3234" t="str">
            <v>SC-01082</v>
          </cell>
          <cell r="L3234" t="str">
            <v>FN-04-07-00-3226</v>
          </cell>
          <cell r="M3234" t="str">
            <v>Ruanas</v>
          </cell>
          <cell r="O3234" t="str">
            <v>OTROS FUNGIBLE / NOMINABLE</v>
          </cell>
          <cell r="P3234">
            <v>1900</v>
          </cell>
          <cell r="T3234" t="str">
            <v>Bueno</v>
          </cell>
          <cell r="U3234" t="str">
            <v>N/T</v>
          </cell>
        </row>
        <row r="3235">
          <cell r="J3235" t="str">
            <v>42-05-02-03-3227</v>
          </cell>
          <cell r="K3235" t="str">
            <v>SC-01083</v>
          </cell>
          <cell r="L3235" t="str">
            <v>42-05-02-03-3227</v>
          </cell>
          <cell r="M3235" t="str">
            <v>Monitor GPS Navman MDT 860-MK2 S/Nª 0809E10730529</v>
          </cell>
          <cell r="O3235" t="str">
            <v>EQUIPOS DE COMUNICACIÓN</v>
          </cell>
          <cell r="P3235">
            <v>40000</v>
          </cell>
          <cell r="T3235" t="str">
            <v>Bueno</v>
          </cell>
          <cell r="U3235" t="str">
            <v>Navman</v>
          </cell>
        </row>
        <row r="3236">
          <cell r="J3236" t="str">
            <v>42-03-02-00-3228</v>
          </cell>
          <cell r="K3236" t="str">
            <v>SC-01084</v>
          </cell>
          <cell r="L3236" t="str">
            <v>42-03-02-00-3228</v>
          </cell>
          <cell r="M3236" t="str">
            <v>Gata Hidráulica</v>
          </cell>
          <cell r="O3236" t="str">
            <v>EQUIPOS DE VEHICULO</v>
          </cell>
          <cell r="P3236">
            <v>5600</v>
          </cell>
          <cell r="T3236" t="str">
            <v>Bueno</v>
          </cell>
          <cell r="U3236" t="str">
            <v>N/T</v>
          </cell>
        </row>
        <row r="3237">
          <cell r="J3237" t="str">
            <v>42-05-02-05-3229</v>
          </cell>
          <cell r="K3237" t="str">
            <v>SC-01085</v>
          </cell>
          <cell r="L3237" t="str">
            <v>42-05-02-05-3229</v>
          </cell>
          <cell r="M3237" t="str">
            <v>Extintor incendio tipo ABC 2 Kgs.</v>
          </cell>
          <cell r="O3237" t="str">
            <v>EQUIPOS DE SEGURIDAD</v>
          </cell>
          <cell r="P3237">
            <v>25000</v>
          </cell>
          <cell r="T3237" t="str">
            <v>Bueno</v>
          </cell>
          <cell r="U3237" t="str">
            <v>N/T</v>
          </cell>
        </row>
        <row r="3238">
          <cell r="J3238" t="str">
            <v>FN-03-02-00-3230</v>
          </cell>
          <cell r="K3238" t="str">
            <v>SC-01086</v>
          </cell>
          <cell r="L3238" t="str">
            <v>FN-03-02-00-3230</v>
          </cell>
          <cell r="M3238" t="str">
            <v>Limpia Parabrisas</v>
          </cell>
          <cell r="O3238" t="str">
            <v>EQUIPOS DE VEHICULO FUNGIBLE / NOMINABLE</v>
          </cell>
          <cell r="P3238">
            <v>5600</v>
          </cell>
          <cell r="T3238" t="str">
            <v>Bueno</v>
          </cell>
          <cell r="U3238" t="str">
            <v>N/T</v>
          </cell>
        </row>
        <row r="3239">
          <cell r="J3239" t="str">
            <v>42-03-02-00-3231</v>
          </cell>
          <cell r="K3239" t="str">
            <v>SC-01087</v>
          </cell>
          <cell r="L3239" t="str">
            <v>42-03-02-00-3231</v>
          </cell>
          <cell r="M3239" t="str">
            <v>Estuche plástico con un Manual montaje carrocería, un manual de  nstrucciones de servicio, un talonario de servicio</v>
          </cell>
          <cell r="N3239">
            <v>1</v>
          </cell>
          <cell r="O3239" t="str">
            <v>EQUIPOS DE VEHICULO</v>
          </cell>
          <cell r="P3239">
            <v>5600</v>
          </cell>
          <cell r="U3239" t="str">
            <v>N/T</v>
          </cell>
        </row>
        <row r="3240">
          <cell r="J3240" t="str">
            <v>42-05-02-06-3232</v>
          </cell>
          <cell r="K3240" t="str">
            <v>SC-01088</v>
          </cell>
          <cell r="L3240" t="str">
            <v>42-05-02-06-3232</v>
          </cell>
          <cell r="M3240" t="str">
            <v>Llave de rueda</v>
          </cell>
          <cell r="O3240" t="str">
            <v>HERRAMIENTAS</v>
          </cell>
          <cell r="P3240">
            <v>7500</v>
          </cell>
          <cell r="T3240" t="str">
            <v>Bueno</v>
          </cell>
          <cell r="U3240" t="str">
            <v>N/T</v>
          </cell>
        </row>
        <row r="3241">
          <cell r="J3241" t="str">
            <v>42-03-02-00-3233</v>
          </cell>
          <cell r="K3241" t="str">
            <v>SC-01089</v>
          </cell>
          <cell r="L3241" t="str">
            <v>42-03-02-00-3233</v>
          </cell>
          <cell r="M3241" t="str">
            <v>Bocina</v>
          </cell>
          <cell r="O3241" t="str">
            <v>EQUIPOS DE VEHICULO</v>
          </cell>
          <cell r="P3241">
            <v>65000</v>
          </cell>
          <cell r="T3241" t="str">
            <v>Bueno</v>
          </cell>
          <cell r="U3241" t="str">
            <v>N/T</v>
          </cell>
        </row>
        <row r="3242">
          <cell r="J3242" t="str">
            <v>FN-03-02-00-3234</v>
          </cell>
          <cell r="K3242" t="str">
            <v>SC-01090</v>
          </cell>
          <cell r="L3242" t="str">
            <v>FN-03-02-00-3234</v>
          </cell>
          <cell r="M3242" t="str">
            <v>Llaves de contacto</v>
          </cell>
          <cell r="O3242" t="str">
            <v>EQUIPOS DE VEHICULO FUNGIBLE / NOMINABLE</v>
          </cell>
          <cell r="P3242">
            <v>5600</v>
          </cell>
          <cell r="T3242" t="str">
            <v>Bueno</v>
          </cell>
          <cell r="U3242" t="str">
            <v>N/T</v>
          </cell>
        </row>
        <row r="3243">
          <cell r="J3243" t="str">
            <v>42-03-02-00-3235</v>
          </cell>
          <cell r="K3243" t="str">
            <v>SC-01091</v>
          </cell>
          <cell r="L3243" t="str">
            <v>42-03-02-00-3235</v>
          </cell>
          <cell r="M3243" t="str">
            <v>Aro cromado con estrella</v>
          </cell>
          <cell r="O3243" t="str">
            <v>EQUIPOS DE VEHICULO</v>
          </cell>
          <cell r="P3243">
            <v>2100</v>
          </cell>
          <cell r="T3243" t="str">
            <v>Bueno</v>
          </cell>
          <cell r="U3243" t="str">
            <v>N/T</v>
          </cell>
        </row>
        <row r="3244">
          <cell r="J3244" t="str">
            <v>42-03-02-00-3236</v>
          </cell>
          <cell r="K3244" t="str">
            <v>SC-01092</v>
          </cell>
          <cell r="L3244" t="str">
            <v>42-03-02-00-3236</v>
          </cell>
          <cell r="M3244" t="str">
            <v>Tapas de rueda Mercedes</v>
          </cell>
          <cell r="O3244" t="str">
            <v>EQUIPOS DE VEHICULO</v>
          </cell>
          <cell r="P3244">
            <v>15000</v>
          </cell>
          <cell r="T3244" t="str">
            <v>Bueno</v>
          </cell>
          <cell r="U3244" t="str">
            <v>Mercedes Benz</v>
          </cell>
        </row>
        <row r="3245">
          <cell r="J3245" t="str">
            <v>FN-03-02-00-3237</v>
          </cell>
          <cell r="K3245" t="str">
            <v>SC-01093</v>
          </cell>
          <cell r="L3245" t="str">
            <v>FN-03-02-00-3237</v>
          </cell>
          <cell r="M3245" t="str">
            <v>Triángulos Refractantes</v>
          </cell>
          <cell r="O3245" t="str">
            <v>EQUIPOS DE VEHICULO FUNGIBLE / NOMINABLE</v>
          </cell>
          <cell r="P3245">
            <v>1100</v>
          </cell>
          <cell r="T3245" t="str">
            <v>Bueno</v>
          </cell>
          <cell r="U3245" t="str">
            <v>N/T</v>
          </cell>
        </row>
        <row r="3246">
          <cell r="J3246" t="str">
            <v>42-03-02-00-3238</v>
          </cell>
          <cell r="K3246" t="str">
            <v>SC-01094</v>
          </cell>
          <cell r="L3246" t="str">
            <v>42-03-02-00-3238</v>
          </cell>
          <cell r="M3246" t="str">
            <v>3ra. luz de frenos</v>
          </cell>
          <cell r="O3246" t="str">
            <v>EQUIPOS DE VEHICULO</v>
          </cell>
          <cell r="P3246">
            <v>38500</v>
          </cell>
          <cell r="T3246" t="str">
            <v>Bueno</v>
          </cell>
          <cell r="U3246" t="str">
            <v>N/T</v>
          </cell>
        </row>
        <row r="3247">
          <cell r="J3247" t="str">
            <v>42-03-02-00-3239</v>
          </cell>
          <cell r="K3247" t="str">
            <v>SC-01095</v>
          </cell>
          <cell r="L3247" t="str">
            <v>42-03-02-00-3239</v>
          </cell>
          <cell r="M3247" t="str">
            <v>Barrote Gata</v>
          </cell>
          <cell r="O3247" t="str">
            <v>EQUIPOS DE VEHICULO</v>
          </cell>
          <cell r="P3247">
            <v>6000</v>
          </cell>
          <cell r="T3247" t="str">
            <v>Bueno</v>
          </cell>
          <cell r="U3247" t="str">
            <v>N/T</v>
          </cell>
        </row>
        <row r="3248">
          <cell r="J3248" t="str">
            <v>42-03-01-00-3240</v>
          </cell>
          <cell r="K3248" t="str">
            <v>SC-01096</v>
          </cell>
          <cell r="L3248" t="str">
            <v>42-03-01-00-3240</v>
          </cell>
          <cell r="M3248" t="str">
            <v>Neumático de repuesto</v>
          </cell>
          <cell r="O3248" t="str">
            <v>REPUESTOS</v>
          </cell>
          <cell r="P3248">
            <v>33000</v>
          </cell>
          <cell r="T3248" t="str">
            <v>Bueno</v>
          </cell>
          <cell r="U3248" t="str">
            <v>N/T</v>
          </cell>
        </row>
        <row r="3249">
          <cell r="J3249" t="str">
            <v>FN-03-02-00-3241</v>
          </cell>
          <cell r="K3249" t="str">
            <v>SC-01097</v>
          </cell>
          <cell r="L3249" t="str">
            <v>FN-03-02-00-3241</v>
          </cell>
          <cell r="M3249" t="str">
            <v>Espejos exteriores</v>
          </cell>
          <cell r="O3249" t="str">
            <v>EQUIPOS DE VEHICULO FUNGIBLE / NOMINABLE</v>
          </cell>
          <cell r="P3249">
            <v>8000</v>
          </cell>
          <cell r="T3249" t="str">
            <v>Bueno</v>
          </cell>
          <cell r="U3249" t="str">
            <v>N/T</v>
          </cell>
        </row>
        <row r="3250">
          <cell r="J3250" t="str">
            <v>42-05-02-06-3242</v>
          </cell>
          <cell r="K3250" t="str">
            <v>SC-01098</v>
          </cell>
          <cell r="L3250" t="str">
            <v>42-05-02-06-3242</v>
          </cell>
          <cell r="M3250" t="str">
            <v>Llave ajustable Diamond 8"</v>
          </cell>
          <cell r="O3250" t="str">
            <v>HERRAMIENTAS</v>
          </cell>
          <cell r="P3250">
            <v>7000</v>
          </cell>
          <cell r="T3250" t="str">
            <v>Bueno</v>
          </cell>
          <cell r="U3250" t="str">
            <v>N/T</v>
          </cell>
        </row>
        <row r="3251">
          <cell r="J3251" t="str">
            <v>42-05-02-06-3243</v>
          </cell>
          <cell r="K3251" t="str">
            <v>SC-01099</v>
          </cell>
          <cell r="L3251" t="str">
            <v>42-05-02-06-3243</v>
          </cell>
          <cell r="M3251" t="str">
            <v>Llaves de punta ( 19/22, 16/19, 13/17, 10/13, 8/10 )</v>
          </cell>
          <cell r="O3251" t="str">
            <v>HERRAMIENTAS</v>
          </cell>
          <cell r="P3251">
            <v>12000</v>
          </cell>
          <cell r="T3251" t="str">
            <v>Bueno</v>
          </cell>
          <cell r="U3251" t="str">
            <v>N/T</v>
          </cell>
        </row>
        <row r="3252">
          <cell r="J3252" t="str">
            <v>42-05-02-06-3244</v>
          </cell>
          <cell r="K3252" t="str">
            <v>SC-01100</v>
          </cell>
          <cell r="L3252" t="str">
            <v>42-05-02-06-3244</v>
          </cell>
          <cell r="M3252" t="str">
            <v>Llaves hallen 12 y 14 mm</v>
          </cell>
          <cell r="O3252" t="str">
            <v>HERRAMIENTAS</v>
          </cell>
          <cell r="P3252">
            <v>11000</v>
          </cell>
          <cell r="T3252" t="str">
            <v>Bueno</v>
          </cell>
          <cell r="U3252" t="str">
            <v>N/T</v>
          </cell>
        </row>
        <row r="3253">
          <cell r="J3253" t="str">
            <v>42-05-02-06-3245</v>
          </cell>
          <cell r="K3253" t="str">
            <v>SC-01101</v>
          </cell>
          <cell r="L3253" t="str">
            <v>42-05-02-06-3245</v>
          </cell>
          <cell r="M3253" t="str">
            <v>Llaves tubo ( 12x13 mm, 16x17 mm )</v>
          </cell>
          <cell r="O3253" t="str">
            <v>HERRAMIENTAS</v>
          </cell>
          <cell r="P3253">
            <v>5600</v>
          </cell>
          <cell r="T3253" t="str">
            <v>Bueno</v>
          </cell>
          <cell r="U3253" t="str">
            <v>N/T</v>
          </cell>
        </row>
        <row r="3254">
          <cell r="J3254" t="str">
            <v>42-05-02-06-3246</v>
          </cell>
          <cell r="K3254" t="str">
            <v>SC-01102</v>
          </cell>
          <cell r="L3254" t="str">
            <v>42-05-02-06-3246</v>
          </cell>
          <cell r="M3254" t="str">
            <v>Martillo Stanford Brand</v>
          </cell>
          <cell r="O3254" t="str">
            <v>HERRAMIENTAS</v>
          </cell>
          <cell r="P3254">
            <v>4500</v>
          </cell>
          <cell r="T3254" t="str">
            <v>Bueno</v>
          </cell>
          <cell r="U3254" t="str">
            <v>Stanford Brand</v>
          </cell>
        </row>
        <row r="3255">
          <cell r="J3255" t="str">
            <v>42-05-02-06-3247</v>
          </cell>
          <cell r="K3255" t="str">
            <v>SC-01103</v>
          </cell>
          <cell r="L3255" t="str">
            <v>42-05-02-06-3247</v>
          </cell>
          <cell r="M3255" t="str">
            <v>Alicate Lenz-Werk Professional 8"</v>
          </cell>
          <cell r="O3255" t="str">
            <v>HERRAMIENTAS</v>
          </cell>
          <cell r="P3255">
            <v>6000</v>
          </cell>
          <cell r="T3255" t="str">
            <v>Bueno</v>
          </cell>
          <cell r="U3255" t="str">
            <v>Lenz-Werk</v>
          </cell>
        </row>
        <row r="3256">
          <cell r="J3256" t="str">
            <v>42-05-02-06-3248</v>
          </cell>
          <cell r="K3256" t="str">
            <v>SC-01104</v>
          </cell>
          <cell r="L3256" t="str">
            <v>42-05-02-06-3248</v>
          </cell>
          <cell r="M3256" t="str">
            <v>Atornilladores Stanley,  Paleta</v>
          </cell>
          <cell r="O3256" t="str">
            <v>HERRAMIENTAS</v>
          </cell>
          <cell r="P3256">
            <v>10000</v>
          </cell>
          <cell r="T3256" t="str">
            <v>Bueno</v>
          </cell>
          <cell r="U3256" t="str">
            <v>Stanley</v>
          </cell>
        </row>
        <row r="3257">
          <cell r="J3257" t="str">
            <v>42-05-02-06-3249</v>
          </cell>
          <cell r="K3257" t="str">
            <v>SC-01105</v>
          </cell>
          <cell r="L3257" t="str">
            <v>42-05-02-06-3249</v>
          </cell>
          <cell r="M3257" t="str">
            <v>Atornillador Stanley,  Cruz</v>
          </cell>
          <cell r="O3257" t="str">
            <v>HERRAMIENTAS</v>
          </cell>
          <cell r="P3257">
            <v>8000</v>
          </cell>
          <cell r="T3257" t="str">
            <v>Bueno</v>
          </cell>
          <cell r="U3257" t="str">
            <v>Stanley</v>
          </cell>
        </row>
        <row r="3258">
          <cell r="J3258" t="str">
            <v>42-05-02-06-3250</v>
          </cell>
          <cell r="K3258" t="str">
            <v>SC-01106</v>
          </cell>
          <cell r="L3258" t="str">
            <v>42-05-02-06-3250</v>
          </cell>
          <cell r="M3258" t="str">
            <v>Atornillador Wechsel Griff,  Estrella</v>
          </cell>
          <cell r="O3258" t="str">
            <v>HERRAMIENTAS</v>
          </cell>
          <cell r="P3258">
            <v>8000</v>
          </cell>
          <cell r="T3258" t="str">
            <v>Bueno</v>
          </cell>
          <cell r="U3258" t="str">
            <v>Wechsel Griff</v>
          </cell>
        </row>
        <row r="3259">
          <cell r="J3259" t="str">
            <v>42-03-02-00-3251</v>
          </cell>
          <cell r="K3259" t="str">
            <v>SC-01107</v>
          </cell>
          <cell r="L3259" t="str">
            <v>42-03-02-00-3251</v>
          </cell>
          <cell r="M3259" t="str">
            <v>Encendedor, cenicero</v>
          </cell>
          <cell r="O3259" t="str">
            <v>EQUIPOS DE VEHICULO</v>
          </cell>
          <cell r="P3259">
            <v>10000</v>
          </cell>
          <cell r="T3259" t="str">
            <v>Bueno</v>
          </cell>
          <cell r="U3259" t="str">
            <v>N/T</v>
          </cell>
        </row>
        <row r="3260">
          <cell r="J3260" t="str">
            <v>42-03-02-00-3252</v>
          </cell>
          <cell r="K3260" t="str">
            <v>SC-01108</v>
          </cell>
          <cell r="L3260" t="str">
            <v>42-03-02-00-3252</v>
          </cell>
          <cell r="M3260" t="str">
            <v>Asiento longitudinal con respaldo acolchado</v>
          </cell>
          <cell r="O3260" t="str">
            <v>EQUIPOS DE VEHICULO</v>
          </cell>
          <cell r="P3260">
            <v>40000</v>
          </cell>
          <cell r="T3260" t="str">
            <v>Bueno</v>
          </cell>
          <cell r="U3260" t="str">
            <v>N/T</v>
          </cell>
        </row>
        <row r="3261">
          <cell r="J3261" t="str">
            <v>42-05-02-01-3253</v>
          </cell>
          <cell r="K3261" t="str">
            <v>SC-01109</v>
          </cell>
          <cell r="L3261" t="str">
            <v>42-05-02-01-3253</v>
          </cell>
          <cell r="M3261" t="str">
            <v>Camilla Sitmed 39 traslado mod. Nº 0019416</v>
          </cell>
          <cell r="O3261" t="str">
            <v>EQUIPOS CLINICOS</v>
          </cell>
          <cell r="P3261">
            <v>110500</v>
          </cell>
          <cell r="T3261" t="str">
            <v>Bueno</v>
          </cell>
          <cell r="U3261" t="str">
            <v>N/T</v>
          </cell>
        </row>
        <row r="3262">
          <cell r="J3262" t="str">
            <v>42-03-02-00-3254</v>
          </cell>
          <cell r="K3262" t="str">
            <v>SC-01110</v>
          </cell>
          <cell r="L3262" t="str">
            <v>42-03-02-00-3254</v>
          </cell>
          <cell r="M3262" t="str">
            <v>Ducto de calefacción Ext. Cab</v>
          </cell>
          <cell r="O3262" t="str">
            <v>EQUIPOS DE VEHICULO</v>
          </cell>
          <cell r="P3262">
            <v>30000</v>
          </cell>
          <cell r="T3262" t="str">
            <v>Bueno</v>
          </cell>
          <cell r="U3262" t="str">
            <v>N/T</v>
          </cell>
        </row>
        <row r="3263">
          <cell r="J3263" t="str">
            <v>42-03-02-00-3255</v>
          </cell>
          <cell r="K3263" t="str">
            <v>SC-01111</v>
          </cell>
          <cell r="L3263" t="str">
            <v>42-03-02-00-3255</v>
          </cell>
          <cell r="M3263" t="str">
            <v>Foco halogeno iluminación acceso trasero</v>
          </cell>
          <cell r="O3263" t="str">
            <v>EQUIPOS DE VEHICULO</v>
          </cell>
          <cell r="P3263">
            <v>13000</v>
          </cell>
          <cell r="T3263" t="str">
            <v>Bueno</v>
          </cell>
          <cell r="U3263" t="str">
            <v>N/T</v>
          </cell>
        </row>
        <row r="3264">
          <cell r="J3264" t="str">
            <v>42-03-02-00-3256</v>
          </cell>
          <cell r="K3264" t="str">
            <v>SC-01112</v>
          </cell>
          <cell r="L3264" t="str">
            <v>42-03-02-00-3256</v>
          </cell>
          <cell r="M3264" t="str">
            <v>Ventana corredera lateral derecha G San</v>
          </cell>
          <cell r="N3264">
            <v>1</v>
          </cell>
          <cell r="O3264" t="str">
            <v>EQUIPOS DE VEHICULO</v>
          </cell>
          <cell r="P3264">
            <v>15000</v>
          </cell>
          <cell r="T3264" t="str">
            <v>Bueno</v>
          </cell>
          <cell r="U3264" t="str">
            <v>N/T</v>
          </cell>
        </row>
        <row r="3265">
          <cell r="J3265" t="str">
            <v>42-03-02-00-3257</v>
          </cell>
          <cell r="K3265" t="str">
            <v>SC-01113</v>
          </cell>
          <cell r="L3265" t="str">
            <v>42-03-02-00-3257</v>
          </cell>
          <cell r="M3265" t="str">
            <v>Contracabina con ventana corredera</v>
          </cell>
          <cell r="N3265">
            <v>1</v>
          </cell>
          <cell r="O3265" t="str">
            <v>EQUIPOS DE VEHICULO</v>
          </cell>
          <cell r="P3265">
            <v>200000</v>
          </cell>
          <cell r="T3265" t="str">
            <v>Bueno</v>
          </cell>
          <cell r="U3265" t="str">
            <v>N/T</v>
          </cell>
        </row>
        <row r="3266">
          <cell r="J3266" t="str">
            <v>FN-03-02-00-3258</v>
          </cell>
          <cell r="K3266" t="str">
            <v>SC-01114</v>
          </cell>
          <cell r="L3266" t="str">
            <v>FN-03-02-00-3258</v>
          </cell>
          <cell r="M3266" t="str">
            <v>Toma corriente 12 V</v>
          </cell>
          <cell r="O3266" t="str">
            <v>EQUIPOS DE VEHICULO FUNGIBLE / NOMINABLE</v>
          </cell>
          <cell r="P3266">
            <v>15000</v>
          </cell>
          <cell r="T3266" t="str">
            <v>Bueno</v>
          </cell>
          <cell r="U3266" t="str">
            <v>N/T</v>
          </cell>
        </row>
        <row r="3267">
          <cell r="J3267" t="str">
            <v>FN-03-02-00-3259</v>
          </cell>
          <cell r="K3267" t="str">
            <v>SC-01115</v>
          </cell>
          <cell r="L3267" t="str">
            <v>FN-03-02-00-3259</v>
          </cell>
          <cell r="M3267" t="str">
            <v>Toma corriente 220 V</v>
          </cell>
          <cell r="O3267" t="str">
            <v>EQUIPOS DE VEHICULO FUNGIBLE / NOMINABLE</v>
          </cell>
          <cell r="P3267">
            <v>15000</v>
          </cell>
          <cell r="T3267" t="str">
            <v>Bueno</v>
          </cell>
          <cell r="U3267" t="str">
            <v>N/T</v>
          </cell>
        </row>
        <row r="3268">
          <cell r="J3268" t="str">
            <v>42-03-02-00-3260</v>
          </cell>
          <cell r="K3268" t="str">
            <v>SC-01116</v>
          </cell>
          <cell r="L3268" t="str">
            <v>42-03-02-00-3260</v>
          </cell>
          <cell r="M3268" t="str">
            <v>Pisadera trasera con superficie antideslizante</v>
          </cell>
          <cell r="O3268" t="str">
            <v>EQUIPOS DE VEHICULO</v>
          </cell>
          <cell r="P3268">
            <v>15000</v>
          </cell>
          <cell r="T3268" t="str">
            <v>Bueno</v>
          </cell>
          <cell r="U3268" t="str">
            <v>N/T</v>
          </cell>
        </row>
        <row r="3269">
          <cell r="J3269" t="str">
            <v>42-03-02-00-3261</v>
          </cell>
          <cell r="K3269" t="str">
            <v>SC-01117</v>
          </cell>
          <cell r="L3269" t="str">
            <v>42-03-02-00-3261</v>
          </cell>
          <cell r="M3269" t="str">
            <v>Luz trasera antiniebla color roja</v>
          </cell>
          <cell r="O3269" t="str">
            <v>EQUIPOS DE VEHICULO</v>
          </cell>
          <cell r="P3269">
            <v>12000</v>
          </cell>
          <cell r="T3269" t="str">
            <v>Bueno</v>
          </cell>
          <cell r="U3269" t="str">
            <v>N/T</v>
          </cell>
        </row>
        <row r="3270">
          <cell r="J3270" t="str">
            <v>42-03-02-00-3262</v>
          </cell>
          <cell r="K3270" t="str">
            <v>SC-01118</v>
          </cell>
          <cell r="L3270" t="str">
            <v>42-03-02-00-3262</v>
          </cell>
          <cell r="M3270" t="str">
            <v>Caja porta drogas</v>
          </cell>
          <cell r="O3270" t="str">
            <v>EQUIPOS DE VEHICULO</v>
          </cell>
          <cell r="P3270">
            <v>15000</v>
          </cell>
          <cell r="T3270" t="str">
            <v>Bueno</v>
          </cell>
          <cell r="U3270" t="str">
            <v>N/T</v>
          </cell>
        </row>
        <row r="3271">
          <cell r="J3271" t="str">
            <v>42-03-02-00-3263</v>
          </cell>
          <cell r="K3271" t="str">
            <v>SC-01119</v>
          </cell>
          <cell r="L3271" t="str">
            <v>42-03-02-00-3263</v>
          </cell>
          <cell r="M3271" t="str">
            <v>Baliza mini barral rojo azul, Federal Signal</v>
          </cell>
          <cell r="O3271" t="str">
            <v>EQUIPOS DE VEHICULO</v>
          </cell>
          <cell r="P3271">
            <v>6500</v>
          </cell>
          <cell r="T3271" t="str">
            <v>Bueno</v>
          </cell>
          <cell r="U3271" t="str">
            <v>Federal Signal</v>
          </cell>
        </row>
        <row r="3272">
          <cell r="J3272" t="str">
            <v>FN-03-02-00-3264</v>
          </cell>
          <cell r="K3272" t="str">
            <v>SC-01120</v>
          </cell>
          <cell r="L3272" t="str">
            <v>FN-03-02-00-3264</v>
          </cell>
          <cell r="M3272" t="str">
            <v>Balizas color rojo, en esquina superior trasero</v>
          </cell>
          <cell r="O3272" t="str">
            <v>EQUIPOS DE VEHICULO FUNGIBLE / NOMINABLE</v>
          </cell>
          <cell r="P3272">
            <v>25900</v>
          </cell>
          <cell r="T3272" t="str">
            <v>Bueno</v>
          </cell>
          <cell r="U3272" t="str">
            <v>N/T</v>
          </cell>
        </row>
        <row r="3273">
          <cell r="J3273" t="str">
            <v>FN-03-02-00-3265</v>
          </cell>
          <cell r="K3273" t="str">
            <v>SC-01121</v>
          </cell>
          <cell r="L3273" t="str">
            <v>FN-03-02-00-3265</v>
          </cell>
          <cell r="M3273" t="str">
            <v>Focos perimetrales rojos en Lat Superior</v>
          </cell>
          <cell r="O3273" t="str">
            <v>EQUIPOS DE VEHICULO FUNGIBLE / NOMINABLE</v>
          </cell>
          <cell r="P3273">
            <v>14900</v>
          </cell>
          <cell r="T3273" t="str">
            <v>Bueno</v>
          </cell>
          <cell r="U3273" t="str">
            <v>N/T</v>
          </cell>
        </row>
        <row r="3274">
          <cell r="J3274" t="str">
            <v>42-03-02-00-3266</v>
          </cell>
          <cell r="K3274" t="str">
            <v>SC-01122</v>
          </cell>
          <cell r="L3274" t="str">
            <v>42-03-02-00-3266</v>
          </cell>
          <cell r="M3274" t="str">
            <v>Sirena electrónica marca Federal Signal, 4 tonos</v>
          </cell>
          <cell r="O3274" t="str">
            <v>EQUIPOS DE VEHICULO</v>
          </cell>
          <cell r="P3274">
            <v>50000</v>
          </cell>
          <cell r="T3274" t="str">
            <v>Bueno</v>
          </cell>
          <cell r="U3274" t="str">
            <v>Federal Signal</v>
          </cell>
        </row>
        <row r="3275">
          <cell r="J3275" t="str">
            <v>42-03-02-00-3267</v>
          </cell>
          <cell r="K3275" t="str">
            <v>SC-01123</v>
          </cell>
          <cell r="L3275" t="str">
            <v>42-03-02-00-3267</v>
          </cell>
          <cell r="M3275" t="str">
            <v>Parlante de 100 W</v>
          </cell>
          <cell r="O3275" t="str">
            <v>EQUIPOS DE VEHICULO</v>
          </cell>
          <cell r="P3275">
            <v>25000</v>
          </cell>
          <cell r="T3275" t="str">
            <v>Bueno</v>
          </cell>
          <cell r="U3275" t="str">
            <v>N/T</v>
          </cell>
        </row>
        <row r="3276">
          <cell r="J3276" t="str">
            <v>42-03-02-00-3268</v>
          </cell>
          <cell r="K3276" t="str">
            <v>SC-01124</v>
          </cell>
          <cell r="L3276" t="str">
            <v>42-03-02-00-3268</v>
          </cell>
          <cell r="M3276" t="str">
            <v>Busca camino portatil 12 V</v>
          </cell>
          <cell r="O3276" t="str">
            <v>EQUIPOS DE VEHICULO</v>
          </cell>
          <cell r="P3276">
            <v>18000</v>
          </cell>
          <cell r="T3276" t="str">
            <v>Malo</v>
          </cell>
          <cell r="U3276" t="str">
            <v>N/T</v>
          </cell>
        </row>
        <row r="3277">
          <cell r="J3277" t="str">
            <v>42-03-02-00-3269</v>
          </cell>
          <cell r="K3277" t="str">
            <v>SC-01125</v>
          </cell>
          <cell r="L3277" t="str">
            <v>42-03-02-00-3269</v>
          </cell>
          <cell r="M3277" t="str">
            <v>Asiento paramédico butaca</v>
          </cell>
          <cell r="N3277">
            <v>1</v>
          </cell>
          <cell r="O3277" t="str">
            <v>EQUIPOS DE VEHICULO</v>
          </cell>
          <cell r="P3277">
            <v>215000</v>
          </cell>
          <cell r="T3277" t="str">
            <v>Bueno</v>
          </cell>
          <cell r="U3277" t="str">
            <v>N/T</v>
          </cell>
        </row>
        <row r="3278">
          <cell r="J3278" t="str">
            <v>42-03-02-00-3270</v>
          </cell>
          <cell r="K3278" t="str">
            <v>SC-01126</v>
          </cell>
          <cell r="L3278" t="str">
            <v>42-03-02-00-3270</v>
          </cell>
          <cell r="M3278" t="str">
            <v>Mueble anaquel pared izquierda gabinete sanitario</v>
          </cell>
          <cell r="O3278" t="str">
            <v>EQUIPOS DE VEHICULO</v>
          </cell>
          <cell r="P3278">
            <v>75000</v>
          </cell>
          <cell r="T3278" t="str">
            <v>Bueno</v>
          </cell>
          <cell r="U3278" t="str">
            <v>N/T</v>
          </cell>
        </row>
        <row r="3279">
          <cell r="J3279" t="str">
            <v>42-03-02-00-3271</v>
          </cell>
          <cell r="K3279" t="str">
            <v>SC-01127</v>
          </cell>
          <cell r="L3279" t="str">
            <v>42-03-02-00-3271</v>
          </cell>
          <cell r="M3279" t="str">
            <v>Pasamanos aluminio en cielo del gabinete sanitario</v>
          </cell>
          <cell r="O3279" t="str">
            <v>EQUIPOS DE VEHICULO</v>
          </cell>
          <cell r="P3279">
            <v>15000</v>
          </cell>
          <cell r="T3279" t="str">
            <v>Bueno</v>
          </cell>
          <cell r="U3279" t="str">
            <v>N/T</v>
          </cell>
        </row>
        <row r="3280">
          <cell r="J3280" t="str">
            <v>42-03-02-00-3272</v>
          </cell>
          <cell r="K3280" t="str">
            <v>SC-01128</v>
          </cell>
          <cell r="L3280" t="str">
            <v>42-03-02-00-3272</v>
          </cell>
          <cell r="M3280" t="str">
            <v>Pasamanos aluminio en puerta lateral</v>
          </cell>
          <cell r="O3280" t="str">
            <v>EQUIPOS DE VEHICULO</v>
          </cell>
          <cell r="P3280">
            <v>7500</v>
          </cell>
          <cell r="T3280" t="str">
            <v>Bueno</v>
          </cell>
          <cell r="U3280" t="str">
            <v>N/T</v>
          </cell>
        </row>
        <row r="3281">
          <cell r="J3281" t="str">
            <v>42-03-02-00-3273</v>
          </cell>
          <cell r="K3281" t="str">
            <v>SC-01129</v>
          </cell>
          <cell r="L3281" t="str">
            <v>42-03-02-00-3273</v>
          </cell>
          <cell r="M3281" t="str">
            <v>Pasamanos aluminio en mueble clinico</v>
          </cell>
          <cell r="O3281" t="str">
            <v>EQUIPOS DE VEHICULO</v>
          </cell>
          <cell r="P3281">
            <v>7500</v>
          </cell>
          <cell r="T3281" t="str">
            <v>Bueno</v>
          </cell>
          <cell r="U3281" t="str">
            <v>N/T</v>
          </cell>
        </row>
        <row r="3282">
          <cell r="J3282" t="str">
            <v>42-03-02-00-3274</v>
          </cell>
          <cell r="K3282" t="str">
            <v>SC-01130</v>
          </cell>
          <cell r="L3282" t="str">
            <v>42-03-02-00-3274</v>
          </cell>
          <cell r="M3282" t="str">
            <v>Panel de control, comandos e identificaciones</v>
          </cell>
          <cell r="O3282" t="str">
            <v>EQUIPOS DE VEHICULO</v>
          </cell>
          <cell r="P3282">
            <v>50000</v>
          </cell>
          <cell r="T3282" t="str">
            <v>Bueno</v>
          </cell>
          <cell r="U3282" t="str">
            <v>N/T</v>
          </cell>
        </row>
        <row r="3283">
          <cell r="J3283" t="str">
            <v>42-03-02-00-3275</v>
          </cell>
          <cell r="K3283" t="str">
            <v>SC-01131</v>
          </cell>
          <cell r="L3283" t="str">
            <v>42-03-02-00-3275</v>
          </cell>
          <cell r="M3283" t="str">
            <v>Corta corriente general en tablero conducción</v>
          </cell>
          <cell r="O3283" t="str">
            <v>EQUIPOS DE VEHICULO</v>
          </cell>
          <cell r="P3283">
            <v>75000</v>
          </cell>
          <cell r="T3283" t="str">
            <v>Bueno</v>
          </cell>
          <cell r="U3283" t="str">
            <v>N/T</v>
          </cell>
        </row>
        <row r="3284">
          <cell r="J3284" t="str">
            <v>42-03-02-00-3276</v>
          </cell>
          <cell r="K3284" t="str">
            <v>SC-01132</v>
          </cell>
          <cell r="L3284" t="str">
            <v>42-03-02-00-3276</v>
          </cell>
          <cell r="M3284" t="str">
            <v>Panel central de comandos equipos electrónicos adicionales</v>
          </cell>
          <cell r="O3284" t="str">
            <v>EQUIPOS DE VEHICULO</v>
          </cell>
          <cell r="P3284">
            <v>80000</v>
          </cell>
          <cell r="T3284" t="str">
            <v>Bueno</v>
          </cell>
          <cell r="U3284" t="str">
            <v>N/T</v>
          </cell>
        </row>
        <row r="3285">
          <cell r="J3285" t="str">
            <v>FN-03-02-00-3277</v>
          </cell>
          <cell r="K3285" t="str">
            <v>SC-01133</v>
          </cell>
          <cell r="L3285" t="str">
            <v>FN-03-02-00-3277</v>
          </cell>
          <cell r="M3285" t="str">
            <v>Aplique incandescentes doble intensidad</v>
          </cell>
          <cell r="O3285" t="str">
            <v>EQUIPOS DE VEHICULO FUNGIBLE / NOMINABLE</v>
          </cell>
          <cell r="P3285">
            <v>35000</v>
          </cell>
          <cell r="T3285" t="str">
            <v>Bueno</v>
          </cell>
          <cell r="U3285" t="str">
            <v>N/T</v>
          </cell>
        </row>
        <row r="3286">
          <cell r="J3286" t="str">
            <v>FN-03-02-00-3278</v>
          </cell>
          <cell r="K3286" t="str">
            <v>SC-01134</v>
          </cell>
          <cell r="L3286" t="str">
            <v>FN-03-02-00-3278</v>
          </cell>
          <cell r="M3286" t="str">
            <v>Focos halogenos dirigibles, 150 V</v>
          </cell>
          <cell r="O3286" t="str">
            <v>EQUIPOS DE VEHICULO FUNGIBLE / NOMINABLE</v>
          </cell>
          <cell r="P3286">
            <v>25000</v>
          </cell>
          <cell r="T3286" t="str">
            <v>Bueno</v>
          </cell>
          <cell r="U3286" t="str">
            <v>N/T</v>
          </cell>
        </row>
        <row r="3287">
          <cell r="J3287" t="str">
            <v>42-03-02-00-3279</v>
          </cell>
          <cell r="K3287" t="str">
            <v>SC-01135</v>
          </cell>
          <cell r="L3287" t="str">
            <v>42-03-02-00-3279</v>
          </cell>
          <cell r="M3287" t="str">
            <v>Red eléctrica de 220 Volt, instalada en gabinete sanitario</v>
          </cell>
          <cell r="O3287" t="str">
            <v>EQUIPOS DE VEHICULO</v>
          </cell>
          <cell r="P3287">
            <v>70000</v>
          </cell>
          <cell r="T3287" t="str">
            <v>Bueno</v>
          </cell>
          <cell r="U3287" t="str">
            <v>N/T</v>
          </cell>
        </row>
        <row r="3288">
          <cell r="J3288" t="str">
            <v>42-03-02-00-3280</v>
          </cell>
          <cell r="K3288" t="str">
            <v>SC-01136</v>
          </cell>
          <cell r="L3288" t="str">
            <v>42-03-02-00-3280</v>
          </cell>
          <cell r="M3288" t="str">
            <v>20 Mts. cable alargador para 2000 Watts</v>
          </cell>
          <cell r="O3288" t="str">
            <v>EQUIPOS DE VEHICULO</v>
          </cell>
          <cell r="P3288">
            <v>20000</v>
          </cell>
          <cell r="T3288" t="str">
            <v>Bueno</v>
          </cell>
          <cell r="U3288" t="str">
            <v>N/T</v>
          </cell>
        </row>
        <row r="3289">
          <cell r="J3289" t="str">
            <v>42-03-02-00-3281</v>
          </cell>
          <cell r="K3289" t="str">
            <v>SC-01137</v>
          </cell>
          <cell r="L3289" t="str">
            <v>42-03-02-00-3281</v>
          </cell>
          <cell r="M3289" t="str">
            <v>Inversor y cargador de corriente de 1200 Watts</v>
          </cell>
          <cell r="O3289" t="str">
            <v>EQUIPOS DE VEHICULO</v>
          </cell>
          <cell r="P3289">
            <v>90000</v>
          </cell>
          <cell r="T3289" t="str">
            <v>Bueno</v>
          </cell>
          <cell r="U3289" t="str">
            <v>N/T</v>
          </cell>
        </row>
        <row r="3290">
          <cell r="J3290" t="str">
            <v>42-03-02-00-3282</v>
          </cell>
          <cell r="K3290" t="str">
            <v>SC-01138</v>
          </cell>
          <cell r="L3290" t="str">
            <v>42-03-02-00-3282</v>
          </cell>
          <cell r="M3290" t="str">
            <v>Bateria auxiliar de 100 Amp. de ciclo profundo</v>
          </cell>
          <cell r="O3290" t="str">
            <v>EQUIPOS DE VEHICULO</v>
          </cell>
          <cell r="P3290">
            <v>147500</v>
          </cell>
          <cell r="T3290" t="str">
            <v>Bueno</v>
          </cell>
          <cell r="U3290" t="str">
            <v>N/T</v>
          </cell>
        </row>
        <row r="3291">
          <cell r="J3291" t="str">
            <v>42-03-02-00-3283</v>
          </cell>
          <cell r="K3291" t="str">
            <v>SC-01139</v>
          </cell>
          <cell r="L3291" t="str">
            <v>42-03-02-00-3283</v>
          </cell>
          <cell r="M3291" t="str">
            <v>Sistema aire acondicionado ( 7.000 y 23.000 BTU )</v>
          </cell>
          <cell r="O3291" t="str">
            <v>EQUIPOS DE VEHICULO</v>
          </cell>
          <cell r="P3291">
            <v>70000</v>
          </cell>
          <cell r="T3291" t="str">
            <v>Bueno</v>
          </cell>
          <cell r="U3291" t="str">
            <v>N/T</v>
          </cell>
        </row>
        <row r="3292">
          <cell r="J3292" t="str">
            <v>42-03-02-00-3284</v>
          </cell>
          <cell r="K3292" t="str">
            <v>SC-01140</v>
          </cell>
          <cell r="L3292" t="str">
            <v>42-03-02-00-3284</v>
          </cell>
          <cell r="M3292" t="str">
            <v>Extractor de aire 12 Volt, centrifugo gran caudal</v>
          </cell>
          <cell r="O3292" t="str">
            <v>EQUIPOS DE VEHICULO</v>
          </cell>
          <cell r="P3292">
            <v>124218</v>
          </cell>
          <cell r="T3292" t="str">
            <v>Bueno</v>
          </cell>
          <cell r="U3292" t="str">
            <v>N/T</v>
          </cell>
        </row>
        <row r="3293">
          <cell r="J3293" t="str">
            <v>42-03-02-00-3285</v>
          </cell>
          <cell r="K3293" t="str">
            <v>SC-01141</v>
          </cell>
          <cell r="L3293" t="str">
            <v>42-03-02-00-3285</v>
          </cell>
          <cell r="M3293" t="str">
            <v>Red de Oxigeno central, 2 tomas ohio y regulador</v>
          </cell>
          <cell r="O3293" t="str">
            <v>EQUIPOS DE VEHICULO</v>
          </cell>
          <cell r="P3293">
            <v>80000</v>
          </cell>
          <cell r="T3293" t="str">
            <v>Bueno</v>
          </cell>
          <cell r="U3293" t="str">
            <v>N/T</v>
          </cell>
        </row>
        <row r="3294">
          <cell r="J3294" t="str">
            <v>42-03-02-00-3286</v>
          </cell>
          <cell r="K3294" t="str">
            <v>SC-01142</v>
          </cell>
          <cell r="L3294" t="str">
            <v>42-03-02-00-3286</v>
          </cell>
          <cell r="M3294" t="str">
            <v>Red de aspiración central con una toma de vacío</v>
          </cell>
          <cell r="O3294" t="str">
            <v>EQUIPOS DE VEHICULO</v>
          </cell>
          <cell r="P3294">
            <v>218900</v>
          </cell>
          <cell r="T3294" t="str">
            <v>Bueno</v>
          </cell>
          <cell r="U3294" t="str">
            <v>N/T</v>
          </cell>
        </row>
        <row r="3295">
          <cell r="J3295" t="str">
            <v>FN-03-02-00-3287</v>
          </cell>
          <cell r="K3295" t="str">
            <v>SC-01143</v>
          </cell>
          <cell r="L3295" t="str">
            <v>FN-03-02-00-3287</v>
          </cell>
          <cell r="M3295" t="str">
            <v>Portasueros retráctiles en techo gabinete sanitario</v>
          </cell>
          <cell r="O3295" t="str">
            <v>EQUIPOS DE VEHICULO FUNGIBLE / NOMINABLE</v>
          </cell>
          <cell r="P3295">
            <v>45000</v>
          </cell>
          <cell r="T3295" t="str">
            <v>Bueno</v>
          </cell>
          <cell r="U3295" t="str">
            <v>N/T</v>
          </cell>
        </row>
        <row r="3296">
          <cell r="J3296" t="str">
            <v>42-04-07-00-3288</v>
          </cell>
          <cell r="K3296" t="str">
            <v>SC-01144</v>
          </cell>
          <cell r="L3296" t="str">
            <v>42-04-07-00-3288</v>
          </cell>
          <cell r="M3296" t="str">
            <v>Recipiente para desechos</v>
          </cell>
          <cell r="O3296" t="str">
            <v>OTROS</v>
          </cell>
          <cell r="P3296">
            <v>5000</v>
          </cell>
          <cell r="T3296" t="str">
            <v>Bueno</v>
          </cell>
          <cell r="U3296" t="str">
            <v>N/T</v>
          </cell>
        </row>
        <row r="3297">
          <cell r="J3297" t="str">
            <v>42-04-07-00-3289</v>
          </cell>
          <cell r="K3297" t="str">
            <v>SC-01145</v>
          </cell>
          <cell r="L3297" t="str">
            <v>42-04-07-00-3289</v>
          </cell>
          <cell r="M3297" t="str">
            <v>Dispensador para desinfectante</v>
          </cell>
          <cell r="O3297" t="str">
            <v>OTROS</v>
          </cell>
          <cell r="P3297">
            <v>15000</v>
          </cell>
          <cell r="T3297" t="str">
            <v>Bueno</v>
          </cell>
          <cell r="U3297" t="str">
            <v>N/T</v>
          </cell>
        </row>
        <row r="3298">
          <cell r="J3298" t="str">
            <v>42-05-02-05-3290</v>
          </cell>
          <cell r="K3298" t="str">
            <v>SC-01146</v>
          </cell>
          <cell r="L3298" t="str">
            <v>42-05-02-05-3290</v>
          </cell>
          <cell r="M3298" t="str">
            <v>Extintor incendio tipo ABC 4 Kgs.</v>
          </cell>
          <cell r="O3298" t="str">
            <v>EQUIPOS DE SEGURIDAD</v>
          </cell>
          <cell r="P3298">
            <v>25000</v>
          </cell>
          <cell r="T3298" t="str">
            <v>Bueno</v>
          </cell>
          <cell r="U3298" t="str">
            <v>N/T</v>
          </cell>
        </row>
        <row r="3299">
          <cell r="J3299" t="str">
            <v>42-05-02-01-3291</v>
          </cell>
          <cell r="K3299" t="str">
            <v>SC-01147</v>
          </cell>
          <cell r="L3299" t="str">
            <v>42-05-02-01-3291</v>
          </cell>
          <cell r="M3299" t="str">
            <v>Resucitador adulto</v>
          </cell>
          <cell r="O3299" t="str">
            <v>EQUIPOS CLINICOS</v>
          </cell>
          <cell r="P3299">
            <v>50000</v>
          </cell>
          <cell r="T3299" t="str">
            <v>Bueno</v>
          </cell>
          <cell r="U3299" t="str">
            <v>N/T</v>
          </cell>
        </row>
        <row r="3300">
          <cell r="J3300" t="str">
            <v>42-05-02-01-3292</v>
          </cell>
          <cell r="K3300" t="str">
            <v>SC-01148</v>
          </cell>
          <cell r="L3300" t="str">
            <v>42-05-02-01-3292</v>
          </cell>
          <cell r="M3300" t="str">
            <v>Resucitador pediatrico</v>
          </cell>
          <cell r="O3300" t="str">
            <v>EQUIPOS CLINICOS</v>
          </cell>
          <cell r="P3300">
            <v>50000</v>
          </cell>
          <cell r="T3300" t="str">
            <v>Bueno</v>
          </cell>
          <cell r="U3300" t="str">
            <v>N/T</v>
          </cell>
        </row>
        <row r="3301">
          <cell r="J3301" t="str">
            <v>42-05-02-01-3293</v>
          </cell>
          <cell r="K3301" t="str">
            <v>SC-01149</v>
          </cell>
          <cell r="L3301" t="str">
            <v>42-05-02-01-3293</v>
          </cell>
          <cell r="M3301" t="str">
            <v>Resucitador Neonatal</v>
          </cell>
          <cell r="O3301" t="str">
            <v>EQUIPOS CLINICOS</v>
          </cell>
          <cell r="P3301">
            <v>49900</v>
          </cell>
          <cell r="T3301" t="str">
            <v>Bueno</v>
          </cell>
          <cell r="U3301" t="str">
            <v>N/T</v>
          </cell>
        </row>
        <row r="3302">
          <cell r="J3302" t="str">
            <v>42-05-02-01-3294</v>
          </cell>
          <cell r="K3302" t="str">
            <v>SC-01150</v>
          </cell>
          <cell r="L3302" t="str">
            <v>42-05-02-01-3294</v>
          </cell>
          <cell r="M3302" t="str">
            <v>Tabla espinal adulto</v>
          </cell>
          <cell r="O3302" t="str">
            <v>EQUIPOS CLINICOS</v>
          </cell>
          <cell r="P3302">
            <v>72900</v>
          </cell>
          <cell r="T3302" t="str">
            <v>Bueno</v>
          </cell>
          <cell r="U3302" t="str">
            <v>N/T</v>
          </cell>
        </row>
        <row r="3303">
          <cell r="J3303" t="str">
            <v>42-05-02-01-3295</v>
          </cell>
          <cell r="K3303" t="str">
            <v>SC-01151</v>
          </cell>
          <cell r="L3303" t="str">
            <v>42-05-02-01-3295</v>
          </cell>
          <cell r="M3303" t="str">
            <v>Tabla espinal pediátrica</v>
          </cell>
          <cell r="O3303" t="str">
            <v>EQUIPOS CLINICOS</v>
          </cell>
          <cell r="P3303">
            <v>72900</v>
          </cell>
          <cell r="T3303" t="str">
            <v>Bueno</v>
          </cell>
          <cell r="U3303" t="str">
            <v>N/T</v>
          </cell>
        </row>
        <row r="3304">
          <cell r="J3304" t="str">
            <v>42-05-02-02-3296</v>
          </cell>
          <cell r="K3304" t="str">
            <v>SC-01152</v>
          </cell>
          <cell r="L3304" t="str">
            <v>42-05-02-02-3296</v>
          </cell>
          <cell r="M3304" t="str">
            <v>Tabla cuchara</v>
          </cell>
          <cell r="O3304" t="str">
            <v>EQUIPOS DE COCINA</v>
          </cell>
          <cell r="P3304">
            <v>65000</v>
          </cell>
          <cell r="T3304" t="str">
            <v>Bueno</v>
          </cell>
          <cell r="U3304" t="str">
            <v>N/T</v>
          </cell>
        </row>
        <row r="3305">
          <cell r="J3305" t="str">
            <v>42-05-02-01-3297</v>
          </cell>
          <cell r="K3305" t="str">
            <v>SC-01153</v>
          </cell>
          <cell r="L3305" t="str">
            <v>42-05-02-01-3297</v>
          </cell>
          <cell r="M3305" t="str">
            <v>Chaleco extricación adulto</v>
          </cell>
          <cell r="O3305" t="str">
            <v>EQUIPOS CLINICOS</v>
          </cell>
          <cell r="P3305">
            <v>37800</v>
          </cell>
          <cell r="T3305" t="str">
            <v>Bueno</v>
          </cell>
          <cell r="U3305" t="str">
            <v>N/T</v>
          </cell>
        </row>
        <row r="3306">
          <cell r="J3306" t="str">
            <v>42-05-02-01-3298</v>
          </cell>
          <cell r="K3306" t="str">
            <v>SC-01154</v>
          </cell>
          <cell r="L3306" t="str">
            <v>42-05-02-01-3298</v>
          </cell>
          <cell r="M3306" t="str">
            <v>Chaleco transporte pediátrico</v>
          </cell>
          <cell r="O3306" t="str">
            <v>EQUIPOS CLINICOS</v>
          </cell>
          <cell r="P3306">
            <v>12000</v>
          </cell>
          <cell r="T3306" t="str">
            <v>Bueno</v>
          </cell>
          <cell r="U3306" t="str">
            <v>N/T</v>
          </cell>
        </row>
        <row r="3307">
          <cell r="J3307" t="str">
            <v>FN-05-02-01-3299</v>
          </cell>
          <cell r="K3307" t="str">
            <v>SC-01155</v>
          </cell>
          <cell r="L3307" t="str">
            <v>FN-05-02-01-3299</v>
          </cell>
          <cell r="M3307" t="str">
            <v>Collar cervical adulto</v>
          </cell>
          <cell r="O3307" t="str">
            <v>EQUIPOS CLINICOS FUNGIBLE / NOMINABLE</v>
          </cell>
          <cell r="P3307">
            <v>7393</v>
          </cell>
          <cell r="T3307" t="str">
            <v>Bueno</v>
          </cell>
          <cell r="U3307" t="str">
            <v>N/T</v>
          </cell>
        </row>
        <row r="3308">
          <cell r="J3308" t="str">
            <v>42-05-02-01-3300</v>
          </cell>
          <cell r="K3308" t="str">
            <v>SC-01156</v>
          </cell>
          <cell r="L3308" t="str">
            <v>42-05-02-01-3300</v>
          </cell>
          <cell r="M3308" t="str">
            <v>Collar cervical Pediátrico</v>
          </cell>
          <cell r="O3308" t="str">
            <v>EQUIPOS CLINICOS</v>
          </cell>
          <cell r="P3308">
            <v>7393</v>
          </cell>
          <cell r="T3308" t="str">
            <v>Bueno</v>
          </cell>
          <cell r="U3308" t="str">
            <v>N/T</v>
          </cell>
        </row>
        <row r="3309">
          <cell r="J3309" t="str">
            <v>42-05-02-01-3301</v>
          </cell>
          <cell r="K3309" t="str">
            <v>SC-01157</v>
          </cell>
          <cell r="L3309" t="str">
            <v>42-05-02-01-3301</v>
          </cell>
          <cell r="M3309" t="str">
            <v>Ferulas de inmovilización adulto</v>
          </cell>
          <cell r="O3309" t="str">
            <v>EQUIPOS CLINICOS</v>
          </cell>
          <cell r="P3309">
            <v>27000</v>
          </cell>
          <cell r="T3309" t="str">
            <v>Bueno</v>
          </cell>
          <cell r="U3309" t="str">
            <v>N/T</v>
          </cell>
        </row>
        <row r="3310">
          <cell r="J3310" t="str">
            <v>42-05-02-01-3302</v>
          </cell>
          <cell r="K3310" t="str">
            <v>SC-01158</v>
          </cell>
          <cell r="L3310" t="str">
            <v>42-05-02-01-3302</v>
          </cell>
          <cell r="M3310" t="str">
            <v>Inmovilizador lateral cabeza</v>
          </cell>
          <cell r="O3310" t="str">
            <v>EQUIPOS CLINICOS</v>
          </cell>
          <cell r="P3310">
            <v>15000</v>
          </cell>
          <cell r="T3310" t="str">
            <v>Bueno</v>
          </cell>
          <cell r="U3310" t="str">
            <v>N/T</v>
          </cell>
        </row>
        <row r="3311">
          <cell r="J3311" t="str">
            <v>42-05-02-01-3303</v>
          </cell>
          <cell r="K3311" t="str">
            <v>SC-01159</v>
          </cell>
          <cell r="L3311" t="str">
            <v>42-05-02-01-3303</v>
          </cell>
          <cell r="M3311" t="str">
            <v>Set oxigeno portatil</v>
          </cell>
          <cell r="O3311" t="str">
            <v>EQUIPOS CLINICOS</v>
          </cell>
          <cell r="P3311">
            <v>159000</v>
          </cell>
          <cell r="T3311" t="str">
            <v>Bueno</v>
          </cell>
          <cell r="U3311" t="str">
            <v>N/T</v>
          </cell>
        </row>
        <row r="3312">
          <cell r="J3312" t="str">
            <v>42-05-02-01-3304</v>
          </cell>
          <cell r="K3312" t="str">
            <v>SC-01160</v>
          </cell>
          <cell r="L3312" t="str">
            <v>42-05-02-01-3304</v>
          </cell>
          <cell r="M3312" t="str">
            <v>Juego laringoscopio adulto</v>
          </cell>
          <cell r="O3312" t="str">
            <v>EQUIPOS CLINICOS</v>
          </cell>
          <cell r="P3312">
            <v>30000</v>
          </cell>
          <cell r="T3312" t="str">
            <v>Bueno</v>
          </cell>
          <cell r="U3312" t="str">
            <v>N/T</v>
          </cell>
        </row>
        <row r="3313">
          <cell r="J3313" t="str">
            <v>42-05-02-01-3305</v>
          </cell>
          <cell r="K3313" t="str">
            <v>SC-01161</v>
          </cell>
          <cell r="L3313" t="str">
            <v>42-05-02-01-3305</v>
          </cell>
          <cell r="M3313" t="str">
            <v>Juego laringoscopio pediátrico</v>
          </cell>
          <cell r="O3313" t="str">
            <v>EQUIPOS CLINICOS</v>
          </cell>
          <cell r="P3313">
            <v>30000</v>
          </cell>
          <cell r="T3313" t="str">
            <v>Bueno</v>
          </cell>
          <cell r="U3313" t="str">
            <v>N/T</v>
          </cell>
        </row>
        <row r="3314">
          <cell r="J3314" t="str">
            <v>42-05-02-01-3306</v>
          </cell>
          <cell r="K3314" t="str">
            <v>SC-01162</v>
          </cell>
          <cell r="L3314" t="str">
            <v>42-05-02-01-3306</v>
          </cell>
          <cell r="M3314" t="str">
            <v>Arnés pediátrico transporte</v>
          </cell>
          <cell r="O3314" t="str">
            <v>EQUIPOS CLINICOS</v>
          </cell>
          <cell r="P3314">
            <v>25000</v>
          </cell>
          <cell r="T3314" t="str">
            <v>Bueno</v>
          </cell>
          <cell r="U3314" t="str">
            <v>N/T</v>
          </cell>
        </row>
        <row r="3315">
          <cell r="J3315" t="str">
            <v>42-05-02-01-3307</v>
          </cell>
          <cell r="K3315" t="str">
            <v>SC-01163</v>
          </cell>
          <cell r="L3315" t="str">
            <v>42-05-02-01-3307</v>
          </cell>
          <cell r="M3315" t="str">
            <v>Mochila vía aerea</v>
          </cell>
          <cell r="O3315" t="str">
            <v>EQUIPOS CLINICOS</v>
          </cell>
          <cell r="P3315">
            <v>20000</v>
          </cell>
          <cell r="T3315" t="str">
            <v>Bueno</v>
          </cell>
          <cell r="U3315" t="str">
            <v>N/T</v>
          </cell>
        </row>
        <row r="3316">
          <cell r="J3316" t="str">
            <v>42-05-02-01-3308</v>
          </cell>
          <cell r="K3316" t="str">
            <v>SC-01164</v>
          </cell>
          <cell r="L3316" t="str">
            <v>42-05-02-01-3308</v>
          </cell>
          <cell r="M3316" t="str">
            <v>Mochila de paro</v>
          </cell>
          <cell r="O3316" t="str">
            <v>EQUIPOS CLINICOS</v>
          </cell>
          <cell r="P3316">
            <v>380000</v>
          </cell>
          <cell r="T3316" t="str">
            <v>Bueno</v>
          </cell>
          <cell r="U3316" t="str">
            <v>N/T</v>
          </cell>
        </row>
        <row r="3317">
          <cell r="J3317" t="str">
            <v>42-05-02-01-3309</v>
          </cell>
          <cell r="K3317" t="str">
            <v>SC-01165</v>
          </cell>
          <cell r="L3317" t="str">
            <v>42-05-02-01-3309</v>
          </cell>
          <cell r="M3317" t="str">
            <v>Mochila mixta</v>
          </cell>
          <cell r="O3317" t="str">
            <v>EQUIPOS CLINICOS</v>
          </cell>
          <cell r="P3317">
            <v>350000</v>
          </cell>
          <cell r="T3317" t="str">
            <v>Bueno</v>
          </cell>
          <cell r="U3317" t="str">
            <v>N/T</v>
          </cell>
        </row>
        <row r="3318">
          <cell r="J3318" t="str">
            <v>42-05-02-01-3310</v>
          </cell>
          <cell r="K3318" t="str">
            <v>SC-01166</v>
          </cell>
          <cell r="L3318" t="str">
            <v>42-05-02-01-3310</v>
          </cell>
          <cell r="M3318" t="str">
            <v>Pulpo</v>
          </cell>
          <cell r="O3318" t="str">
            <v>EQUIPOS CLINICOS</v>
          </cell>
          <cell r="P3318">
            <v>150000</v>
          </cell>
          <cell r="T3318" t="str">
            <v>Bueno</v>
          </cell>
          <cell r="U3318" t="str">
            <v>N/T</v>
          </cell>
        </row>
        <row r="3319">
          <cell r="J3319" t="str">
            <v>42-05-02-01-3311</v>
          </cell>
          <cell r="K3319" t="str">
            <v>SC-01167</v>
          </cell>
          <cell r="L3319" t="str">
            <v>42-05-02-01-3311</v>
          </cell>
          <cell r="M3319" t="str">
            <v>Bomba infusión continua Cardinal Health Mod. Alaris S/Nº 25042RWL1</v>
          </cell>
          <cell r="O3319" t="str">
            <v>EQUIPOS CLINICOS</v>
          </cell>
          <cell r="P3319">
            <v>185000</v>
          </cell>
          <cell r="T3319" t="str">
            <v>Bueno</v>
          </cell>
          <cell r="U3319" t="str">
            <v>Health</v>
          </cell>
        </row>
        <row r="3320">
          <cell r="J3320" t="str">
            <v>42-05-01-01-3312</v>
          </cell>
          <cell r="K3320" t="str">
            <v>SC-01168</v>
          </cell>
          <cell r="L3320" t="str">
            <v>42-05-01-01-3312</v>
          </cell>
          <cell r="M3320" t="str">
            <v>Ventilador mecanico transporte Drager Mod. Oxilog 2000 S/Nº SRYM-0060</v>
          </cell>
          <cell r="O3320" t="str">
            <v>EQUIPO DE OFICINA</v>
          </cell>
          <cell r="P3320">
            <v>380000</v>
          </cell>
          <cell r="T3320" t="str">
            <v>Bueno</v>
          </cell>
          <cell r="U3320" t="str">
            <v>Drager</v>
          </cell>
        </row>
        <row r="3321">
          <cell r="J3321" t="str">
            <v>42-06-01-00-3313</v>
          </cell>
          <cell r="K3321" t="str">
            <v>SC-01169</v>
          </cell>
          <cell r="L3321" t="str">
            <v>42-06-01-00-3313</v>
          </cell>
          <cell r="M3321" t="str">
            <v>Computador Intel Pentium 4 Inside S/Nº 00045-681-991-275</v>
          </cell>
          <cell r="O3321" t="str">
            <v>EQUIPOS COMPUTACIONALES Y PERIFÉRICOS</v>
          </cell>
          <cell r="P3321">
            <v>340000</v>
          </cell>
          <cell r="T3321" t="str">
            <v>Bueno</v>
          </cell>
          <cell r="U3321" t="str">
            <v>Intel Pentium</v>
          </cell>
        </row>
        <row r="3322">
          <cell r="J3322" t="str">
            <v>42-06-01-00-3314</v>
          </cell>
          <cell r="K3322" t="str">
            <v>SC-01170</v>
          </cell>
          <cell r="L3322" t="str">
            <v>42-06-01-00-3314</v>
          </cell>
          <cell r="M3322" t="str">
            <v>Monitor Samsung Mod. 540N S/Nº HA15H9NP302565A</v>
          </cell>
          <cell r="O3322" t="str">
            <v>EQUIPOS COMPUTACIONALES Y PERIFÉRICOS</v>
          </cell>
          <cell r="P3322">
            <v>14000</v>
          </cell>
          <cell r="T3322" t="str">
            <v>Bueno</v>
          </cell>
          <cell r="U3322" t="str">
            <v>Samsung</v>
          </cell>
        </row>
        <row r="3323">
          <cell r="J3323" t="str">
            <v>42-06-01-00-3315</v>
          </cell>
          <cell r="K3323" t="str">
            <v>SC-01171</v>
          </cell>
          <cell r="L3323" t="str">
            <v>42-06-01-00-3315</v>
          </cell>
          <cell r="M3323" t="str">
            <v>Teclado Ok Technology</v>
          </cell>
          <cell r="O3323" t="str">
            <v>EQUIPOS COMPUTACIONALES Y PERIFÉRICOS</v>
          </cell>
          <cell r="P3323">
            <v>4000</v>
          </cell>
          <cell r="T3323" t="str">
            <v>Bueno</v>
          </cell>
        </row>
        <row r="3324">
          <cell r="J3324" t="str">
            <v>42-06-01-00-3316</v>
          </cell>
          <cell r="K3324" t="str">
            <v>SC-01172</v>
          </cell>
          <cell r="L3324" t="str">
            <v>42-06-01-00-3316</v>
          </cell>
          <cell r="M3324" t="str">
            <v>Mouse Genius M/N Netscroll 110 S/Nº 143956109484</v>
          </cell>
          <cell r="O3324" t="str">
            <v>EQUIPOS COMPUTACIONALES Y PERIFÉRICOS</v>
          </cell>
          <cell r="P3324">
            <v>3000</v>
          </cell>
          <cell r="T3324" t="str">
            <v>Bueno</v>
          </cell>
          <cell r="U3324" t="str">
            <v>Genius</v>
          </cell>
        </row>
        <row r="3325">
          <cell r="J3325" t="str">
            <v>42-04-07-00-3317</v>
          </cell>
          <cell r="K3325" t="str">
            <v>SC-01173</v>
          </cell>
          <cell r="L3325" t="str">
            <v>42-04-07-00-3317</v>
          </cell>
          <cell r="M3325" t="str">
            <v>cubierta postformado 211x51x75 cms.</v>
          </cell>
          <cell r="O3325" t="str">
            <v>OTROS</v>
          </cell>
          <cell r="P3325">
            <v>50000</v>
          </cell>
          <cell r="T3325" t="str">
            <v>Bueno</v>
          </cell>
          <cell r="U3325" t="str">
            <v>N/T</v>
          </cell>
        </row>
        <row r="3326">
          <cell r="J3326" t="str">
            <v>FN-04-07-00-3318</v>
          </cell>
          <cell r="K3326" t="str">
            <v>SC-01174</v>
          </cell>
          <cell r="L3326" t="str">
            <v>FN-04-07-00-3318</v>
          </cell>
          <cell r="M3326" t="str">
            <v>Porta cortinas</v>
          </cell>
          <cell r="O3326" t="str">
            <v>OTROS FUNGIBLE / NOMINABLE</v>
          </cell>
          <cell r="P3326">
            <v>1500</v>
          </cell>
          <cell r="T3326" t="str">
            <v>Bueno</v>
          </cell>
          <cell r="U3326" t="str">
            <v>N/T</v>
          </cell>
        </row>
        <row r="3327">
          <cell r="J3327" t="str">
            <v>FN-04-07-00-3319</v>
          </cell>
          <cell r="K3327" t="str">
            <v>SC-01175</v>
          </cell>
          <cell r="L3327" t="str">
            <v>FN-04-07-00-3319</v>
          </cell>
          <cell r="M3327" t="str">
            <v>Cortinas color beige</v>
          </cell>
          <cell r="O3327" t="str">
            <v>OTROS FUNGIBLE / NOMINABLE</v>
          </cell>
          <cell r="P3327">
            <v>12000</v>
          </cell>
          <cell r="T3327" t="str">
            <v>Bueno</v>
          </cell>
          <cell r="U3327" t="str">
            <v>N/T</v>
          </cell>
        </row>
        <row r="3328">
          <cell r="J3328" t="str">
            <v>42-05-01-01-3320</v>
          </cell>
          <cell r="K3328" t="str">
            <v>SC-01176</v>
          </cell>
          <cell r="L3328" t="str">
            <v>42-05-01-01-3320</v>
          </cell>
          <cell r="M3328" t="str">
            <v>Regulated Power Supply Mod DF1763</v>
          </cell>
          <cell r="O3328" t="str">
            <v>EQUIPO DE OFICINA</v>
          </cell>
          <cell r="P3328">
            <v>120000</v>
          </cell>
          <cell r="T3328" t="str">
            <v>Bueno</v>
          </cell>
          <cell r="U3328" t="str">
            <v>N/T</v>
          </cell>
        </row>
        <row r="3329">
          <cell r="J3329" t="str">
            <v>42-04-07-00-3321</v>
          </cell>
          <cell r="K3329" t="str">
            <v>SC-01177</v>
          </cell>
          <cell r="L3329" t="str">
            <v>42-04-07-00-3321</v>
          </cell>
          <cell r="M3329" t="str">
            <v>Ducha teléfono</v>
          </cell>
          <cell r="O3329" t="str">
            <v>OTROS</v>
          </cell>
          <cell r="P3329">
            <v>30000</v>
          </cell>
          <cell r="T3329" t="str">
            <v>Bueno</v>
          </cell>
          <cell r="U3329" t="str">
            <v>N/T</v>
          </cell>
        </row>
        <row r="3330">
          <cell r="J3330" t="str">
            <v>42-04-07-00-3322</v>
          </cell>
          <cell r="K3330" t="str">
            <v>SC-01178</v>
          </cell>
          <cell r="L3330" t="str">
            <v>42-04-07-00-3322</v>
          </cell>
          <cell r="M3330" t="str">
            <v>Dispensador de jabón Johnson</v>
          </cell>
          <cell r="O3330" t="str">
            <v>OTROS</v>
          </cell>
          <cell r="P3330">
            <v>17000</v>
          </cell>
          <cell r="T3330" t="str">
            <v>Bueno</v>
          </cell>
          <cell r="U3330" t="str">
            <v>N/T</v>
          </cell>
        </row>
        <row r="3331">
          <cell r="J3331" t="str">
            <v>42-04-07-00-3323</v>
          </cell>
          <cell r="K3331" t="str">
            <v>SC-01179</v>
          </cell>
          <cell r="L3331" t="str">
            <v>42-04-07-00-3323</v>
          </cell>
          <cell r="M3331" t="str">
            <v>Espejo 100x90 cms.</v>
          </cell>
          <cell r="O3331" t="str">
            <v>OTROS</v>
          </cell>
          <cell r="P3331">
            <v>8000</v>
          </cell>
          <cell r="T3331" t="str">
            <v>Bueno</v>
          </cell>
          <cell r="U3331" t="str">
            <v>N/T</v>
          </cell>
        </row>
        <row r="3332">
          <cell r="J3332" t="str">
            <v>NN-06-01-00-3324</v>
          </cell>
          <cell r="K3332" t="str">
            <v>SC-01180</v>
          </cell>
          <cell r="L3332" t="str">
            <v>NN-06-01-00-3324</v>
          </cell>
          <cell r="M3332" t="str">
            <v>Computador Olidata S/Nº 011427-000003</v>
          </cell>
          <cell r="O3332" t="str">
            <v>EQUIPOS COMPUTACIONALES Y PERIFÉRICOS EN ARRIENDO</v>
          </cell>
          <cell r="P3332">
            <v>340000</v>
          </cell>
          <cell r="T3332" t="str">
            <v>Bueno</v>
          </cell>
          <cell r="U3332" t="str">
            <v>Olidata</v>
          </cell>
        </row>
        <row r="3333">
          <cell r="J3333" t="str">
            <v>NN-06-01-00-3325</v>
          </cell>
          <cell r="K3333" t="str">
            <v>SC-01181</v>
          </cell>
          <cell r="L3333" t="str">
            <v>NN-06-01-00-3325</v>
          </cell>
          <cell r="M3333" t="str">
            <v>Monitor Olidata 17" Mod. W7006 S/Nº W7006S-8AB2355-00514F</v>
          </cell>
          <cell r="O3333" t="str">
            <v>EQUIPOS COMPUTACIONALES Y PERIFÉRICOS EN ARRIENDO</v>
          </cell>
          <cell r="P3333">
            <v>14000</v>
          </cell>
          <cell r="T3333" t="str">
            <v>Bueno</v>
          </cell>
          <cell r="U3333" t="str">
            <v>Olidata</v>
          </cell>
        </row>
        <row r="3334">
          <cell r="J3334" t="str">
            <v>NN-06-01-00-3326</v>
          </cell>
          <cell r="K3334" t="str">
            <v>SC-01182</v>
          </cell>
          <cell r="L3334" t="str">
            <v>NN-06-01-00-3326</v>
          </cell>
          <cell r="M3334" t="str">
            <v>Teclado Olidata Mod K 5108 S/Nº K51080903012209</v>
          </cell>
          <cell r="O3334" t="str">
            <v>EQUIPOS COMPUTACIONALES Y PERIFÉRICOS EN ARRIENDO</v>
          </cell>
          <cell r="P3334">
            <v>4000</v>
          </cell>
          <cell r="T3334" t="str">
            <v>Bueno</v>
          </cell>
          <cell r="U3334" t="str">
            <v>Olidata</v>
          </cell>
        </row>
        <row r="3335">
          <cell r="J3335" t="str">
            <v>NN-06-01-00-3327</v>
          </cell>
          <cell r="K3335" t="str">
            <v>SC-01183</v>
          </cell>
          <cell r="L3335" t="str">
            <v>NN-06-01-00-3327</v>
          </cell>
          <cell r="M3335" t="str">
            <v>Mouse Olidata Mod. KM-8942</v>
          </cell>
          <cell r="O3335" t="str">
            <v>EQUIPOS COMPUTACIONALES Y PERIFÉRICOS EN ARRIENDO</v>
          </cell>
          <cell r="P3335">
            <v>3000</v>
          </cell>
          <cell r="T3335" t="str">
            <v>Bueno</v>
          </cell>
          <cell r="U3335" t="str">
            <v>Olidata</v>
          </cell>
        </row>
        <row r="3336">
          <cell r="J3336" t="str">
            <v>42-04-07-00-3328</v>
          </cell>
          <cell r="K3336" t="str">
            <v>SC-01184</v>
          </cell>
          <cell r="L3336" t="str">
            <v>42-04-07-00-3328</v>
          </cell>
          <cell r="M3336" t="str">
            <v>Basurero plástico con tapa color blanco</v>
          </cell>
          <cell r="O3336" t="str">
            <v>OTROS</v>
          </cell>
          <cell r="P3336">
            <v>3000</v>
          </cell>
          <cell r="T3336" t="str">
            <v>Bueno</v>
          </cell>
          <cell r="U3336" t="str">
            <v>N/T</v>
          </cell>
        </row>
        <row r="3337">
          <cell r="J3337" t="str">
            <v>42-05-01-01-3329</v>
          </cell>
          <cell r="K3337" t="str">
            <v>SC-01185</v>
          </cell>
          <cell r="L3337" t="str">
            <v>42-05-01-01-3329</v>
          </cell>
          <cell r="M3337" t="str">
            <v>Corchetera Torre color negra</v>
          </cell>
          <cell r="O3337" t="str">
            <v>EQUIPO DE OFICINA</v>
          </cell>
          <cell r="P3337">
            <v>2400</v>
          </cell>
          <cell r="T3337" t="str">
            <v>Bueno</v>
          </cell>
          <cell r="U3337" t="str">
            <v>Torre</v>
          </cell>
        </row>
        <row r="3338">
          <cell r="J3338" t="str">
            <v>42-05-01-01-3330</v>
          </cell>
          <cell r="K3338" t="str">
            <v>SC-01186</v>
          </cell>
          <cell r="L3338" t="str">
            <v>42-05-01-01-3330</v>
          </cell>
          <cell r="M3338" t="str">
            <v>Teléfono compañía CTC Mod. Alerce S/Nº 20847914974F022007676746</v>
          </cell>
          <cell r="O3338" t="str">
            <v>EQUIPO DE OFICINA</v>
          </cell>
          <cell r="P3338">
            <v>8000</v>
          </cell>
          <cell r="T3338" t="str">
            <v>Bueno</v>
          </cell>
          <cell r="U3338" t="str">
            <v>Alerce</v>
          </cell>
        </row>
        <row r="3339">
          <cell r="J3339" t="str">
            <v>42-06-01-00-3331</v>
          </cell>
          <cell r="K3339" t="str">
            <v>SC-01187</v>
          </cell>
          <cell r="L3339" t="str">
            <v>42-06-01-00-3331</v>
          </cell>
          <cell r="M3339" t="str">
            <v>Router  AIR 802 Mod. AP-G-200</v>
          </cell>
          <cell r="O3339" t="str">
            <v>EQUIPOS COMPUTACIONALES Y PERIFÉRICOS</v>
          </cell>
          <cell r="P3339">
            <v>31903</v>
          </cell>
          <cell r="T3339" t="str">
            <v>Bueno</v>
          </cell>
          <cell r="U3339" t="str">
            <v>N/T</v>
          </cell>
        </row>
        <row r="3340">
          <cell r="J3340" t="str">
            <v>42-04-07-00-3332</v>
          </cell>
          <cell r="K3340" t="str">
            <v>SC-01188</v>
          </cell>
          <cell r="L3340" t="str">
            <v>42-04-07-00-3332</v>
          </cell>
          <cell r="M3340" t="str">
            <v>Basurero metálico</v>
          </cell>
          <cell r="O3340" t="str">
            <v>OTROS</v>
          </cell>
          <cell r="P3340">
            <v>5000</v>
          </cell>
          <cell r="T3340" t="str">
            <v>Bueno</v>
          </cell>
          <cell r="U3340" t="str">
            <v>N/T</v>
          </cell>
        </row>
        <row r="3341">
          <cell r="J3341" t="str">
            <v>42-04-07-00-3333</v>
          </cell>
          <cell r="K3341" t="str">
            <v>SC-01189</v>
          </cell>
          <cell r="L3341" t="str">
            <v>42-04-07-00-3333</v>
          </cell>
          <cell r="M3341" t="str">
            <v>Basurero plástico</v>
          </cell>
          <cell r="O3341" t="str">
            <v>OTROS</v>
          </cell>
          <cell r="P3341">
            <v>3000</v>
          </cell>
          <cell r="T3341" t="str">
            <v>Bueno</v>
          </cell>
          <cell r="U3341" t="str">
            <v>N/T</v>
          </cell>
        </row>
        <row r="3342">
          <cell r="J3342" t="str">
            <v>NN-06-01-00-3334</v>
          </cell>
          <cell r="K3342" t="str">
            <v>SC-01190</v>
          </cell>
          <cell r="L3342" t="str">
            <v>NN-06-01-00-3334</v>
          </cell>
          <cell r="M3342" t="str">
            <v>Computador Olidata S/Nº 011427-000005</v>
          </cell>
          <cell r="O3342" t="str">
            <v>EQUIPOS COMPUTACIONALES Y PERIFÉRICOS EN ARRIENDO</v>
          </cell>
          <cell r="P3342">
            <v>340000</v>
          </cell>
          <cell r="T3342" t="str">
            <v>Bueno</v>
          </cell>
          <cell r="U3342" t="str">
            <v>Olidata</v>
          </cell>
        </row>
        <row r="3343">
          <cell r="J3343" t="str">
            <v>42-06-01-00-3335</v>
          </cell>
          <cell r="K3343" t="str">
            <v>SC-01191</v>
          </cell>
          <cell r="L3343" t="str">
            <v>42-06-01-00-3335</v>
          </cell>
          <cell r="M3343" t="str">
            <v>Monitor Mod. 70006S S/Nº WZ7006S-8A2354-01226E</v>
          </cell>
          <cell r="O3343" t="str">
            <v>EQUIPOS COMPUTACIONALES Y PERIFÉRICOS</v>
          </cell>
          <cell r="P3343">
            <v>14000</v>
          </cell>
          <cell r="T3343" t="str">
            <v>Bueno</v>
          </cell>
          <cell r="U3343" t="str">
            <v>Olidata</v>
          </cell>
        </row>
        <row r="3344">
          <cell r="J3344" t="str">
            <v>NN-06-01-00-3336</v>
          </cell>
          <cell r="K3344" t="str">
            <v>SC-01192</v>
          </cell>
          <cell r="L3344" t="str">
            <v>NN-06-01-00-3336</v>
          </cell>
          <cell r="M3344" t="str">
            <v>Teclado Olidata Mod. K 5108 S/Nº K51080903012202</v>
          </cell>
          <cell r="O3344" t="str">
            <v>EQUIPOS COMPUTACIONALES Y PERIFÉRICOS EN ARRIENDO</v>
          </cell>
          <cell r="P3344">
            <v>4000</v>
          </cell>
          <cell r="T3344" t="str">
            <v>Bueno</v>
          </cell>
          <cell r="U3344" t="str">
            <v>Olidata</v>
          </cell>
        </row>
        <row r="3345">
          <cell r="J3345" t="str">
            <v>42-06-01-00-3337</v>
          </cell>
          <cell r="K3345" t="str">
            <v>SC-01193</v>
          </cell>
          <cell r="L3345" t="str">
            <v>42-06-01-00-3337</v>
          </cell>
          <cell r="M3345" t="str">
            <v>Mouse Mod. KM-8942</v>
          </cell>
          <cell r="O3345" t="str">
            <v>EQUIPOS COMPUTACIONALES Y PERIFÉRICOS</v>
          </cell>
          <cell r="P3345">
            <v>3000</v>
          </cell>
          <cell r="T3345" t="str">
            <v>Bueno</v>
          </cell>
          <cell r="U3345" t="str">
            <v>Olidata</v>
          </cell>
        </row>
        <row r="3346">
          <cell r="J3346" t="str">
            <v>FN-04-07-00-3338</v>
          </cell>
          <cell r="K3346" t="str">
            <v>SC-01194</v>
          </cell>
          <cell r="L3346" t="str">
            <v>FN-04-07-00-3338</v>
          </cell>
          <cell r="M3346" t="str">
            <v>Colchonetas color azul</v>
          </cell>
          <cell r="O3346" t="str">
            <v>OTROS FUNGIBLE / NOMINABLE</v>
          </cell>
          <cell r="P3346">
            <v>3500</v>
          </cell>
          <cell r="T3346" t="str">
            <v>Bueno</v>
          </cell>
          <cell r="U3346" t="str">
            <v>N/T</v>
          </cell>
        </row>
        <row r="3347">
          <cell r="J3347" t="str">
            <v>42-04-07-00-3339</v>
          </cell>
          <cell r="K3347" t="str">
            <v>SC-01195</v>
          </cell>
          <cell r="L3347" t="str">
            <v>42-04-07-00-3339</v>
          </cell>
          <cell r="M3347" t="str">
            <v>Cortinas verde musgo</v>
          </cell>
          <cell r="O3347" t="str">
            <v>OTROS</v>
          </cell>
          <cell r="P3347">
            <v>12300</v>
          </cell>
          <cell r="T3347" t="str">
            <v>Bueno</v>
          </cell>
          <cell r="U3347" t="str">
            <v>N/T</v>
          </cell>
        </row>
        <row r="3348">
          <cell r="J3348" t="str">
            <v>42-04-07-00-3340</v>
          </cell>
          <cell r="K3348" t="str">
            <v>SC-01196</v>
          </cell>
          <cell r="L3348" t="str">
            <v>42-04-07-00-3340</v>
          </cell>
          <cell r="M3348" t="str">
            <v>Porta cortina</v>
          </cell>
          <cell r="O3348" t="str">
            <v>OTROS</v>
          </cell>
          <cell r="P3348">
            <v>1500</v>
          </cell>
          <cell r="T3348" t="str">
            <v>Bueno</v>
          </cell>
          <cell r="U3348" t="str">
            <v>N/T</v>
          </cell>
        </row>
        <row r="3349">
          <cell r="J3349" t="str">
            <v>NN-06-01-00-3341</v>
          </cell>
          <cell r="K3349" t="str">
            <v>SC-01197</v>
          </cell>
          <cell r="L3349" t="str">
            <v>NN-06-01-00-3341</v>
          </cell>
          <cell r="M3349" t="str">
            <v>Computador Olidata S/N 008920-000344</v>
          </cell>
          <cell r="O3349" t="str">
            <v>EQUIPOS COMPUTACIONALES Y PERIFÉRICOS EN ARRIENDO</v>
          </cell>
          <cell r="P3349">
            <v>340000</v>
          </cell>
          <cell r="T3349" t="str">
            <v>Bueno</v>
          </cell>
          <cell r="U3349" t="str">
            <v>Olidata</v>
          </cell>
        </row>
        <row r="3350">
          <cell r="J3350" t="str">
            <v>NN-06-01-00-3342</v>
          </cell>
          <cell r="K3350" t="str">
            <v>SC-01198</v>
          </cell>
          <cell r="L3350" t="str">
            <v>NN-06-01-00-3342</v>
          </cell>
          <cell r="M3350" t="str">
            <v>Monitor LCD Olidata 17" Mod. 7005L11 S/Nº 75L11N-75K2372-02064H</v>
          </cell>
          <cell r="O3350" t="str">
            <v>EQUIPOS COMPUTACIONALES Y PERIFÉRICOS EN ARRIENDO</v>
          </cell>
          <cell r="P3350">
            <v>14000</v>
          </cell>
          <cell r="T3350" t="str">
            <v>Bueno</v>
          </cell>
          <cell r="U3350" t="str">
            <v>Olidata</v>
          </cell>
        </row>
        <row r="3351">
          <cell r="J3351" t="str">
            <v>NN-06-01-00-3343</v>
          </cell>
          <cell r="K3351" t="str">
            <v>SC-01199</v>
          </cell>
          <cell r="L3351" t="str">
            <v>NN-06-01-00-3343</v>
          </cell>
          <cell r="M3351" t="str">
            <v>Teclado Olidata Mod. K 7563 S/Nº K75630703004120</v>
          </cell>
          <cell r="O3351" t="str">
            <v>EQUIPOS COMPUTACIONALES Y PERIFÉRICOS EN ARRIENDO</v>
          </cell>
          <cell r="P3351">
            <v>4000</v>
          </cell>
          <cell r="T3351" t="str">
            <v>Bueno</v>
          </cell>
          <cell r="U3351" t="str">
            <v>Olidata</v>
          </cell>
        </row>
        <row r="3352">
          <cell r="J3352" t="str">
            <v>NN-06-01-00-3344</v>
          </cell>
          <cell r="K3352" t="str">
            <v>SC-01200</v>
          </cell>
          <cell r="L3352" t="str">
            <v>NN-06-01-00-3344</v>
          </cell>
          <cell r="M3352" t="str">
            <v>Mouse optico Olidata Mod. KM 8920</v>
          </cell>
          <cell r="O3352" t="str">
            <v>EQUIPOS COMPUTACIONALES Y PERIFÉRICOS EN ARRIENDO</v>
          </cell>
          <cell r="P3352">
            <v>3000</v>
          </cell>
          <cell r="T3352" t="str">
            <v>Bueno</v>
          </cell>
          <cell r="U3352" t="str">
            <v>Olidata</v>
          </cell>
        </row>
        <row r="3353">
          <cell r="J3353" t="str">
            <v>42-05-02-06-3345</v>
          </cell>
          <cell r="K3353" t="str">
            <v>SC-01201</v>
          </cell>
          <cell r="L3353" t="str">
            <v>42-05-02-06-3345</v>
          </cell>
          <cell r="M3353" t="str">
            <v>Balde color rojo c/tapa blanca</v>
          </cell>
          <cell r="O3353" t="str">
            <v>HERRAMIENTAS</v>
          </cell>
          <cell r="P3353">
            <v>4000</v>
          </cell>
          <cell r="T3353" t="str">
            <v>Bueno</v>
          </cell>
          <cell r="U3353" t="str">
            <v>N/T</v>
          </cell>
        </row>
        <row r="3354">
          <cell r="J3354" t="str">
            <v>42-04-07-00-3346</v>
          </cell>
          <cell r="K3354" t="str">
            <v>SC-01202</v>
          </cell>
          <cell r="L3354" t="str">
            <v>42-04-07-00-3346</v>
          </cell>
          <cell r="M3354" t="str">
            <v>Papelero metálico color café</v>
          </cell>
          <cell r="O3354" t="str">
            <v>OTROS</v>
          </cell>
          <cell r="P3354">
            <v>3000</v>
          </cell>
          <cell r="T3354" t="str">
            <v>Bueno</v>
          </cell>
          <cell r="U3354" t="str">
            <v>N/T</v>
          </cell>
        </row>
        <row r="3355">
          <cell r="J3355" t="str">
            <v>42-04-07-00-3347</v>
          </cell>
          <cell r="K3355" t="str">
            <v>SC-01203</v>
          </cell>
          <cell r="L3355" t="str">
            <v>42-04-07-00-3347</v>
          </cell>
          <cell r="M3355" t="str">
            <v>Portacortinas</v>
          </cell>
          <cell r="O3355" t="str">
            <v>OTROS</v>
          </cell>
          <cell r="P3355">
            <v>1500</v>
          </cell>
          <cell r="T3355" t="str">
            <v>Bueno</v>
          </cell>
          <cell r="U3355" t="str">
            <v>N/T</v>
          </cell>
        </row>
        <row r="3356">
          <cell r="J3356" t="str">
            <v>FN-04-07-00-3348</v>
          </cell>
          <cell r="K3356" t="str">
            <v>SC-01204</v>
          </cell>
          <cell r="L3356" t="str">
            <v>FN-04-07-00-3348</v>
          </cell>
          <cell r="M3356" t="str">
            <v>Cortinas color crema</v>
          </cell>
          <cell r="O3356" t="str">
            <v>OTROS FUNGIBLE / NOMINABLE</v>
          </cell>
          <cell r="P3356">
            <v>10000</v>
          </cell>
          <cell r="T3356" t="str">
            <v>Bueno</v>
          </cell>
          <cell r="U3356" t="str">
            <v>N/T</v>
          </cell>
        </row>
        <row r="3357">
          <cell r="J3357" t="str">
            <v>42-05-02-01-3349</v>
          </cell>
          <cell r="K3357" t="str">
            <v>SC-01205</v>
          </cell>
          <cell r="L3357" t="str">
            <v>42-05-02-01-3349</v>
          </cell>
          <cell r="M3357" t="str">
            <v>Caja acero inoxidable c/tapa 30x15x10 cms.</v>
          </cell>
          <cell r="O3357" t="str">
            <v>EQUIPOS CLINICOS</v>
          </cell>
          <cell r="P3357">
            <v>25000</v>
          </cell>
          <cell r="T3357" t="str">
            <v>Bueno</v>
          </cell>
          <cell r="U3357" t="str">
            <v>N/T</v>
          </cell>
        </row>
        <row r="3358">
          <cell r="J3358" t="str">
            <v>FN-04-07-00-3350</v>
          </cell>
          <cell r="K3358" t="str">
            <v>SC-01206</v>
          </cell>
          <cell r="L3358" t="str">
            <v>FN-04-07-00-3350</v>
          </cell>
          <cell r="M3358" t="str">
            <v>Cajas acero inoxidable 17x17x22 cms.</v>
          </cell>
          <cell r="O3358" t="str">
            <v>OTROS FUNGIBLE / NOMINABLE</v>
          </cell>
          <cell r="P3358">
            <v>25000</v>
          </cell>
          <cell r="T3358" t="str">
            <v>Bueno</v>
          </cell>
          <cell r="U3358" t="str">
            <v>N/T</v>
          </cell>
        </row>
        <row r="3359">
          <cell r="J3359" t="str">
            <v>42-05-02-01-3351</v>
          </cell>
          <cell r="K3359" t="str">
            <v>SC-01207</v>
          </cell>
          <cell r="L3359" t="str">
            <v>42-05-02-01-3351</v>
          </cell>
          <cell r="M3359" t="str">
            <v>Riñones acero inoxidable 26 cms.</v>
          </cell>
          <cell r="N3359">
            <v>1</v>
          </cell>
          <cell r="O3359" t="str">
            <v>EQUIPOS CLINICOS</v>
          </cell>
          <cell r="P3359">
            <v>30000</v>
          </cell>
          <cell r="T3359" t="str">
            <v>Bueno</v>
          </cell>
          <cell r="U3359" t="str">
            <v>N/T</v>
          </cell>
        </row>
        <row r="3360">
          <cell r="J3360" t="str">
            <v>42-05-02-01-3352</v>
          </cell>
          <cell r="K3360" t="str">
            <v>SC-01208</v>
          </cell>
          <cell r="L3360" t="str">
            <v>42-05-02-01-3352</v>
          </cell>
          <cell r="M3360" t="str">
            <v>Estetoscopio Pinard plástico color negro</v>
          </cell>
          <cell r="O3360" t="str">
            <v>EQUIPOS CLINICOS</v>
          </cell>
          <cell r="P3360">
            <v>42700</v>
          </cell>
          <cell r="T3360" t="str">
            <v>Bueno</v>
          </cell>
          <cell r="U3360" t="str">
            <v>N/T</v>
          </cell>
        </row>
        <row r="3361">
          <cell r="J3361" t="str">
            <v>NN-06-01-00-3353</v>
          </cell>
          <cell r="K3361" t="str">
            <v>SC-01209</v>
          </cell>
          <cell r="L3361" t="str">
            <v>NN-06-01-00-3353</v>
          </cell>
          <cell r="M3361" t="str">
            <v>Computador Olidata ID Nº A2622 S/Nº 008920-000372</v>
          </cell>
          <cell r="O3361" t="str">
            <v>EQUIPOS COMPUTACIONALES Y PERIFÉRICOS EN ARRIENDO</v>
          </cell>
          <cell r="P3361">
            <v>340000</v>
          </cell>
          <cell r="T3361" t="str">
            <v>Bueno</v>
          </cell>
          <cell r="U3361" t="str">
            <v>Olidata</v>
          </cell>
        </row>
        <row r="3362">
          <cell r="J3362" t="str">
            <v>NN-06-01-00-3354</v>
          </cell>
          <cell r="K3362" t="str">
            <v>SC-01210</v>
          </cell>
          <cell r="L3362" t="str">
            <v>NN-06-01-00-3354</v>
          </cell>
          <cell r="M3362" t="str">
            <v>Monitor LCD Olidata 17" Mod. 7005L11 S/Nº 75L11N-75M2273-008348</v>
          </cell>
          <cell r="O3362" t="str">
            <v>EQUIPOS COMPUTACIONALES Y PERIFÉRICOS EN ARRIENDO</v>
          </cell>
          <cell r="P3362">
            <v>14000</v>
          </cell>
          <cell r="T3362" t="str">
            <v>Bueno</v>
          </cell>
          <cell r="U3362" t="str">
            <v>Olidata</v>
          </cell>
        </row>
        <row r="3363">
          <cell r="J3363" t="str">
            <v>NN-06-01-00-3355</v>
          </cell>
          <cell r="K3363" t="str">
            <v>SC-01211</v>
          </cell>
          <cell r="L3363" t="str">
            <v>NN-06-01-00-3355</v>
          </cell>
          <cell r="M3363" t="str">
            <v>Teclado Olidata Mod. K 7563 S/Nº K75630703004129</v>
          </cell>
          <cell r="O3363" t="str">
            <v>EQUIPOS COMPUTACIONALES Y PERIFÉRICOS EN ARRIENDO</v>
          </cell>
          <cell r="P3363">
            <v>4000</v>
          </cell>
          <cell r="T3363" t="str">
            <v>Bueno</v>
          </cell>
          <cell r="U3363" t="str">
            <v>Olidata</v>
          </cell>
        </row>
        <row r="3364">
          <cell r="J3364" t="str">
            <v>NN-06-01-00-3356</v>
          </cell>
          <cell r="K3364" t="str">
            <v>SC-01212</v>
          </cell>
          <cell r="L3364" t="str">
            <v>NN-06-01-00-3356</v>
          </cell>
          <cell r="M3364" t="str">
            <v>Mouse optico Olidata Mod. KM 8920</v>
          </cell>
          <cell r="O3364" t="str">
            <v>EQUIPOS COMPUTACIONALES Y PERIFÉRICOS EN ARRIENDO</v>
          </cell>
          <cell r="P3364">
            <v>3000</v>
          </cell>
          <cell r="T3364" t="str">
            <v>Bueno</v>
          </cell>
          <cell r="U3364" t="str">
            <v>Olidata</v>
          </cell>
        </row>
        <row r="3365">
          <cell r="J3365" t="str">
            <v>42-04-07-00-3357</v>
          </cell>
          <cell r="K3365" t="str">
            <v>SC-01213</v>
          </cell>
          <cell r="L3365" t="str">
            <v>42-04-07-00-3357</v>
          </cell>
          <cell r="M3365" t="str">
            <v>Papelero metálico color café</v>
          </cell>
          <cell r="O3365" t="str">
            <v>OTROS</v>
          </cell>
          <cell r="P3365">
            <v>3000</v>
          </cell>
          <cell r="T3365" t="str">
            <v>Bueno</v>
          </cell>
          <cell r="U3365" t="str">
            <v>N/T</v>
          </cell>
        </row>
        <row r="3366">
          <cell r="J3366" t="str">
            <v>NN-06-01-00-3358</v>
          </cell>
          <cell r="K3366" t="str">
            <v>SC-01214</v>
          </cell>
          <cell r="L3366" t="str">
            <v>NN-06-01-00-3358</v>
          </cell>
          <cell r="M3366" t="str">
            <v>PC All in One Olidata Nºs: 014588-001075</v>
          </cell>
          <cell r="N3366" t="str">
            <v xml:space="preserve">Pantalla Integrada </v>
          </cell>
          <cell r="O3366" t="str">
            <v>EQUIPOS COMPUTACIONALES Y PERIFÉRICOS EN ARRIENDO</v>
          </cell>
          <cell r="P3366">
            <v>270000</v>
          </cell>
          <cell r="Q3366" t="str">
            <v>ns:014588-001075</v>
          </cell>
          <cell r="R3366" t="str">
            <v>ALL IN ONE</v>
          </cell>
          <cell r="S3366" t="str">
            <v>Olidata</v>
          </cell>
          <cell r="T3366" t="str">
            <v>Bueno</v>
          </cell>
          <cell r="U3366" t="str">
            <v>Olidata</v>
          </cell>
        </row>
        <row r="3367">
          <cell r="J3367" t="str">
            <v>42-06-01-00-3359</v>
          </cell>
          <cell r="K3367" t="str">
            <v>SC-01215</v>
          </cell>
          <cell r="L3367" t="str">
            <v>42-06-01-00-3359</v>
          </cell>
          <cell r="M3367" t="str">
            <v>Teclado Convencional Negro MODEL K3100</v>
          </cell>
          <cell r="N3367" t="str">
            <v xml:space="preserve">Negro </v>
          </cell>
          <cell r="O3367" t="str">
            <v>EQUIPOS COMPUTACIONALES Y PERIFÉRICOS</v>
          </cell>
          <cell r="P3367">
            <v>4000</v>
          </cell>
          <cell r="R3367" t="str">
            <v>Convencional</v>
          </cell>
          <cell r="S3367" t="str">
            <v>Olidata</v>
          </cell>
          <cell r="T3367" t="str">
            <v>Bueno</v>
          </cell>
          <cell r="U3367" t="str">
            <v>Olidata</v>
          </cell>
        </row>
        <row r="3368">
          <cell r="J3368" t="str">
            <v>NN-06-01-00-3360</v>
          </cell>
          <cell r="K3368" t="str">
            <v>SC-01216</v>
          </cell>
          <cell r="L3368" t="str">
            <v>NN-06-01-00-3360</v>
          </cell>
          <cell r="M3368" t="str">
            <v>Mouse Convencional Lase Olidata MODEL KM-8903</v>
          </cell>
          <cell r="N3368" t="str">
            <v>Nero / Plomo</v>
          </cell>
          <cell r="O3368" t="str">
            <v>EQUIPOS COMPUTACIONALES Y PERIFÉRICOS EN ARRIENDO</v>
          </cell>
          <cell r="P3368">
            <v>3000</v>
          </cell>
          <cell r="R3368" t="str">
            <v>Convencional</v>
          </cell>
          <cell r="S3368" t="str">
            <v>Olidata</v>
          </cell>
          <cell r="T3368" t="str">
            <v>Bueno</v>
          </cell>
          <cell r="U3368" t="str">
            <v>Olidata</v>
          </cell>
        </row>
        <row r="3369">
          <cell r="J3369" t="str">
            <v>42-04-03-00-3361</v>
          </cell>
          <cell r="K3369" t="str">
            <v>SC-01217</v>
          </cell>
          <cell r="L3369" t="str">
            <v>42-04-03-00-3361</v>
          </cell>
          <cell r="M3369" t="str">
            <v>Mueble Enchapado PC 100x80x60 Color Barniz Natural</v>
          </cell>
          <cell r="N3369" t="str">
            <v>Escritorio 1 Cajon C/Llave</v>
          </cell>
          <cell r="O3369" t="str">
            <v>ESCRITORIOS</v>
          </cell>
          <cell r="P3369">
            <v>70000</v>
          </cell>
          <cell r="T3369" t="str">
            <v>Bueno</v>
          </cell>
          <cell r="U3369" t="str">
            <v>N/T</v>
          </cell>
        </row>
        <row r="3370">
          <cell r="J3370" t="str">
            <v>42-04-03-00-3362</v>
          </cell>
          <cell r="K3370" t="str">
            <v>SC-01218</v>
          </cell>
          <cell r="L3370" t="str">
            <v>42-04-03-00-3362</v>
          </cell>
          <cell r="M3370" t="str">
            <v>Mueble Melamina PC 1200X80X60 Color Cerezo c/ Plomo</v>
          </cell>
          <cell r="N3370" t="str">
            <v>Escritorio 1 Cajon C/Llave</v>
          </cell>
          <cell r="O3370" t="str">
            <v>ESCRITORIOS</v>
          </cell>
          <cell r="P3370">
            <v>90000</v>
          </cell>
          <cell r="T3370" t="str">
            <v>Bueno</v>
          </cell>
          <cell r="U3370" t="str">
            <v>N/T</v>
          </cell>
        </row>
        <row r="3371">
          <cell r="J3371" t="str">
            <v>42-04-02-00-3363</v>
          </cell>
          <cell r="K3371" t="str">
            <v>SC-01219</v>
          </cell>
          <cell r="L3371" t="str">
            <v>42-04-02-00-3363</v>
          </cell>
          <cell r="M3371" t="str">
            <v>Silla AZUL 5 Ruedas Ajustable Sin Marca</v>
          </cell>
          <cell r="O3371" t="str">
            <v>SILLAS</v>
          </cell>
          <cell r="P3371">
            <v>15000</v>
          </cell>
          <cell r="T3371" t="str">
            <v>Bueno</v>
          </cell>
          <cell r="U3371" t="str">
            <v>N/T</v>
          </cell>
        </row>
        <row r="3372">
          <cell r="J3372" t="str">
            <v>42-05-02-01-3364</v>
          </cell>
          <cell r="K3372" t="str">
            <v>42-3540</v>
          </cell>
          <cell r="L3372" t="str">
            <v>42-05-02-01-3364</v>
          </cell>
          <cell r="M3372" t="str">
            <v>Oxímetro de pulso, marca Nellcor,  modelo N-560, Serie 011510120102</v>
          </cell>
          <cell r="O3372" t="str">
            <v>EQUIPOS CLINICOS</v>
          </cell>
          <cell r="P3372">
            <v>725900</v>
          </cell>
          <cell r="Q3372" t="str">
            <v>S - 011510120102</v>
          </cell>
          <cell r="S3372" t="str">
            <v>Korea</v>
          </cell>
          <cell r="T3372" t="str">
            <v>Bueno</v>
          </cell>
          <cell r="U3372" t="str">
            <v>Nellcor</v>
          </cell>
        </row>
        <row r="3373">
          <cell r="J3373" t="str">
            <v>42-05-02-01-3365</v>
          </cell>
          <cell r="K3373" t="str">
            <v>42-3541</v>
          </cell>
          <cell r="L3373" t="str">
            <v>42-05-02-01-3365</v>
          </cell>
          <cell r="M3373" t="str">
            <v>Oxímetro de pulso, marca Nellcor,  modelo N-560, Serie 011510120106</v>
          </cell>
          <cell r="O3373" t="str">
            <v>EQUIPOS CLINICOS</v>
          </cell>
          <cell r="P3373">
            <v>725900</v>
          </cell>
          <cell r="Q3373" t="str">
            <v>S - 011510120106</v>
          </cell>
          <cell r="S3373" t="str">
            <v>Korea</v>
          </cell>
          <cell r="T3373" t="str">
            <v>Bueno</v>
          </cell>
          <cell r="U3373" t="str">
            <v>Nellcor</v>
          </cell>
        </row>
        <row r="3374">
          <cell r="J3374" t="str">
            <v>42-04-02-00-3366</v>
          </cell>
          <cell r="K3374" t="str">
            <v>SC-01220</v>
          </cell>
          <cell r="L3374" t="str">
            <v>42-04-02-00-3366</v>
          </cell>
          <cell r="M3374" t="str">
            <v>Silla Operativa LI B9 Alta Apoya Brazo, Regulable 45X44</v>
          </cell>
          <cell r="O3374" t="str">
            <v>SILLAS</v>
          </cell>
          <cell r="P3374">
            <v>88920</v>
          </cell>
          <cell r="Q3374">
            <v>769753</v>
          </cell>
          <cell r="T3374" t="str">
            <v>Bueno</v>
          </cell>
          <cell r="U3374" t="str">
            <v>Silcosil</v>
          </cell>
        </row>
        <row r="3375">
          <cell r="J3375" t="str">
            <v>42-05-02-01-3367</v>
          </cell>
          <cell r="K3375" t="str">
            <v>42-3542</v>
          </cell>
          <cell r="L3375" t="str">
            <v>42-05-02-01-3367</v>
          </cell>
          <cell r="M3375" t="str">
            <v>Detector de latidos BF - 500 D+, marca Bestman, Serie 50009520, color lila</v>
          </cell>
          <cell r="O3375" t="str">
            <v>EQUIPOS CLINICOS</v>
          </cell>
          <cell r="P3375">
            <v>124950</v>
          </cell>
          <cell r="Q3375">
            <v>50009520</v>
          </cell>
          <cell r="S3375" t="str">
            <v>Inglaterra</v>
          </cell>
          <cell r="T3375" t="str">
            <v>Bueno</v>
          </cell>
          <cell r="U3375" t="str">
            <v>Bestman</v>
          </cell>
        </row>
        <row r="3376">
          <cell r="J3376" t="str">
            <v>42-05-02-01-3368</v>
          </cell>
          <cell r="K3376" t="str">
            <v>42-3543</v>
          </cell>
          <cell r="L3376" t="str">
            <v>42-05-02-01-3368</v>
          </cell>
          <cell r="M3376" t="str">
            <v>Detector de latidos BF - 500 D+, marca Bestman, Serie 50009506, color negro</v>
          </cell>
          <cell r="O3376" t="str">
            <v>EQUIPOS CLINICOS</v>
          </cell>
          <cell r="P3376">
            <v>124950</v>
          </cell>
          <cell r="Q3376">
            <v>50009506</v>
          </cell>
          <cell r="S3376" t="str">
            <v>Inglaterra</v>
          </cell>
          <cell r="T3376" t="str">
            <v>Bueno</v>
          </cell>
          <cell r="U3376" t="str">
            <v>Bestman</v>
          </cell>
        </row>
        <row r="3377">
          <cell r="J3377" t="str">
            <v>42-05-01-01-3369</v>
          </cell>
          <cell r="K3377" t="str">
            <v>SC-01221</v>
          </cell>
          <cell r="L3377" t="str">
            <v>42-05-01-01-3369</v>
          </cell>
          <cell r="M3377" t="str">
            <v>Radio CD Marca IRT MOD RCD 1850 USB</v>
          </cell>
          <cell r="N3377" t="str">
            <v>USB</v>
          </cell>
          <cell r="O3377" t="str">
            <v>EQUIPO DE OFICINA</v>
          </cell>
          <cell r="P3377">
            <v>53700</v>
          </cell>
          <cell r="Q3377" t="str">
            <v>1850 USB</v>
          </cell>
          <cell r="T3377" t="str">
            <v>Bueno</v>
          </cell>
          <cell r="U3377" t="str">
            <v>IRT</v>
          </cell>
        </row>
        <row r="3378">
          <cell r="J3378" t="str">
            <v>42-06-01-00-3370</v>
          </cell>
          <cell r="K3378" t="str">
            <v>SC-01222</v>
          </cell>
          <cell r="L3378" t="str">
            <v>42-06-01-00-3370</v>
          </cell>
          <cell r="M3378" t="str">
            <v>Teclado Olitada MODEL NO K 3100 SNºK31001008017513</v>
          </cell>
          <cell r="O3378" t="str">
            <v>EQUIPOS COMPUTACIONALES Y PERIFÉRICOS</v>
          </cell>
          <cell r="P3378">
            <v>4000</v>
          </cell>
          <cell r="Q3378" t="str">
            <v>K31001008017513</v>
          </cell>
          <cell r="T3378" t="str">
            <v>Bueno</v>
          </cell>
          <cell r="U3378" t="str">
            <v>Olidata</v>
          </cell>
        </row>
        <row r="3379">
          <cell r="J3379" t="str">
            <v>42-04-07-00-3371</v>
          </cell>
          <cell r="K3379" t="str">
            <v>SC-01223</v>
          </cell>
          <cell r="L3379" t="str">
            <v>42-04-07-00-3371</v>
          </cell>
          <cell r="M3379" t="str">
            <v>Separador Documentos Negro TENEX Part Nº 24410</v>
          </cell>
          <cell r="O3379" t="str">
            <v>OTROS</v>
          </cell>
          <cell r="P3379">
            <v>4500</v>
          </cell>
          <cell r="Q3379">
            <v>24410</v>
          </cell>
          <cell r="T3379" t="str">
            <v>Bueno</v>
          </cell>
          <cell r="U3379" t="str">
            <v>TENEX</v>
          </cell>
        </row>
        <row r="3380">
          <cell r="J3380" t="str">
            <v>42-05-01-01-3372</v>
          </cell>
          <cell r="K3380" t="str">
            <v>SC-01224</v>
          </cell>
          <cell r="L3380" t="str">
            <v>42-05-01-01-3372</v>
          </cell>
          <cell r="M3380" t="str">
            <v>Autotransformador Voltage 220/110 Volts</v>
          </cell>
          <cell r="O3380" t="str">
            <v>EQUIPO DE OFICINA</v>
          </cell>
          <cell r="P3380">
            <v>35000</v>
          </cell>
          <cell r="T3380" t="str">
            <v>Bueno</v>
          </cell>
          <cell r="U3380" t="str">
            <v>N/T</v>
          </cell>
        </row>
        <row r="3381">
          <cell r="J3381" t="str">
            <v>42-05-01-01-3373</v>
          </cell>
          <cell r="K3381" t="str">
            <v>sc-01225</v>
          </cell>
          <cell r="L3381" t="str">
            <v>42-05-01-01-3373</v>
          </cell>
          <cell r="M3381" t="str">
            <v>Enchufe Multiple 6 Bocas Standard</v>
          </cell>
          <cell r="O3381" t="str">
            <v>EQUIPO DE OFICINA</v>
          </cell>
          <cell r="P3381">
            <v>5000</v>
          </cell>
          <cell r="T3381" t="str">
            <v>Bueno</v>
          </cell>
          <cell r="U3381" t="str">
            <v>N/T</v>
          </cell>
        </row>
        <row r="3382">
          <cell r="J3382" t="str">
            <v>42-04-06-00-3374</v>
          </cell>
          <cell r="K3382" t="str">
            <v>sc-01226</v>
          </cell>
          <cell r="L3382" t="str">
            <v>42-04-06-00-3374</v>
          </cell>
          <cell r="M3382" t="str">
            <v>Repisa Melamina Enchapada Tipo Mesa Color Miel</v>
          </cell>
          <cell r="O3382" t="str">
            <v>REPISA</v>
          </cell>
          <cell r="P3382">
            <v>25000</v>
          </cell>
          <cell r="T3382" t="str">
            <v>Bueno</v>
          </cell>
          <cell r="U3382" t="str">
            <v>N/T</v>
          </cell>
        </row>
        <row r="3383">
          <cell r="J3383" t="str">
            <v>42-04-02-00-3375</v>
          </cell>
          <cell r="K3383" t="str">
            <v>sc-01227</v>
          </cell>
          <cell r="L3383" t="str">
            <v>42-04-02-00-3375</v>
          </cell>
          <cell r="M3383" t="str">
            <v>Silla Madera con asiento y Respaldo Tapizado Ecocuero Café</v>
          </cell>
          <cell r="O3383" t="str">
            <v>SILLAS</v>
          </cell>
          <cell r="P3383">
            <v>42500</v>
          </cell>
          <cell r="T3383" t="str">
            <v>Bueno</v>
          </cell>
          <cell r="U3383" t="str">
            <v>N/T</v>
          </cell>
        </row>
        <row r="3384">
          <cell r="J3384" t="str">
            <v>42-05-01-01-3376</v>
          </cell>
          <cell r="K3384" t="str">
            <v>sc-01228</v>
          </cell>
          <cell r="L3384" t="str">
            <v>42-05-01-01-3376</v>
          </cell>
          <cell r="M3384" t="str">
            <v xml:space="preserve">Citofono Alerce Telefonica Chile Mod 76750 </v>
          </cell>
          <cell r="O3384" t="str">
            <v>EQUIPO DE OFICINA</v>
          </cell>
          <cell r="P3384">
            <v>15000</v>
          </cell>
          <cell r="T3384" t="str">
            <v>Malo</v>
          </cell>
          <cell r="U3384" t="str">
            <v>N/T</v>
          </cell>
        </row>
        <row r="3385">
          <cell r="J3385" t="str">
            <v>42-04-02-00-3377</v>
          </cell>
          <cell r="K3385" t="str">
            <v>42-3544</v>
          </cell>
          <cell r="L3385" t="str">
            <v>42-04-02-00-3377</v>
          </cell>
          <cell r="M3385" t="str">
            <v>Silla Operativa  LI B9 Alta con apoya brazos Regulable, color negro con azul</v>
          </cell>
          <cell r="N3385" t="str">
            <v>LI B9</v>
          </cell>
          <cell r="O3385" t="str">
            <v>SILLAS</v>
          </cell>
          <cell r="P3385">
            <v>88920</v>
          </cell>
          <cell r="T3385" t="str">
            <v>Bueno</v>
          </cell>
          <cell r="U3385" t="str">
            <v>N/T</v>
          </cell>
        </row>
        <row r="3386">
          <cell r="J3386" t="str">
            <v>42-03-02-00-3378</v>
          </cell>
          <cell r="K3386" t="str">
            <v>sc-01229</v>
          </cell>
          <cell r="L3386" t="str">
            <v>42-03-02-00-3378</v>
          </cell>
          <cell r="M3386" t="str">
            <v>Bocina Altoparlante</v>
          </cell>
          <cell r="O3386" t="str">
            <v>EQUIPOS DE VEHICULO</v>
          </cell>
          <cell r="P3386">
            <v>65000</v>
          </cell>
          <cell r="T3386" t="str">
            <v>Bueno</v>
          </cell>
          <cell r="U3386" t="str">
            <v>N/T</v>
          </cell>
        </row>
        <row r="3387">
          <cell r="J3387" t="str">
            <v>42-03-02-00-3379</v>
          </cell>
          <cell r="K3387" t="str">
            <v>sc-01230</v>
          </cell>
          <cell r="L3387" t="str">
            <v>42-03-02-00-3379</v>
          </cell>
          <cell r="M3387" t="str">
            <v>Botiquin Basico</v>
          </cell>
          <cell r="O3387" t="str">
            <v>EQUIPOS DE VEHICULO</v>
          </cell>
          <cell r="P3387">
            <v>5600</v>
          </cell>
          <cell r="T3387" t="str">
            <v>Bueno</v>
          </cell>
          <cell r="U3387" t="str">
            <v>N/T</v>
          </cell>
        </row>
        <row r="3388">
          <cell r="J3388" t="str">
            <v>42-05-02-06-3380</v>
          </cell>
          <cell r="K3388" t="str">
            <v>sc-01231</v>
          </cell>
          <cell r="L3388" t="str">
            <v>42-05-02-06-3380</v>
          </cell>
          <cell r="M3388" t="str">
            <v>Alicate Stanley 8"</v>
          </cell>
          <cell r="O3388" t="str">
            <v>HERRAMIENTAS</v>
          </cell>
          <cell r="P3388">
            <v>6000</v>
          </cell>
          <cell r="T3388" t="str">
            <v>Bueno</v>
          </cell>
          <cell r="U3388" t="str">
            <v>N/T</v>
          </cell>
        </row>
        <row r="3389">
          <cell r="J3389" t="str">
            <v>42-03-02-00-3381</v>
          </cell>
          <cell r="K3389" t="str">
            <v>sc-01232</v>
          </cell>
          <cell r="L3389" t="str">
            <v>42-03-02-00-3381</v>
          </cell>
          <cell r="M3389" t="str">
            <v>Corta corriente general en tablero conducción</v>
          </cell>
          <cell r="O3389" t="str">
            <v>EQUIPOS DE VEHICULO</v>
          </cell>
          <cell r="P3389">
            <v>75000</v>
          </cell>
          <cell r="T3389" t="str">
            <v>Bueno</v>
          </cell>
          <cell r="U3389" t="str">
            <v>N/T</v>
          </cell>
        </row>
        <row r="3390">
          <cell r="J3390" t="str">
            <v>FN-03-02-00-3382</v>
          </cell>
          <cell r="K3390" t="str">
            <v>sc-01233</v>
          </cell>
          <cell r="L3390" t="str">
            <v>FN-03-02-00-3382</v>
          </cell>
          <cell r="M3390" t="str">
            <v>Collares Pediatricos Tipo Ambu</v>
          </cell>
          <cell r="O3390" t="str">
            <v>EQUIPOS DE VEHICULO FUNGIBLE / NOMINABLE</v>
          </cell>
          <cell r="P3390">
            <v>7393</v>
          </cell>
          <cell r="T3390" t="str">
            <v>Bueno</v>
          </cell>
          <cell r="U3390" t="str">
            <v>N/T</v>
          </cell>
        </row>
        <row r="3391">
          <cell r="J3391" t="str">
            <v>42-05-02-03-3383</v>
          </cell>
          <cell r="K3391" t="str">
            <v>sc-01234</v>
          </cell>
          <cell r="L3391" t="str">
            <v>42-05-02-03-3383</v>
          </cell>
          <cell r="M3391" t="str">
            <v>Radio Motorola EM - 200 Con Transformador con Pera</v>
          </cell>
          <cell r="N3391" t="str">
            <v>Habitaculo Trasero con Microfono</v>
          </cell>
          <cell r="O3391" t="str">
            <v>EQUIPOS DE COMUNICACIÓN</v>
          </cell>
          <cell r="P3391">
            <v>150000</v>
          </cell>
          <cell r="T3391" t="str">
            <v>Bueno</v>
          </cell>
          <cell r="U3391" t="str">
            <v>N/T</v>
          </cell>
        </row>
        <row r="3392">
          <cell r="J3392" t="str">
            <v>42-05-02-01-3384</v>
          </cell>
          <cell r="K3392" t="str">
            <v>sc-01235</v>
          </cell>
          <cell r="L3392" t="str">
            <v>42-05-02-01-3384</v>
          </cell>
          <cell r="M3392" t="str">
            <v>Chata Plastica Standard</v>
          </cell>
          <cell r="O3392" t="str">
            <v>EQUIPOS CLINICOS</v>
          </cell>
          <cell r="P3392">
            <v>2890</v>
          </cell>
          <cell r="T3392" t="str">
            <v>Bueno</v>
          </cell>
          <cell r="U3392" t="str">
            <v>N/T</v>
          </cell>
        </row>
        <row r="3393">
          <cell r="J3393" t="str">
            <v>42-05-02-01-3385</v>
          </cell>
          <cell r="K3393" t="str">
            <v>sc-01236</v>
          </cell>
          <cell r="L3393" t="str">
            <v>42-05-02-01-3385</v>
          </cell>
          <cell r="M3393" t="str">
            <v>Pato Plastico Standard</v>
          </cell>
          <cell r="O3393" t="str">
            <v>EQUIPOS CLINICOS</v>
          </cell>
          <cell r="P3393">
            <v>3000</v>
          </cell>
          <cell r="T3393" t="str">
            <v>Bueno</v>
          </cell>
          <cell r="U3393" t="str">
            <v>N/T</v>
          </cell>
        </row>
        <row r="3394">
          <cell r="J3394" t="str">
            <v>FN-05-02-01-3386</v>
          </cell>
          <cell r="K3394" t="str">
            <v>sc-01237</v>
          </cell>
          <cell r="L3394" t="str">
            <v>FN-05-02-01-3386</v>
          </cell>
          <cell r="M3394" t="str">
            <v>Ferulas de inmovilización Rigidas</v>
          </cell>
          <cell r="N3394" t="str">
            <v>Distintos Modelos Pie, Brazo</v>
          </cell>
          <cell r="O3394" t="str">
            <v>EQUIPOS CLINICOS FUNGIBLE / NOMINABLE</v>
          </cell>
          <cell r="P3394">
            <v>27000</v>
          </cell>
          <cell r="T3394" t="str">
            <v>Bueno</v>
          </cell>
          <cell r="U3394" t="str">
            <v>N/T</v>
          </cell>
        </row>
        <row r="3395">
          <cell r="J3395" t="str">
            <v>42-05-02-01-3387</v>
          </cell>
          <cell r="K3395" t="str">
            <v>sc-01238</v>
          </cell>
          <cell r="L3395" t="str">
            <v>42-05-02-01-3387</v>
          </cell>
          <cell r="M3395" t="str">
            <v>Colchoneta Camilla Color Azul</v>
          </cell>
          <cell r="O3395" t="str">
            <v>EQUIPOS CLINICOS</v>
          </cell>
          <cell r="P3395">
            <v>60000</v>
          </cell>
          <cell r="T3395" t="str">
            <v>Bueno</v>
          </cell>
          <cell r="U3395" t="str">
            <v>N/T</v>
          </cell>
        </row>
        <row r="3396">
          <cell r="J3396" t="str">
            <v>FN-05-02-01-3388</v>
          </cell>
          <cell r="K3396" t="str">
            <v>sc-01239</v>
          </cell>
          <cell r="L3396" t="str">
            <v>FN-05-02-01-3388</v>
          </cell>
          <cell r="M3396" t="str">
            <v>Frazadas Camilla</v>
          </cell>
          <cell r="O3396" t="str">
            <v>EQUIPOS CLINICOS FUNGIBLE / NOMINABLE</v>
          </cell>
          <cell r="P3396">
            <v>6000</v>
          </cell>
          <cell r="T3396" t="str">
            <v>Bueno</v>
          </cell>
          <cell r="U3396" t="str">
            <v>N/T</v>
          </cell>
        </row>
        <row r="3397">
          <cell r="J3397" t="str">
            <v>FN-05-02-01-3389</v>
          </cell>
          <cell r="K3397" t="str">
            <v>sc-01240</v>
          </cell>
          <cell r="L3397" t="str">
            <v>FN-05-02-01-3389</v>
          </cell>
          <cell r="M3397" t="str">
            <v>Sabanillas Camilla</v>
          </cell>
          <cell r="O3397" t="str">
            <v>EQUIPOS CLINICOS FUNGIBLE / NOMINABLE</v>
          </cell>
          <cell r="P3397">
            <v>4500</v>
          </cell>
          <cell r="T3397" t="str">
            <v>Bueno</v>
          </cell>
          <cell r="U3397" t="str">
            <v>N/T</v>
          </cell>
        </row>
        <row r="3398">
          <cell r="J3398" t="str">
            <v>42-03-02-00-3390</v>
          </cell>
          <cell r="K3398" t="str">
            <v>sc-01241</v>
          </cell>
          <cell r="L3398" t="str">
            <v>42-03-02-00-3390</v>
          </cell>
          <cell r="M3398" t="str">
            <v>Asiento Chofer Acompañante</v>
          </cell>
          <cell r="O3398" t="str">
            <v>EQUIPOS DE VEHICULO</v>
          </cell>
          <cell r="P3398">
            <v>54500</v>
          </cell>
          <cell r="T3398" t="str">
            <v>Bueno</v>
          </cell>
          <cell r="U3398" t="str">
            <v>N/T</v>
          </cell>
        </row>
        <row r="3399">
          <cell r="J3399" t="str">
            <v>FN-03-02-00-3391</v>
          </cell>
          <cell r="K3399" t="str">
            <v>sc-01242</v>
          </cell>
          <cell r="L3399" t="str">
            <v>FN-03-02-00-3391</v>
          </cell>
          <cell r="M3399" t="str">
            <v>Luz Neblinera Marca Hella</v>
          </cell>
          <cell r="O3399" t="str">
            <v>EQUIPOS DE VEHICULO FUNGIBLE / NOMINABLE</v>
          </cell>
          <cell r="P3399">
            <v>116000</v>
          </cell>
          <cell r="T3399" t="str">
            <v>Bueno</v>
          </cell>
          <cell r="U3399" t="str">
            <v>Hella</v>
          </cell>
        </row>
        <row r="3400">
          <cell r="J3400" t="str">
            <v>FN-03-02-00-3392</v>
          </cell>
          <cell r="K3400" t="str">
            <v>sc-01243</v>
          </cell>
          <cell r="L3400" t="str">
            <v>FN-03-02-00-3392</v>
          </cell>
          <cell r="M3400" t="str">
            <v>Luz Neblinera Standard</v>
          </cell>
          <cell r="O3400" t="str">
            <v>EQUIPOS DE VEHICULO FUNGIBLE / NOMINABLE</v>
          </cell>
          <cell r="P3400">
            <v>35000</v>
          </cell>
          <cell r="T3400" t="str">
            <v>Bueno</v>
          </cell>
          <cell r="U3400" t="str">
            <v>N/T</v>
          </cell>
        </row>
        <row r="3401">
          <cell r="J3401" t="str">
            <v>42-05-02-01-3393</v>
          </cell>
          <cell r="K3401" t="str">
            <v>sc-01244</v>
          </cell>
          <cell r="L3401" t="str">
            <v>42-05-02-01-3393</v>
          </cell>
          <cell r="M3401" t="str">
            <v>Glucometro</v>
          </cell>
          <cell r="O3401" t="str">
            <v>EQUIPOS CLINICOS</v>
          </cell>
          <cell r="P3401">
            <v>51050</v>
          </cell>
          <cell r="T3401" t="str">
            <v>Bueno</v>
          </cell>
          <cell r="U3401" t="str">
            <v>N/T</v>
          </cell>
        </row>
        <row r="3402">
          <cell r="J3402" t="str">
            <v>42-03-02-00-3394</v>
          </cell>
          <cell r="K3402" t="str">
            <v>sc-01245</v>
          </cell>
          <cell r="L3402" t="str">
            <v>42-03-02-00-3394</v>
          </cell>
          <cell r="M3402" t="str">
            <v>Neblineros</v>
          </cell>
          <cell r="O3402" t="str">
            <v>EQUIPOS DE VEHICULO</v>
          </cell>
          <cell r="P3402">
            <v>35000</v>
          </cell>
          <cell r="T3402" t="str">
            <v>Bueno</v>
          </cell>
          <cell r="U3402" t="str">
            <v>N/T</v>
          </cell>
        </row>
        <row r="3403">
          <cell r="J3403" t="str">
            <v>42-05-02-06-3395</v>
          </cell>
          <cell r="K3403" t="str">
            <v>sc-01246</v>
          </cell>
          <cell r="L3403" t="str">
            <v>42-05-02-06-3395</v>
          </cell>
          <cell r="M3403" t="str">
            <v>Llave Hallen 12 "</v>
          </cell>
          <cell r="O3403" t="str">
            <v>HERRAMIENTAS</v>
          </cell>
          <cell r="P3403">
            <v>5600</v>
          </cell>
          <cell r="T3403" t="str">
            <v>Bueno</v>
          </cell>
          <cell r="U3403" t="str">
            <v>N/T</v>
          </cell>
        </row>
        <row r="3404">
          <cell r="J3404" t="str">
            <v>42-05-02-01-3396</v>
          </cell>
          <cell r="K3404" t="str">
            <v>sc-01247</v>
          </cell>
          <cell r="L3404" t="str">
            <v>42-05-02-01-3396</v>
          </cell>
          <cell r="M3404" t="str">
            <v>Tabla Pediatrica</v>
          </cell>
          <cell r="O3404" t="str">
            <v>EQUIPOS CLINICOS</v>
          </cell>
          <cell r="P3404">
            <v>50000</v>
          </cell>
          <cell r="T3404" t="str">
            <v>Bueno</v>
          </cell>
          <cell r="U3404" t="str">
            <v>N/T</v>
          </cell>
        </row>
        <row r="3405">
          <cell r="J3405" t="str">
            <v>42-05-02-01-3397</v>
          </cell>
          <cell r="K3405" t="str">
            <v>sc-01248</v>
          </cell>
          <cell r="L3405" t="str">
            <v>42-05-02-01-3397</v>
          </cell>
          <cell r="M3405" t="str">
            <v>Oximetro de Pulso</v>
          </cell>
          <cell r="O3405" t="str">
            <v>EQUIPOS CLINICOS</v>
          </cell>
          <cell r="P3405">
            <v>189567</v>
          </cell>
          <cell r="T3405" t="str">
            <v>Bueno</v>
          </cell>
          <cell r="U3405" t="str">
            <v>N/T</v>
          </cell>
        </row>
        <row r="3406">
          <cell r="J3406" t="str">
            <v>42-05-02-01-3398</v>
          </cell>
          <cell r="K3406" t="str">
            <v>sc-01249</v>
          </cell>
          <cell r="L3406" t="str">
            <v>42-05-02-01-3398</v>
          </cell>
          <cell r="M3406" t="str">
            <v>Chata Plastica Standard</v>
          </cell>
          <cell r="O3406" t="str">
            <v>EQUIPOS CLINICOS</v>
          </cell>
          <cell r="P3406">
            <v>2890</v>
          </cell>
          <cell r="T3406" t="str">
            <v>Bueno</v>
          </cell>
          <cell r="U3406" t="str">
            <v>N/T</v>
          </cell>
        </row>
        <row r="3407">
          <cell r="J3407" t="str">
            <v>42-05-02-01-3399</v>
          </cell>
          <cell r="K3407" t="str">
            <v>sc-01250</v>
          </cell>
          <cell r="L3407" t="str">
            <v>42-05-02-01-3399</v>
          </cell>
          <cell r="M3407" t="str">
            <v>Pato Plastico Standard</v>
          </cell>
          <cell r="O3407" t="str">
            <v>EQUIPOS CLINICOS</v>
          </cell>
          <cell r="P3407">
            <v>3000</v>
          </cell>
          <cell r="T3407" t="str">
            <v>Bueno</v>
          </cell>
          <cell r="U3407" t="str">
            <v>N/T</v>
          </cell>
        </row>
        <row r="3408">
          <cell r="J3408" t="str">
            <v>42-03-02-00-3400</v>
          </cell>
          <cell r="K3408" t="str">
            <v>sc-01251</v>
          </cell>
          <cell r="L3408" t="str">
            <v>42-03-02-00-3400</v>
          </cell>
          <cell r="M3408" t="str">
            <v>Inversor de Corriente (Red)</v>
          </cell>
          <cell r="O3408" t="str">
            <v>EQUIPOS DE VEHICULO</v>
          </cell>
          <cell r="P3408">
            <v>90000</v>
          </cell>
          <cell r="T3408" t="str">
            <v>Bueno</v>
          </cell>
          <cell r="U3408" t="str">
            <v>N/T</v>
          </cell>
        </row>
        <row r="3409">
          <cell r="J3409" t="str">
            <v>42-05-02-01-3401</v>
          </cell>
          <cell r="K3409" t="str">
            <v>sc-01252</v>
          </cell>
          <cell r="L3409" t="str">
            <v>42-05-02-01-3401</v>
          </cell>
          <cell r="M3409" t="str">
            <v>Tubo Oxigenos Portatiles Con Manometros</v>
          </cell>
          <cell r="O3409" t="str">
            <v>EQUIPOS CLINICOS</v>
          </cell>
          <cell r="P3409">
            <v>75000</v>
          </cell>
          <cell r="T3409" t="str">
            <v>Bueno</v>
          </cell>
          <cell r="U3409" t="str">
            <v>N/T</v>
          </cell>
        </row>
        <row r="3410">
          <cell r="J3410" t="str">
            <v>42-03-00-00-3402</v>
          </cell>
          <cell r="K3410" t="str">
            <v>sc-01342</v>
          </cell>
          <cell r="L3410" t="str">
            <v>42-03-00-00-3402</v>
          </cell>
          <cell r="M3410" t="str">
            <v>Ambulancia marca Mercedes Benz modelo Sprinter 313 CDI motor Patente CLJJ-70</v>
          </cell>
          <cell r="N3410" t="str">
            <v>Nº 61198170056402 Chasis Nº 8AC9036627A-956913, Año Fab. 2010</v>
          </cell>
          <cell r="O3410" t="str">
            <v>VEHICULOS</v>
          </cell>
          <cell r="P3410">
            <v>32629800</v>
          </cell>
          <cell r="T3410" t="str">
            <v>Bueno</v>
          </cell>
          <cell r="U3410" t="str">
            <v>Mercedes Benz</v>
          </cell>
        </row>
        <row r="3411">
          <cell r="J3411" t="str">
            <v>42-03-02-00-3403</v>
          </cell>
          <cell r="K3411" t="str">
            <v>sc-01343</v>
          </cell>
          <cell r="L3411" t="str">
            <v>42-03-02-00-3403</v>
          </cell>
          <cell r="M3411" t="str">
            <v>Radio CD marca Blaupunkt Mod. Laguna CD36 con antena y parlantes</v>
          </cell>
          <cell r="O3411" t="str">
            <v>EQUIPOS DE VEHICULO</v>
          </cell>
          <cell r="P3411">
            <v>53200</v>
          </cell>
          <cell r="T3411" t="str">
            <v>Regular</v>
          </cell>
          <cell r="U3411" t="str">
            <v>Blaupunkt</v>
          </cell>
        </row>
        <row r="3412">
          <cell r="J3412" t="str">
            <v>42-05-02-03-3404</v>
          </cell>
          <cell r="K3412" t="str">
            <v>sc-01344</v>
          </cell>
          <cell r="L3412" t="str">
            <v>42-05-02-03-3404</v>
          </cell>
          <cell r="M3412" t="str">
            <v>Radiocomunicaciones marca Motorola Mod. EM 400</v>
          </cell>
          <cell r="O3412" t="str">
            <v>EQUIPOS DE COMUNICACIÓN</v>
          </cell>
          <cell r="P3412">
            <v>90000</v>
          </cell>
          <cell r="T3412" t="str">
            <v>Bueno</v>
          </cell>
          <cell r="U3412" t="str">
            <v>Motorola</v>
          </cell>
        </row>
        <row r="3413">
          <cell r="J3413" t="str">
            <v>42-05-02-03-3405</v>
          </cell>
          <cell r="K3413" t="str">
            <v>sc-01253</v>
          </cell>
          <cell r="L3413" t="str">
            <v>42-05-02-03-3405</v>
          </cell>
          <cell r="M3413" t="str">
            <v>Monitor GPS Navman MDT 860-MK2 S/Nª 0809E10730529</v>
          </cell>
          <cell r="O3413" t="str">
            <v>EQUIPOS DE COMUNICACIÓN</v>
          </cell>
          <cell r="P3413">
            <v>289804</v>
          </cell>
          <cell r="T3413" t="str">
            <v>Bueno</v>
          </cell>
          <cell r="U3413" t="str">
            <v>Navman</v>
          </cell>
        </row>
        <row r="3414">
          <cell r="J3414" t="str">
            <v>42-03-02-00-3406</v>
          </cell>
          <cell r="K3414" t="str">
            <v>sc-01338</v>
          </cell>
          <cell r="L3414" t="str">
            <v>42-03-02-00-3406</v>
          </cell>
          <cell r="M3414" t="str">
            <v>Gata Hidráulica</v>
          </cell>
          <cell r="O3414" t="str">
            <v>EQUIPOS DE VEHICULO</v>
          </cell>
          <cell r="P3414">
            <v>5600</v>
          </cell>
          <cell r="T3414" t="str">
            <v>Bueno</v>
          </cell>
          <cell r="U3414" t="str">
            <v>N/T</v>
          </cell>
        </row>
        <row r="3415">
          <cell r="J3415" t="str">
            <v>42-05-02-05-3407</v>
          </cell>
          <cell r="K3415" t="str">
            <v>sc-01254</v>
          </cell>
          <cell r="L3415" t="str">
            <v>42-05-02-05-3407</v>
          </cell>
          <cell r="M3415" t="str">
            <v>Extintor incendio tipo ABC 2 Kgs.</v>
          </cell>
          <cell r="O3415" t="str">
            <v>EQUIPOS DE SEGURIDAD</v>
          </cell>
          <cell r="P3415">
            <v>25000</v>
          </cell>
          <cell r="T3415" t="str">
            <v>Bueno</v>
          </cell>
          <cell r="U3415" t="str">
            <v>N/T</v>
          </cell>
        </row>
        <row r="3416">
          <cell r="J3416" t="str">
            <v>FN-03-02-00-3408</v>
          </cell>
          <cell r="K3416" t="str">
            <v>sc-01255</v>
          </cell>
          <cell r="L3416" t="str">
            <v>FN-03-02-00-3408</v>
          </cell>
          <cell r="M3416" t="str">
            <v>Limpia Parabrisas</v>
          </cell>
          <cell r="O3416" t="str">
            <v>EQUIPOS DE VEHICULO FUNGIBLE / NOMINABLE</v>
          </cell>
          <cell r="P3416">
            <v>5600</v>
          </cell>
          <cell r="T3416" t="str">
            <v>Bueno</v>
          </cell>
          <cell r="U3416" t="str">
            <v>N/T</v>
          </cell>
        </row>
        <row r="3417">
          <cell r="J3417" t="str">
            <v>42-03-02-00-3409</v>
          </cell>
          <cell r="K3417" t="str">
            <v>sc-01256</v>
          </cell>
          <cell r="L3417" t="str">
            <v>42-03-02-00-3409</v>
          </cell>
          <cell r="M3417" t="str">
            <v xml:space="preserve">Estuche plástico con un Manual montaje carrocería, un manual de </v>
          </cell>
          <cell r="N3417" t="str">
            <v>instrucciones de servicio, un talonario de servicio</v>
          </cell>
          <cell r="O3417" t="str">
            <v>EQUIPOS DE VEHICULO</v>
          </cell>
          <cell r="P3417">
            <v>5700</v>
          </cell>
          <cell r="T3417" t="str">
            <v>Bueno</v>
          </cell>
          <cell r="U3417" t="str">
            <v>N/T</v>
          </cell>
        </row>
        <row r="3418">
          <cell r="J3418" t="str">
            <v>42-05-02-06-3410</v>
          </cell>
          <cell r="K3418" t="str">
            <v>sc-01257</v>
          </cell>
          <cell r="L3418" t="str">
            <v>42-05-02-06-3410</v>
          </cell>
          <cell r="M3418" t="str">
            <v>Llave de rueda</v>
          </cell>
          <cell r="O3418" t="str">
            <v>HERRAMIENTAS</v>
          </cell>
          <cell r="P3418">
            <v>7500</v>
          </cell>
          <cell r="T3418" t="str">
            <v>Bueno</v>
          </cell>
          <cell r="U3418" t="str">
            <v>N/T</v>
          </cell>
        </row>
        <row r="3419">
          <cell r="J3419" t="str">
            <v>42-03-02-00-3411</v>
          </cell>
          <cell r="K3419" t="str">
            <v>sc-01258</v>
          </cell>
          <cell r="L3419" t="str">
            <v>42-03-02-00-3411</v>
          </cell>
          <cell r="M3419" t="str">
            <v>Bocina</v>
          </cell>
          <cell r="O3419" t="str">
            <v>EQUIPOS DE VEHICULO</v>
          </cell>
          <cell r="P3419">
            <v>65000</v>
          </cell>
          <cell r="T3419" t="str">
            <v>Bueno</v>
          </cell>
          <cell r="U3419" t="str">
            <v>N/T</v>
          </cell>
        </row>
        <row r="3420">
          <cell r="J3420" t="str">
            <v>42-03-02-00-3412</v>
          </cell>
          <cell r="K3420" t="str">
            <v>sc-01259</v>
          </cell>
          <cell r="L3420" t="str">
            <v>42-03-02-00-3412</v>
          </cell>
          <cell r="M3420" t="str">
            <v>Llaves de contacto</v>
          </cell>
          <cell r="O3420" t="str">
            <v>EQUIPOS DE VEHICULO</v>
          </cell>
          <cell r="P3420">
            <v>5600</v>
          </cell>
          <cell r="T3420" t="str">
            <v>Bueno</v>
          </cell>
          <cell r="U3420" t="str">
            <v>N/T</v>
          </cell>
        </row>
        <row r="3421">
          <cell r="J3421" t="str">
            <v>42-03-02-00-3413</v>
          </cell>
          <cell r="K3421" t="str">
            <v>sc-01260</v>
          </cell>
          <cell r="L3421" t="str">
            <v>42-03-02-00-3413</v>
          </cell>
          <cell r="M3421" t="str">
            <v>Aro cromado con estrella</v>
          </cell>
          <cell r="O3421" t="str">
            <v>EQUIPOS DE VEHICULO</v>
          </cell>
          <cell r="P3421">
            <v>6500</v>
          </cell>
          <cell r="T3421" t="str">
            <v>Bueno</v>
          </cell>
          <cell r="U3421" t="str">
            <v>N/T</v>
          </cell>
        </row>
        <row r="3422">
          <cell r="J3422" t="str">
            <v>FN-03-02-00-3414</v>
          </cell>
          <cell r="K3422" t="str">
            <v>sc-01261</v>
          </cell>
          <cell r="L3422" t="str">
            <v>FN-03-02-00-3414</v>
          </cell>
          <cell r="M3422" t="str">
            <v>Tapas de rueda Mercedes</v>
          </cell>
          <cell r="O3422" t="str">
            <v>EQUIPOS DE VEHICULO FUNGIBLE / NOMINABLE</v>
          </cell>
          <cell r="P3422">
            <v>15000</v>
          </cell>
          <cell r="T3422" t="str">
            <v>Bueno</v>
          </cell>
          <cell r="U3422" t="str">
            <v>N/T</v>
          </cell>
        </row>
        <row r="3423">
          <cell r="J3423" t="str">
            <v>FN-03-02-00-3415</v>
          </cell>
          <cell r="K3423" t="str">
            <v>sc-01262</v>
          </cell>
          <cell r="L3423" t="str">
            <v>FN-03-02-00-3415</v>
          </cell>
          <cell r="M3423" t="str">
            <v>Triángulos Refractantes</v>
          </cell>
          <cell r="O3423" t="str">
            <v>EQUIPOS DE VEHICULO FUNGIBLE / NOMINABLE</v>
          </cell>
          <cell r="P3423">
            <v>5600</v>
          </cell>
          <cell r="T3423" t="str">
            <v>Bueno</v>
          </cell>
          <cell r="U3423" t="str">
            <v>N/T</v>
          </cell>
        </row>
        <row r="3424">
          <cell r="J3424" t="str">
            <v>42-03-02-00-3416</v>
          </cell>
          <cell r="K3424" t="str">
            <v>sc-01263</v>
          </cell>
          <cell r="L3424" t="str">
            <v>42-03-02-00-3416</v>
          </cell>
          <cell r="M3424" t="str">
            <v>3ra. luz de frenos</v>
          </cell>
          <cell r="O3424" t="str">
            <v>EQUIPOS DE VEHICULO</v>
          </cell>
          <cell r="P3424">
            <v>38500</v>
          </cell>
          <cell r="T3424" t="str">
            <v>Bueno</v>
          </cell>
          <cell r="U3424" t="str">
            <v>N/T</v>
          </cell>
        </row>
        <row r="3425">
          <cell r="J3425" t="str">
            <v>42-03-02-00-3417</v>
          </cell>
          <cell r="K3425" t="str">
            <v>sc-01264</v>
          </cell>
          <cell r="L3425" t="str">
            <v>42-03-02-00-3417</v>
          </cell>
          <cell r="M3425" t="str">
            <v>Barrote Gata</v>
          </cell>
          <cell r="O3425" t="str">
            <v>EQUIPOS DE VEHICULO</v>
          </cell>
          <cell r="P3425">
            <v>5600</v>
          </cell>
          <cell r="T3425" t="str">
            <v>Bueno</v>
          </cell>
          <cell r="U3425" t="str">
            <v>N/T</v>
          </cell>
        </row>
        <row r="3426">
          <cell r="J3426" t="str">
            <v>42-03-01-00-3418</v>
          </cell>
          <cell r="K3426" t="str">
            <v>sc-01265</v>
          </cell>
          <cell r="L3426" t="str">
            <v>42-03-01-00-3418</v>
          </cell>
          <cell r="M3426" t="str">
            <v>Neumático de repuesto</v>
          </cell>
          <cell r="O3426" t="str">
            <v>REPUESTOS</v>
          </cell>
          <cell r="P3426">
            <v>33000</v>
          </cell>
          <cell r="T3426" t="str">
            <v>Bueno</v>
          </cell>
          <cell r="U3426" t="str">
            <v>N/T</v>
          </cell>
        </row>
        <row r="3427">
          <cell r="J3427" t="str">
            <v>42-03-02-00-3419</v>
          </cell>
          <cell r="K3427" t="str">
            <v>sc-01266</v>
          </cell>
          <cell r="L3427" t="str">
            <v>42-03-02-00-3419</v>
          </cell>
          <cell r="M3427" t="str">
            <v>Espejos exteriores</v>
          </cell>
          <cell r="O3427" t="str">
            <v>EQUIPOS DE VEHICULO</v>
          </cell>
          <cell r="P3427">
            <v>8000</v>
          </cell>
          <cell r="T3427" t="str">
            <v>Bueno</v>
          </cell>
          <cell r="U3427" t="str">
            <v>N/T</v>
          </cell>
        </row>
        <row r="3428">
          <cell r="J3428" t="str">
            <v>42-05-02-06-3420</v>
          </cell>
          <cell r="K3428" t="str">
            <v>sc-01267</v>
          </cell>
          <cell r="L3428" t="str">
            <v>42-05-02-06-3420</v>
          </cell>
          <cell r="M3428" t="str">
            <v>Llave ajustable Diamond 8"</v>
          </cell>
          <cell r="O3428" t="str">
            <v>HERRAMIENTAS</v>
          </cell>
          <cell r="P3428">
            <v>7000</v>
          </cell>
          <cell r="T3428" t="str">
            <v>Bueno</v>
          </cell>
          <cell r="U3428" t="str">
            <v>N/T</v>
          </cell>
        </row>
        <row r="3429">
          <cell r="J3429" t="str">
            <v>FN-05-02-06-3421</v>
          </cell>
          <cell r="K3429" t="str">
            <v>sc-01268</v>
          </cell>
          <cell r="L3429" t="str">
            <v>FN-05-02-06-3421</v>
          </cell>
          <cell r="M3429" t="str">
            <v>Llaves de punta ( 19/22, 16/19, 13/17, 10/13, 8/10 )</v>
          </cell>
          <cell r="O3429" t="str">
            <v>HERRAMIENTAS FUNGIBLE / NOMINABLE</v>
          </cell>
          <cell r="P3429">
            <v>12000</v>
          </cell>
          <cell r="T3429" t="str">
            <v>Bueno</v>
          </cell>
          <cell r="U3429" t="str">
            <v>N/T</v>
          </cell>
        </row>
        <row r="3430">
          <cell r="J3430" t="str">
            <v>FN-05-02-06-3422</v>
          </cell>
          <cell r="K3430" t="str">
            <v>sc-01269</v>
          </cell>
          <cell r="L3430" t="str">
            <v>FN-05-02-06-3422</v>
          </cell>
          <cell r="M3430" t="str">
            <v>Llaves hallen 12 y 14 mm</v>
          </cell>
          <cell r="O3430" t="str">
            <v>HERRAMIENTAS FUNGIBLE / NOMINABLE</v>
          </cell>
          <cell r="P3430">
            <v>5600</v>
          </cell>
          <cell r="T3430" t="str">
            <v>Bueno</v>
          </cell>
          <cell r="U3430" t="str">
            <v>N/T</v>
          </cell>
        </row>
        <row r="3431">
          <cell r="J3431" t="str">
            <v>FN-05-02-06-3423</v>
          </cell>
          <cell r="K3431" t="str">
            <v>sc-01270</v>
          </cell>
          <cell r="L3431" t="str">
            <v>FN-05-02-06-3423</v>
          </cell>
          <cell r="M3431" t="str">
            <v>Llaves tubo ( 12x13 mm, 16x17 mm )</v>
          </cell>
          <cell r="O3431" t="str">
            <v>HERRAMIENTAS FUNGIBLE / NOMINABLE</v>
          </cell>
          <cell r="P3431">
            <v>5600</v>
          </cell>
          <cell r="T3431" t="str">
            <v>Bueno</v>
          </cell>
          <cell r="U3431" t="str">
            <v>N/T</v>
          </cell>
        </row>
        <row r="3432">
          <cell r="J3432" t="str">
            <v>42-05-02-06-3424</v>
          </cell>
          <cell r="K3432" t="str">
            <v>sc-01271</v>
          </cell>
          <cell r="L3432" t="str">
            <v>42-05-02-06-3424</v>
          </cell>
          <cell r="M3432" t="str">
            <v>Martillo Stanford Brand</v>
          </cell>
          <cell r="O3432" t="str">
            <v>HERRAMIENTAS</v>
          </cell>
          <cell r="P3432">
            <v>4500</v>
          </cell>
          <cell r="T3432" t="str">
            <v>Bueno</v>
          </cell>
          <cell r="U3432" t="str">
            <v>N/T</v>
          </cell>
        </row>
        <row r="3433">
          <cell r="J3433" t="str">
            <v>42-05-02-06-3425</v>
          </cell>
          <cell r="K3433" t="str">
            <v>sc-01272</v>
          </cell>
          <cell r="L3433" t="str">
            <v>42-05-02-06-3425</v>
          </cell>
          <cell r="M3433" t="str">
            <v>Alicate Lenz-Werk Professional 8"</v>
          </cell>
          <cell r="O3433" t="str">
            <v>HERRAMIENTAS</v>
          </cell>
          <cell r="P3433">
            <v>3500</v>
          </cell>
          <cell r="T3433" t="str">
            <v>Bueno</v>
          </cell>
          <cell r="U3433" t="str">
            <v>N/T</v>
          </cell>
        </row>
        <row r="3434">
          <cell r="J3434" t="str">
            <v>FN-05-02-06-3426</v>
          </cell>
          <cell r="K3434" t="str">
            <v>sc-01273</v>
          </cell>
          <cell r="L3434" t="str">
            <v>FN-05-02-06-3426</v>
          </cell>
          <cell r="M3434" t="str">
            <v>Atornilladores Stanley,  Paleta</v>
          </cell>
          <cell r="O3434" t="str">
            <v>HERRAMIENTAS FUNGIBLE / NOMINABLE</v>
          </cell>
          <cell r="P3434">
            <v>10000</v>
          </cell>
          <cell r="T3434" t="str">
            <v>Bueno</v>
          </cell>
          <cell r="U3434" t="str">
            <v>N/T</v>
          </cell>
        </row>
        <row r="3435">
          <cell r="J3435" t="str">
            <v>42-05-02-06-3427</v>
          </cell>
          <cell r="K3435" t="str">
            <v>sc-01274</v>
          </cell>
          <cell r="L3435" t="str">
            <v>42-05-02-06-3427</v>
          </cell>
          <cell r="M3435" t="str">
            <v>Atornillador Stanley,  Cruz</v>
          </cell>
          <cell r="O3435" t="str">
            <v>HERRAMIENTAS</v>
          </cell>
          <cell r="P3435">
            <v>8000</v>
          </cell>
          <cell r="T3435" t="str">
            <v>Bueno</v>
          </cell>
          <cell r="U3435" t="str">
            <v>N/T</v>
          </cell>
        </row>
        <row r="3436">
          <cell r="J3436" t="str">
            <v>42-05-02-06-3428</v>
          </cell>
          <cell r="K3436" t="str">
            <v>sc-01275</v>
          </cell>
          <cell r="L3436" t="str">
            <v>42-05-02-06-3428</v>
          </cell>
          <cell r="M3436" t="str">
            <v>Atornillador Wechsel Griff,  Estrella</v>
          </cell>
          <cell r="O3436" t="str">
            <v>HERRAMIENTAS</v>
          </cell>
          <cell r="P3436">
            <v>2500</v>
          </cell>
          <cell r="T3436" t="str">
            <v>Bueno</v>
          </cell>
          <cell r="U3436" t="str">
            <v>N/T</v>
          </cell>
        </row>
        <row r="3437">
          <cell r="J3437" t="str">
            <v>42-03-01-00-3429</v>
          </cell>
          <cell r="K3437" t="str">
            <v>sc-01276</v>
          </cell>
          <cell r="L3437" t="str">
            <v>42-03-01-00-3429</v>
          </cell>
          <cell r="M3437" t="str">
            <v>Encendedor, cenicero</v>
          </cell>
          <cell r="O3437" t="str">
            <v>REPUESTOS</v>
          </cell>
          <cell r="P3437">
            <v>1500</v>
          </cell>
          <cell r="T3437" t="str">
            <v>Bueno</v>
          </cell>
          <cell r="U3437" t="str">
            <v>N/T</v>
          </cell>
        </row>
        <row r="3438">
          <cell r="J3438" t="str">
            <v>42-03-02-00-3430</v>
          </cell>
          <cell r="K3438" t="str">
            <v>sc-01277</v>
          </cell>
          <cell r="L3438" t="str">
            <v>42-03-02-00-3430</v>
          </cell>
          <cell r="M3438" t="str">
            <v>Asiento longitudinal con respaldo acolchado</v>
          </cell>
          <cell r="O3438" t="str">
            <v>EQUIPOS DE VEHICULO</v>
          </cell>
          <cell r="P3438">
            <v>30000</v>
          </cell>
          <cell r="T3438" t="str">
            <v>Bueno</v>
          </cell>
          <cell r="U3438" t="str">
            <v>N/T</v>
          </cell>
        </row>
        <row r="3439">
          <cell r="J3439" t="str">
            <v>42-05-02-01-3431</v>
          </cell>
          <cell r="K3439" t="str">
            <v>sc-01278</v>
          </cell>
          <cell r="L3439" t="str">
            <v>42-05-02-01-3431</v>
          </cell>
          <cell r="M3439" t="str">
            <v>Camilla Sitmed 39 traslado mod. Nº 0019416</v>
          </cell>
          <cell r="O3439" t="str">
            <v>EQUIPOS CLINICOS</v>
          </cell>
          <cell r="P3439">
            <v>110500</v>
          </cell>
          <cell r="T3439" t="str">
            <v>Bueno</v>
          </cell>
          <cell r="U3439" t="str">
            <v>N/T</v>
          </cell>
        </row>
        <row r="3440">
          <cell r="J3440" t="str">
            <v>42-03-02-00-3432</v>
          </cell>
          <cell r="K3440" t="str">
            <v>sc-01279</v>
          </cell>
          <cell r="L3440" t="str">
            <v>42-03-02-00-3432</v>
          </cell>
          <cell r="M3440" t="str">
            <v>Ducto de calefacción Ext. Cab</v>
          </cell>
          <cell r="O3440" t="str">
            <v>EQUIPOS DE VEHICULO</v>
          </cell>
          <cell r="P3440">
            <v>30000</v>
          </cell>
          <cell r="T3440" t="str">
            <v>Bueno</v>
          </cell>
          <cell r="U3440" t="str">
            <v>N/T</v>
          </cell>
        </row>
        <row r="3441">
          <cell r="J3441" t="str">
            <v>42-03-02-00-3433</v>
          </cell>
          <cell r="K3441" t="str">
            <v>sc-01280</v>
          </cell>
          <cell r="L3441" t="str">
            <v>42-03-02-00-3433</v>
          </cell>
          <cell r="M3441" t="str">
            <v>Foco halogeno iluminación acceso trasero</v>
          </cell>
          <cell r="O3441" t="str">
            <v>EQUIPOS DE VEHICULO</v>
          </cell>
          <cell r="P3441">
            <v>25000</v>
          </cell>
          <cell r="T3441" t="str">
            <v>Bueno</v>
          </cell>
          <cell r="U3441" t="str">
            <v>N/T</v>
          </cell>
        </row>
        <row r="3442">
          <cell r="J3442" t="str">
            <v>42-03-02-00-3434</v>
          </cell>
          <cell r="K3442" t="str">
            <v>sc-01281</v>
          </cell>
          <cell r="L3442" t="str">
            <v>42-03-02-00-3434</v>
          </cell>
          <cell r="M3442" t="str">
            <v>Ventana corredera lateral derecha G San</v>
          </cell>
          <cell r="O3442" t="str">
            <v>EQUIPOS DE VEHICULO</v>
          </cell>
          <cell r="P3442">
            <v>15000</v>
          </cell>
          <cell r="T3442" t="str">
            <v>Bueno</v>
          </cell>
          <cell r="U3442" t="str">
            <v>N/T</v>
          </cell>
        </row>
        <row r="3443">
          <cell r="J3443" t="str">
            <v>42-03-02-00-3435</v>
          </cell>
          <cell r="K3443" t="str">
            <v>sc-01282</v>
          </cell>
          <cell r="L3443" t="str">
            <v>42-03-02-00-3435</v>
          </cell>
          <cell r="M3443" t="str">
            <v>Contracabina con ventana corredera</v>
          </cell>
          <cell r="O3443" t="str">
            <v>EQUIPOS DE VEHICULO</v>
          </cell>
          <cell r="P3443">
            <v>200000</v>
          </cell>
          <cell r="T3443" t="str">
            <v>Bueno</v>
          </cell>
          <cell r="U3443" t="str">
            <v>N/T</v>
          </cell>
        </row>
        <row r="3444">
          <cell r="J3444" t="str">
            <v>42-03-02-00-3436</v>
          </cell>
          <cell r="K3444" t="str">
            <v>sc-01283</v>
          </cell>
          <cell r="L3444" t="str">
            <v>42-03-02-00-3436</v>
          </cell>
          <cell r="M3444" t="str">
            <v>Toma corriente 12 V</v>
          </cell>
          <cell r="O3444" t="str">
            <v>EQUIPOS DE VEHICULO</v>
          </cell>
          <cell r="P3444">
            <v>15000</v>
          </cell>
          <cell r="T3444" t="str">
            <v>Bueno</v>
          </cell>
          <cell r="U3444" t="str">
            <v>N/T</v>
          </cell>
        </row>
        <row r="3445">
          <cell r="J3445" t="str">
            <v>FN-03-02-00-3437</v>
          </cell>
          <cell r="K3445" t="str">
            <v>sc-01284</v>
          </cell>
          <cell r="L3445" t="str">
            <v>FN-03-02-00-3437</v>
          </cell>
          <cell r="M3445" t="str">
            <v>Toma corriente 220 V</v>
          </cell>
          <cell r="O3445" t="str">
            <v>EQUIPOS DE VEHICULO FUNGIBLE / NOMINABLE</v>
          </cell>
          <cell r="P3445">
            <v>16000</v>
          </cell>
          <cell r="T3445" t="str">
            <v>Bueno</v>
          </cell>
          <cell r="U3445" t="str">
            <v>N/T</v>
          </cell>
        </row>
        <row r="3446">
          <cell r="J3446" t="str">
            <v>42-03-02-00-3438</v>
          </cell>
          <cell r="K3446" t="str">
            <v>sc-01285</v>
          </cell>
          <cell r="L3446" t="str">
            <v>42-03-02-00-3438</v>
          </cell>
          <cell r="M3446" t="str">
            <v>Pisadera trasera con superficie antideslizante</v>
          </cell>
          <cell r="O3446" t="str">
            <v>EQUIPOS DE VEHICULO</v>
          </cell>
          <cell r="P3446">
            <v>15000</v>
          </cell>
          <cell r="T3446" t="str">
            <v>Bueno</v>
          </cell>
          <cell r="U3446" t="str">
            <v>N/T</v>
          </cell>
        </row>
        <row r="3447">
          <cell r="J3447" t="str">
            <v>42-03-02-00-3439</v>
          </cell>
          <cell r="K3447" t="str">
            <v>sc-01286</v>
          </cell>
          <cell r="L3447" t="str">
            <v>42-03-02-00-3439</v>
          </cell>
          <cell r="M3447" t="str">
            <v>Luz trasera antiniebla color roja</v>
          </cell>
          <cell r="O3447" t="str">
            <v>EQUIPOS DE VEHICULO</v>
          </cell>
          <cell r="P3447">
            <v>12000</v>
          </cell>
          <cell r="T3447" t="str">
            <v>Bueno</v>
          </cell>
          <cell r="U3447" t="str">
            <v>N/T</v>
          </cell>
        </row>
        <row r="3448">
          <cell r="J3448" t="str">
            <v>42-03-02-00-3440</v>
          </cell>
          <cell r="K3448" t="str">
            <v>sc-01287</v>
          </cell>
          <cell r="L3448" t="str">
            <v>42-03-02-00-3440</v>
          </cell>
          <cell r="M3448" t="str">
            <v>Caja porta drogas</v>
          </cell>
          <cell r="O3448" t="str">
            <v>EQUIPOS DE VEHICULO</v>
          </cell>
          <cell r="P3448">
            <v>15000</v>
          </cell>
          <cell r="T3448" t="str">
            <v>Bueno</v>
          </cell>
          <cell r="U3448" t="str">
            <v>N/T</v>
          </cell>
        </row>
        <row r="3449">
          <cell r="J3449" t="str">
            <v>42-03-02-00-3441</v>
          </cell>
          <cell r="K3449" t="str">
            <v>sc-01288</v>
          </cell>
          <cell r="L3449" t="str">
            <v>42-03-02-00-3441</v>
          </cell>
          <cell r="M3449" t="str">
            <v>Baliza mini barral rojo azul, Federal Signal</v>
          </cell>
          <cell r="O3449" t="str">
            <v>EQUIPOS DE VEHICULO</v>
          </cell>
          <cell r="P3449">
            <v>6500</v>
          </cell>
          <cell r="T3449" t="str">
            <v>Bueno</v>
          </cell>
          <cell r="U3449" t="str">
            <v>N/T</v>
          </cell>
        </row>
        <row r="3450">
          <cell r="J3450" t="str">
            <v>42-03-02-00-3442</v>
          </cell>
          <cell r="K3450" t="str">
            <v>sc-01289</v>
          </cell>
          <cell r="L3450" t="str">
            <v>42-03-02-00-3442</v>
          </cell>
          <cell r="M3450" t="str">
            <v>Balizas color rojo, en esquina superior trasero</v>
          </cell>
          <cell r="O3450" t="str">
            <v>EQUIPOS DE VEHICULO</v>
          </cell>
          <cell r="P3450">
            <v>25900</v>
          </cell>
          <cell r="T3450" t="str">
            <v>Bueno</v>
          </cell>
          <cell r="U3450" t="str">
            <v>N/T</v>
          </cell>
        </row>
        <row r="3451">
          <cell r="J3451" t="str">
            <v>42-03-02-00-3443</v>
          </cell>
          <cell r="K3451" t="str">
            <v>sc-01290</v>
          </cell>
          <cell r="L3451" t="str">
            <v>42-03-02-00-3443</v>
          </cell>
          <cell r="M3451" t="str">
            <v>Focos perimetrales rojos en Lat Superior</v>
          </cell>
          <cell r="O3451" t="str">
            <v>EQUIPOS DE VEHICULO</v>
          </cell>
          <cell r="P3451">
            <v>14900</v>
          </cell>
          <cell r="T3451" t="str">
            <v>Bueno</v>
          </cell>
          <cell r="U3451" t="str">
            <v>N/T</v>
          </cell>
        </row>
        <row r="3452">
          <cell r="J3452" t="str">
            <v>42-03-02-00-3444</v>
          </cell>
          <cell r="K3452" t="str">
            <v>sc-01291</v>
          </cell>
          <cell r="L3452" t="str">
            <v>42-03-02-00-3444</v>
          </cell>
          <cell r="M3452" t="str">
            <v>Sirena electrónica marca Federal Signal, 4 tonos</v>
          </cell>
          <cell r="O3452" t="str">
            <v>EQUIPOS DE VEHICULO</v>
          </cell>
          <cell r="P3452">
            <v>50000</v>
          </cell>
          <cell r="T3452" t="str">
            <v>Bueno</v>
          </cell>
          <cell r="U3452" t="str">
            <v>N/T</v>
          </cell>
        </row>
        <row r="3453">
          <cell r="J3453" t="str">
            <v>42-03-02-00-3445</v>
          </cell>
          <cell r="K3453" t="str">
            <v>sc-01292</v>
          </cell>
          <cell r="L3453" t="str">
            <v>42-03-02-00-3445</v>
          </cell>
          <cell r="M3453" t="str">
            <v>Parlante de 100 W</v>
          </cell>
          <cell r="O3453" t="str">
            <v>EQUIPOS DE VEHICULO</v>
          </cell>
          <cell r="P3453">
            <v>25000</v>
          </cell>
          <cell r="T3453" t="str">
            <v>Bueno</v>
          </cell>
          <cell r="U3453" t="str">
            <v>N/T</v>
          </cell>
        </row>
        <row r="3454">
          <cell r="J3454" t="str">
            <v>42-03-02-00-3446</v>
          </cell>
          <cell r="K3454" t="str">
            <v>sc-01293</v>
          </cell>
          <cell r="L3454" t="str">
            <v>42-03-02-00-3446</v>
          </cell>
          <cell r="M3454" t="str">
            <v>Busca camino portatil 12 V</v>
          </cell>
          <cell r="O3454" t="str">
            <v>EQUIPOS DE VEHICULO</v>
          </cell>
          <cell r="P3454">
            <v>18000</v>
          </cell>
          <cell r="T3454" t="str">
            <v>Malo</v>
          </cell>
          <cell r="U3454" t="str">
            <v>N/T</v>
          </cell>
        </row>
        <row r="3455">
          <cell r="J3455" t="str">
            <v>42-03-02-00-3447</v>
          </cell>
          <cell r="K3455" t="str">
            <v>sc-01294</v>
          </cell>
          <cell r="L3455" t="str">
            <v>42-03-02-00-3447</v>
          </cell>
          <cell r="M3455" t="str">
            <v>Asiento paramédico butaca</v>
          </cell>
          <cell r="O3455" t="str">
            <v>EQUIPOS DE VEHICULO</v>
          </cell>
          <cell r="P3455">
            <v>54500</v>
          </cell>
          <cell r="T3455" t="str">
            <v>Bueno</v>
          </cell>
          <cell r="U3455" t="str">
            <v>N/T</v>
          </cell>
        </row>
        <row r="3456">
          <cell r="J3456" t="str">
            <v>42-03-02-00-3448</v>
          </cell>
          <cell r="K3456" t="str">
            <v>sc-01295</v>
          </cell>
          <cell r="L3456" t="str">
            <v>42-03-02-00-3448</v>
          </cell>
          <cell r="M3456" t="str">
            <v>Mueble anaquel pared izquierda gabinete sanitario</v>
          </cell>
          <cell r="O3456" t="str">
            <v>EQUIPOS DE VEHICULO</v>
          </cell>
          <cell r="P3456">
            <v>75000</v>
          </cell>
          <cell r="T3456" t="str">
            <v>Bueno</v>
          </cell>
          <cell r="U3456" t="str">
            <v>N/T</v>
          </cell>
        </row>
        <row r="3457">
          <cell r="J3457" t="str">
            <v>42-03-02-00-3449</v>
          </cell>
          <cell r="K3457" t="str">
            <v>sc-01296</v>
          </cell>
          <cell r="L3457" t="str">
            <v>42-03-02-00-3449</v>
          </cell>
          <cell r="M3457" t="str">
            <v>Pasamanos aluminio en cielo del gabinete sanitario</v>
          </cell>
          <cell r="O3457" t="str">
            <v>EQUIPOS DE VEHICULO</v>
          </cell>
          <cell r="P3457">
            <v>12000</v>
          </cell>
          <cell r="T3457" t="str">
            <v>Bueno</v>
          </cell>
          <cell r="U3457" t="str">
            <v>N/T</v>
          </cell>
        </row>
        <row r="3458">
          <cell r="J3458" t="str">
            <v>42-03-02-00-3450</v>
          </cell>
          <cell r="K3458" t="str">
            <v>sc-01297</v>
          </cell>
          <cell r="L3458" t="str">
            <v>42-03-02-00-3450</v>
          </cell>
          <cell r="M3458" t="str">
            <v>Pasamanos aluminio en puerta lateral</v>
          </cell>
          <cell r="O3458" t="str">
            <v>EQUIPOS DE VEHICULO</v>
          </cell>
          <cell r="P3458">
            <v>7500</v>
          </cell>
          <cell r="T3458" t="str">
            <v>Bueno</v>
          </cell>
          <cell r="U3458" t="str">
            <v>N/T</v>
          </cell>
        </row>
        <row r="3459">
          <cell r="J3459" t="str">
            <v>42-03-02-00-3451</v>
          </cell>
          <cell r="K3459" t="str">
            <v>sc-01298</v>
          </cell>
          <cell r="L3459" t="str">
            <v>42-03-02-00-3451</v>
          </cell>
          <cell r="M3459" t="str">
            <v>Pasamanos aluminio en mueble clinico</v>
          </cell>
          <cell r="O3459" t="str">
            <v>EQUIPOS DE VEHICULO</v>
          </cell>
          <cell r="P3459">
            <v>7500</v>
          </cell>
          <cell r="T3459" t="str">
            <v>Bueno</v>
          </cell>
          <cell r="U3459" t="str">
            <v>N/T</v>
          </cell>
        </row>
        <row r="3460">
          <cell r="J3460" t="str">
            <v>42-03-02-00-3452</v>
          </cell>
          <cell r="K3460" t="str">
            <v>sc-01299</v>
          </cell>
          <cell r="L3460" t="str">
            <v>42-03-02-00-3452</v>
          </cell>
          <cell r="M3460" t="str">
            <v>Panel de control, comandos e identificaciones</v>
          </cell>
          <cell r="O3460" t="str">
            <v>EQUIPOS DE VEHICULO</v>
          </cell>
          <cell r="P3460">
            <v>50000</v>
          </cell>
          <cell r="T3460" t="str">
            <v>Bueno</v>
          </cell>
          <cell r="U3460" t="str">
            <v>N/T</v>
          </cell>
        </row>
        <row r="3461">
          <cell r="J3461" t="str">
            <v>42-03-02-00-3453</v>
          </cell>
          <cell r="K3461" t="str">
            <v>sc-01300</v>
          </cell>
          <cell r="L3461" t="str">
            <v>42-03-02-00-3453</v>
          </cell>
          <cell r="M3461" t="str">
            <v>Corta corriente general en tablero conducción</v>
          </cell>
          <cell r="O3461" t="str">
            <v>EQUIPOS DE VEHICULO</v>
          </cell>
          <cell r="P3461">
            <v>75000</v>
          </cell>
          <cell r="T3461" t="str">
            <v>Bueno</v>
          </cell>
          <cell r="U3461" t="str">
            <v>N/T</v>
          </cell>
        </row>
        <row r="3462">
          <cell r="J3462" t="str">
            <v>42-03-02-00-3454</v>
          </cell>
          <cell r="K3462" t="str">
            <v>sc-01301</v>
          </cell>
          <cell r="L3462" t="str">
            <v>42-03-02-00-3454</v>
          </cell>
          <cell r="M3462" t="str">
            <v>Panel central de comandos equipos electrónicos adicionales</v>
          </cell>
          <cell r="O3462" t="str">
            <v>EQUIPOS DE VEHICULO</v>
          </cell>
          <cell r="P3462">
            <v>80000</v>
          </cell>
          <cell r="T3462" t="str">
            <v>Bueno</v>
          </cell>
          <cell r="U3462" t="str">
            <v>N/T</v>
          </cell>
        </row>
        <row r="3463">
          <cell r="J3463" t="str">
            <v>FN-03-02-00-3455</v>
          </cell>
          <cell r="K3463" t="str">
            <v>sc-01302</v>
          </cell>
          <cell r="L3463" t="str">
            <v>FN-03-02-00-3455</v>
          </cell>
          <cell r="M3463" t="str">
            <v>Aplique incandescentes doble intensidad</v>
          </cell>
          <cell r="O3463" t="str">
            <v>EQUIPOS DE VEHICULO FUNGIBLE / NOMINABLE</v>
          </cell>
          <cell r="P3463">
            <v>35000</v>
          </cell>
          <cell r="T3463" t="str">
            <v>Bueno</v>
          </cell>
          <cell r="U3463" t="str">
            <v>N/T</v>
          </cell>
        </row>
        <row r="3464">
          <cell r="J3464" t="str">
            <v>FN-03-02-00-3456</v>
          </cell>
          <cell r="K3464" t="str">
            <v>sc-01303</v>
          </cell>
          <cell r="L3464" t="str">
            <v>FN-03-02-00-3456</v>
          </cell>
          <cell r="M3464" t="str">
            <v>Focos halogenos dirigibles, 150 V</v>
          </cell>
          <cell r="O3464" t="str">
            <v>EQUIPOS DE VEHICULO FUNGIBLE / NOMINABLE</v>
          </cell>
          <cell r="P3464">
            <v>25000</v>
          </cell>
          <cell r="T3464" t="str">
            <v>Bueno</v>
          </cell>
          <cell r="U3464" t="str">
            <v>N/T</v>
          </cell>
        </row>
        <row r="3465">
          <cell r="J3465" t="str">
            <v>42-03-02-00-3457</v>
          </cell>
          <cell r="K3465" t="str">
            <v>sc-01304</v>
          </cell>
          <cell r="L3465" t="str">
            <v>42-03-02-00-3457</v>
          </cell>
          <cell r="M3465" t="str">
            <v>Red eléctrica de 220 Volt, instalada en gabinete sanitario</v>
          </cell>
          <cell r="O3465" t="str">
            <v>EQUIPOS DE VEHICULO</v>
          </cell>
          <cell r="P3465">
            <v>70000</v>
          </cell>
          <cell r="T3465" t="str">
            <v>Bueno</v>
          </cell>
          <cell r="U3465" t="str">
            <v>N/T</v>
          </cell>
        </row>
        <row r="3466">
          <cell r="J3466" t="str">
            <v>42-03-02-00-3458</v>
          </cell>
          <cell r="K3466" t="str">
            <v>sc-01305</v>
          </cell>
          <cell r="L3466" t="str">
            <v>42-03-02-00-3458</v>
          </cell>
          <cell r="M3466" t="str">
            <v>20 Mts. cable alargador para 2000 Watts</v>
          </cell>
          <cell r="O3466" t="str">
            <v>EQUIPOS DE VEHICULO</v>
          </cell>
          <cell r="P3466">
            <v>20000</v>
          </cell>
          <cell r="T3466" t="str">
            <v>Bueno</v>
          </cell>
          <cell r="U3466" t="str">
            <v>N/T</v>
          </cell>
        </row>
        <row r="3467">
          <cell r="J3467" t="str">
            <v>42-03-02-00-3459</v>
          </cell>
          <cell r="K3467" t="str">
            <v>sc-01306</v>
          </cell>
          <cell r="L3467" t="str">
            <v>42-03-02-00-3459</v>
          </cell>
          <cell r="M3467" t="str">
            <v>Inversor y cargador de corriente de 1200 Watts</v>
          </cell>
          <cell r="O3467" t="str">
            <v>EQUIPOS DE VEHICULO</v>
          </cell>
          <cell r="P3467">
            <v>90000</v>
          </cell>
          <cell r="T3467" t="str">
            <v>Bueno</v>
          </cell>
          <cell r="U3467" t="str">
            <v>N/T</v>
          </cell>
        </row>
        <row r="3468">
          <cell r="J3468" t="str">
            <v>42-03-02-00-3460</v>
          </cell>
          <cell r="K3468" t="str">
            <v>sc-01307</v>
          </cell>
          <cell r="L3468" t="str">
            <v>42-03-02-00-3460</v>
          </cell>
          <cell r="M3468" t="str">
            <v>Bateria auxiliar de 100 Amp. de ciclo profundo</v>
          </cell>
          <cell r="O3468" t="str">
            <v>EQUIPOS DE VEHICULO</v>
          </cell>
          <cell r="P3468">
            <v>147500</v>
          </cell>
          <cell r="T3468" t="str">
            <v>Bueno</v>
          </cell>
          <cell r="U3468" t="str">
            <v>N/T</v>
          </cell>
        </row>
        <row r="3469">
          <cell r="J3469" t="str">
            <v>42-03-02-00-3461</v>
          </cell>
          <cell r="K3469" t="str">
            <v>sc-01308</v>
          </cell>
          <cell r="L3469" t="str">
            <v>42-03-02-00-3461</v>
          </cell>
          <cell r="M3469" t="str">
            <v>Sistema aire acondicionado ( 7.000 y 23.000 BTU )</v>
          </cell>
          <cell r="O3469" t="str">
            <v>EQUIPOS DE VEHICULO</v>
          </cell>
          <cell r="P3469">
            <v>70000</v>
          </cell>
          <cell r="T3469" t="str">
            <v>Bueno</v>
          </cell>
          <cell r="U3469" t="str">
            <v>N/T</v>
          </cell>
        </row>
        <row r="3470">
          <cell r="J3470" t="str">
            <v>42-03-02-00-3462</v>
          </cell>
          <cell r="K3470" t="str">
            <v>sc-01309</v>
          </cell>
          <cell r="L3470" t="str">
            <v>42-03-02-00-3462</v>
          </cell>
          <cell r="M3470" t="str">
            <v>Extractor de aire 12 Volt, centrifugo gran caudal</v>
          </cell>
          <cell r="O3470" t="str">
            <v>EQUIPOS DE VEHICULO</v>
          </cell>
          <cell r="P3470">
            <v>124218</v>
          </cell>
          <cell r="T3470" t="str">
            <v>Bueno</v>
          </cell>
          <cell r="U3470" t="str">
            <v>N/T</v>
          </cell>
        </row>
        <row r="3471">
          <cell r="J3471" t="str">
            <v>42-03-02-00-3463</v>
          </cell>
          <cell r="K3471" t="str">
            <v>sc-01310</v>
          </cell>
          <cell r="L3471" t="str">
            <v>42-03-02-00-3463</v>
          </cell>
          <cell r="M3471" t="str">
            <v>Red de Oxigeno central, 2 tomas ohio y regulador</v>
          </cell>
          <cell r="O3471" t="str">
            <v>EQUIPOS DE VEHICULO</v>
          </cell>
          <cell r="P3471">
            <v>80000</v>
          </cell>
          <cell r="T3471" t="str">
            <v>Bueno</v>
          </cell>
          <cell r="U3471" t="str">
            <v>N/T</v>
          </cell>
        </row>
        <row r="3472">
          <cell r="J3472" t="str">
            <v>42-03-02-00-3464</v>
          </cell>
          <cell r="K3472" t="str">
            <v>sc-01311</v>
          </cell>
          <cell r="L3472" t="str">
            <v>42-03-02-00-3464</v>
          </cell>
          <cell r="M3472" t="str">
            <v>Red de aspiración central con una toma de vacío</v>
          </cell>
          <cell r="O3472" t="str">
            <v>EQUIPOS DE VEHICULO</v>
          </cell>
          <cell r="P3472">
            <v>218900</v>
          </cell>
          <cell r="T3472" t="str">
            <v>Bueno</v>
          </cell>
          <cell r="U3472" t="str">
            <v>N/T</v>
          </cell>
        </row>
        <row r="3473">
          <cell r="J3473" t="str">
            <v>FN-03-02-00-3465</v>
          </cell>
          <cell r="K3473" t="str">
            <v>sc-01312</v>
          </cell>
          <cell r="L3473" t="str">
            <v>FN-03-02-00-3465</v>
          </cell>
          <cell r="M3473" t="str">
            <v>Portasueros retráctiles en techo gabinete sanitario</v>
          </cell>
          <cell r="O3473" t="str">
            <v>EQUIPOS DE VEHICULO FUNGIBLE / NOMINABLE</v>
          </cell>
          <cell r="P3473">
            <v>45000</v>
          </cell>
          <cell r="T3473" t="str">
            <v>Bueno</v>
          </cell>
          <cell r="U3473" t="str">
            <v>N/T</v>
          </cell>
        </row>
        <row r="3474">
          <cell r="J3474" t="str">
            <v>42-04-07-00-3466</v>
          </cell>
          <cell r="K3474" t="str">
            <v>sc-01313</v>
          </cell>
          <cell r="L3474" t="str">
            <v>42-04-07-00-3466</v>
          </cell>
          <cell r="M3474" t="str">
            <v>Recipiente para desechos</v>
          </cell>
          <cell r="O3474" t="str">
            <v>OTROS</v>
          </cell>
          <cell r="P3474">
            <v>3000</v>
          </cell>
          <cell r="T3474" t="str">
            <v>Bueno</v>
          </cell>
          <cell r="U3474" t="str">
            <v>N/T</v>
          </cell>
        </row>
        <row r="3475">
          <cell r="J3475" t="str">
            <v>42-04-07-00-3467</v>
          </cell>
          <cell r="K3475" t="str">
            <v>sc-01314</v>
          </cell>
          <cell r="L3475" t="str">
            <v>42-04-07-00-3467</v>
          </cell>
          <cell r="M3475" t="str">
            <v>Dispensador para desinfectante</v>
          </cell>
          <cell r="O3475" t="str">
            <v>OTROS</v>
          </cell>
          <cell r="P3475">
            <v>3000</v>
          </cell>
          <cell r="T3475" t="str">
            <v>Bueno</v>
          </cell>
          <cell r="U3475" t="str">
            <v>N/T</v>
          </cell>
        </row>
        <row r="3476">
          <cell r="J3476" t="str">
            <v>42-05-02-05-3468</v>
          </cell>
          <cell r="K3476" t="str">
            <v>sc-01315</v>
          </cell>
          <cell r="L3476" t="str">
            <v>42-05-02-05-3468</v>
          </cell>
          <cell r="M3476" t="str">
            <v>Extintor incendio tipo ABC 4 Kgs.</v>
          </cell>
          <cell r="O3476" t="str">
            <v>EQUIPOS DE SEGURIDAD</v>
          </cell>
          <cell r="P3476">
            <v>25000</v>
          </cell>
          <cell r="T3476" t="str">
            <v>Bueno</v>
          </cell>
          <cell r="U3476" t="str">
            <v>N/T</v>
          </cell>
        </row>
        <row r="3477">
          <cell r="J3477" t="str">
            <v>42-05-02-01-3469</v>
          </cell>
          <cell r="K3477" t="str">
            <v>sc-01316</v>
          </cell>
          <cell r="L3477" t="str">
            <v>42-05-02-01-3469</v>
          </cell>
          <cell r="M3477" t="str">
            <v>Resucitador adulto</v>
          </cell>
          <cell r="O3477" t="str">
            <v>EQUIPOS CLINICOS</v>
          </cell>
          <cell r="P3477">
            <v>58000</v>
          </cell>
          <cell r="T3477" t="str">
            <v>Bueno</v>
          </cell>
          <cell r="U3477" t="str">
            <v>N/T</v>
          </cell>
        </row>
        <row r="3478">
          <cell r="J3478" t="str">
            <v>42-05-02-01-3470</v>
          </cell>
          <cell r="K3478" t="str">
            <v>sc-01317</v>
          </cell>
          <cell r="L3478" t="str">
            <v>42-05-02-01-3470</v>
          </cell>
          <cell r="M3478" t="str">
            <v>Resucitador pediatrico</v>
          </cell>
          <cell r="O3478" t="str">
            <v>EQUIPOS CLINICOS</v>
          </cell>
          <cell r="P3478">
            <v>40000</v>
          </cell>
          <cell r="T3478" t="str">
            <v>Bueno</v>
          </cell>
          <cell r="U3478" t="str">
            <v>N/T</v>
          </cell>
        </row>
        <row r="3479">
          <cell r="J3479" t="str">
            <v>42-05-02-01-3471</v>
          </cell>
          <cell r="K3479" t="str">
            <v>sc-01318</v>
          </cell>
          <cell r="L3479" t="str">
            <v>42-05-02-01-3471</v>
          </cell>
          <cell r="M3479" t="str">
            <v>Resucitador Neonatal</v>
          </cell>
          <cell r="O3479" t="str">
            <v>EQUIPOS CLINICOS</v>
          </cell>
          <cell r="P3479">
            <v>40000</v>
          </cell>
          <cell r="T3479" t="str">
            <v>Bueno</v>
          </cell>
          <cell r="U3479" t="str">
            <v>N/T</v>
          </cell>
        </row>
        <row r="3480">
          <cell r="J3480" t="str">
            <v>42-05-02-01-3472</v>
          </cell>
          <cell r="K3480" t="str">
            <v>sc-01319</v>
          </cell>
          <cell r="L3480" t="str">
            <v>42-05-02-01-3472</v>
          </cell>
          <cell r="M3480" t="str">
            <v>Tabla espinal adulto</v>
          </cell>
          <cell r="O3480" t="str">
            <v>EQUIPOS CLINICOS</v>
          </cell>
          <cell r="P3480">
            <v>72900</v>
          </cell>
          <cell r="T3480" t="str">
            <v>Bueno</v>
          </cell>
          <cell r="U3480" t="str">
            <v>N/T</v>
          </cell>
        </row>
        <row r="3481">
          <cell r="J3481" t="str">
            <v>42-05-02-01-3473</v>
          </cell>
          <cell r="K3481" t="str">
            <v>sc-01320</v>
          </cell>
          <cell r="L3481" t="str">
            <v>42-05-02-01-3473</v>
          </cell>
          <cell r="M3481" t="str">
            <v>Tabla espinal pediátrica</v>
          </cell>
          <cell r="O3481" t="str">
            <v>EQUIPOS CLINICOS</v>
          </cell>
          <cell r="P3481">
            <v>50000</v>
          </cell>
          <cell r="T3481" t="str">
            <v>Bueno</v>
          </cell>
          <cell r="U3481" t="str">
            <v>N/T</v>
          </cell>
        </row>
        <row r="3482">
          <cell r="J3482" t="str">
            <v>42-05-02-01-3474</v>
          </cell>
          <cell r="K3482" t="str">
            <v>sc-01321</v>
          </cell>
          <cell r="L3482" t="str">
            <v>42-05-02-01-3474</v>
          </cell>
          <cell r="M3482" t="str">
            <v>Tabla cuchara</v>
          </cell>
          <cell r="O3482" t="str">
            <v>EQUIPOS CLINICOS</v>
          </cell>
          <cell r="P3482">
            <v>50000</v>
          </cell>
          <cell r="T3482" t="str">
            <v>Bueno</v>
          </cell>
          <cell r="U3482" t="str">
            <v>N/T</v>
          </cell>
        </row>
        <row r="3483">
          <cell r="J3483" t="str">
            <v>42-05-02-01-3475</v>
          </cell>
          <cell r="K3483" t="str">
            <v>sc-01322</v>
          </cell>
          <cell r="L3483" t="str">
            <v>42-05-02-01-3475</v>
          </cell>
          <cell r="M3483" t="str">
            <v>Chaleco extricación adulto</v>
          </cell>
          <cell r="O3483" t="str">
            <v>EQUIPOS CLINICOS</v>
          </cell>
          <cell r="P3483">
            <v>37800</v>
          </cell>
          <cell r="T3483" t="str">
            <v>Bueno</v>
          </cell>
          <cell r="U3483" t="str">
            <v>N/T</v>
          </cell>
        </row>
        <row r="3484">
          <cell r="J3484" t="str">
            <v>42-05-02-01-3476</v>
          </cell>
          <cell r="K3484" t="str">
            <v>sc-01323</v>
          </cell>
          <cell r="L3484" t="str">
            <v>42-05-02-01-3476</v>
          </cell>
          <cell r="M3484" t="str">
            <v>Chaleco transporte pediátrico</v>
          </cell>
          <cell r="O3484" t="str">
            <v>EQUIPOS CLINICOS</v>
          </cell>
          <cell r="P3484">
            <v>16000</v>
          </cell>
          <cell r="T3484" t="str">
            <v>Bueno</v>
          </cell>
          <cell r="U3484" t="str">
            <v>N/T</v>
          </cell>
        </row>
        <row r="3485">
          <cell r="J3485" t="str">
            <v>FN-05-02-01-3477</v>
          </cell>
          <cell r="K3485" t="str">
            <v>sc-01324</v>
          </cell>
          <cell r="L3485" t="str">
            <v>FN-05-02-01-3477</v>
          </cell>
          <cell r="M3485" t="str">
            <v>Collar cervical adulto</v>
          </cell>
          <cell r="O3485" t="str">
            <v>EQUIPOS CLINICOS FUNGIBLE / NOMINABLE</v>
          </cell>
          <cell r="P3485">
            <v>12000</v>
          </cell>
          <cell r="T3485" t="str">
            <v>Bueno</v>
          </cell>
          <cell r="U3485" t="str">
            <v>N/T</v>
          </cell>
        </row>
        <row r="3486">
          <cell r="J3486" t="str">
            <v>FN-05-02-01-3478</v>
          </cell>
          <cell r="K3486" t="str">
            <v>sc-01325</v>
          </cell>
          <cell r="L3486" t="str">
            <v>FN-05-02-01-3478</v>
          </cell>
          <cell r="M3486" t="str">
            <v>Collar cervical Pediátrico</v>
          </cell>
          <cell r="O3486" t="str">
            <v>EQUIPOS CLINICOS FUNGIBLE / NOMINABLE</v>
          </cell>
          <cell r="P3486">
            <v>7393</v>
          </cell>
          <cell r="T3486" t="str">
            <v>Bueno</v>
          </cell>
          <cell r="U3486" t="str">
            <v>N/T</v>
          </cell>
        </row>
        <row r="3487">
          <cell r="J3487" t="str">
            <v>42-05-02-01-3479</v>
          </cell>
          <cell r="K3487" t="str">
            <v>sc-01326</v>
          </cell>
          <cell r="L3487" t="str">
            <v>42-05-02-01-3479</v>
          </cell>
          <cell r="M3487" t="str">
            <v>Ferulas de inmovilización adulto</v>
          </cell>
          <cell r="O3487" t="str">
            <v>EQUIPOS CLINICOS</v>
          </cell>
          <cell r="P3487">
            <v>27000</v>
          </cell>
          <cell r="T3487" t="str">
            <v>Bueno</v>
          </cell>
          <cell r="U3487" t="str">
            <v>N/T</v>
          </cell>
        </row>
        <row r="3488">
          <cell r="J3488" t="str">
            <v>42-05-02-01-3480</v>
          </cell>
          <cell r="K3488" t="str">
            <v>sc-01327</v>
          </cell>
          <cell r="L3488" t="str">
            <v>42-05-02-01-3480</v>
          </cell>
          <cell r="M3488" t="str">
            <v>Inmovilizador lateral cabeza</v>
          </cell>
          <cell r="O3488" t="str">
            <v>EQUIPOS CLINICOS</v>
          </cell>
          <cell r="P3488">
            <v>15000</v>
          </cell>
          <cell r="T3488" t="str">
            <v>Bueno</v>
          </cell>
          <cell r="U3488" t="str">
            <v>N/T</v>
          </cell>
        </row>
        <row r="3489">
          <cell r="J3489" t="str">
            <v>42-05-02-01-3481</v>
          </cell>
          <cell r="K3489" t="str">
            <v>sc-01328</v>
          </cell>
          <cell r="L3489" t="str">
            <v>42-05-02-01-3481</v>
          </cell>
          <cell r="M3489" t="str">
            <v>Set oxigeno portatil</v>
          </cell>
          <cell r="O3489" t="str">
            <v>EQUIPOS CLINICOS</v>
          </cell>
          <cell r="P3489">
            <v>75000</v>
          </cell>
          <cell r="T3489" t="str">
            <v>Bueno</v>
          </cell>
          <cell r="U3489" t="str">
            <v>N/T</v>
          </cell>
        </row>
        <row r="3490">
          <cell r="J3490" t="str">
            <v>42-05-02-01-3482</v>
          </cell>
          <cell r="K3490" t="str">
            <v>sc-01329</v>
          </cell>
          <cell r="L3490" t="str">
            <v>42-05-02-01-3482</v>
          </cell>
          <cell r="M3490" t="str">
            <v>Juego laringoscopio adulto (PARTES DEL KIT)</v>
          </cell>
          <cell r="O3490" t="str">
            <v>EQUIPOS CLINICOS</v>
          </cell>
          <cell r="P3490">
            <v>120000</v>
          </cell>
          <cell r="T3490" t="str">
            <v>Bueno</v>
          </cell>
          <cell r="U3490" t="str">
            <v>N/T</v>
          </cell>
        </row>
        <row r="3491">
          <cell r="J3491" t="str">
            <v>42-05-02-01-3483</v>
          </cell>
          <cell r="K3491" t="str">
            <v>sc-01330</v>
          </cell>
          <cell r="L3491" t="str">
            <v>42-05-02-01-3483</v>
          </cell>
          <cell r="M3491" t="str">
            <v>Juego laringoscopio pediátrico PARTES DEL KIT)</v>
          </cell>
          <cell r="O3491" t="str">
            <v>EQUIPOS CLINICOS</v>
          </cell>
          <cell r="P3491">
            <v>120000</v>
          </cell>
          <cell r="T3491" t="str">
            <v>Bueno</v>
          </cell>
          <cell r="U3491" t="str">
            <v>N/T</v>
          </cell>
        </row>
        <row r="3492">
          <cell r="J3492" t="str">
            <v>42-05-02-01-3484</v>
          </cell>
          <cell r="K3492" t="str">
            <v>sc-01331</v>
          </cell>
          <cell r="L3492" t="str">
            <v>42-05-02-01-3484</v>
          </cell>
          <cell r="M3492" t="str">
            <v>Arnés pediátrico transporte</v>
          </cell>
          <cell r="O3492" t="str">
            <v>EQUIPOS CLINICOS</v>
          </cell>
          <cell r="P3492">
            <v>25000</v>
          </cell>
          <cell r="T3492" t="str">
            <v>Bueno</v>
          </cell>
          <cell r="U3492" t="str">
            <v>N/T</v>
          </cell>
        </row>
        <row r="3493">
          <cell r="J3493" t="str">
            <v>42-05-02-01-3485</v>
          </cell>
          <cell r="K3493" t="str">
            <v>sc-01332</v>
          </cell>
          <cell r="L3493" t="str">
            <v>42-05-02-01-3485</v>
          </cell>
          <cell r="M3493" t="str">
            <v>Mochila vía aerea (BOLSO ADECUADO)</v>
          </cell>
          <cell r="O3493" t="str">
            <v>EQUIPOS CLINICOS</v>
          </cell>
          <cell r="P3493">
            <v>20000</v>
          </cell>
          <cell r="T3493" t="str">
            <v>Bueno</v>
          </cell>
          <cell r="U3493" t="str">
            <v>N/T</v>
          </cell>
        </row>
        <row r="3494">
          <cell r="J3494" t="str">
            <v>42-05-02-01-3486</v>
          </cell>
          <cell r="K3494" t="str">
            <v>sc-01333</v>
          </cell>
          <cell r="L3494" t="str">
            <v>42-05-02-01-3486</v>
          </cell>
          <cell r="M3494" t="str">
            <v>Mochila de paro (BOLSO ADECUADO)</v>
          </cell>
          <cell r="O3494" t="str">
            <v>EQUIPOS CLINICOS</v>
          </cell>
          <cell r="P3494">
            <v>380000</v>
          </cell>
          <cell r="T3494" t="str">
            <v>Bueno</v>
          </cell>
          <cell r="U3494" t="str">
            <v>N/T</v>
          </cell>
        </row>
        <row r="3495">
          <cell r="J3495" t="str">
            <v>42-05-02-01-3487</v>
          </cell>
          <cell r="K3495" t="str">
            <v>sc-01334</v>
          </cell>
          <cell r="L3495" t="str">
            <v>42-05-02-01-3487</v>
          </cell>
          <cell r="M3495" t="str">
            <v>Mochila mixta</v>
          </cell>
          <cell r="O3495" t="str">
            <v>EQUIPOS CLINICOS</v>
          </cell>
          <cell r="P3495">
            <v>350000</v>
          </cell>
          <cell r="T3495" t="str">
            <v>Bueno</v>
          </cell>
          <cell r="U3495" t="str">
            <v>N/T</v>
          </cell>
        </row>
        <row r="3496">
          <cell r="J3496" t="str">
            <v>42-05-02-01-3488</v>
          </cell>
          <cell r="K3496" t="str">
            <v>sc-01335</v>
          </cell>
          <cell r="L3496" t="str">
            <v>42-05-02-01-3488</v>
          </cell>
          <cell r="M3496" t="str">
            <v>Pulpo</v>
          </cell>
          <cell r="O3496" t="str">
            <v>EQUIPOS CLINICOS</v>
          </cell>
          <cell r="P3496">
            <v>150000</v>
          </cell>
          <cell r="T3496" t="str">
            <v>Bueno</v>
          </cell>
          <cell r="U3496" t="str">
            <v>N/T</v>
          </cell>
        </row>
        <row r="3497">
          <cell r="J3497" t="str">
            <v>42-05-02-01-3489</v>
          </cell>
          <cell r="K3497" t="str">
            <v>sc-01336</v>
          </cell>
          <cell r="L3497" t="str">
            <v>42-05-02-01-3489</v>
          </cell>
          <cell r="M3497" t="str">
            <v>Bomba infusión continua Cardinal Health Mod. Alaris S/Nº 25042RWL1</v>
          </cell>
          <cell r="O3497" t="str">
            <v>EQUIPOS CLINICOS</v>
          </cell>
          <cell r="P3497">
            <v>185000</v>
          </cell>
          <cell r="T3497" t="str">
            <v>Bueno</v>
          </cell>
          <cell r="U3497" t="str">
            <v>Cardinal</v>
          </cell>
        </row>
        <row r="3498">
          <cell r="J3498" t="str">
            <v>42-05-02-01-3490</v>
          </cell>
          <cell r="K3498" t="str">
            <v>sc-01337</v>
          </cell>
          <cell r="L3498" t="str">
            <v>42-05-02-01-3490</v>
          </cell>
          <cell r="M3498" t="str">
            <v>Ventilador mecanico transporte Drager Mod. Oxilog 2000 S/Nº SRYM-0060</v>
          </cell>
          <cell r="O3498" t="str">
            <v>EQUIPOS CLINICOS</v>
          </cell>
          <cell r="P3498">
            <v>60000</v>
          </cell>
          <cell r="T3498" t="str">
            <v>Bueno</v>
          </cell>
          <cell r="U3498" t="str">
            <v>Drager</v>
          </cell>
        </row>
        <row r="3499">
          <cell r="J3499" t="str">
            <v>42-05-02-01-3491</v>
          </cell>
          <cell r="K3499" t="str">
            <v>sc-01338</v>
          </cell>
          <cell r="L3499" t="str">
            <v>42-05-02-01-3491</v>
          </cell>
          <cell r="M3499" t="str">
            <v>Chata Plastica Standard Adulto</v>
          </cell>
          <cell r="O3499" t="str">
            <v>EQUIPOS CLINICOS</v>
          </cell>
          <cell r="P3499">
            <v>2890</v>
          </cell>
          <cell r="T3499" t="str">
            <v>Bueno</v>
          </cell>
          <cell r="U3499" t="str">
            <v>N/T</v>
          </cell>
        </row>
        <row r="3500">
          <cell r="J3500" t="str">
            <v>42-05-02-01-3492</v>
          </cell>
          <cell r="K3500" t="str">
            <v>sc-01339</v>
          </cell>
          <cell r="L3500" t="str">
            <v>42-05-02-01-3492</v>
          </cell>
          <cell r="M3500" t="str">
            <v>Chata Plastica Standard Pediatrica</v>
          </cell>
          <cell r="O3500" t="str">
            <v>EQUIPOS CLINICOS</v>
          </cell>
          <cell r="P3500">
            <v>2890</v>
          </cell>
          <cell r="T3500" t="str">
            <v>Bueno</v>
          </cell>
          <cell r="U3500" t="str">
            <v>N/T</v>
          </cell>
        </row>
        <row r="3501">
          <cell r="J3501" t="str">
            <v>42-05-02-01-3493</v>
          </cell>
          <cell r="K3501" t="str">
            <v>sc-01340</v>
          </cell>
          <cell r="L3501" t="str">
            <v>42-05-02-01-3493</v>
          </cell>
          <cell r="M3501" t="str">
            <v>Pato Plastico Standard</v>
          </cell>
          <cell r="O3501" t="str">
            <v>EQUIPOS CLINICOS</v>
          </cell>
          <cell r="P3501">
            <v>3000</v>
          </cell>
          <cell r="T3501" t="str">
            <v>Bueno</v>
          </cell>
          <cell r="U3501" t="str">
            <v>N/T</v>
          </cell>
        </row>
        <row r="3502">
          <cell r="J3502" t="str">
            <v>42-03-02-00-3494</v>
          </cell>
          <cell r="K3502" t="str">
            <v>sc-01341</v>
          </cell>
          <cell r="L3502" t="str">
            <v>42-03-02-00-3494</v>
          </cell>
          <cell r="M3502" t="str">
            <v xml:space="preserve">Porta Oxigeno </v>
          </cell>
          <cell r="O3502" t="str">
            <v>EQUIPOS DE VEHICULO</v>
          </cell>
          <cell r="P3502">
            <v>18900</v>
          </cell>
          <cell r="T3502" t="str">
            <v>Bueno</v>
          </cell>
          <cell r="U3502" t="str">
            <v>N/T</v>
          </cell>
        </row>
        <row r="3503">
          <cell r="J3503" t="str">
            <v>42-05-02-01-3495</v>
          </cell>
          <cell r="K3503" t="str">
            <v>sc-01345</v>
          </cell>
          <cell r="L3503" t="str">
            <v>42-05-02-01-3495</v>
          </cell>
          <cell r="M3503" t="str">
            <v>Chata Plastica Standard Adulto</v>
          </cell>
          <cell r="O3503" t="str">
            <v>EQUIPOS CLINICOS</v>
          </cell>
          <cell r="P3503">
            <v>2890</v>
          </cell>
          <cell r="T3503" t="str">
            <v>Bueno</v>
          </cell>
          <cell r="U3503" t="str">
            <v>N/T</v>
          </cell>
        </row>
        <row r="3504">
          <cell r="J3504" t="str">
            <v>NN-06-01-00-3496</v>
          </cell>
          <cell r="L3504" t="str">
            <v>NN-06-01-00-3496</v>
          </cell>
          <cell r="M3504" t="str">
            <v>CPU Olidata Intel Core SNº X15-53902</v>
          </cell>
          <cell r="O3504" t="str">
            <v>EQUIPOS COMPUTACIONALES Y PERIFÉRICOS EN ARRIENDO</v>
          </cell>
          <cell r="P3504">
            <v>150000</v>
          </cell>
          <cell r="T3504" t="str">
            <v>Bueno</v>
          </cell>
          <cell r="U3504" t="str">
            <v>Olidata</v>
          </cell>
        </row>
        <row r="3505">
          <cell r="J3505" t="str">
            <v>NN-06-01-00-3497</v>
          </cell>
          <cell r="L3505" t="str">
            <v>NN-06-01-00-3497</v>
          </cell>
          <cell r="M3505" t="str">
            <v>Monitor Olidata  15 Pulgadas SNº 70095-95D25-88-00144Z</v>
          </cell>
          <cell r="O3505" t="str">
            <v>EQUIPOS COMPUTACIONALES Y PERIFÉRICOS EN ARRIENDO</v>
          </cell>
          <cell r="P3505">
            <v>16000</v>
          </cell>
          <cell r="T3505" t="str">
            <v>Bueno</v>
          </cell>
          <cell r="U3505" t="str">
            <v>Olidata</v>
          </cell>
        </row>
        <row r="3506">
          <cell r="J3506" t="str">
            <v>NN-06-01-00-3498</v>
          </cell>
          <cell r="L3506" t="str">
            <v>NN-06-01-00-3498</v>
          </cell>
          <cell r="M3506" t="str">
            <v>Mouse Olidata Mod. KM-8920</v>
          </cell>
          <cell r="O3506" t="str">
            <v>EQUIPOS COMPUTACIONALES Y PERIFÉRICOS EN ARRIENDO</v>
          </cell>
          <cell r="P3506">
            <v>4000</v>
          </cell>
          <cell r="T3506" t="str">
            <v>Bueno</v>
          </cell>
          <cell r="U3506" t="str">
            <v>Olidata</v>
          </cell>
        </row>
        <row r="3507">
          <cell r="J3507" t="str">
            <v>NN-06-01-00-3499</v>
          </cell>
          <cell r="L3507" t="str">
            <v>NN-06-01-00-3499</v>
          </cell>
          <cell r="M3507" t="str">
            <v>Teclado Olidata Model - K3100</v>
          </cell>
          <cell r="O3507" t="str">
            <v>EQUIPOS COMPUTACIONALES Y PERIFÉRICOS EN ARRIENDO</v>
          </cell>
          <cell r="P3507">
            <v>4000</v>
          </cell>
          <cell r="T3507" t="str">
            <v>Bueno</v>
          </cell>
          <cell r="U3507" t="str">
            <v>Olidata</v>
          </cell>
        </row>
        <row r="3508">
          <cell r="J3508" t="str">
            <v>42-04-03-00-3500</v>
          </cell>
          <cell r="L3508" t="str">
            <v>42-04-03-00-3500</v>
          </cell>
          <cell r="M3508" t="str">
            <v xml:space="preserve">Escritorio 2 Cajones De 120x66x77 Cms. </v>
          </cell>
          <cell r="O3508" t="str">
            <v>ESCRITORIOS</v>
          </cell>
          <cell r="P3508">
            <v>69000</v>
          </cell>
          <cell r="T3508" t="str">
            <v>Bueno</v>
          </cell>
          <cell r="U3508" t="str">
            <v>N/T</v>
          </cell>
        </row>
        <row r="3509">
          <cell r="J3509" t="str">
            <v>42-04-07-00-3501</v>
          </cell>
          <cell r="L3509" t="str">
            <v>42-04-07-00-3501</v>
          </cell>
          <cell r="M3509" t="str">
            <v>Gabinete Aereo Sin Puerta Archivador Hechizo Color Cerezo</v>
          </cell>
          <cell r="O3509" t="str">
            <v>OTROS</v>
          </cell>
          <cell r="P3509">
            <v>25000</v>
          </cell>
          <cell r="T3509" t="str">
            <v>Bueno</v>
          </cell>
          <cell r="U3509" t="str">
            <v>N/T</v>
          </cell>
        </row>
        <row r="3510">
          <cell r="J3510" t="str">
            <v>42-05-01-01-3502</v>
          </cell>
          <cell r="L3510" t="str">
            <v>42-05-01-01-3502</v>
          </cell>
          <cell r="M3510" t="str">
            <v>Celular Nokia C-02 Institucional SSAS</v>
          </cell>
          <cell r="O3510" t="str">
            <v>EQUIPO DE OFICINA</v>
          </cell>
          <cell r="P3510">
            <v>30000</v>
          </cell>
          <cell r="T3510" t="str">
            <v>Bueno</v>
          </cell>
          <cell r="U3510" t="str">
            <v>Nokia</v>
          </cell>
        </row>
        <row r="3511">
          <cell r="J3511" t="str">
            <v>42-05-01-01-3503</v>
          </cell>
          <cell r="L3511" t="str">
            <v>42-05-01-01-3503</v>
          </cell>
          <cell r="M3511" t="str">
            <v>Corchetera Torre color negra</v>
          </cell>
          <cell r="O3511" t="str">
            <v>EQUIPO DE OFICINA</v>
          </cell>
          <cell r="P3511">
            <v>3000</v>
          </cell>
          <cell r="T3511" t="str">
            <v>Bueno</v>
          </cell>
          <cell r="U3511" t="str">
            <v>Torre</v>
          </cell>
        </row>
        <row r="3512">
          <cell r="J3512" t="str">
            <v>42-05-01-01-3504</v>
          </cell>
          <cell r="L3512" t="str">
            <v>42-05-01-01-3504</v>
          </cell>
          <cell r="M3512" t="str">
            <v xml:space="preserve">Radiador De Calefaccion Ambiental Blanco </v>
          </cell>
          <cell r="O3512" t="str">
            <v>EQUIPO DE OFICINA</v>
          </cell>
          <cell r="P3512">
            <v>40000</v>
          </cell>
          <cell r="T3512" t="str">
            <v>Bueno</v>
          </cell>
          <cell r="U3512" t="str">
            <v>N/T</v>
          </cell>
        </row>
        <row r="3513">
          <cell r="J3513" t="str">
            <v>42-04-07-00-3505</v>
          </cell>
          <cell r="L3513" t="str">
            <v>42-04-07-00-3505</v>
          </cell>
          <cell r="M3513" t="str">
            <v>Cuadro Presidencial Actualizado 70x50cm</v>
          </cell>
          <cell r="O3513" t="str">
            <v>OTROS</v>
          </cell>
          <cell r="P3513">
            <v>10000</v>
          </cell>
          <cell r="T3513" t="str">
            <v>Bueno</v>
          </cell>
          <cell r="U3513" t="str">
            <v>N/T</v>
          </cell>
        </row>
        <row r="3514">
          <cell r="J3514" t="str">
            <v>42-05-01-01-3506</v>
          </cell>
          <cell r="L3514" t="str">
            <v>42-05-01-01-3506</v>
          </cell>
          <cell r="M3514" t="str">
            <v>Celular Nokia C-02 Institucional SSAS</v>
          </cell>
          <cell r="O3514" t="str">
            <v>EQUIPO DE OFICINA</v>
          </cell>
          <cell r="P3514">
            <v>30000</v>
          </cell>
          <cell r="T3514" t="str">
            <v>Bueno</v>
          </cell>
          <cell r="U3514" t="str">
            <v>N/T</v>
          </cell>
        </row>
        <row r="3515">
          <cell r="J3515" t="str">
            <v>42-05-01-01-3507</v>
          </cell>
          <cell r="L3515" t="str">
            <v>42-05-01-01-3507</v>
          </cell>
          <cell r="M3515" t="str">
            <v>Taco Calendario de madera color Barniz Natural</v>
          </cell>
          <cell r="O3515" t="str">
            <v>EQUIPO DE OFICINA</v>
          </cell>
          <cell r="P3515">
            <v>4000</v>
          </cell>
          <cell r="T3515" t="str">
            <v>Bueno</v>
          </cell>
          <cell r="U3515" t="str">
            <v>N/T</v>
          </cell>
        </row>
        <row r="3516">
          <cell r="J3516" t="str">
            <v>42-05-01-01-3508</v>
          </cell>
          <cell r="L3516" t="str">
            <v>42-05-01-01-3508</v>
          </cell>
          <cell r="M3516" t="str">
            <v xml:space="preserve">Radiador De Calefaccion Ambiental Blanco </v>
          </cell>
          <cell r="O3516" t="str">
            <v>EQUIPO DE OFICINA</v>
          </cell>
          <cell r="P3516">
            <v>40000</v>
          </cell>
          <cell r="T3516" t="str">
            <v>Bueno</v>
          </cell>
          <cell r="U3516" t="str">
            <v>N/T</v>
          </cell>
        </row>
        <row r="3517">
          <cell r="J3517" t="str">
            <v>42-03-02-00-3509</v>
          </cell>
          <cell r="L3517" t="str">
            <v>42-03-02-00-3509</v>
          </cell>
          <cell r="M3517" t="str">
            <v>Radio CD Vehiculo con Parlantes</v>
          </cell>
          <cell r="O3517" t="str">
            <v>EQUIPOS DE VEHICULO</v>
          </cell>
          <cell r="P3517">
            <v>53710</v>
          </cell>
          <cell r="T3517" t="str">
            <v>Bueno</v>
          </cell>
          <cell r="U3517" t="str">
            <v>N/T</v>
          </cell>
        </row>
        <row r="3518">
          <cell r="J3518" t="str">
            <v>NN-06-01-00-3510</v>
          </cell>
          <cell r="L3518" t="str">
            <v>NN-06-01-00-3510</v>
          </cell>
          <cell r="M3518" t="str">
            <v>PC All in One Olidata Nºs: 014588-000881</v>
          </cell>
          <cell r="O3518" t="str">
            <v>EQUIPOS COMPUTACIONALES Y PERIFÉRICOS EN ARRIENDO</v>
          </cell>
          <cell r="P3518">
            <v>270000</v>
          </cell>
          <cell r="Q3518" t="str">
            <v>014588-000881</v>
          </cell>
          <cell r="T3518" t="str">
            <v>Bueno</v>
          </cell>
          <cell r="U3518" t="str">
            <v>N/T</v>
          </cell>
        </row>
        <row r="3519">
          <cell r="J3519" t="str">
            <v>NN-06-01-00-3511</v>
          </cell>
          <cell r="L3519" t="str">
            <v>NN-06-01-00-3511</v>
          </cell>
          <cell r="M3519" t="str">
            <v>Teclado Olidata Model K-3100</v>
          </cell>
          <cell r="O3519" t="str">
            <v>EQUIPOS COMPUTACIONALES Y PERIFÉRICOS EN ARRIENDO</v>
          </cell>
          <cell r="P3519">
            <v>4000</v>
          </cell>
          <cell r="T3519" t="str">
            <v>Bueno</v>
          </cell>
          <cell r="U3519" t="str">
            <v>N/T</v>
          </cell>
        </row>
        <row r="3520">
          <cell r="J3520" t="str">
            <v>NN-06-01-00-3512</v>
          </cell>
          <cell r="L3520" t="str">
            <v>NN-06-01-00-3512</v>
          </cell>
          <cell r="M3520" t="str">
            <v>Mouse Olidata Model KM 8903</v>
          </cell>
          <cell r="O3520" t="str">
            <v>EQUIPOS COMPUTACIONALES Y PERIFÉRICOS EN ARRIENDO</v>
          </cell>
          <cell r="P3520">
            <v>3000</v>
          </cell>
          <cell r="T3520" t="str">
            <v>Bueno</v>
          </cell>
          <cell r="U3520" t="str">
            <v>N/T</v>
          </cell>
        </row>
        <row r="3521">
          <cell r="J3521" t="str">
            <v>42-05-02-06-3513</v>
          </cell>
          <cell r="K3521" t="str">
            <v>42-3515</v>
          </cell>
          <cell r="L3521" t="str">
            <v>42-05-02-06-3513</v>
          </cell>
          <cell r="M3521" t="str">
            <v>Hidrolavadora Alta Presion</v>
          </cell>
          <cell r="N3521" t="str">
            <v>SJ 1500</v>
          </cell>
          <cell r="O3521" t="str">
            <v>HERRAMIENTAS</v>
          </cell>
          <cell r="P3521">
            <v>96990</v>
          </cell>
          <cell r="Q3521" t="str">
            <v>SKU 41821 -8</v>
          </cell>
          <cell r="T3521" t="str">
            <v>Bueno</v>
          </cell>
          <cell r="U3521" t="str">
            <v>BAUKER</v>
          </cell>
        </row>
        <row r="3522">
          <cell r="J3522" t="str">
            <v>42-04-04-00-3514</v>
          </cell>
          <cell r="L3522" t="str">
            <v>42-04-04-00-3514</v>
          </cell>
          <cell r="M3522" t="str">
            <v>Mueble Cocina Enchapado Melamina con Lavaplatos 05 Puertas c/llave</v>
          </cell>
          <cell r="O3522" t="str">
            <v>MUEBLES DE COCINA</v>
          </cell>
          <cell r="P3522">
            <v>160000</v>
          </cell>
          <cell r="T3522" t="str">
            <v>Bueno</v>
          </cell>
          <cell r="U3522" t="str">
            <v>N/T</v>
          </cell>
        </row>
        <row r="3523">
          <cell r="J3523" t="str">
            <v>42-04-07-00-3515</v>
          </cell>
          <cell r="L3523" t="str">
            <v>42-04-07-00-3515</v>
          </cell>
          <cell r="M3523" t="str">
            <v>Basurero Plastico Basico CASINO</v>
          </cell>
          <cell r="O3523" t="str">
            <v>OTROS</v>
          </cell>
          <cell r="P3523">
            <v>4000</v>
          </cell>
          <cell r="T3523" t="str">
            <v>Bueno</v>
          </cell>
          <cell r="U3523" t="str">
            <v>N/T</v>
          </cell>
        </row>
        <row r="3524">
          <cell r="J3524" t="str">
            <v>42-04-07-00-3516</v>
          </cell>
          <cell r="L3524" t="str">
            <v>42-04-07-00-3516</v>
          </cell>
          <cell r="M3524" t="str">
            <v>Porta Toallas / Servilletas</v>
          </cell>
          <cell r="O3524" t="str">
            <v>OTROS</v>
          </cell>
          <cell r="P3524">
            <v>17000</v>
          </cell>
          <cell r="T3524" t="str">
            <v>Bueno</v>
          </cell>
          <cell r="U3524" t="str">
            <v>N/T</v>
          </cell>
        </row>
        <row r="3525">
          <cell r="J3525" t="str">
            <v>42-04-07-00-3517</v>
          </cell>
          <cell r="L3525" t="str">
            <v>42-04-07-00-3517</v>
          </cell>
          <cell r="M3525" t="str">
            <v>Dispensador de Jabon</v>
          </cell>
          <cell r="O3525" t="str">
            <v>OTROS</v>
          </cell>
          <cell r="P3525">
            <v>17000</v>
          </cell>
          <cell r="T3525" t="str">
            <v>Bueno</v>
          </cell>
          <cell r="U3525" t="str">
            <v>N/T</v>
          </cell>
        </row>
        <row r="3526">
          <cell r="J3526" t="str">
            <v>42-05-02-01-3518</v>
          </cell>
          <cell r="L3526" t="str">
            <v>42-05-02-01-3518</v>
          </cell>
          <cell r="M3526" t="str">
            <v>Porta Aguja Esterilización</v>
          </cell>
          <cell r="O3526" t="str">
            <v>EQUIPOS CLINICOS</v>
          </cell>
          <cell r="P3526">
            <v>12000</v>
          </cell>
          <cell r="T3526" t="str">
            <v>Bueno</v>
          </cell>
          <cell r="U3526" t="str">
            <v>N/T</v>
          </cell>
        </row>
        <row r="3527">
          <cell r="J3527" t="str">
            <v>42-05-02-01-3519</v>
          </cell>
          <cell r="L3527" t="str">
            <v>42-05-02-01-3519</v>
          </cell>
          <cell r="M3527" t="str">
            <v xml:space="preserve">Tijera Recta </v>
          </cell>
          <cell r="O3527" t="str">
            <v>EQUIPOS CLINICOS</v>
          </cell>
          <cell r="P3527">
            <v>2070</v>
          </cell>
          <cell r="T3527" t="str">
            <v>Bueno</v>
          </cell>
          <cell r="U3527" t="str">
            <v>N/T</v>
          </cell>
        </row>
        <row r="3528">
          <cell r="J3528" t="str">
            <v>FN-05-02-01-3520</v>
          </cell>
          <cell r="L3528" t="str">
            <v>FN-05-02-01-3520</v>
          </cell>
          <cell r="M3528" t="str">
            <v>Pinza Mosquito 12 CM Recta</v>
          </cell>
          <cell r="O3528" t="str">
            <v>EQUIPOS CLINICOS FUNGIBLE / NOMINABLE</v>
          </cell>
          <cell r="P3528">
            <v>2100</v>
          </cell>
          <cell r="T3528" t="str">
            <v>Bueno</v>
          </cell>
          <cell r="U3528" t="str">
            <v>N/T</v>
          </cell>
        </row>
        <row r="3529">
          <cell r="J3529" t="str">
            <v>FN-05-02-01-3521</v>
          </cell>
          <cell r="L3529" t="str">
            <v>FN-05-02-01-3521</v>
          </cell>
          <cell r="M3529" t="str">
            <v>Pinza Mosquito 12 CM Recta</v>
          </cell>
          <cell r="O3529" t="str">
            <v>EQUIPOS CLINICOS FUNGIBLE / NOMINABLE</v>
          </cell>
          <cell r="P3529">
            <v>2100</v>
          </cell>
          <cell r="T3529" t="str">
            <v>Bueno</v>
          </cell>
          <cell r="U3529" t="str">
            <v>N/T</v>
          </cell>
        </row>
        <row r="3530">
          <cell r="J3530" t="str">
            <v>42-05-02-01-3522</v>
          </cell>
          <cell r="L3530" t="str">
            <v>42-05-02-01-3522</v>
          </cell>
          <cell r="M3530" t="str">
            <v>Cureta</v>
          </cell>
          <cell r="O3530" t="str">
            <v>EQUIPOS CLINICOS</v>
          </cell>
          <cell r="P3530">
            <v>2070</v>
          </cell>
          <cell r="T3530" t="str">
            <v>Bueno</v>
          </cell>
          <cell r="U3530" t="str">
            <v>N/T</v>
          </cell>
        </row>
        <row r="3531">
          <cell r="J3531" t="str">
            <v>42-04-03-00-3523</v>
          </cell>
          <cell r="L3531" t="str">
            <v>42-04-03-00-3523</v>
          </cell>
          <cell r="M3531" t="str">
            <v>Escritorio para Computador color miel con cajon y llave</v>
          </cell>
          <cell r="O3531" t="str">
            <v>ESCRITORIOS</v>
          </cell>
          <cell r="P3531">
            <v>45000</v>
          </cell>
          <cell r="T3531" t="str">
            <v>Bueno</v>
          </cell>
          <cell r="U3531" t="str">
            <v>N/T</v>
          </cell>
        </row>
        <row r="3532">
          <cell r="J3532" t="str">
            <v>42-04-07-00-3524</v>
          </cell>
          <cell r="L3532" t="str">
            <v>42-04-07-00-3524</v>
          </cell>
          <cell r="M3532" t="str">
            <v>Porta Toallas / Servilletas TORK</v>
          </cell>
          <cell r="O3532" t="str">
            <v>OTROS</v>
          </cell>
          <cell r="P3532">
            <v>17000</v>
          </cell>
          <cell r="T3532" t="str">
            <v>Bueno</v>
          </cell>
          <cell r="U3532" t="str">
            <v>TORK</v>
          </cell>
        </row>
        <row r="3533">
          <cell r="J3533" t="str">
            <v>FN-04-07-00-3525</v>
          </cell>
          <cell r="L3533" t="str">
            <v>FN-04-07-00-3525</v>
          </cell>
          <cell r="M3533" t="str">
            <v>Basurero Plastico C/Tapa</v>
          </cell>
          <cell r="O3533" t="str">
            <v>OTROS FUNGIBLE / NOMINABLE</v>
          </cell>
          <cell r="P3533">
            <v>4000</v>
          </cell>
          <cell r="T3533" t="str">
            <v>Bueno</v>
          </cell>
          <cell r="U3533" t="str">
            <v>N/T</v>
          </cell>
        </row>
        <row r="3534">
          <cell r="J3534" t="str">
            <v>42-03-02-00-3526</v>
          </cell>
          <cell r="L3534" t="str">
            <v>42-03-02-00-3526</v>
          </cell>
          <cell r="M3534" t="str">
            <v>Escoba de limpieza</v>
          </cell>
          <cell r="O3534" t="str">
            <v>EQUIPOS DE VEHICULO</v>
          </cell>
          <cell r="P3534">
            <v>3500</v>
          </cell>
          <cell r="T3534" t="str">
            <v>Bueno</v>
          </cell>
          <cell r="U3534" t="str">
            <v>N/T</v>
          </cell>
        </row>
        <row r="3535">
          <cell r="J3535" t="str">
            <v>42-03-02-00-3527</v>
          </cell>
          <cell r="L3535" t="str">
            <v>42-03-02-00-3527</v>
          </cell>
          <cell r="M3535" t="str">
            <v>05 Mts Cuerda para amarre de carga</v>
          </cell>
          <cell r="O3535" t="str">
            <v>EQUIPOS DE VEHICULO</v>
          </cell>
          <cell r="P3535">
            <v>8000</v>
          </cell>
          <cell r="T3535" t="str">
            <v>Bueno</v>
          </cell>
          <cell r="U3535" t="str">
            <v>N/T</v>
          </cell>
        </row>
        <row r="3536">
          <cell r="J3536" t="str">
            <v>42-03-02-00-3528</v>
          </cell>
          <cell r="L3536" t="str">
            <v>42-03-02-00-3528</v>
          </cell>
          <cell r="M3536" t="str">
            <v>Llave Contacto Mitsubishi L - 200</v>
          </cell>
          <cell r="O3536" t="str">
            <v>EQUIPOS DE VEHICULO</v>
          </cell>
          <cell r="P3536">
            <v>10000</v>
          </cell>
          <cell r="T3536" t="str">
            <v>Bueno</v>
          </cell>
          <cell r="U3536" t="str">
            <v>N/T</v>
          </cell>
        </row>
        <row r="3537">
          <cell r="J3537" t="str">
            <v>42-04-01-00-3529</v>
          </cell>
          <cell r="K3537" t="str">
            <v>42-3531</v>
          </cell>
          <cell r="L3537" t="str">
            <v>42-04-01-00-3529</v>
          </cell>
          <cell r="M3537" t="str">
            <v>Mesa Rectangular Mixta Medidas 110x70x76 CM Gris / Negro</v>
          </cell>
          <cell r="O3537" t="str">
            <v>MESAS</v>
          </cell>
          <cell r="P3537">
            <v>59990</v>
          </cell>
          <cell r="T3537" t="str">
            <v>Bueno</v>
          </cell>
          <cell r="U3537" t="str">
            <v>N/T</v>
          </cell>
        </row>
        <row r="3538">
          <cell r="J3538" t="str">
            <v>42-04-02-00-3530</v>
          </cell>
          <cell r="K3538" t="str">
            <v>42-3532</v>
          </cell>
          <cell r="L3538" t="str">
            <v>42-04-02-00-3530</v>
          </cell>
          <cell r="M3538" t="str">
            <v>Silla Mixata Gris / Negro Juego 42- 3531</v>
          </cell>
          <cell r="O3538" t="str">
            <v>SILLAS</v>
          </cell>
          <cell r="P3538">
            <v>10000</v>
          </cell>
          <cell r="T3538" t="str">
            <v>Bueno</v>
          </cell>
          <cell r="U3538" t="str">
            <v>N/T</v>
          </cell>
        </row>
        <row r="3539">
          <cell r="J3539" t="str">
            <v>42-04-02-00-3531</v>
          </cell>
          <cell r="K3539" t="str">
            <v>42-3533</v>
          </cell>
          <cell r="L3539" t="str">
            <v>42-04-02-00-3531</v>
          </cell>
          <cell r="M3539" t="str">
            <v>Silla Mixata Gris / Negro Juego 42- 3531</v>
          </cell>
          <cell r="O3539" t="str">
            <v>SILLAS</v>
          </cell>
          <cell r="P3539">
            <v>10000</v>
          </cell>
          <cell r="T3539" t="str">
            <v>Bueno</v>
          </cell>
          <cell r="U3539" t="str">
            <v>N/T</v>
          </cell>
        </row>
        <row r="3540">
          <cell r="J3540" t="str">
            <v>42-04-02-00-3532</v>
          </cell>
          <cell r="K3540" t="str">
            <v>42-3534</v>
          </cell>
          <cell r="L3540" t="str">
            <v>42-04-02-00-3532</v>
          </cell>
          <cell r="M3540" t="str">
            <v>Silla Mixata Gris / Negro Juego 42- 3531</v>
          </cell>
          <cell r="O3540" t="str">
            <v>SILLAS</v>
          </cell>
          <cell r="P3540">
            <v>10000</v>
          </cell>
          <cell r="T3540" t="str">
            <v>Bueno</v>
          </cell>
          <cell r="U3540" t="str">
            <v>N/T</v>
          </cell>
        </row>
        <row r="3541">
          <cell r="J3541" t="str">
            <v>42-04-02-00-3533</v>
          </cell>
          <cell r="K3541" t="str">
            <v>42-3535</v>
          </cell>
          <cell r="L3541" t="str">
            <v>42-04-02-00-3533</v>
          </cell>
          <cell r="M3541" t="str">
            <v>Silla Mixata Gris / Negro Juego 42- 3531</v>
          </cell>
          <cell r="O3541" t="str">
            <v>SILLAS</v>
          </cell>
          <cell r="P3541">
            <v>10000</v>
          </cell>
          <cell r="T3541" t="str">
            <v>Bueno</v>
          </cell>
          <cell r="U3541" t="str">
            <v>N/T</v>
          </cell>
        </row>
        <row r="3542">
          <cell r="J3542" t="str">
            <v>FN-05-02-02-3534</v>
          </cell>
          <cell r="L3542" t="str">
            <v>FN-05-02-02-3534</v>
          </cell>
          <cell r="M3542" t="str">
            <v xml:space="preserve">Plato Plastico Sopa </v>
          </cell>
          <cell r="O3542" t="str">
            <v>EQUIPOS DE COCINA FUNGIBLE / NOMINABLE</v>
          </cell>
          <cell r="P3542">
            <v>200</v>
          </cell>
          <cell r="T3542" t="str">
            <v>Bueno</v>
          </cell>
          <cell r="U3542" t="str">
            <v>N/T</v>
          </cell>
        </row>
        <row r="3543">
          <cell r="J3543" t="str">
            <v>42-05-02-02-3535</v>
          </cell>
          <cell r="L3543" t="str">
            <v>42-05-02-02-3535</v>
          </cell>
          <cell r="M3543" t="str">
            <v>Caja Grande  Plastico Guarda Papas</v>
          </cell>
          <cell r="O3543" t="str">
            <v>EQUIPOS DE COCINA</v>
          </cell>
          <cell r="P3543">
            <v>10000</v>
          </cell>
          <cell r="T3543" t="str">
            <v>Bueno</v>
          </cell>
          <cell r="U3543" t="str">
            <v>N/T</v>
          </cell>
        </row>
        <row r="3544">
          <cell r="J3544" t="str">
            <v>42-05-02-02-3536</v>
          </cell>
          <cell r="L3544" t="str">
            <v>42-05-02-02-3536</v>
          </cell>
          <cell r="M3544" t="str">
            <v>Caja Mediana Plastico Guarda Verduras</v>
          </cell>
          <cell r="O3544" t="str">
            <v>EQUIPOS DE COCINA</v>
          </cell>
          <cell r="P3544">
            <v>7000</v>
          </cell>
          <cell r="T3544" t="str">
            <v>Bueno</v>
          </cell>
          <cell r="U3544" t="str">
            <v>N/T</v>
          </cell>
        </row>
        <row r="3545">
          <cell r="J3545" t="str">
            <v>42-05-02-02-3537</v>
          </cell>
          <cell r="L3545" t="str">
            <v>42-05-02-02-3537</v>
          </cell>
          <cell r="M3545" t="str">
            <v xml:space="preserve">Porta Toallas </v>
          </cell>
          <cell r="O3545" t="str">
            <v>EQUIPOS DE COCINA</v>
          </cell>
          <cell r="P3545">
            <v>17000</v>
          </cell>
          <cell r="T3545" t="str">
            <v>Bueno</v>
          </cell>
          <cell r="U3545" t="str">
            <v>N/T</v>
          </cell>
        </row>
        <row r="3546">
          <cell r="J3546" t="str">
            <v>NN-06-01-00-3538</v>
          </cell>
          <cell r="L3546" t="str">
            <v>NN-06-01-00-3538</v>
          </cell>
          <cell r="M3546" t="str">
            <v>PC All in One Olidata Nºs: 014588-000635</v>
          </cell>
          <cell r="O3546" t="str">
            <v>EQUIPOS COMPUTACIONALES Y PERIFÉRICOS EN ARRIENDO</v>
          </cell>
          <cell r="P3546">
            <v>270000</v>
          </cell>
          <cell r="T3546" t="str">
            <v>Bueno</v>
          </cell>
          <cell r="U3546" t="str">
            <v>Olidata</v>
          </cell>
        </row>
        <row r="3547">
          <cell r="J3547" t="str">
            <v>NN-06-01-00-3539</v>
          </cell>
          <cell r="L3547" t="str">
            <v>NN-06-01-00-3539</v>
          </cell>
          <cell r="M3547" t="str">
            <v>Teclado Olidata Model K 3100</v>
          </cell>
          <cell r="O3547" t="str">
            <v>EQUIPOS COMPUTACIONALES Y PERIFÉRICOS EN ARRIENDO</v>
          </cell>
          <cell r="P3547">
            <v>4000</v>
          </cell>
          <cell r="T3547" t="str">
            <v>Bueno</v>
          </cell>
          <cell r="U3547" t="str">
            <v>Olidata</v>
          </cell>
        </row>
        <row r="3548">
          <cell r="J3548" t="str">
            <v>NN-06-01-00-3540</v>
          </cell>
          <cell r="L3548" t="str">
            <v>NN-06-01-00-3540</v>
          </cell>
          <cell r="M3548" t="str">
            <v>Mouse Olidata KM - 8903</v>
          </cell>
          <cell r="O3548" t="str">
            <v>EQUIPOS COMPUTACIONALES Y PERIFÉRICOS EN ARRIENDO</v>
          </cell>
          <cell r="P3548">
            <v>3000</v>
          </cell>
          <cell r="T3548" t="str">
            <v>Bueno</v>
          </cell>
          <cell r="U3548" t="str">
            <v>Olidata</v>
          </cell>
        </row>
        <row r="3549">
          <cell r="J3549" t="str">
            <v>42-05-02-02-3541</v>
          </cell>
          <cell r="L3549" t="str">
            <v>42-05-02-02-3541</v>
          </cell>
          <cell r="M3549" t="str">
            <v>Juguera Somela FruttyMix BL 2000 GL 500 W</v>
          </cell>
          <cell r="O3549" t="str">
            <v>EQUIPOS DE COCINA</v>
          </cell>
          <cell r="P3549">
            <v>35000</v>
          </cell>
          <cell r="T3549" t="str">
            <v>Bueno</v>
          </cell>
          <cell r="U3549" t="str">
            <v>Somela</v>
          </cell>
        </row>
        <row r="3550">
          <cell r="J3550" t="str">
            <v>42-05-02-02-3542</v>
          </cell>
          <cell r="L3550" t="str">
            <v>42-05-02-02-3542</v>
          </cell>
          <cell r="M3550" t="str">
            <v>Freezer Consul 200</v>
          </cell>
          <cell r="O3550" t="str">
            <v>EQUIPOS DE COCINA</v>
          </cell>
          <cell r="P3550">
            <v>310000</v>
          </cell>
          <cell r="T3550" t="str">
            <v>Bueno</v>
          </cell>
          <cell r="U3550" t="str">
            <v>Consul</v>
          </cell>
        </row>
        <row r="3551">
          <cell r="J3551" t="str">
            <v>42-05-02-02-3543</v>
          </cell>
          <cell r="L3551" t="str">
            <v>42-05-02-02-3543</v>
          </cell>
          <cell r="M3551" t="str">
            <v>Picadora 123 100 W Moulinex DP700DGP01</v>
          </cell>
          <cell r="O3551" t="str">
            <v>EQUIPOS DE COCINA</v>
          </cell>
          <cell r="P3551">
            <v>32000</v>
          </cell>
          <cell r="T3551" t="str">
            <v>Bueno</v>
          </cell>
          <cell r="U3551" t="str">
            <v>Moulinex</v>
          </cell>
        </row>
        <row r="3552">
          <cell r="J3552" t="str">
            <v>FN-05-02-02-3544</v>
          </cell>
          <cell r="L3552" t="str">
            <v>FN-05-02-02-3544</v>
          </cell>
          <cell r="M3552" t="str">
            <v>Bandejas Aluminio Medianas</v>
          </cell>
          <cell r="O3552" t="str">
            <v>EQUIPOS DE COCINA FUNGIBLE / NOMINABLE</v>
          </cell>
          <cell r="P3552">
            <v>7000</v>
          </cell>
          <cell r="T3552" t="str">
            <v>Bueno</v>
          </cell>
          <cell r="U3552" t="str">
            <v>N/T</v>
          </cell>
        </row>
        <row r="3553">
          <cell r="J3553" t="str">
            <v>42-04-07-00-3545</v>
          </cell>
          <cell r="L3553" t="str">
            <v>42-04-07-00-3545</v>
          </cell>
          <cell r="M3553" t="str">
            <v>Porta Toallas Tork</v>
          </cell>
          <cell r="O3553" t="str">
            <v>OTROS</v>
          </cell>
          <cell r="P3553">
            <v>17000</v>
          </cell>
          <cell r="T3553" t="str">
            <v>Bueno</v>
          </cell>
          <cell r="U3553" t="str">
            <v>TORK</v>
          </cell>
        </row>
        <row r="3554">
          <cell r="J3554" t="str">
            <v>42-05-02-01-3546</v>
          </cell>
          <cell r="K3554" t="str">
            <v>42 - 3551</v>
          </cell>
          <cell r="L3554" t="str">
            <v>42-05-02-01-3546</v>
          </cell>
          <cell r="M3554" t="str">
            <v>Reader Regius Sigma SN A1P6-00483</v>
          </cell>
          <cell r="O3554" t="str">
            <v>EQUIPOS CLINICOS</v>
          </cell>
          <cell r="P3554">
            <v>5905641</v>
          </cell>
          <cell r="T3554" t="str">
            <v>Bueno</v>
          </cell>
          <cell r="U3554" t="str">
            <v>Regius</v>
          </cell>
        </row>
        <row r="3555">
          <cell r="J3555" t="str">
            <v>42-05-02-01-3547</v>
          </cell>
          <cell r="K3555" t="str">
            <v>42 - 3551</v>
          </cell>
          <cell r="L3555" t="str">
            <v>42-05-02-01-3547</v>
          </cell>
          <cell r="M3555" t="str">
            <v>Cassete RC-300 14 X 17 SN A3P1-01387</v>
          </cell>
          <cell r="O3555" t="str">
            <v>EQUIPOS CLINICOS</v>
          </cell>
          <cell r="P3555">
            <v>528000</v>
          </cell>
          <cell r="T3555" t="str">
            <v>Bueno</v>
          </cell>
          <cell r="U3555" t="str">
            <v>RC-300</v>
          </cell>
        </row>
        <row r="3556">
          <cell r="J3556" t="str">
            <v>42-05-02-01-3548</v>
          </cell>
          <cell r="K3556" t="str">
            <v>42 - 3551</v>
          </cell>
          <cell r="L3556" t="str">
            <v>42-05-02-01-3548</v>
          </cell>
          <cell r="M3556" t="str">
            <v>Cassete RC-300 14 X 17 SN A3P1-01388</v>
          </cell>
          <cell r="O3556" t="str">
            <v>EQUIPOS CLINICOS</v>
          </cell>
          <cell r="P3556">
            <v>528000</v>
          </cell>
          <cell r="T3556" t="str">
            <v>Bueno</v>
          </cell>
          <cell r="U3556" t="str">
            <v>RC-300</v>
          </cell>
        </row>
        <row r="3557">
          <cell r="J3557" t="str">
            <v>42-05-02-01-3549</v>
          </cell>
          <cell r="K3557" t="str">
            <v>42 - 3551</v>
          </cell>
          <cell r="L3557" t="str">
            <v>42-05-02-01-3549</v>
          </cell>
          <cell r="M3557" t="str">
            <v>Cassete RC-300 14 X 17 SN A3P1-01389</v>
          </cell>
          <cell r="O3557" t="str">
            <v>EQUIPOS CLINICOS</v>
          </cell>
          <cell r="P3557">
            <v>528000</v>
          </cell>
          <cell r="T3557" t="str">
            <v>Bueno</v>
          </cell>
          <cell r="U3557" t="str">
            <v>RC-300</v>
          </cell>
        </row>
        <row r="3558">
          <cell r="J3558" t="str">
            <v>42-05-02-01-3550</v>
          </cell>
          <cell r="K3558" t="str">
            <v>42 - 3551</v>
          </cell>
          <cell r="L3558" t="str">
            <v>42-05-02-01-3550</v>
          </cell>
          <cell r="M3558" t="str">
            <v>Regius Plate FP - 1S 14X17 SN 8000168153</v>
          </cell>
          <cell r="O3558" t="str">
            <v>EQUIPOS CLINICOS</v>
          </cell>
          <cell r="P3558">
            <v>768000</v>
          </cell>
          <cell r="T3558" t="str">
            <v>Bueno</v>
          </cell>
          <cell r="U3558" t="str">
            <v>Regius</v>
          </cell>
        </row>
        <row r="3559">
          <cell r="J3559" t="str">
            <v>42-05-02-01-3551</v>
          </cell>
          <cell r="K3559" t="str">
            <v>42 - 3551</v>
          </cell>
          <cell r="L3559" t="str">
            <v>42-05-02-01-3551</v>
          </cell>
          <cell r="M3559" t="str">
            <v>Regius Plate FP - 1S 14X17 SN 8000168154</v>
          </cell>
          <cell r="O3559" t="str">
            <v>EQUIPOS CLINICOS</v>
          </cell>
          <cell r="P3559">
            <v>768000</v>
          </cell>
          <cell r="T3559" t="str">
            <v>Bueno</v>
          </cell>
          <cell r="U3559" t="str">
            <v>Regius</v>
          </cell>
        </row>
        <row r="3560">
          <cell r="J3560" t="str">
            <v>42-05-02-01-3552</v>
          </cell>
          <cell r="K3560" t="str">
            <v>42 - 3551</v>
          </cell>
          <cell r="L3560" t="str">
            <v>42-05-02-01-3552</v>
          </cell>
          <cell r="M3560" t="str">
            <v>Regius Plate FP - 1S 14X17 SN 8000168156</v>
          </cell>
          <cell r="O3560" t="str">
            <v>EQUIPOS CLINICOS</v>
          </cell>
          <cell r="P3560">
            <v>768000</v>
          </cell>
          <cell r="T3560" t="str">
            <v>Bueno</v>
          </cell>
          <cell r="U3560" t="str">
            <v>Regius</v>
          </cell>
        </row>
        <row r="3561">
          <cell r="J3561" t="str">
            <v>42-05-02-01-3553</v>
          </cell>
          <cell r="K3561" t="str">
            <v>42 - 3551</v>
          </cell>
          <cell r="L3561" t="str">
            <v>42-05-02-01-3553</v>
          </cell>
          <cell r="M3561" t="str">
            <v>Cassete RC-300 8X10 SN AP6-00021</v>
          </cell>
          <cell r="O3561" t="str">
            <v>EQUIPOS CLINICOS</v>
          </cell>
          <cell r="P3561">
            <v>528000</v>
          </cell>
          <cell r="T3561" t="str">
            <v>Bueno</v>
          </cell>
          <cell r="U3561" t="str">
            <v>RC-300</v>
          </cell>
        </row>
        <row r="3562">
          <cell r="J3562" t="str">
            <v>42-05-02-01-3554</v>
          </cell>
          <cell r="K3562" t="str">
            <v>42 - 3551</v>
          </cell>
          <cell r="L3562" t="str">
            <v>42-05-02-01-3554</v>
          </cell>
          <cell r="M3562" t="str">
            <v>Cassete RC-300 8X10 SN AP6-00041</v>
          </cell>
          <cell r="O3562" t="str">
            <v>EQUIPOS CLINICOS</v>
          </cell>
          <cell r="P3562">
            <v>528000</v>
          </cell>
          <cell r="T3562" t="str">
            <v>Bueno</v>
          </cell>
          <cell r="U3562" t="str">
            <v>RC-300</v>
          </cell>
        </row>
        <row r="3563">
          <cell r="J3563" t="str">
            <v>42-05-02-01-3555</v>
          </cell>
          <cell r="K3563" t="str">
            <v>42 - 3551</v>
          </cell>
          <cell r="L3563" t="str">
            <v>42-05-02-01-3555</v>
          </cell>
          <cell r="M3563" t="str">
            <v>Cassete RC-300 8X10 SN AP6-00042</v>
          </cell>
          <cell r="O3563" t="str">
            <v>EQUIPOS CLINICOS</v>
          </cell>
          <cell r="P3563">
            <v>528000</v>
          </cell>
          <cell r="T3563" t="str">
            <v>Bueno</v>
          </cell>
          <cell r="U3563" t="str">
            <v>RC-300</v>
          </cell>
        </row>
        <row r="3564">
          <cell r="J3564" t="str">
            <v>42-05-02-01-3556</v>
          </cell>
          <cell r="K3564" t="str">
            <v>42 - 3551</v>
          </cell>
          <cell r="L3564" t="str">
            <v>42-05-02-01-3556</v>
          </cell>
          <cell r="M3564" t="str">
            <v>Regius Plate FP-1S 8X10 SN 8040133228</v>
          </cell>
          <cell r="O3564" t="str">
            <v>EQUIPOS CLINICOS</v>
          </cell>
          <cell r="P3564">
            <v>768000</v>
          </cell>
          <cell r="T3564" t="str">
            <v>Bueno</v>
          </cell>
          <cell r="U3564" t="str">
            <v>Regius</v>
          </cell>
        </row>
        <row r="3565">
          <cell r="J3565" t="str">
            <v>42-05-02-01-3557</v>
          </cell>
          <cell r="K3565" t="str">
            <v>42 - 3551</v>
          </cell>
          <cell r="L3565" t="str">
            <v>42-05-02-01-3557</v>
          </cell>
          <cell r="M3565" t="str">
            <v>Regius Plate FP-1S 8X10 SN 8040133229</v>
          </cell>
          <cell r="O3565" t="str">
            <v>EQUIPOS CLINICOS</v>
          </cell>
          <cell r="P3565">
            <v>768000</v>
          </cell>
          <cell r="T3565" t="str">
            <v>Bueno</v>
          </cell>
          <cell r="U3565" t="str">
            <v>Regius</v>
          </cell>
        </row>
        <row r="3566">
          <cell r="J3566" t="str">
            <v>42-05-02-01-3558</v>
          </cell>
          <cell r="K3566" t="str">
            <v>42 - 3551</v>
          </cell>
          <cell r="L3566" t="str">
            <v>42-05-02-01-3558</v>
          </cell>
          <cell r="M3566" t="str">
            <v>Regius Plate FP-1S 8X10 SN 8040133230</v>
          </cell>
          <cell r="O3566" t="str">
            <v>EQUIPOS CLINICOS</v>
          </cell>
          <cell r="P3566">
            <v>768000</v>
          </cell>
          <cell r="T3566" t="str">
            <v>Bueno</v>
          </cell>
          <cell r="U3566" t="str">
            <v>Regius</v>
          </cell>
        </row>
        <row r="3567">
          <cell r="J3567" t="str">
            <v>42-05-02-01-3559</v>
          </cell>
          <cell r="K3567" t="str">
            <v>42 - 3551</v>
          </cell>
          <cell r="L3567" t="str">
            <v>42-05-02-01-3559</v>
          </cell>
          <cell r="M3567" t="str">
            <v>Pad Mouse</v>
          </cell>
          <cell r="O3567" t="str">
            <v>EQUIPOS CLINICOS</v>
          </cell>
          <cell r="P3567">
            <v>2160</v>
          </cell>
          <cell r="T3567" t="str">
            <v>Bueno</v>
          </cell>
          <cell r="U3567" t="str">
            <v>N/T</v>
          </cell>
        </row>
        <row r="3568">
          <cell r="J3568" t="str">
            <v>42-06-01-00-3560</v>
          </cell>
          <cell r="K3568" t="str">
            <v>42 - 3551</v>
          </cell>
          <cell r="L3568" t="str">
            <v>42-06-01-00-3560</v>
          </cell>
          <cell r="M3568" t="str">
            <v>Monitor HP COMPAC LE1911 De 19" SN CNC122S85R</v>
          </cell>
          <cell r="O3568" t="str">
            <v>EQUIPOS COMPUTACIONALES Y PERIFÉRICOS</v>
          </cell>
          <cell r="P3568">
            <v>720000</v>
          </cell>
          <cell r="T3568" t="str">
            <v>Bueno</v>
          </cell>
          <cell r="U3568" t="str">
            <v>HP</v>
          </cell>
        </row>
        <row r="3569">
          <cell r="J3569" t="str">
            <v>42-06-01-00-3561</v>
          </cell>
          <cell r="K3569" t="str">
            <v>42 - 3551</v>
          </cell>
          <cell r="L3569" t="str">
            <v>42-06-01-00-3561</v>
          </cell>
          <cell r="M3569" t="str">
            <v>Monitor Planar 15" Modelo PL1500M SN BRB24J24882</v>
          </cell>
          <cell r="O3569" t="str">
            <v>EQUIPOS COMPUTACIONALES Y PERIFÉRICOS</v>
          </cell>
          <cell r="P3569">
            <v>720000</v>
          </cell>
          <cell r="T3569" t="str">
            <v>Bueno</v>
          </cell>
          <cell r="U3569" t="str">
            <v>Planar</v>
          </cell>
        </row>
        <row r="3570">
          <cell r="J3570" t="str">
            <v>42-05-02-01-3562</v>
          </cell>
          <cell r="K3570" t="str">
            <v>42 - 3551</v>
          </cell>
          <cell r="L3570" t="str">
            <v>42-05-02-01-3562</v>
          </cell>
          <cell r="M3570" t="str">
            <v>Cassete RC-300 10X12 SN A3P5-00842</v>
          </cell>
          <cell r="O3570" t="str">
            <v>EQUIPOS CLINICOS</v>
          </cell>
          <cell r="P3570">
            <v>528000</v>
          </cell>
          <cell r="T3570" t="str">
            <v>Bueno</v>
          </cell>
          <cell r="U3570" t="str">
            <v>RC-300</v>
          </cell>
        </row>
        <row r="3571">
          <cell r="J3571" t="str">
            <v>42-05-02-01-3563</v>
          </cell>
          <cell r="K3571" t="str">
            <v>42 - 3551</v>
          </cell>
          <cell r="L3571" t="str">
            <v>42-05-02-01-3563</v>
          </cell>
          <cell r="M3571" t="str">
            <v>Regius Plate FP - 1S 10X12 SN 8030163175</v>
          </cell>
          <cell r="O3571" t="str">
            <v>EQUIPOS CLINICOS</v>
          </cell>
          <cell r="P3571">
            <v>528000</v>
          </cell>
          <cell r="T3571" t="str">
            <v>Bueno</v>
          </cell>
          <cell r="U3571" t="str">
            <v>Regius</v>
          </cell>
        </row>
        <row r="3572">
          <cell r="J3572" t="str">
            <v>42-05-02-01-3564</v>
          </cell>
          <cell r="K3572" t="str">
            <v>42 - 3551</v>
          </cell>
          <cell r="L3572" t="str">
            <v>42-05-02-01-3564</v>
          </cell>
          <cell r="M3572" t="str">
            <v>Cassete RC-300 24X30 SN A1PG-00473</v>
          </cell>
          <cell r="O3572" t="str">
            <v>EQUIPOS CLINICOS</v>
          </cell>
          <cell r="P3572">
            <v>528000</v>
          </cell>
          <cell r="T3572" t="str">
            <v>Bueno</v>
          </cell>
          <cell r="U3572" t="str">
            <v>RC-300</v>
          </cell>
        </row>
        <row r="3573">
          <cell r="J3573" t="str">
            <v>42-05-02-01-3565</v>
          </cell>
          <cell r="K3573" t="str">
            <v>42 - 3551</v>
          </cell>
          <cell r="L3573" t="str">
            <v>42-05-02-01-3565</v>
          </cell>
          <cell r="M3573" t="str">
            <v>Cassete RC-300 24X30 SN A1PG-00474</v>
          </cell>
          <cell r="O3573" t="str">
            <v>EQUIPOS CLINICOS</v>
          </cell>
          <cell r="P3573">
            <v>528000</v>
          </cell>
          <cell r="T3573" t="str">
            <v>Bueno</v>
          </cell>
          <cell r="U3573" t="str">
            <v>RC-300</v>
          </cell>
        </row>
        <row r="3574">
          <cell r="J3574" t="str">
            <v>42-05-02-01-3566</v>
          </cell>
          <cell r="K3574" t="str">
            <v>42 - 3551</v>
          </cell>
          <cell r="L3574" t="str">
            <v>42-05-02-01-3566</v>
          </cell>
          <cell r="M3574" t="str">
            <v>Cassete RC-300 24X30 SN A1PG-00475</v>
          </cell>
          <cell r="O3574" t="str">
            <v>EQUIPOS CLINICOS</v>
          </cell>
          <cell r="P3574">
            <v>528000</v>
          </cell>
          <cell r="T3574" t="str">
            <v>Bueno</v>
          </cell>
          <cell r="U3574" t="str">
            <v>RC-300</v>
          </cell>
        </row>
        <row r="3575">
          <cell r="J3575" t="str">
            <v>42-05-02-01-3567</v>
          </cell>
          <cell r="K3575" t="str">
            <v>42 - 3551</v>
          </cell>
          <cell r="L3575" t="str">
            <v>42-05-02-01-3567</v>
          </cell>
          <cell r="M3575" t="str">
            <v>Regius Plate FP - 1S 24X30 SN 8050155078</v>
          </cell>
          <cell r="O3575" t="str">
            <v>EQUIPOS CLINICOS</v>
          </cell>
          <cell r="P3575">
            <v>768000</v>
          </cell>
          <cell r="T3575" t="str">
            <v>Bueno</v>
          </cell>
          <cell r="U3575" t="str">
            <v>Regius</v>
          </cell>
        </row>
        <row r="3576">
          <cell r="J3576" t="str">
            <v>42-05-02-01-3568</v>
          </cell>
          <cell r="K3576" t="str">
            <v>42 - 3551</v>
          </cell>
          <cell r="L3576" t="str">
            <v>42-05-02-01-3568</v>
          </cell>
          <cell r="M3576" t="str">
            <v>Regius Plate FP - 1S 24X30 SN 8050183086</v>
          </cell>
          <cell r="O3576" t="str">
            <v>EQUIPOS CLINICOS</v>
          </cell>
          <cell r="P3576">
            <v>768000</v>
          </cell>
          <cell r="T3576" t="str">
            <v>Bueno</v>
          </cell>
          <cell r="U3576" t="str">
            <v>Regius</v>
          </cell>
        </row>
        <row r="3577">
          <cell r="J3577" t="str">
            <v>42-05-02-01-3569</v>
          </cell>
          <cell r="K3577" t="str">
            <v>42 - 3551</v>
          </cell>
          <cell r="L3577" t="str">
            <v>42-05-02-01-3569</v>
          </cell>
          <cell r="M3577" t="str">
            <v>Regius Plate FP - 1S 24X30 SN 8050180157</v>
          </cell>
          <cell r="O3577" t="str">
            <v>EQUIPOS CLINICOS</v>
          </cell>
          <cell r="P3577">
            <v>768000</v>
          </cell>
          <cell r="T3577" t="str">
            <v>Bueno</v>
          </cell>
          <cell r="U3577" t="str">
            <v>Regius</v>
          </cell>
        </row>
        <row r="3578">
          <cell r="J3578" t="str">
            <v>42-06-01-00-3570</v>
          </cell>
          <cell r="K3578" t="str">
            <v>42 - 3551</v>
          </cell>
          <cell r="L3578" t="str">
            <v>42-06-01-00-3570</v>
          </cell>
          <cell r="M3578" t="str">
            <v>PC Lenovo Printlink V SN MJEHHV9</v>
          </cell>
          <cell r="O3578" t="str">
            <v>EQUIPOS COMPUTACIONALES Y PERIFÉRICOS</v>
          </cell>
          <cell r="P3578">
            <v>1008000.0000000001</v>
          </cell>
          <cell r="T3578" t="str">
            <v>Bueno</v>
          </cell>
          <cell r="U3578" t="str">
            <v>Lenovo</v>
          </cell>
        </row>
        <row r="3579">
          <cell r="J3579" t="str">
            <v>42-05-02-01-3571</v>
          </cell>
          <cell r="K3579" t="str">
            <v>42 - 3551</v>
          </cell>
          <cell r="L3579" t="str">
            <v>42-05-02-01-3571</v>
          </cell>
          <cell r="M3579" t="str">
            <v>CD Manual De Operación y Guia</v>
          </cell>
          <cell r="O3579" t="str">
            <v>EQUIPOS CLINICOS</v>
          </cell>
          <cell r="P3579">
            <v>12000</v>
          </cell>
          <cell r="T3579" t="str">
            <v>Bueno</v>
          </cell>
          <cell r="U3579" t="str">
            <v>N/T</v>
          </cell>
        </row>
        <row r="3580">
          <cell r="J3580" t="str">
            <v>42-05-02-01-3572</v>
          </cell>
          <cell r="K3580" t="str">
            <v>42 - 3551</v>
          </cell>
          <cell r="L3580" t="str">
            <v>42-05-02-01-3572</v>
          </cell>
          <cell r="M3580" t="str">
            <v>Impresora Marca Konica DRY - PRO 832 CE SN 0922-4622</v>
          </cell>
          <cell r="O3580" t="str">
            <v>EQUIPOS CLINICOS</v>
          </cell>
          <cell r="P3580">
            <v>1031999.9999999999</v>
          </cell>
          <cell r="T3580" t="str">
            <v>Bueno</v>
          </cell>
          <cell r="U3580" t="str">
            <v>Konica</v>
          </cell>
        </row>
        <row r="3581">
          <cell r="J3581" t="str">
            <v>42-05-02-01-3573</v>
          </cell>
          <cell r="K3581" t="str">
            <v>42 - 3551</v>
          </cell>
          <cell r="L3581" t="str">
            <v>42-05-02-01-3573</v>
          </cell>
          <cell r="M3581" t="str">
            <v>Bandeja Extra SN 0927-3759</v>
          </cell>
          <cell r="O3581" t="str">
            <v>EQUIPOS CLINICOS</v>
          </cell>
          <cell r="P3581">
            <v>240000</v>
          </cell>
          <cell r="T3581" t="str">
            <v>Bueno</v>
          </cell>
          <cell r="U3581" t="str">
            <v>Konica</v>
          </cell>
        </row>
        <row r="3582">
          <cell r="J3582" t="str">
            <v>42-06-01-00-3574</v>
          </cell>
          <cell r="K3582" t="str">
            <v>42 - 3551</v>
          </cell>
          <cell r="L3582" t="str">
            <v>42-06-01-00-3574</v>
          </cell>
          <cell r="M3582" t="str">
            <v>PC Work Station para IMAGE PILOT SN 2UA14703H6</v>
          </cell>
          <cell r="O3582" t="str">
            <v>EQUIPOS COMPUTACIONALES Y PERIFÉRICOS</v>
          </cell>
          <cell r="P3582">
            <v>1560000</v>
          </cell>
          <cell r="T3582" t="str">
            <v>Bueno</v>
          </cell>
          <cell r="U3582" t="str">
            <v>HP</v>
          </cell>
        </row>
        <row r="3583">
          <cell r="J3583" t="str">
            <v>42-06-01-00-3575</v>
          </cell>
          <cell r="K3583" t="str">
            <v>42 - 3551</v>
          </cell>
          <cell r="L3583" t="str">
            <v>42-06-01-00-3575</v>
          </cell>
          <cell r="M3583" t="str">
            <v>Sistema Respaldo UPS Eaton E Series OX</v>
          </cell>
          <cell r="O3583" t="str">
            <v>EQUIPOS COMPUTACIONALES Y PERIFÉRICOS</v>
          </cell>
          <cell r="P3583">
            <v>1031999.9999999999</v>
          </cell>
          <cell r="T3583" t="str">
            <v>Bueno</v>
          </cell>
          <cell r="U3583" t="str">
            <v>Eaton</v>
          </cell>
        </row>
        <row r="3584">
          <cell r="J3584" t="str">
            <v>42-04-07-00-3576</v>
          </cell>
          <cell r="L3584" t="str">
            <v>42-04-07-00-3576</v>
          </cell>
          <cell r="M3584" t="str">
            <v>Mueble Mural Madera 2 Puertas Mixtas con vidrio Color Miel c/Llave</v>
          </cell>
          <cell r="O3584" t="str">
            <v>OTROS</v>
          </cell>
          <cell r="P3584">
            <v>30000</v>
          </cell>
          <cell r="T3584" t="str">
            <v>Bueno</v>
          </cell>
          <cell r="U3584" t="str">
            <v>N/T</v>
          </cell>
        </row>
        <row r="3585">
          <cell r="J3585" t="str">
            <v>42-04-07-00-3577</v>
          </cell>
          <cell r="L3585" t="str">
            <v>42-04-07-00-3577</v>
          </cell>
          <cell r="M3585" t="str">
            <v>Mueble Mural Coopeuch Institucional Informativo Rojo</v>
          </cell>
          <cell r="O3585" t="str">
            <v>OTROS</v>
          </cell>
          <cell r="P3585">
            <v>15000</v>
          </cell>
          <cell r="T3585" t="str">
            <v>Bueno</v>
          </cell>
          <cell r="U3585" t="str">
            <v>N/T</v>
          </cell>
        </row>
        <row r="3586">
          <cell r="J3586" t="str">
            <v>42-05-02-05-3578</v>
          </cell>
          <cell r="L3586" t="str">
            <v>42-05-02-05-3578</v>
          </cell>
          <cell r="M3586" t="str">
            <v>Panel Frontal Electrico F.D.A. y F. 2º Piso</v>
          </cell>
          <cell r="O3586" t="str">
            <v>EQUIPOS DE SEGURIDAD</v>
          </cell>
          <cell r="P3586">
            <v>140000</v>
          </cell>
          <cell r="T3586" t="str">
            <v>Bueno</v>
          </cell>
          <cell r="U3586" t="str">
            <v>N/T</v>
          </cell>
        </row>
        <row r="3587">
          <cell r="J3587" t="str">
            <v>42-05-01-01-3579</v>
          </cell>
          <cell r="L3587" t="str">
            <v>42-05-01-01-3579</v>
          </cell>
          <cell r="M3587" t="str">
            <v>Control Manual Temperatura Ambiente Termostatp Khone</v>
          </cell>
          <cell r="O3587" t="str">
            <v>EQUIPO DE OFICINA</v>
          </cell>
          <cell r="P3587">
            <v>25000</v>
          </cell>
          <cell r="T3587" t="str">
            <v>Bueno</v>
          </cell>
          <cell r="U3587" t="str">
            <v>Khone</v>
          </cell>
        </row>
        <row r="3588">
          <cell r="J3588" t="str">
            <v>42-05-02-05-3580</v>
          </cell>
          <cell r="L3588" t="str">
            <v>42-05-02-05-3580</v>
          </cell>
          <cell r="M3588" t="str">
            <v>Control Fuego Fire Summit Emergencia</v>
          </cell>
          <cell r="O3588" t="str">
            <v>EQUIPOS DE SEGURIDAD</v>
          </cell>
          <cell r="P3588">
            <v>25000</v>
          </cell>
          <cell r="T3588" t="str">
            <v>Bueno</v>
          </cell>
          <cell r="U3588" t="str">
            <v>Fire Summit</v>
          </cell>
        </row>
        <row r="3589">
          <cell r="J3589" t="str">
            <v>42-05-02-05-3581</v>
          </cell>
          <cell r="L3589" t="str">
            <v>42-05-02-05-3581</v>
          </cell>
          <cell r="M3589" t="str">
            <v xml:space="preserve">Alarma Control HUMO Incendio </v>
          </cell>
          <cell r="O3589" t="str">
            <v>EQUIPOS DE SEGURIDAD</v>
          </cell>
          <cell r="P3589">
            <v>30000</v>
          </cell>
          <cell r="T3589" t="str">
            <v>Bueno</v>
          </cell>
          <cell r="U3589" t="str">
            <v>N/T</v>
          </cell>
        </row>
        <row r="3590">
          <cell r="J3590" t="str">
            <v>42-04-07-00-3582</v>
          </cell>
          <cell r="L3590" t="str">
            <v>42-04-07-00-3582</v>
          </cell>
          <cell r="M3590" t="str">
            <v>Panel Melamina Blanco Tipo Mesa (Ventana Oficina Personal)</v>
          </cell>
          <cell r="O3590" t="str">
            <v>OTROS</v>
          </cell>
          <cell r="P3590">
            <v>10000</v>
          </cell>
          <cell r="T3590" t="str">
            <v>Bueno</v>
          </cell>
          <cell r="U3590" t="str">
            <v>N/T</v>
          </cell>
        </row>
        <row r="3591">
          <cell r="J3591" t="str">
            <v>42-05-02-05-3583</v>
          </cell>
          <cell r="L3591" t="str">
            <v>42-05-02-05-3583</v>
          </cell>
          <cell r="M3591" t="str">
            <v>Control Mando Rampa Escalera</v>
          </cell>
          <cell r="O3591" t="str">
            <v>EQUIPOS DE SEGURIDAD</v>
          </cell>
          <cell r="P3591">
            <v>50000</v>
          </cell>
          <cell r="T3591" t="str">
            <v>Bueno</v>
          </cell>
          <cell r="U3591" t="str">
            <v>N/T</v>
          </cell>
        </row>
        <row r="3592">
          <cell r="J3592" t="str">
            <v>42-05-02-03-3584</v>
          </cell>
          <cell r="L3592" t="str">
            <v>42-05-02-03-3584</v>
          </cell>
          <cell r="M3592" t="str">
            <v>Parlante Ambiental / Citofono</v>
          </cell>
          <cell r="O3592" t="str">
            <v>EQUIPOS DE COMUNICACIÓN</v>
          </cell>
          <cell r="P3592">
            <v>20000</v>
          </cell>
          <cell r="T3592" t="str">
            <v>Bueno</v>
          </cell>
          <cell r="U3592" t="str">
            <v>N/T</v>
          </cell>
        </row>
        <row r="3593">
          <cell r="J3593" t="str">
            <v>FN-04-07-00-3585</v>
          </cell>
          <cell r="L3593" t="str">
            <v>FN-04-07-00-3585</v>
          </cell>
          <cell r="M3593" t="str">
            <v>Balon Pilates Azul Obscuro</v>
          </cell>
          <cell r="O3593" t="str">
            <v>OTROS FUNGIBLE / NOMINABLE</v>
          </cell>
          <cell r="P3593">
            <v>16990</v>
          </cell>
          <cell r="T3593" t="str">
            <v>Bueno</v>
          </cell>
          <cell r="U3593" t="str">
            <v>Gym Salud</v>
          </cell>
        </row>
        <row r="3594">
          <cell r="J3594" t="str">
            <v>42-04-07-00-3586</v>
          </cell>
          <cell r="L3594" t="str">
            <v>42-04-07-00-3586</v>
          </cell>
          <cell r="M3594" t="str">
            <v>Loker  Metalico Grande 2 Puertas Color Gris</v>
          </cell>
          <cell r="O3594" t="str">
            <v>OTROS</v>
          </cell>
          <cell r="P3594">
            <v>37500</v>
          </cell>
          <cell r="T3594" t="str">
            <v>Regular</v>
          </cell>
          <cell r="U3594" t="str">
            <v>N/T</v>
          </cell>
        </row>
        <row r="3595">
          <cell r="J3595" t="str">
            <v>42-04-07-00-3587</v>
          </cell>
          <cell r="L3595" t="str">
            <v>42-04-07-00-3587</v>
          </cell>
          <cell r="M3595" t="str">
            <v>Espejo Pared 180X220 CM Adherido a Pared</v>
          </cell>
          <cell r="O3595" t="str">
            <v>OTROS</v>
          </cell>
          <cell r="P3595">
            <v>79900</v>
          </cell>
          <cell r="T3595" t="str">
            <v>Regular</v>
          </cell>
          <cell r="U3595" t="str">
            <v>N/T</v>
          </cell>
        </row>
        <row r="3596">
          <cell r="J3596" t="str">
            <v>42-04-07-00-3588</v>
          </cell>
          <cell r="L3596" t="str">
            <v>42-04-07-00-3588</v>
          </cell>
          <cell r="M3596" t="str">
            <v>Mueble Mixto Metal Melamina 1 Cajonera Chica 1 Cajonera Grande al Pie espacio Intermedio</v>
          </cell>
          <cell r="O3596" t="str">
            <v>OTROS</v>
          </cell>
          <cell r="P3596">
            <v>29990</v>
          </cell>
          <cell r="T3596" t="str">
            <v>Bueno</v>
          </cell>
          <cell r="U3596" t="str">
            <v>N/T</v>
          </cell>
        </row>
        <row r="3597">
          <cell r="J3597" t="str">
            <v>42-04-07-00-3589</v>
          </cell>
          <cell r="L3597" t="str">
            <v>42-04-07-00-3589</v>
          </cell>
          <cell r="M3597" t="str">
            <v>Basurero Plastico Blaco Bin</v>
          </cell>
          <cell r="O3597" t="str">
            <v>OTROS</v>
          </cell>
          <cell r="P3597">
            <v>4000</v>
          </cell>
          <cell r="T3597" t="str">
            <v>Bueno</v>
          </cell>
          <cell r="U3597" t="str">
            <v>N/T</v>
          </cell>
        </row>
        <row r="3598">
          <cell r="J3598" t="str">
            <v>42-05-02-06-3590</v>
          </cell>
          <cell r="L3598" t="str">
            <v>42-05-02-06-3590</v>
          </cell>
          <cell r="M3598" t="str">
            <v>Escobillon Para Aseo</v>
          </cell>
          <cell r="O3598" t="str">
            <v>HERRAMIENTAS</v>
          </cell>
          <cell r="P3598">
            <v>3500</v>
          </cell>
          <cell r="T3598" t="str">
            <v>Bueno</v>
          </cell>
          <cell r="U3598" t="str">
            <v>N/T</v>
          </cell>
        </row>
        <row r="3599">
          <cell r="J3599" t="str">
            <v>42-05-02-06-3591</v>
          </cell>
          <cell r="L3599" t="str">
            <v>42-05-02-06-3591</v>
          </cell>
          <cell r="M3599" t="str">
            <v>Pala Para Basura</v>
          </cell>
          <cell r="O3599" t="str">
            <v>HERRAMIENTAS</v>
          </cell>
          <cell r="P3599">
            <v>3500</v>
          </cell>
          <cell r="T3599" t="str">
            <v>Bueno</v>
          </cell>
          <cell r="U3599" t="str">
            <v>N/T</v>
          </cell>
        </row>
        <row r="3600">
          <cell r="J3600" t="str">
            <v>42-05-02-01-3592</v>
          </cell>
          <cell r="L3600" t="str">
            <v>42-05-02-01-3592</v>
          </cell>
          <cell r="M3600" t="str">
            <v>Camilla Metalica Blanca Ajustable 4 Ruedas</v>
          </cell>
          <cell r="O3600" t="str">
            <v>EQUIPOS CLINICOS</v>
          </cell>
          <cell r="P3600">
            <v>35990</v>
          </cell>
          <cell r="T3600" t="str">
            <v>Bueno</v>
          </cell>
          <cell r="U3600" t="str">
            <v>N/T</v>
          </cell>
        </row>
        <row r="3601">
          <cell r="J3601" t="str">
            <v>42-04-07-00-3593</v>
          </cell>
          <cell r="L3601" t="str">
            <v>42-04-07-00-3593</v>
          </cell>
          <cell r="M3601" t="str">
            <v>Dispensador Jabon PISA</v>
          </cell>
          <cell r="O3601" t="str">
            <v>OTROS</v>
          </cell>
          <cell r="P3601">
            <v>4700</v>
          </cell>
          <cell r="T3601" t="str">
            <v>Bueno</v>
          </cell>
          <cell r="U3601" t="str">
            <v>PISA</v>
          </cell>
        </row>
        <row r="3602">
          <cell r="J3602" t="str">
            <v>42-04-07-00-3594</v>
          </cell>
          <cell r="L3602" t="str">
            <v>42-04-07-00-3594</v>
          </cell>
          <cell r="M3602" t="str">
            <v>Crucifijo Plastico Negro</v>
          </cell>
          <cell r="O3602" t="str">
            <v>OTROS</v>
          </cell>
          <cell r="P3602">
            <v>5000</v>
          </cell>
          <cell r="T3602" t="str">
            <v>Bueno</v>
          </cell>
          <cell r="U3602" t="str">
            <v>N/T</v>
          </cell>
        </row>
        <row r="3603">
          <cell r="J3603" t="str">
            <v>42-04-07-00-3595</v>
          </cell>
          <cell r="L3603" t="str">
            <v>42-04-07-00-3595</v>
          </cell>
          <cell r="M3603" t="str">
            <v>Cuadro Pared Padre Alberto Hurtado Cruchaga</v>
          </cell>
          <cell r="O3603" t="str">
            <v>OTROS</v>
          </cell>
          <cell r="P3603">
            <v>12000</v>
          </cell>
          <cell r="T3603" t="str">
            <v>Bueno</v>
          </cell>
          <cell r="U3603" t="str">
            <v>N/T</v>
          </cell>
        </row>
        <row r="3604">
          <cell r="J3604" t="str">
            <v>42-04-07-00-3596</v>
          </cell>
          <cell r="L3604" t="str">
            <v>42-04-07-00-3596</v>
          </cell>
          <cell r="M3604" t="str">
            <v xml:space="preserve">Estatua Religiosa  Yeso Jesus Cristo </v>
          </cell>
          <cell r="O3604" t="str">
            <v>OTROS</v>
          </cell>
          <cell r="P3604">
            <v>59900</v>
          </cell>
          <cell r="T3604" t="str">
            <v>Bueno</v>
          </cell>
          <cell r="U3604" t="str">
            <v>N/T</v>
          </cell>
        </row>
        <row r="3605">
          <cell r="J3605" t="str">
            <v>FN-04-07-00-3597</v>
          </cell>
          <cell r="L3605" t="str">
            <v>FN-04-07-00-3597</v>
          </cell>
          <cell r="M3605" t="str">
            <v>Candelabro Metalico</v>
          </cell>
          <cell r="O3605" t="str">
            <v>OTROS FUNGIBLE / NOMINABLE</v>
          </cell>
          <cell r="P3605">
            <v>2500</v>
          </cell>
          <cell r="T3605" t="str">
            <v>Bueno</v>
          </cell>
          <cell r="U3605" t="str">
            <v>N/T</v>
          </cell>
        </row>
        <row r="3606">
          <cell r="J3606" t="str">
            <v>42-04-07-00-3598</v>
          </cell>
          <cell r="L3606" t="str">
            <v>42-04-07-00-3598</v>
          </cell>
          <cell r="M3606" t="str">
            <v>Figura Religiosa Cristo Para Colgar</v>
          </cell>
          <cell r="O3606" t="str">
            <v>OTROS</v>
          </cell>
          <cell r="P3606">
            <v>3000</v>
          </cell>
          <cell r="T3606" t="str">
            <v>Bueno</v>
          </cell>
          <cell r="U3606" t="str">
            <v>N/T</v>
          </cell>
        </row>
        <row r="3607">
          <cell r="J3607" t="str">
            <v>42-04-07-00-3599</v>
          </cell>
          <cell r="L3607" t="str">
            <v>42-04-07-00-3599</v>
          </cell>
          <cell r="M3607" t="str">
            <v>Dispensador Jabon PISA</v>
          </cell>
          <cell r="O3607" t="str">
            <v>OTROS</v>
          </cell>
          <cell r="P3607">
            <v>4700</v>
          </cell>
          <cell r="T3607" t="str">
            <v>Bueno</v>
          </cell>
          <cell r="U3607" t="str">
            <v>PISA</v>
          </cell>
        </row>
        <row r="3608">
          <cell r="J3608" t="str">
            <v>42-05-02-05-3600</v>
          </cell>
          <cell r="L3608" t="str">
            <v>42-05-02-05-3600</v>
          </cell>
          <cell r="M3608" t="str">
            <v>Extintor incendio tipo ABC 4 Kgs.</v>
          </cell>
          <cell r="O3608" t="str">
            <v>EQUIPOS DE SEGURIDAD</v>
          </cell>
          <cell r="P3608">
            <v>14990</v>
          </cell>
          <cell r="T3608" t="str">
            <v>Bueno</v>
          </cell>
          <cell r="U3608" t="str">
            <v>N/T</v>
          </cell>
        </row>
        <row r="3609">
          <cell r="J3609" t="str">
            <v>42-04-07-00-3601</v>
          </cell>
          <cell r="L3609" t="str">
            <v>42-04-07-00-3601</v>
          </cell>
          <cell r="M3609" t="str">
            <v>Secador Manos NOVAR AIROSEC</v>
          </cell>
          <cell r="O3609" t="str">
            <v>OTROS</v>
          </cell>
          <cell r="P3609">
            <v>17000</v>
          </cell>
          <cell r="T3609" t="str">
            <v>Bueno</v>
          </cell>
          <cell r="U3609" t="str">
            <v>NOVAR</v>
          </cell>
        </row>
        <row r="3610">
          <cell r="J3610" t="str">
            <v>42-04-07-00-3602</v>
          </cell>
          <cell r="L3610" t="str">
            <v>42-04-07-00-3602</v>
          </cell>
          <cell r="M3610" t="str">
            <v xml:space="preserve">Porta Jabon </v>
          </cell>
          <cell r="O3610" t="str">
            <v>OTROS</v>
          </cell>
          <cell r="P3610">
            <v>2500</v>
          </cell>
          <cell r="T3610" t="str">
            <v>Bueno</v>
          </cell>
          <cell r="U3610" t="str">
            <v>N/T</v>
          </cell>
        </row>
        <row r="3611">
          <cell r="J3611" t="str">
            <v>42-04-07-00-3603</v>
          </cell>
          <cell r="L3611" t="str">
            <v>42-04-07-00-3603</v>
          </cell>
          <cell r="M3611" t="str">
            <v>Porta Toallas TORK</v>
          </cell>
          <cell r="O3611" t="str">
            <v>OTROS</v>
          </cell>
          <cell r="P3611">
            <v>17000</v>
          </cell>
          <cell r="T3611" t="str">
            <v>Bueno</v>
          </cell>
          <cell r="U3611" t="str">
            <v>TORK</v>
          </cell>
        </row>
        <row r="3612">
          <cell r="J3612" t="str">
            <v>42-04-07-00-3604</v>
          </cell>
          <cell r="L3612" t="str">
            <v>42-04-07-00-3604</v>
          </cell>
          <cell r="M3612" t="str">
            <v>Dispensador Jabon PISA</v>
          </cell>
          <cell r="O3612" t="str">
            <v>OTROS</v>
          </cell>
          <cell r="P3612">
            <v>4700</v>
          </cell>
          <cell r="T3612" t="str">
            <v>Bueno</v>
          </cell>
          <cell r="U3612" t="str">
            <v>PISA</v>
          </cell>
        </row>
        <row r="3613">
          <cell r="J3613" t="str">
            <v>42-04-07-00-3605</v>
          </cell>
          <cell r="L3613" t="str">
            <v>42-04-07-00-3605</v>
          </cell>
          <cell r="M3613" t="str">
            <v>Porta Confort</v>
          </cell>
          <cell r="O3613" t="str">
            <v>OTROS</v>
          </cell>
          <cell r="P3613">
            <v>4700</v>
          </cell>
          <cell r="T3613" t="str">
            <v>Bueno</v>
          </cell>
          <cell r="U3613" t="str">
            <v>N/T</v>
          </cell>
        </row>
        <row r="3614">
          <cell r="J3614" t="str">
            <v>42-06-01-00-3606</v>
          </cell>
          <cell r="L3614" t="str">
            <v>42-06-01-00-3606</v>
          </cell>
          <cell r="M3614" t="str">
            <v>Monitor 14 " Dell CN-04G765-64180-3AL-003B Negro</v>
          </cell>
          <cell r="O3614" t="str">
            <v>EQUIPOS COMPUTACIONALES Y PERIFÉRICOS</v>
          </cell>
          <cell r="P3614">
            <v>14000</v>
          </cell>
          <cell r="T3614" t="str">
            <v>Bueno</v>
          </cell>
          <cell r="U3614" t="str">
            <v>DELL</v>
          </cell>
        </row>
        <row r="3615">
          <cell r="J3615" t="str">
            <v>42-06-01-00-3607</v>
          </cell>
          <cell r="L3615" t="str">
            <v>42-06-01-00-3607</v>
          </cell>
          <cell r="M3615" t="str">
            <v>CPU IBM Think Centre MT-M 8171 KSE SN KCKD1ZD</v>
          </cell>
          <cell r="O3615" t="str">
            <v>EQUIPOS COMPUTACIONALES Y PERIFÉRICOS</v>
          </cell>
          <cell r="P3615">
            <v>140000</v>
          </cell>
          <cell r="T3615" t="str">
            <v>Bueno</v>
          </cell>
          <cell r="U3615" t="str">
            <v>IBM</v>
          </cell>
        </row>
        <row r="3616">
          <cell r="J3616" t="str">
            <v>42-06-01-00-3608</v>
          </cell>
          <cell r="L3616" t="str">
            <v>42-06-01-00-3608</v>
          </cell>
          <cell r="M3616" t="str">
            <v>Mouse Genius M/N Netscroll 120</v>
          </cell>
          <cell r="O3616" t="str">
            <v>EQUIPOS COMPUTACIONALES Y PERIFÉRICOS</v>
          </cell>
          <cell r="P3616">
            <v>4000</v>
          </cell>
          <cell r="T3616" t="str">
            <v>Bueno</v>
          </cell>
          <cell r="U3616" t="str">
            <v>GENIUS</v>
          </cell>
        </row>
        <row r="3617">
          <cell r="J3617" t="str">
            <v>42-06-01-00-3609</v>
          </cell>
          <cell r="L3617" t="str">
            <v>42-06-01-00-3609</v>
          </cell>
          <cell r="M3617" t="str">
            <v>Teclado marca Aopen S/N° 64206905 Negro</v>
          </cell>
          <cell r="O3617" t="str">
            <v>EQUIPOS COMPUTACIONALES Y PERIFÉRICOS</v>
          </cell>
          <cell r="P3617">
            <v>3000</v>
          </cell>
          <cell r="T3617" t="str">
            <v>Bueno</v>
          </cell>
          <cell r="U3617" t="str">
            <v>AOPEN</v>
          </cell>
        </row>
        <row r="3618">
          <cell r="J3618" t="str">
            <v>42-04-07-00-3610</v>
          </cell>
          <cell r="L3618" t="str">
            <v>42-04-07-00-3610</v>
          </cell>
          <cell r="M3618" t="str">
            <v>Dispensador Jabon PISA</v>
          </cell>
          <cell r="O3618" t="str">
            <v>OTROS</v>
          </cell>
          <cell r="P3618">
            <v>4700</v>
          </cell>
          <cell r="T3618" t="str">
            <v>Bueno</v>
          </cell>
          <cell r="U3618" t="str">
            <v>PISA</v>
          </cell>
        </row>
        <row r="3619">
          <cell r="J3619" t="str">
            <v>42-04-07-00-3611</v>
          </cell>
          <cell r="L3619" t="str">
            <v>42-04-07-00-3611</v>
          </cell>
          <cell r="M3619" t="str">
            <v xml:space="preserve">Porta Jabon </v>
          </cell>
          <cell r="O3619" t="str">
            <v>OTROS</v>
          </cell>
          <cell r="P3619">
            <v>2500</v>
          </cell>
          <cell r="T3619" t="str">
            <v>Bueno</v>
          </cell>
          <cell r="U3619" t="str">
            <v>N/T</v>
          </cell>
        </row>
        <row r="3620">
          <cell r="J3620" t="str">
            <v>42-04-07-00-3612</v>
          </cell>
          <cell r="L3620" t="str">
            <v>42-04-07-00-3612</v>
          </cell>
          <cell r="M3620" t="str">
            <v>Porta Confort</v>
          </cell>
          <cell r="O3620" t="str">
            <v>OTROS</v>
          </cell>
          <cell r="P3620">
            <v>4700</v>
          </cell>
          <cell r="T3620" t="str">
            <v>Bueno</v>
          </cell>
          <cell r="U3620" t="str">
            <v>N/T</v>
          </cell>
        </row>
        <row r="3621">
          <cell r="J3621" t="str">
            <v>42-04-07-00-3613</v>
          </cell>
          <cell r="L3621" t="str">
            <v>42-04-07-00-3613</v>
          </cell>
          <cell r="M3621" t="str">
            <v>Porta Toallas</v>
          </cell>
          <cell r="O3621" t="str">
            <v>OTROS</v>
          </cell>
          <cell r="P3621">
            <v>4500</v>
          </cell>
          <cell r="T3621" t="str">
            <v>Bueno</v>
          </cell>
          <cell r="U3621" t="str">
            <v>N/T</v>
          </cell>
        </row>
        <row r="3622">
          <cell r="J3622" t="str">
            <v>42-04-07-00-3614</v>
          </cell>
          <cell r="L3622" t="str">
            <v>42-04-07-00-3614</v>
          </cell>
          <cell r="M3622" t="str">
            <v>Espejo Pared 30x20 CM</v>
          </cell>
          <cell r="O3622" t="str">
            <v>OTROS</v>
          </cell>
          <cell r="P3622">
            <v>2000</v>
          </cell>
          <cell r="T3622" t="str">
            <v>Bueno</v>
          </cell>
          <cell r="U3622" t="str">
            <v>N/T</v>
          </cell>
        </row>
        <row r="3623">
          <cell r="J3623" t="str">
            <v>42-04-07-00-3615</v>
          </cell>
          <cell r="L3623" t="str">
            <v>42-04-07-00-3615</v>
          </cell>
          <cell r="M3623" t="str">
            <v>Basurero Plastico Color Blanco (BIN)</v>
          </cell>
          <cell r="O3623" t="str">
            <v>OTROS</v>
          </cell>
          <cell r="P3623">
            <v>3000</v>
          </cell>
          <cell r="T3623" t="str">
            <v>Bueno</v>
          </cell>
          <cell r="U3623" t="str">
            <v>N/T</v>
          </cell>
        </row>
        <row r="3624">
          <cell r="J3624" t="str">
            <v>42-04-03-00-3616</v>
          </cell>
          <cell r="L3624" t="str">
            <v>42-04-03-00-3616</v>
          </cell>
          <cell r="M3624" t="str">
            <v>Escritorio Mixto Madera Metal 2 Cajones 1 C/Llave Color Miel</v>
          </cell>
          <cell r="O3624" t="str">
            <v>ESCRITORIOS</v>
          </cell>
          <cell r="P3624">
            <v>25000</v>
          </cell>
          <cell r="T3624" t="str">
            <v>Bueno</v>
          </cell>
          <cell r="U3624" t="str">
            <v>N/T</v>
          </cell>
        </row>
        <row r="3625">
          <cell r="J3625" t="str">
            <v>42-05-02-07-3617</v>
          </cell>
          <cell r="L3625" t="str">
            <v>42-05-02-07-3617</v>
          </cell>
          <cell r="M3625" t="str">
            <v>Bombo Tipo Chilote Grande</v>
          </cell>
          <cell r="O3625" t="str">
            <v>EQUIPOS DE AUDIO</v>
          </cell>
          <cell r="P3625">
            <v>30000</v>
          </cell>
          <cell r="T3625" t="str">
            <v>Bueno</v>
          </cell>
          <cell r="U3625" t="str">
            <v>N/T</v>
          </cell>
        </row>
        <row r="3626">
          <cell r="J3626" t="str">
            <v>42-05-02-07-3618</v>
          </cell>
          <cell r="L3626" t="str">
            <v>42-05-02-07-3618</v>
          </cell>
          <cell r="M3626" t="str">
            <v>Amplificador 230 V SWX20 Ibanez</v>
          </cell>
          <cell r="O3626" t="str">
            <v>EQUIPOS DE AUDIO</v>
          </cell>
          <cell r="P3626">
            <v>74900</v>
          </cell>
          <cell r="T3626" t="str">
            <v>Bueno</v>
          </cell>
          <cell r="U3626" t="str">
            <v>IBANEZ</v>
          </cell>
        </row>
        <row r="3627">
          <cell r="J3627" t="str">
            <v>42-05-02-07-3619</v>
          </cell>
          <cell r="L3627" t="str">
            <v>42-05-02-07-3619</v>
          </cell>
          <cell r="M3627" t="str">
            <v>Pedestal RSM 300 PROEL</v>
          </cell>
          <cell r="O3627" t="str">
            <v>EQUIPOS DE AUDIO</v>
          </cell>
          <cell r="P3627">
            <v>19900</v>
          </cell>
          <cell r="T3627" t="str">
            <v>Bueno</v>
          </cell>
          <cell r="U3627" t="str">
            <v>PROEL</v>
          </cell>
        </row>
        <row r="3628">
          <cell r="J3628" t="str">
            <v>42-05-02-01-3620</v>
          </cell>
          <cell r="L3628" t="str">
            <v>42-05-02-01-3620</v>
          </cell>
          <cell r="M3628" t="str">
            <v>Flujómetros marca Mini Wright</v>
          </cell>
          <cell r="O3628" t="str">
            <v>EQUIPOS CLINICOS</v>
          </cell>
          <cell r="P3628">
            <v>30000</v>
          </cell>
          <cell r="T3628" t="str">
            <v>Bueno</v>
          </cell>
          <cell r="U3628" t="str">
            <v>Mini wright</v>
          </cell>
        </row>
        <row r="3629">
          <cell r="J3629" t="str">
            <v>42-05-02-01-3621</v>
          </cell>
          <cell r="L3629" t="str">
            <v>42-05-02-01-3621</v>
          </cell>
          <cell r="M3629" t="str">
            <v>Flujómetros marca Mini Wright</v>
          </cell>
          <cell r="O3629" t="str">
            <v>EQUIPOS CLINICOS</v>
          </cell>
          <cell r="P3629">
            <v>30000</v>
          </cell>
          <cell r="T3629" t="str">
            <v>Bueno</v>
          </cell>
          <cell r="U3629" t="str">
            <v>Mini wright</v>
          </cell>
        </row>
        <row r="3630">
          <cell r="J3630" t="str">
            <v>42-05-02-01-3622</v>
          </cell>
          <cell r="L3630" t="str">
            <v>42-05-02-01-3622</v>
          </cell>
          <cell r="M3630" t="str">
            <v>Flujómetros marca Mini Wright</v>
          </cell>
          <cell r="O3630" t="str">
            <v>EQUIPOS CLINICOS</v>
          </cell>
          <cell r="P3630">
            <v>30000</v>
          </cell>
          <cell r="T3630" t="str">
            <v>Bueno</v>
          </cell>
          <cell r="U3630" t="str">
            <v>Mini wright</v>
          </cell>
        </row>
        <row r="3631">
          <cell r="J3631" t="str">
            <v>42-04-02-00-3623</v>
          </cell>
          <cell r="L3631" t="str">
            <v>42-04-02-00-3623</v>
          </cell>
          <cell r="M3631" t="str">
            <v>Silla Computador Color Beige 5 Ruedas</v>
          </cell>
          <cell r="O3631" t="str">
            <v>SILLAS</v>
          </cell>
          <cell r="P3631">
            <v>15000</v>
          </cell>
          <cell r="T3631" t="str">
            <v>Bueno</v>
          </cell>
          <cell r="U3631" t="str">
            <v>N/T</v>
          </cell>
        </row>
        <row r="3632">
          <cell r="J3632" t="str">
            <v>42-05-02-01-3624</v>
          </cell>
          <cell r="L3632" t="str">
            <v>42-05-02-01-3624</v>
          </cell>
          <cell r="M3632" t="str">
            <v>Central Oxigeno</v>
          </cell>
          <cell r="O3632" t="str">
            <v>EQUIPOS CLINICOS</v>
          </cell>
          <cell r="P3632">
            <v>9000</v>
          </cell>
          <cell r="T3632" t="str">
            <v>Bueno</v>
          </cell>
          <cell r="U3632" t="str">
            <v>N/T</v>
          </cell>
        </row>
        <row r="3633">
          <cell r="J3633" t="str">
            <v>42-05-02-01-3625</v>
          </cell>
          <cell r="L3633" t="str">
            <v>42-05-02-01-3625</v>
          </cell>
          <cell r="M3633" t="str">
            <v>Bomba Aspiracion</v>
          </cell>
          <cell r="O3633" t="str">
            <v>EQUIPOS CLINICOS</v>
          </cell>
          <cell r="P3633">
            <v>19000</v>
          </cell>
          <cell r="T3633" t="str">
            <v>Bueno</v>
          </cell>
          <cell r="U3633" t="str">
            <v>N/T</v>
          </cell>
        </row>
        <row r="3634">
          <cell r="J3634" t="str">
            <v>42-05-02-01-3626</v>
          </cell>
          <cell r="L3634" t="str">
            <v>42-05-02-01-3626</v>
          </cell>
          <cell r="M3634" t="str">
            <v>Recolector Aspiracion</v>
          </cell>
          <cell r="O3634" t="str">
            <v>EQUIPOS CLINICOS</v>
          </cell>
          <cell r="P3634">
            <v>12000</v>
          </cell>
          <cell r="T3634" t="str">
            <v>Bueno</v>
          </cell>
          <cell r="U3634" t="str">
            <v>N/T</v>
          </cell>
        </row>
        <row r="3635">
          <cell r="J3635" t="str">
            <v>42-04-07-00-3627</v>
          </cell>
          <cell r="L3635" t="str">
            <v>42-04-07-00-3627</v>
          </cell>
          <cell r="M3635" t="str">
            <v>Basurero Plastico (BIN)</v>
          </cell>
          <cell r="O3635" t="str">
            <v>OTROS</v>
          </cell>
          <cell r="P3635">
            <v>3000</v>
          </cell>
          <cell r="T3635" t="str">
            <v>Bueno</v>
          </cell>
          <cell r="U3635" t="str">
            <v>N/T</v>
          </cell>
        </row>
        <row r="3636">
          <cell r="J3636" t="str">
            <v>42-05-02-01-3628</v>
          </cell>
          <cell r="L3636" t="str">
            <v>42-05-02-01-3628</v>
          </cell>
          <cell r="M3636" t="str">
            <v>Bomba aspiración de 12 Volt Silfab</v>
          </cell>
          <cell r="N3636">
            <v>1</v>
          </cell>
          <cell r="O3636" t="str">
            <v>EQUIPOS CLINICOS</v>
          </cell>
          <cell r="P3636">
            <v>231931</v>
          </cell>
          <cell r="T3636" t="str">
            <v>Bueno</v>
          </cell>
          <cell r="U3636" t="str">
            <v>SILFAB</v>
          </cell>
        </row>
        <row r="3637">
          <cell r="J3637" t="str">
            <v>42-04-07-00-3629</v>
          </cell>
          <cell r="L3637" t="str">
            <v>42-04-07-00-3629</v>
          </cell>
          <cell r="M3637" t="str">
            <v>Porta cortinas metálico</v>
          </cell>
          <cell r="O3637" t="str">
            <v>OTROS</v>
          </cell>
          <cell r="P3637">
            <v>1500</v>
          </cell>
          <cell r="T3637" t="str">
            <v>Bueno</v>
          </cell>
          <cell r="U3637" t="str">
            <v>N/T</v>
          </cell>
        </row>
        <row r="3638">
          <cell r="J3638" t="str">
            <v>FN-04-07-00-3630</v>
          </cell>
          <cell r="L3638" t="str">
            <v>FN-04-07-00-3630</v>
          </cell>
          <cell r="M3638" t="str">
            <v>Cortinas color verde</v>
          </cell>
          <cell r="O3638" t="str">
            <v>OTROS FUNGIBLE / NOMINABLE</v>
          </cell>
          <cell r="P3638">
            <v>12000</v>
          </cell>
          <cell r="T3638" t="str">
            <v>Bueno</v>
          </cell>
          <cell r="U3638" t="str">
            <v>N/T</v>
          </cell>
        </row>
        <row r="3639">
          <cell r="J3639" t="str">
            <v>42-05-01-01-3631</v>
          </cell>
          <cell r="L3639" t="str">
            <v>42-05-01-01-3631</v>
          </cell>
          <cell r="M3639" t="str">
            <v>Timbre impresión fechas c/ Tampon Azul</v>
          </cell>
          <cell r="O3639" t="str">
            <v>EQUIPO DE OFICINA</v>
          </cell>
          <cell r="P3639">
            <v>4500</v>
          </cell>
          <cell r="T3639" t="str">
            <v>Bueno</v>
          </cell>
          <cell r="U3639" t="str">
            <v>N/T</v>
          </cell>
        </row>
        <row r="3640">
          <cell r="J3640" t="str">
            <v>42-04-06-00-3632</v>
          </cell>
          <cell r="L3640" t="str">
            <v>42-04-06-00-3632</v>
          </cell>
          <cell r="M3640" t="str">
            <v>Repisa Hechiza melamina Blanca 1 Compartimiento</v>
          </cell>
          <cell r="O3640" t="str">
            <v>REPISA</v>
          </cell>
          <cell r="P3640">
            <v>10000</v>
          </cell>
          <cell r="T3640" t="str">
            <v>Bueno</v>
          </cell>
          <cell r="U3640" t="str">
            <v>N/T</v>
          </cell>
        </row>
        <row r="3641">
          <cell r="J3641" t="str">
            <v>42-05-01-01-3633</v>
          </cell>
          <cell r="L3641" t="str">
            <v>42-05-01-01-3633</v>
          </cell>
          <cell r="M3641" t="str">
            <v>Citófono/ teléfono marca Nortel Network, Modelo 7000</v>
          </cell>
          <cell r="O3641" t="str">
            <v>EQUIPO DE OFICINA</v>
          </cell>
          <cell r="P3641">
            <v>36000</v>
          </cell>
          <cell r="T3641" t="str">
            <v>Bueno</v>
          </cell>
          <cell r="U3641" t="str">
            <v>Nortel Network</v>
          </cell>
        </row>
        <row r="3642">
          <cell r="J3642" t="str">
            <v>42-04-07-00-3634</v>
          </cell>
          <cell r="L3642" t="str">
            <v>42-04-07-00-3634</v>
          </cell>
          <cell r="M3642" t="str">
            <v>Dispensador jabón marca Pisa</v>
          </cell>
          <cell r="O3642" t="str">
            <v>OTROS</v>
          </cell>
          <cell r="P3642">
            <v>17000</v>
          </cell>
          <cell r="T3642" t="str">
            <v>Bueno</v>
          </cell>
          <cell r="U3642" t="str">
            <v>N/T</v>
          </cell>
        </row>
        <row r="3643">
          <cell r="J3643" t="str">
            <v>42-04-07-00-3635</v>
          </cell>
          <cell r="L3643" t="str">
            <v>42-04-07-00-3635</v>
          </cell>
          <cell r="M3643" t="str">
            <v>Lavamanos con Pedestal Loza Blanco C/Llave Monomando</v>
          </cell>
          <cell r="O3643" t="str">
            <v>OTROS</v>
          </cell>
          <cell r="P3643">
            <v>11000</v>
          </cell>
          <cell r="T3643" t="str">
            <v>Bueno</v>
          </cell>
          <cell r="U3643" t="str">
            <v>N/T</v>
          </cell>
        </row>
        <row r="3644">
          <cell r="J3644" t="str">
            <v>42-05-02-05-3636</v>
          </cell>
          <cell r="L3644" t="str">
            <v>42-05-02-05-3636</v>
          </cell>
          <cell r="M3644" t="str">
            <v>Sistema Iluminación de Emergencia</v>
          </cell>
          <cell r="O3644" t="str">
            <v>EQUIPOS DE SEGURIDAD</v>
          </cell>
          <cell r="P3644">
            <v>35000</v>
          </cell>
          <cell r="T3644" t="str">
            <v>Bueno</v>
          </cell>
          <cell r="U3644" t="str">
            <v>N/T</v>
          </cell>
        </row>
        <row r="3645">
          <cell r="J3645" t="str">
            <v>NN-06-01-00-3637</v>
          </cell>
          <cell r="L3645" t="str">
            <v>NN-06-01-00-3637</v>
          </cell>
          <cell r="M3645" t="str">
            <v>Teclado Convencional Negro MODEL K3100 Olidata</v>
          </cell>
          <cell r="O3645" t="str">
            <v>EQUIPOS COMPUTACIONALES Y PERIFÉRICOS EN ARRIENDO</v>
          </cell>
          <cell r="P3645">
            <v>3000</v>
          </cell>
          <cell r="T3645" t="str">
            <v>Bueno</v>
          </cell>
          <cell r="U3645" t="str">
            <v>Olidata</v>
          </cell>
        </row>
        <row r="3646">
          <cell r="J3646" t="str">
            <v>NN-06-01-00-3638</v>
          </cell>
          <cell r="L3646" t="str">
            <v>NN-06-01-00-3638</v>
          </cell>
          <cell r="M3646" t="str">
            <v>Mouse Convencional Laser  Olidata MODEL KM-8903 Negro / Plomo</v>
          </cell>
          <cell r="O3646" t="str">
            <v>EQUIPOS COMPUTACIONALES Y PERIFÉRICOS EN ARRIENDO</v>
          </cell>
          <cell r="P3646">
            <v>4000</v>
          </cell>
          <cell r="T3646" t="str">
            <v>Bueno</v>
          </cell>
          <cell r="U3646" t="str">
            <v>Olidata</v>
          </cell>
        </row>
        <row r="3647">
          <cell r="J3647" t="str">
            <v>42-04-07-00-3639</v>
          </cell>
          <cell r="L3647" t="str">
            <v>42-04-07-00-3639</v>
          </cell>
          <cell r="M3647" t="str">
            <v>Tarjetero Blanco Terciado 3 Compartimientos</v>
          </cell>
          <cell r="O3647" t="str">
            <v>OTROS</v>
          </cell>
          <cell r="P3647">
            <v>5900</v>
          </cell>
          <cell r="T3647" t="str">
            <v>Bueno</v>
          </cell>
          <cell r="U3647" t="str">
            <v>N/T</v>
          </cell>
        </row>
        <row r="3648">
          <cell r="J3648" t="str">
            <v>NN-06-01-00-3640</v>
          </cell>
          <cell r="L3648" t="str">
            <v>NN-06-01-00-3640</v>
          </cell>
          <cell r="M3648" t="str">
            <v>Teclado Convencional Negro MODEL K3100 Olidata</v>
          </cell>
          <cell r="O3648" t="str">
            <v>EQUIPOS COMPUTACIONALES Y PERIFÉRICOS EN ARRIENDO</v>
          </cell>
          <cell r="P3648">
            <v>3000</v>
          </cell>
          <cell r="T3648" t="str">
            <v>Bueno</v>
          </cell>
          <cell r="U3648" t="str">
            <v>Olidata</v>
          </cell>
        </row>
        <row r="3649">
          <cell r="J3649" t="str">
            <v>42-04-07-00-3641</v>
          </cell>
          <cell r="L3649" t="str">
            <v>42-04-07-00-3641</v>
          </cell>
          <cell r="M3649" t="str">
            <v>Porta cortinas metálico</v>
          </cell>
          <cell r="O3649" t="str">
            <v>OTROS</v>
          </cell>
          <cell r="P3649">
            <v>1500</v>
          </cell>
          <cell r="T3649" t="str">
            <v>Bueno</v>
          </cell>
          <cell r="U3649" t="str">
            <v>N/T</v>
          </cell>
        </row>
        <row r="3650">
          <cell r="J3650" t="str">
            <v>FN-04-07-00-3642</v>
          </cell>
          <cell r="L3650" t="str">
            <v>FN-04-07-00-3642</v>
          </cell>
          <cell r="M3650" t="str">
            <v>Cortinas Color Verde Claro</v>
          </cell>
          <cell r="O3650" t="str">
            <v>OTROS FUNGIBLE / NOMINABLE</v>
          </cell>
          <cell r="P3650">
            <v>12000</v>
          </cell>
          <cell r="T3650" t="str">
            <v>Bueno</v>
          </cell>
          <cell r="U3650" t="str">
            <v>N/T</v>
          </cell>
        </row>
        <row r="3651">
          <cell r="J3651" t="str">
            <v>42-04-07-00-3643</v>
          </cell>
          <cell r="L3651" t="str">
            <v>42-04-07-00-3643</v>
          </cell>
          <cell r="M3651" t="str">
            <v>Dispensador Jabon PISA</v>
          </cell>
          <cell r="O3651" t="str">
            <v>OTROS</v>
          </cell>
          <cell r="P3651">
            <v>17000</v>
          </cell>
          <cell r="T3651" t="str">
            <v>Bueno</v>
          </cell>
          <cell r="U3651" t="str">
            <v>N/T</v>
          </cell>
        </row>
        <row r="3652">
          <cell r="J3652" t="str">
            <v>42-04-07-00-3644</v>
          </cell>
          <cell r="L3652" t="str">
            <v>42-04-07-00-3644</v>
          </cell>
          <cell r="M3652" t="str">
            <v>Lavamanos con Pedestal Loza Blanco C/Llave Monomando</v>
          </cell>
          <cell r="O3652" t="str">
            <v>OTROS</v>
          </cell>
          <cell r="P3652">
            <v>11000</v>
          </cell>
          <cell r="T3652" t="str">
            <v>Bueno</v>
          </cell>
          <cell r="U3652" t="str">
            <v>N/T</v>
          </cell>
        </row>
        <row r="3653">
          <cell r="J3653" t="str">
            <v>42-04-07-00-3645</v>
          </cell>
          <cell r="L3653" t="str">
            <v>42-04-07-00-3645</v>
          </cell>
          <cell r="M3653" t="str">
            <v>Porta Toallas</v>
          </cell>
          <cell r="O3653" t="str">
            <v>OTROS</v>
          </cell>
          <cell r="P3653">
            <v>4500</v>
          </cell>
          <cell r="T3653" t="str">
            <v>Bueno</v>
          </cell>
          <cell r="U3653" t="str">
            <v>TORK</v>
          </cell>
        </row>
        <row r="3654">
          <cell r="J3654" t="str">
            <v>42-04-07-00-3646</v>
          </cell>
          <cell r="L3654" t="str">
            <v>42-04-07-00-3646</v>
          </cell>
          <cell r="M3654" t="str">
            <v xml:space="preserve">Alfombra Piso Café </v>
          </cell>
          <cell r="O3654" t="str">
            <v>OTROS</v>
          </cell>
          <cell r="P3654">
            <v>22900</v>
          </cell>
          <cell r="T3654" t="str">
            <v>Bueno</v>
          </cell>
          <cell r="U3654" t="str">
            <v>N/T</v>
          </cell>
        </row>
        <row r="3655">
          <cell r="J3655" t="str">
            <v>42-04-07-00-3647</v>
          </cell>
          <cell r="L3655" t="str">
            <v>42-04-07-00-3647</v>
          </cell>
          <cell r="M3655" t="str">
            <v>Basurero Plastico Blanco (BIN)</v>
          </cell>
          <cell r="O3655" t="str">
            <v>OTROS</v>
          </cell>
          <cell r="P3655">
            <v>3000</v>
          </cell>
          <cell r="T3655" t="str">
            <v>Bueno</v>
          </cell>
          <cell r="U3655" t="str">
            <v>N/T</v>
          </cell>
        </row>
        <row r="3656">
          <cell r="J3656" t="str">
            <v>42-04-07-00-3648</v>
          </cell>
          <cell r="L3656" t="str">
            <v>42-04-07-00-3648</v>
          </cell>
          <cell r="M3656" t="str">
            <v>Lavamanos con Pedestal Loza Blanco C/Llave Monomando</v>
          </cell>
          <cell r="O3656" t="str">
            <v>OTROS</v>
          </cell>
          <cell r="P3656">
            <v>11000</v>
          </cell>
          <cell r="T3656" t="str">
            <v>Bueno</v>
          </cell>
          <cell r="U3656" t="str">
            <v>N/T</v>
          </cell>
        </row>
        <row r="3657">
          <cell r="J3657" t="str">
            <v>42-04-03-00-3649</v>
          </cell>
          <cell r="L3657" t="str">
            <v>42-04-03-00-3649</v>
          </cell>
          <cell r="M3657" t="str">
            <v>Escritorio Computador Melamina Color Nogal 03 Cajones</v>
          </cell>
          <cell r="O3657" t="str">
            <v>ESCRITORIOS</v>
          </cell>
          <cell r="P3657">
            <v>35000</v>
          </cell>
          <cell r="T3657" t="str">
            <v>Bueno</v>
          </cell>
          <cell r="U3657" t="str">
            <v>N/T</v>
          </cell>
        </row>
        <row r="3658">
          <cell r="J3658" t="str">
            <v>42-04-07-00-3650</v>
          </cell>
          <cell r="L3658" t="str">
            <v>42-04-07-00-3650</v>
          </cell>
          <cell r="M3658" t="str">
            <v>Porta Toallas TORK</v>
          </cell>
          <cell r="O3658" t="str">
            <v>OTROS</v>
          </cell>
          <cell r="P3658">
            <v>17000</v>
          </cell>
          <cell r="T3658" t="str">
            <v>Bueno</v>
          </cell>
          <cell r="U3658" t="str">
            <v>TORK</v>
          </cell>
        </row>
        <row r="3659">
          <cell r="J3659" t="str">
            <v>42-05-02-01-3651</v>
          </cell>
          <cell r="L3659" t="str">
            <v>42-05-02-01-3651</v>
          </cell>
          <cell r="M3659" t="str">
            <v>Balon Pilates Medicinal Rojo</v>
          </cell>
          <cell r="O3659" t="str">
            <v>EQUIPOS CLINICOS</v>
          </cell>
          <cell r="P3659">
            <v>16990</v>
          </cell>
          <cell r="T3659" t="str">
            <v>Bueno</v>
          </cell>
          <cell r="U3659" t="str">
            <v>N/T</v>
          </cell>
        </row>
        <row r="3660">
          <cell r="J3660" t="str">
            <v>42-05-01-01-3652</v>
          </cell>
          <cell r="L3660" t="str">
            <v>42-05-01-01-3652</v>
          </cell>
          <cell r="M3660" t="str">
            <v>Extractor de Aire Tipo Aerolite Sin Marca</v>
          </cell>
          <cell r="O3660" t="str">
            <v>EQUIPO DE OFICINA</v>
          </cell>
          <cell r="P3660">
            <v>25000</v>
          </cell>
          <cell r="T3660" t="str">
            <v>Bueno</v>
          </cell>
          <cell r="U3660" t="str">
            <v>N/T</v>
          </cell>
        </row>
        <row r="3661">
          <cell r="J3661" t="str">
            <v>42-05-02-01-3653</v>
          </cell>
          <cell r="L3661" t="str">
            <v>42-05-02-01-3653</v>
          </cell>
          <cell r="M3661" t="str">
            <v>Camilla Electrica Neurologica Marca Deluxe</v>
          </cell>
          <cell r="O3661" t="str">
            <v>EQUIPOS CLINICOS</v>
          </cell>
          <cell r="P3661">
            <v>386700</v>
          </cell>
          <cell r="T3661" t="str">
            <v>Bueno</v>
          </cell>
          <cell r="U3661" t="str">
            <v>N/T</v>
          </cell>
        </row>
        <row r="3662">
          <cell r="J3662" t="str">
            <v>42-04-07-00-3654</v>
          </cell>
          <cell r="L3662" t="str">
            <v>42-04-07-00-3654</v>
          </cell>
          <cell r="M3662" t="str">
            <v>Mueble Metalico Cubierta Vidrio 02 Espacios 01 Cajon</v>
          </cell>
          <cell r="O3662" t="str">
            <v>OTROS</v>
          </cell>
          <cell r="P3662">
            <v>35990</v>
          </cell>
          <cell r="T3662" t="str">
            <v>Bueno</v>
          </cell>
          <cell r="U3662" t="str">
            <v>N/T</v>
          </cell>
        </row>
        <row r="3663">
          <cell r="J3663" t="str">
            <v>42-04-07-00-3655</v>
          </cell>
          <cell r="L3663" t="str">
            <v>42-04-07-00-3655</v>
          </cell>
          <cell r="M3663" t="str">
            <v>Porta Toallas TORK</v>
          </cell>
          <cell r="O3663" t="str">
            <v>OTROS</v>
          </cell>
          <cell r="P3663">
            <v>17000</v>
          </cell>
          <cell r="T3663" t="str">
            <v>Bueno</v>
          </cell>
          <cell r="U3663" t="str">
            <v>TORK</v>
          </cell>
        </row>
        <row r="3664">
          <cell r="J3664" t="str">
            <v>42-05-02-01-3656</v>
          </cell>
          <cell r="L3664" t="str">
            <v>42-05-02-01-3656</v>
          </cell>
          <cell r="M3664" t="str">
            <v>Escala Esquina Madera Negro / Amarillo</v>
          </cell>
          <cell r="O3664" t="str">
            <v>EQUIPOS CLINICOS</v>
          </cell>
          <cell r="P3664">
            <v>149000</v>
          </cell>
          <cell r="T3664" t="str">
            <v>Bueno</v>
          </cell>
          <cell r="U3664" t="str">
            <v>N/T</v>
          </cell>
        </row>
        <row r="3665">
          <cell r="J3665" t="str">
            <v>42-05-02-01-3657</v>
          </cell>
          <cell r="L3665" t="str">
            <v>42-05-02-01-3657</v>
          </cell>
          <cell r="M3665" t="str">
            <v>Mesa Trabajo de Manos Con Juego de Pesas y poleas</v>
          </cell>
          <cell r="O3665" t="str">
            <v>EQUIPOS CLINICOS</v>
          </cell>
          <cell r="P3665">
            <v>249000</v>
          </cell>
          <cell r="T3665" t="str">
            <v>Bueno</v>
          </cell>
          <cell r="U3665" t="str">
            <v>N/T</v>
          </cell>
        </row>
        <row r="3666">
          <cell r="J3666" t="str">
            <v>42-05-02-01-3658</v>
          </cell>
          <cell r="L3666" t="str">
            <v>42-05-02-01-3658</v>
          </cell>
          <cell r="M3666" t="str">
            <v>Carro Andador Neurologico Rojo 04 Ruedas Chico</v>
          </cell>
          <cell r="O3666" t="str">
            <v>EQUIPOS CLINICOS</v>
          </cell>
          <cell r="P3666">
            <v>59990</v>
          </cell>
          <cell r="T3666" t="str">
            <v>Bueno</v>
          </cell>
          <cell r="U3666" t="str">
            <v>N/T</v>
          </cell>
        </row>
        <row r="3667">
          <cell r="J3667" t="str">
            <v>42-05-02-01-3659</v>
          </cell>
          <cell r="L3667" t="str">
            <v>42-05-02-01-3659</v>
          </cell>
          <cell r="M3667" t="str">
            <v>Carro Andador Paseo Negro / Morado 04 Ruedas Con Parrilla</v>
          </cell>
          <cell r="O3667" t="str">
            <v>EQUIPOS CLINICOS</v>
          </cell>
          <cell r="P3667">
            <v>49990</v>
          </cell>
          <cell r="T3667" t="str">
            <v>Bueno</v>
          </cell>
          <cell r="U3667" t="str">
            <v>N/T</v>
          </cell>
        </row>
        <row r="3668">
          <cell r="J3668" t="str">
            <v>42-05-02-01-3660</v>
          </cell>
          <cell r="L3668" t="str">
            <v>42-05-02-01-3660</v>
          </cell>
          <cell r="M3668" t="str">
            <v>Carro Andador Neurologico Rojo 04 Ruedas con Correa Sugesion Pelvica Grande</v>
          </cell>
          <cell r="O3668" t="str">
            <v>EQUIPOS CLINICOS</v>
          </cell>
          <cell r="P3668">
            <v>69990</v>
          </cell>
          <cell r="T3668" t="str">
            <v>Bueno</v>
          </cell>
          <cell r="U3668" t="str">
            <v>N/T</v>
          </cell>
        </row>
        <row r="3669">
          <cell r="J3669" t="str">
            <v>42-05-02-01-3661</v>
          </cell>
          <cell r="L3669" t="str">
            <v>42-05-02-01-3661</v>
          </cell>
          <cell r="M3669" t="str">
            <v xml:space="preserve">Silla de Ruedas Neurologica Negra </v>
          </cell>
          <cell r="O3669" t="str">
            <v>EQUIPOS CLINICOS</v>
          </cell>
          <cell r="P3669">
            <v>279000</v>
          </cell>
          <cell r="T3669" t="str">
            <v>Bueno</v>
          </cell>
          <cell r="U3669" t="str">
            <v>N/T</v>
          </cell>
        </row>
        <row r="3670">
          <cell r="J3670" t="str">
            <v>42-05-02-01-3662</v>
          </cell>
          <cell r="L3670" t="str">
            <v>42-05-02-01-3662</v>
          </cell>
          <cell r="M3670" t="str">
            <v>Silla de Ruedas Standard Negra</v>
          </cell>
          <cell r="O3670" t="str">
            <v>EQUIPOS CLINICOS</v>
          </cell>
          <cell r="P3670">
            <v>89990</v>
          </cell>
          <cell r="T3670" t="str">
            <v>Bueno</v>
          </cell>
          <cell r="U3670" t="str">
            <v>N/T</v>
          </cell>
        </row>
        <row r="3671">
          <cell r="J3671" t="str">
            <v>42-05-02-01-3663</v>
          </cell>
          <cell r="L3671" t="str">
            <v>42-05-02-01-3663</v>
          </cell>
          <cell r="M3671" t="str">
            <v xml:space="preserve">Baston Neurologico 04 Puntas </v>
          </cell>
          <cell r="O3671" t="str">
            <v>EQUIPOS CLINICOS</v>
          </cell>
          <cell r="P3671">
            <v>29990</v>
          </cell>
          <cell r="T3671" t="str">
            <v>Bueno</v>
          </cell>
          <cell r="U3671" t="str">
            <v>N/T</v>
          </cell>
        </row>
        <row r="3672">
          <cell r="J3672" t="str">
            <v>FN-05-02-01-3664</v>
          </cell>
          <cell r="L3672" t="str">
            <v>FN-05-02-01-3664</v>
          </cell>
          <cell r="M3672" t="str">
            <v>Colchoneta Negra 80 x 05 CM</v>
          </cell>
          <cell r="O3672" t="str">
            <v>EQUIPOS CLINICOS FUNGIBLE / NOMINABLE</v>
          </cell>
          <cell r="P3672">
            <v>39990</v>
          </cell>
          <cell r="T3672" t="str">
            <v>Bueno</v>
          </cell>
          <cell r="U3672" t="str">
            <v>N/T</v>
          </cell>
        </row>
        <row r="3673">
          <cell r="J3673" t="str">
            <v>42-05-02-01-3665</v>
          </cell>
          <cell r="L3673" t="str">
            <v>42-05-02-01-3665</v>
          </cell>
          <cell r="M3673" t="str">
            <v>Colchoneta Negra 1.80 x 05 CM</v>
          </cell>
          <cell r="O3673" t="str">
            <v>EQUIPOS CLINICOS</v>
          </cell>
          <cell r="P3673">
            <v>45990</v>
          </cell>
          <cell r="T3673" t="str">
            <v>Bueno</v>
          </cell>
          <cell r="U3673" t="str">
            <v>N/T</v>
          </cell>
        </row>
        <row r="3674">
          <cell r="J3674" t="str">
            <v>42-05-02-01-3666</v>
          </cell>
          <cell r="L3674" t="str">
            <v>42-05-02-01-3666</v>
          </cell>
          <cell r="M3674" t="str">
            <v>Set Pesas 4 de 3KG; 9 de 1KG; 4 de 0.5KG; 2 de 2KG; 4 de 3KG</v>
          </cell>
          <cell r="O3674" t="str">
            <v>EQUIPOS CLINICOS</v>
          </cell>
          <cell r="P3674">
            <v>65990</v>
          </cell>
          <cell r="T3674" t="str">
            <v>Bueno</v>
          </cell>
          <cell r="U3674" t="str">
            <v>N/T</v>
          </cell>
        </row>
        <row r="3675">
          <cell r="J3675" t="str">
            <v>42-04-07-00-3667</v>
          </cell>
          <cell r="L3675" t="str">
            <v>42-04-07-00-3667</v>
          </cell>
          <cell r="M3675" t="str">
            <v>Lavamanos con Pedestal Loza Blanco C/Llave Monomando</v>
          </cell>
          <cell r="O3675" t="str">
            <v>OTROS</v>
          </cell>
          <cell r="P3675">
            <v>11000</v>
          </cell>
          <cell r="T3675" t="str">
            <v>Bueno</v>
          </cell>
          <cell r="U3675" t="str">
            <v>N/T</v>
          </cell>
        </row>
        <row r="3676">
          <cell r="J3676" t="str">
            <v>42-05-02-01-3668</v>
          </cell>
          <cell r="L3676" t="str">
            <v>42-05-02-01-3668</v>
          </cell>
          <cell r="M3676" t="str">
            <v>Mesa Gris Metalica 02 Compartimientos</v>
          </cell>
          <cell r="O3676" t="str">
            <v>EQUIPOS CLINICOS</v>
          </cell>
          <cell r="P3676">
            <v>49990</v>
          </cell>
          <cell r="T3676" t="str">
            <v>Bueno</v>
          </cell>
          <cell r="U3676" t="str">
            <v>N/T</v>
          </cell>
        </row>
        <row r="3677">
          <cell r="J3677" t="str">
            <v>42-04-07-00-3669</v>
          </cell>
          <cell r="L3677" t="str">
            <v>42-04-07-00-3669</v>
          </cell>
          <cell r="M3677" t="str">
            <v>Dispensador Jabon PISA</v>
          </cell>
          <cell r="O3677" t="str">
            <v>OTROS</v>
          </cell>
          <cell r="P3677">
            <v>17000</v>
          </cell>
          <cell r="T3677" t="str">
            <v>Bueno</v>
          </cell>
          <cell r="U3677" t="str">
            <v>PISA</v>
          </cell>
        </row>
        <row r="3678">
          <cell r="J3678" t="str">
            <v>FN-04-07-00-3670</v>
          </cell>
          <cell r="L3678" t="str">
            <v>FN-04-07-00-3670</v>
          </cell>
          <cell r="M3678" t="str">
            <v>Porta Toallas TORK</v>
          </cell>
          <cell r="O3678" t="str">
            <v>OTROS FUNGIBLE / NOMINABLE</v>
          </cell>
          <cell r="P3678">
            <v>17000</v>
          </cell>
          <cell r="T3678" t="str">
            <v>Bueno</v>
          </cell>
          <cell r="U3678" t="str">
            <v>TORK</v>
          </cell>
        </row>
        <row r="3679">
          <cell r="J3679" t="str">
            <v>42-05-02-02-3671</v>
          </cell>
          <cell r="L3679" t="str">
            <v>42-05-02-02-3671</v>
          </cell>
          <cell r="M3679" t="str">
            <v>Tetera Aluminio 03 LT.</v>
          </cell>
          <cell r="O3679" t="str">
            <v>EQUIPOS DE COCINA</v>
          </cell>
          <cell r="P3679">
            <v>22900</v>
          </cell>
          <cell r="T3679" t="str">
            <v>Bueno</v>
          </cell>
          <cell r="U3679" t="str">
            <v>N/T</v>
          </cell>
        </row>
        <row r="3680">
          <cell r="J3680" t="str">
            <v>42-04-07-00-3672</v>
          </cell>
          <cell r="L3680" t="str">
            <v>42-04-07-00-3672</v>
          </cell>
          <cell r="M3680" t="str">
            <v>Porta Toallas TORK</v>
          </cell>
          <cell r="O3680" t="str">
            <v>OTROS</v>
          </cell>
          <cell r="P3680">
            <v>17000</v>
          </cell>
          <cell r="T3680" t="str">
            <v>Bueno</v>
          </cell>
          <cell r="U3680" t="str">
            <v>TORK</v>
          </cell>
        </row>
        <row r="3681">
          <cell r="J3681" t="str">
            <v>42-05-02-01-3673</v>
          </cell>
          <cell r="L3681" t="str">
            <v>42-05-02-01-3673</v>
          </cell>
          <cell r="M3681" t="str">
            <v>Test Laminas de Imágenes (Para Niños)</v>
          </cell>
          <cell r="O3681" t="str">
            <v>EQUIPOS CLINICOS</v>
          </cell>
          <cell r="P3681">
            <v>19900</v>
          </cell>
          <cell r="T3681" t="str">
            <v>Bueno</v>
          </cell>
          <cell r="U3681" t="str">
            <v>N/T</v>
          </cell>
        </row>
        <row r="3682">
          <cell r="J3682" t="str">
            <v>42-04-07-00-3674</v>
          </cell>
          <cell r="L3682" t="str">
            <v>42-04-07-00-3674</v>
          </cell>
          <cell r="M3682" t="str">
            <v>Caja Set Jueguetes Niño Varios</v>
          </cell>
          <cell r="O3682" t="str">
            <v>OTROS</v>
          </cell>
          <cell r="P3682">
            <v>20000</v>
          </cell>
          <cell r="T3682" t="str">
            <v>Bueno</v>
          </cell>
          <cell r="U3682" t="str">
            <v>N/T</v>
          </cell>
        </row>
        <row r="3683">
          <cell r="J3683" t="str">
            <v>42-05-01-01-3675</v>
          </cell>
          <cell r="L3683" t="str">
            <v>42-05-01-01-3675</v>
          </cell>
          <cell r="M3683" t="str">
            <v>Caja Disketera 50 Unidades  3 ½</v>
          </cell>
          <cell r="O3683" t="str">
            <v>EQUIPO DE OFICINA</v>
          </cell>
          <cell r="P3683">
            <v>6000</v>
          </cell>
          <cell r="T3683" t="str">
            <v>Regular</v>
          </cell>
          <cell r="U3683" t="str">
            <v>N/T</v>
          </cell>
        </row>
        <row r="3684">
          <cell r="J3684" t="str">
            <v>42-05-01-01-3676</v>
          </cell>
          <cell r="L3684" t="str">
            <v>42-05-01-01-3676</v>
          </cell>
          <cell r="M3684" t="str">
            <v>Porta Scotch Grande Gris Isofit</v>
          </cell>
          <cell r="O3684" t="str">
            <v>EQUIPO DE OFICINA</v>
          </cell>
          <cell r="P3684">
            <v>4500</v>
          </cell>
          <cell r="T3684" t="str">
            <v>Bueno</v>
          </cell>
          <cell r="U3684" t="str">
            <v>Isofit</v>
          </cell>
        </row>
        <row r="3685">
          <cell r="J3685" t="str">
            <v>42-04-07-00-3677</v>
          </cell>
          <cell r="L3685" t="str">
            <v>42-04-07-00-3677</v>
          </cell>
          <cell r="M3685" t="str">
            <v>Mueble Melamina Blanco 8 puertas 2 cajones</v>
          </cell>
          <cell r="O3685" t="str">
            <v>OTROS</v>
          </cell>
          <cell r="P3685">
            <v>249000</v>
          </cell>
          <cell r="T3685" t="str">
            <v>Bueno</v>
          </cell>
          <cell r="U3685" t="str">
            <v>N/T</v>
          </cell>
        </row>
        <row r="3686">
          <cell r="J3686" t="str">
            <v>42-04-07-00-3678</v>
          </cell>
          <cell r="L3686" t="str">
            <v>42-04-07-00-3678</v>
          </cell>
          <cell r="M3686" t="str">
            <v>Dispensador Jabon Jhonsons</v>
          </cell>
          <cell r="O3686" t="str">
            <v>OTROS</v>
          </cell>
          <cell r="P3686">
            <v>4700</v>
          </cell>
          <cell r="T3686" t="str">
            <v>Bueno</v>
          </cell>
          <cell r="U3686" t="str">
            <v>Jhonsons</v>
          </cell>
        </row>
        <row r="3687">
          <cell r="J3687" t="str">
            <v>42-04-07-00-3679</v>
          </cell>
          <cell r="L3687" t="str">
            <v>42-04-07-00-3679</v>
          </cell>
          <cell r="M3687" t="str">
            <v>Mueble Melamina Blanco 4 puertas 2 cajones con Lavaplato y Llave de Combinacion</v>
          </cell>
          <cell r="O3687" t="str">
            <v>OTROS</v>
          </cell>
          <cell r="P3687">
            <v>249900</v>
          </cell>
          <cell r="T3687" t="str">
            <v>Bueno</v>
          </cell>
          <cell r="U3687" t="str">
            <v>N/T</v>
          </cell>
        </row>
        <row r="3688">
          <cell r="J3688" t="str">
            <v>42-04-07-00-3680</v>
          </cell>
          <cell r="L3688" t="str">
            <v>42-04-07-00-3680</v>
          </cell>
          <cell r="M3688" t="str">
            <v xml:space="preserve">Mural Pared Madera / Plumavit </v>
          </cell>
          <cell r="O3688" t="str">
            <v>OTROS</v>
          </cell>
          <cell r="P3688">
            <v>8990</v>
          </cell>
          <cell r="T3688" t="str">
            <v>Bueno</v>
          </cell>
          <cell r="U3688" t="str">
            <v>N/T</v>
          </cell>
        </row>
        <row r="3689">
          <cell r="J3689" t="str">
            <v>NN-06-01-00-3681</v>
          </cell>
          <cell r="L3689" t="str">
            <v>NN-06-01-00-3681</v>
          </cell>
          <cell r="M3689" t="str">
            <v>PC All in One Olidata NºS 014568-000370</v>
          </cell>
          <cell r="O3689" t="str">
            <v>EQUIPOS COMPUTACIONALES Y PERIFÉRICOS EN ARRIENDO</v>
          </cell>
          <cell r="P3689">
            <v>270000</v>
          </cell>
          <cell r="T3689" t="str">
            <v>Bueno</v>
          </cell>
          <cell r="U3689" t="str">
            <v>Olidata</v>
          </cell>
        </row>
        <row r="3690">
          <cell r="J3690" t="str">
            <v>NN-06-01-00-3682</v>
          </cell>
          <cell r="L3690" t="str">
            <v>NN-06-01-00-3682</v>
          </cell>
          <cell r="M3690" t="str">
            <v>Mouse Convencional Laser  Olidata MODEL KM-8903 Negro / Plomo</v>
          </cell>
          <cell r="O3690" t="str">
            <v>EQUIPOS COMPUTACIONALES Y PERIFÉRICOS EN ARRIENDO</v>
          </cell>
          <cell r="P3690">
            <v>4000</v>
          </cell>
          <cell r="T3690" t="str">
            <v>Bueno</v>
          </cell>
          <cell r="U3690" t="str">
            <v>Olidata</v>
          </cell>
        </row>
        <row r="3691">
          <cell r="J3691" t="str">
            <v>42-06-01-00-3683</v>
          </cell>
          <cell r="L3691" t="str">
            <v>42-06-01-00-3683</v>
          </cell>
          <cell r="M3691" t="str">
            <v>Teclado Convencional Model K3100</v>
          </cell>
          <cell r="O3691" t="str">
            <v>EQUIPOS COMPUTACIONALES Y PERIFÉRICOS</v>
          </cell>
          <cell r="P3691">
            <v>3500</v>
          </cell>
          <cell r="T3691" t="str">
            <v>Bueno</v>
          </cell>
          <cell r="U3691" t="str">
            <v>Olidata</v>
          </cell>
        </row>
        <row r="3692">
          <cell r="J3692" t="str">
            <v>42-04-03-00-3684</v>
          </cell>
          <cell r="L3692" t="str">
            <v>42-04-03-00-3684</v>
          </cell>
          <cell r="M3692" t="str">
            <v>Escritorio Para Computador color miel con cajon C/Llave y bandeja</v>
          </cell>
          <cell r="O3692" t="str">
            <v>ESCRITORIOS</v>
          </cell>
          <cell r="P3692">
            <v>79500</v>
          </cell>
          <cell r="T3692" t="str">
            <v>Bueno</v>
          </cell>
          <cell r="U3692" t="str">
            <v>N/T</v>
          </cell>
        </row>
        <row r="3693">
          <cell r="J3693" t="str">
            <v>42-05-01-01-3685</v>
          </cell>
          <cell r="L3693" t="str">
            <v>42-05-01-01-3685</v>
          </cell>
          <cell r="M3693" t="str">
            <v xml:space="preserve">Corchetera Torre Negra </v>
          </cell>
          <cell r="O3693" t="str">
            <v>EQUIPO DE OFICINA</v>
          </cell>
          <cell r="P3693">
            <v>4000</v>
          </cell>
          <cell r="T3693" t="str">
            <v>Bueno</v>
          </cell>
          <cell r="U3693" t="str">
            <v>N/T</v>
          </cell>
        </row>
        <row r="3694">
          <cell r="J3694" t="str">
            <v>42-04-05-00-3686</v>
          </cell>
          <cell r="L3694" t="str">
            <v>42-04-05-00-3686</v>
          </cell>
          <cell r="M3694" t="str">
            <v>Kardex Metalico Color Gris 2 Compartimientos</v>
          </cell>
          <cell r="O3694" t="str">
            <v>KARDEX</v>
          </cell>
          <cell r="P3694">
            <v>49990</v>
          </cell>
          <cell r="T3694" t="str">
            <v>Bueno</v>
          </cell>
          <cell r="U3694" t="str">
            <v>N/T</v>
          </cell>
        </row>
        <row r="3695">
          <cell r="J3695" t="str">
            <v>42-06-01-00-3687</v>
          </cell>
          <cell r="L3695" t="str">
            <v>42-06-01-00-3687</v>
          </cell>
          <cell r="M3695" t="str">
            <v>Teclado Convencional Model K3100</v>
          </cell>
          <cell r="O3695" t="str">
            <v>EQUIPOS COMPUTACIONALES Y PERIFÉRICOS</v>
          </cell>
          <cell r="P3695">
            <v>3500</v>
          </cell>
          <cell r="T3695" t="str">
            <v>Bueno</v>
          </cell>
          <cell r="U3695" t="str">
            <v>Olidata</v>
          </cell>
        </row>
        <row r="3696">
          <cell r="J3696" t="str">
            <v>42-04-03-00-3688</v>
          </cell>
          <cell r="L3696" t="str">
            <v>42-04-03-00-3688</v>
          </cell>
          <cell r="M3696" t="str">
            <v>Escritorio Para Computador color miel con cajon C/Llave y bandeja</v>
          </cell>
          <cell r="O3696" t="str">
            <v>ESCRITORIOS</v>
          </cell>
          <cell r="P3696">
            <v>79500</v>
          </cell>
          <cell r="T3696" t="str">
            <v>Bueno</v>
          </cell>
          <cell r="U3696" t="str">
            <v>N/T</v>
          </cell>
        </row>
        <row r="3697">
          <cell r="J3697" t="str">
            <v>42-04-02-00-3689</v>
          </cell>
          <cell r="L3697" t="str">
            <v>42-04-02-00-3689</v>
          </cell>
          <cell r="M3697" t="str">
            <v>Silla PC Color Burdeo 5 Ruedas con Apoya Brazos</v>
          </cell>
          <cell r="O3697" t="str">
            <v>SILLAS</v>
          </cell>
          <cell r="P3697">
            <v>42500</v>
          </cell>
          <cell r="T3697" t="str">
            <v>Bueno</v>
          </cell>
          <cell r="U3697" t="str">
            <v>N/T</v>
          </cell>
        </row>
        <row r="3698">
          <cell r="J3698" t="str">
            <v>42-04-07-00-3690</v>
          </cell>
          <cell r="L3698" t="str">
            <v>42-04-07-00-3690</v>
          </cell>
          <cell r="M3698" t="str">
            <v>Tarjetero Amarillo 05 Compartimientos</v>
          </cell>
          <cell r="O3698" t="str">
            <v>OTROS</v>
          </cell>
          <cell r="P3698">
            <v>5990</v>
          </cell>
          <cell r="T3698" t="str">
            <v>Bueno</v>
          </cell>
          <cell r="U3698" t="str">
            <v>N/T</v>
          </cell>
        </row>
        <row r="3699">
          <cell r="J3699" t="str">
            <v>42-04-01-00-3691</v>
          </cell>
          <cell r="L3699" t="str">
            <v>42-04-01-00-3691</v>
          </cell>
          <cell r="M3699" t="str">
            <v>Mesa Metalica Blanca 2 Compartimientos</v>
          </cell>
          <cell r="O3699" t="str">
            <v>MESAS</v>
          </cell>
          <cell r="P3699">
            <v>15990</v>
          </cell>
          <cell r="T3699" t="str">
            <v>Bueno</v>
          </cell>
          <cell r="U3699" t="str">
            <v>N/T</v>
          </cell>
        </row>
        <row r="3700">
          <cell r="J3700" t="str">
            <v>42-04-07-00-3692</v>
          </cell>
          <cell r="L3700" t="str">
            <v>42-04-07-00-3692</v>
          </cell>
          <cell r="M3700" t="str">
            <v>Basurero Metalico Café</v>
          </cell>
          <cell r="O3700" t="str">
            <v>OTROS</v>
          </cell>
          <cell r="P3700">
            <v>4000</v>
          </cell>
          <cell r="T3700" t="str">
            <v>Bueno</v>
          </cell>
          <cell r="U3700" t="str">
            <v>N/T</v>
          </cell>
        </row>
        <row r="3701">
          <cell r="J3701" t="str">
            <v>42-04-07-00-3693</v>
          </cell>
          <cell r="L3701" t="str">
            <v>42-04-07-00-3693</v>
          </cell>
          <cell r="M3701" t="str">
            <v>Portacortinas Metalico</v>
          </cell>
          <cell r="O3701" t="str">
            <v>OTROS</v>
          </cell>
          <cell r="P3701">
            <v>2500</v>
          </cell>
          <cell r="T3701" t="str">
            <v>Bueno</v>
          </cell>
          <cell r="U3701" t="str">
            <v>N/T</v>
          </cell>
        </row>
        <row r="3702">
          <cell r="J3702" t="str">
            <v>FN-04-07-00-3694</v>
          </cell>
          <cell r="L3702" t="str">
            <v>FN-04-07-00-3694</v>
          </cell>
          <cell r="M3702" t="str">
            <v>Cortinas Color Blanco Invierno</v>
          </cell>
          <cell r="O3702" t="str">
            <v>OTROS FUNGIBLE / NOMINABLE</v>
          </cell>
          <cell r="P3702">
            <v>12500</v>
          </cell>
          <cell r="T3702" t="str">
            <v>Bueno</v>
          </cell>
          <cell r="U3702" t="str">
            <v>N/T</v>
          </cell>
        </row>
        <row r="3703">
          <cell r="J3703" t="str">
            <v>42-04-02-00-3695</v>
          </cell>
          <cell r="L3703" t="str">
            <v>42-04-02-00-3695</v>
          </cell>
          <cell r="M3703" t="str">
            <v>Silla Mixta Formalita Café Claro</v>
          </cell>
          <cell r="O3703" t="str">
            <v>SILLAS</v>
          </cell>
          <cell r="P3703">
            <v>6902</v>
          </cell>
          <cell r="T3703" t="str">
            <v>Bueno</v>
          </cell>
          <cell r="U3703" t="str">
            <v>N/T</v>
          </cell>
        </row>
        <row r="3704">
          <cell r="J3704" t="str">
            <v>42-04-02-00-3696</v>
          </cell>
          <cell r="L3704" t="str">
            <v>42-04-02-00-3696</v>
          </cell>
          <cell r="M3704" t="str">
            <v>Silla Mixta Formalita Café Obscuro</v>
          </cell>
          <cell r="O3704" t="str">
            <v>SILLAS</v>
          </cell>
          <cell r="P3704">
            <v>6902</v>
          </cell>
          <cell r="T3704" t="str">
            <v>Bueno</v>
          </cell>
          <cell r="U3704" t="str">
            <v>N/T</v>
          </cell>
        </row>
        <row r="3705">
          <cell r="J3705" t="str">
            <v>42-05-02-01-3697</v>
          </cell>
          <cell r="L3705" t="str">
            <v>42-05-02-01-3697</v>
          </cell>
          <cell r="M3705" t="str">
            <v>Oftanmoscopio Blanco  Lineas Amarillas</v>
          </cell>
          <cell r="O3705" t="str">
            <v>EQUIPOS CLINICOS</v>
          </cell>
          <cell r="P3705">
            <v>139900</v>
          </cell>
          <cell r="T3705" t="str">
            <v>Bueno</v>
          </cell>
          <cell r="U3705" t="str">
            <v>N/T</v>
          </cell>
        </row>
        <row r="3706">
          <cell r="J3706" t="str">
            <v>42-04-07-00-3698</v>
          </cell>
          <cell r="L3706" t="str">
            <v>42-04-07-00-3698</v>
          </cell>
          <cell r="M3706" t="str">
            <v>Tarjetero Madera 10 Compartimientos</v>
          </cell>
          <cell r="O3706" t="str">
            <v>OTROS</v>
          </cell>
          <cell r="P3706">
            <v>6990</v>
          </cell>
          <cell r="T3706" t="str">
            <v>Bueno</v>
          </cell>
          <cell r="U3706" t="str">
            <v>N/T</v>
          </cell>
        </row>
        <row r="3707">
          <cell r="J3707" t="str">
            <v>FN-05-02-01-3699</v>
          </cell>
          <cell r="L3707" t="str">
            <v>FN-05-02-01-3699</v>
          </cell>
          <cell r="M3707" t="str">
            <v>Riñon acero inoxidable 26 cms.</v>
          </cell>
          <cell r="O3707" t="str">
            <v>EQUIPOS CLINICOS FUNGIBLE / NOMINABLE</v>
          </cell>
          <cell r="P3707">
            <v>20000</v>
          </cell>
          <cell r="T3707" t="str">
            <v>Bueno</v>
          </cell>
          <cell r="U3707" t="str">
            <v>N/T</v>
          </cell>
        </row>
        <row r="3708">
          <cell r="J3708" t="str">
            <v>42-04-07-00-3700</v>
          </cell>
          <cell r="L3708" t="str">
            <v>42-04-07-00-3700</v>
          </cell>
          <cell r="M3708" t="str">
            <v>Porta Toallas TORK</v>
          </cell>
          <cell r="O3708" t="str">
            <v>OTROS</v>
          </cell>
          <cell r="P3708">
            <v>17000</v>
          </cell>
          <cell r="T3708" t="str">
            <v>Bueno</v>
          </cell>
          <cell r="U3708" t="str">
            <v>TORK</v>
          </cell>
        </row>
        <row r="3709">
          <cell r="J3709" t="str">
            <v>42-04-07-00-3701</v>
          </cell>
          <cell r="L3709" t="str">
            <v>42-04-07-00-3701</v>
          </cell>
          <cell r="M3709" t="str">
            <v>Lavamanos con Pedestal Loza Blanco C/Llave Monomando</v>
          </cell>
          <cell r="O3709" t="str">
            <v>OTROS</v>
          </cell>
          <cell r="P3709">
            <v>11000</v>
          </cell>
          <cell r="T3709" t="str">
            <v>Bueno</v>
          </cell>
          <cell r="U3709" t="str">
            <v>N/T</v>
          </cell>
        </row>
        <row r="3710">
          <cell r="J3710" t="str">
            <v>42-04-07-00-3702</v>
          </cell>
          <cell r="L3710" t="str">
            <v>42-04-07-00-3702</v>
          </cell>
          <cell r="M3710" t="str">
            <v>Portacortinas Metalico</v>
          </cell>
          <cell r="O3710" t="str">
            <v>OTROS</v>
          </cell>
          <cell r="P3710">
            <v>2500</v>
          </cell>
          <cell r="T3710" t="str">
            <v>Bueno</v>
          </cell>
          <cell r="U3710" t="str">
            <v>N/T</v>
          </cell>
        </row>
        <row r="3711">
          <cell r="J3711" t="str">
            <v>FN-04-07-00-3703</v>
          </cell>
          <cell r="L3711" t="str">
            <v>FN-04-07-00-3703</v>
          </cell>
          <cell r="M3711" t="str">
            <v>Cortinas Color Blanco Invierno</v>
          </cell>
          <cell r="O3711" t="str">
            <v>OTROS FUNGIBLE / NOMINABLE</v>
          </cell>
          <cell r="P3711">
            <v>12500</v>
          </cell>
          <cell r="T3711" t="str">
            <v>Bueno</v>
          </cell>
          <cell r="U3711" t="str">
            <v>N/T</v>
          </cell>
        </row>
        <row r="3712">
          <cell r="J3712" t="str">
            <v>NN-06-01-00-3704</v>
          </cell>
          <cell r="L3712" t="str">
            <v>NN-06-01-00-3704</v>
          </cell>
          <cell r="M3712" t="str">
            <v>Monitor LCD 17" Olidata SNº 75L11N - 75K2372 - 018748</v>
          </cell>
          <cell r="O3712" t="str">
            <v>EQUIPOS COMPUTACIONALES Y PERIFÉRICOS EN ARRIENDO</v>
          </cell>
          <cell r="P3712">
            <v>69990</v>
          </cell>
          <cell r="T3712" t="str">
            <v>Bueno</v>
          </cell>
          <cell r="U3712" t="str">
            <v>N/T</v>
          </cell>
        </row>
        <row r="3713">
          <cell r="J3713" t="str">
            <v>42-05-01-01-3705</v>
          </cell>
          <cell r="L3713" t="str">
            <v>42-05-01-01-3705</v>
          </cell>
          <cell r="M3713" t="str">
            <v>Perforador Colon Office Negro / Gris</v>
          </cell>
          <cell r="O3713" t="str">
            <v>EQUIPO DE OFICINA</v>
          </cell>
          <cell r="P3713">
            <v>4990</v>
          </cell>
          <cell r="T3713" t="str">
            <v>Bueno</v>
          </cell>
          <cell r="U3713" t="str">
            <v>Colon</v>
          </cell>
        </row>
        <row r="3714">
          <cell r="J3714" t="str">
            <v>42-04-07-00-3706</v>
          </cell>
          <cell r="L3714" t="str">
            <v>42-04-07-00-3706</v>
          </cell>
          <cell r="M3714" t="str">
            <v>Lavamanos con Pedestal Loza Blanco C/Llave Monomando</v>
          </cell>
          <cell r="O3714" t="str">
            <v>OTROS</v>
          </cell>
          <cell r="P3714">
            <v>11000</v>
          </cell>
          <cell r="T3714" t="str">
            <v>Bueno</v>
          </cell>
          <cell r="U3714" t="str">
            <v>N/T</v>
          </cell>
        </row>
        <row r="3715">
          <cell r="J3715" t="str">
            <v>42-04-07-00-3707</v>
          </cell>
          <cell r="L3715" t="str">
            <v>42-04-07-00-3707</v>
          </cell>
          <cell r="M3715" t="str">
            <v>Dispensador Jabon Jhonsons</v>
          </cell>
          <cell r="O3715" t="str">
            <v>OTROS</v>
          </cell>
          <cell r="P3715">
            <v>4700</v>
          </cell>
          <cell r="T3715" t="str">
            <v>Bueno</v>
          </cell>
          <cell r="U3715" t="str">
            <v>Jhonsons</v>
          </cell>
        </row>
        <row r="3716">
          <cell r="J3716" t="str">
            <v>42-04-07-00-3708</v>
          </cell>
          <cell r="L3716" t="str">
            <v>42-04-07-00-3708</v>
          </cell>
          <cell r="M3716" t="str">
            <v>Porta Toallas TORK</v>
          </cell>
          <cell r="O3716" t="str">
            <v>OTROS</v>
          </cell>
          <cell r="P3716">
            <v>17000</v>
          </cell>
          <cell r="T3716" t="str">
            <v>Bueno</v>
          </cell>
          <cell r="U3716" t="str">
            <v>TORK</v>
          </cell>
        </row>
        <row r="3717">
          <cell r="J3717" t="str">
            <v>42-04-02-00-3709</v>
          </cell>
          <cell r="L3717" t="str">
            <v>42-04-02-00-3709</v>
          </cell>
          <cell r="M3717" t="str">
            <v>Silla Mixta Formalita Café Claro</v>
          </cell>
          <cell r="O3717" t="str">
            <v>SILLAS</v>
          </cell>
          <cell r="P3717">
            <v>6902</v>
          </cell>
          <cell r="T3717" t="str">
            <v>Bueno</v>
          </cell>
          <cell r="U3717" t="str">
            <v>N/T</v>
          </cell>
        </row>
        <row r="3718">
          <cell r="J3718" t="str">
            <v>42-05-02-01-3710</v>
          </cell>
          <cell r="L3718" t="str">
            <v>42-05-02-01-3710</v>
          </cell>
          <cell r="M3718" t="str">
            <v>Pesa Pediatrica SECA 10 KG</v>
          </cell>
          <cell r="O3718" t="str">
            <v>EQUIPOS CLINICOS</v>
          </cell>
          <cell r="P3718">
            <v>49990</v>
          </cell>
          <cell r="T3718" t="str">
            <v>Bueno</v>
          </cell>
          <cell r="U3718" t="str">
            <v>Seca</v>
          </cell>
        </row>
        <row r="3719">
          <cell r="J3719" t="str">
            <v>42-05-02-01-3711</v>
          </cell>
          <cell r="L3719" t="str">
            <v>42-05-02-01-3711</v>
          </cell>
          <cell r="M3719" t="str">
            <v xml:space="preserve">Podometro Madera Enchapado </v>
          </cell>
          <cell r="O3719" t="str">
            <v>EQUIPOS CLINICOS</v>
          </cell>
          <cell r="P3719">
            <v>29990</v>
          </cell>
          <cell r="T3719" t="str">
            <v>Bueno</v>
          </cell>
          <cell r="U3719" t="str">
            <v>N/T</v>
          </cell>
        </row>
        <row r="3720">
          <cell r="J3720" t="str">
            <v>42-04-07-00-3712</v>
          </cell>
          <cell r="L3720" t="str">
            <v>42-04-07-00-3712</v>
          </cell>
          <cell r="M3720" t="str">
            <v>Banquillo  Madera Blanco 4 Patas</v>
          </cell>
          <cell r="O3720" t="str">
            <v>OTROS</v>
          </cell>
          <cell r="P3720">
            <v>4990</v>
          </cell>
          <cell r="T3720" t="str">
            <v>Bueno</v>
          </cell>
          <cell r="U3720" t="str">
            <v>N/T</v>
          </cell>
        </row>
        <row r="3721">
          <cell r="J3721" t="str">
            <v>42-04-07-00-3713</v>
          </cell>
          <cell r="L3721" t="str">
            <v>42-04-07-00-3713</v>
          </cell>
          <cell r="M3721" t="str">
            <v>Portacortinas Metalico</v>
          </cell>
          <cell r="O3721" t="str">
            <v>OTROS</v>
          </cell>
          <cell r="P3721">
            <v>2500</v>
          </cell>
          <cell r="T3721" t="str">
            <v>Bueno</v>
          </cell>
          <cell r="U3721" t="str">
            <v>N/T</v>
          </cell>
        </row>
        <row r="3722">
          <cell r="J3722" t="str">
            <v>FN-04-07-00-3714</v>
          </cell>
          <cell r="L3722" t="str">
            <v>FN-04-07-00-3714</v>
          </cell>
          <cell r="M3722" t="str">
            <v>Cortinas Color Blanco Invierno</v>
          </cell>
          <cell r="O3722" t="str">
            <v>OTROS FUNGIBLE / NOMINABLE</v>
          </cell>
          <cell r="P3722">
            <v>12500</v>
          </cell>
          <cell r="T3722" t="str">
            <v>Bueno</v>
          </cell>
          <cell r="U3722" t="str">
            <v>N/T</v>
          </cell>
        </row>
        <row r="3723">
          <cell r="J3723" t="str">
            <v>42-04-07-00-3715</v>
          </cell>
          <cell r="L3723" t="str">
            <v>42-04-07-00-3715</v>
          </cell>
          <cell r="M3723" t="str">
            <v xml:space="preserve">Mural Pared Madera / Plumavit </v>
          </cell>
          <cell r="O3723" t="str">
            <v>OTROS</v>
          </cell>
          <cell r="P3723">
            <v>9990</v>
          </cell>
          <cell r="T3723" t="str">
            <v>Bueno</v>
          </cell>
          <cell r="U3723" t="str">
            <v>N/T</v>
          </cell>
        </row>
        <row r="3724">
          <cell r="J3724" t="str">
            <v>42-05-02-01-3716</v>
          </cell>
          <cell r="L3724" t="str">
            <v>42-05-02-01-3716</v>
          </cell>
          <cell r="M3724" t="str">
            <v>Esfingomanometro Portatil Negro</v>
          </cell>
          <cell r="O3724" t="str">
            <v>EQUIPOS CLINICOS</v>
          </cell>
          <cell r="P3724">
            <v>24990</v>
          </cell>
          <cell r="T3724" t="str">
            <v>Bueno</v>
          </cell>
          <cell r="U3724" t="str">
            <v>N/T</v>
          </cell>
        </row>
        <row r="3725">
          <cell r="J3725" t="str">
            <v>42-04-07-00-3717</v>
          </cell>
          <cell r="L3725" t="str">
            <v>42-04-07-00-3717</v>
          </cell>
          <cell r="M3725" t="str">
            <v>Basurero Metalico Café</v>
          </cell>
          <cell r="O3725" t="str">
            <v>OTROS</v>
          </cell>
          <cell r="P3725">
            <v>4500</v>
          </cell>
          <cell r="T3725" t="str">
            <v>Bueno</v>
          </cell>
          <cell r="U3725" t="str">
            <v>N/T</v>
          </cell>
        </row>
        <row r="3726">
          <cell r="J3726" t="str">
            <v>42-04-02-00-3718</v>
          </cell>
          <cell r="L3726" t="str">
            <v>42-04-02-00-3718</v>
          </cell>
          <cell r="M3726" t="str">
            <v>Silla Mixta Color Café Claro</v>
          </cell>
          <cell r="O3726" t="str">
            <v>SILLAS</v>
          </cell>
          <cell r="P3726">
            <v>6900</v>
          </cell>
          <cell r="T3726" t="str">
            <v>Bueno</v>
          </cell>
          <cell r="U3726" t="str">
            <v>N/T</v>
          </cell>
        </row>
        <row r="3727">
          <cell r="J3727" t="str">
            <v>42-04-07-00-3719</v>
          </cell>
          <cell r="L3727" t="str">
            <v>42-04-07-00-3719</v>
          </cell>
          <cell r="M3727" t="str">
            <v>Tarjetero Madera Color Miel 03 Compartimientos</v>
          </cell>
          <cell r="O3727" t="str">
            <v>OTROS</v>
          </cell>
          <cell r="P3727">
            <v>4990</v>
          </cell>
          <cell r="T3727" t="str">
            <v>Bueno</v>
          </cell>
          <cell r="U3727" t="str">
            <v>N/T</v>
          </cell>
        </row>
        <row r="3728">
          <cell r="J3728" t="str">
            <v>42-04-07-00-3720</v>
          </cell>
          <cell r="L3728" t="str">
            <v>42-04-07-00-3720</v>
          </cell>
          <cell r="M3728" t="str">
            <v>Dispensador Jabon PISA</v>
          </cell>
          <cell r="O3728" t="str">
            <v>OTROS</v>
          </cell>
          <cell r="P3728">
            <v>4700</v>
          </cell>
          <cell r="T3728" t="str">
            <v>Bueno</v>
          </cell>
          <cell r="U3728" t="str">
            <v>PISA</v>
          </cell>
        </row>
        <row r="3729">
          <cell r="J3729" t="str">
            <v>42-04-07-00-3721</v>
          </cell>
          <cell r="L3729" t="str">
            <v>42-04-07-00-3721</v>
          </cell>
          <cell r="M3729" t="str">
            <v>Porta Toallas TORK</v>
          </cell>
          <cell r="O3729" t="str">
            <v>OTROS</v>
          </cell>
          <cell r="P3729">
            <v>17000</v>
          </cell>
          <cell r="T3729" t="str">
            <v>Bueno</v>
          </cell>
          <cell r="U3729" t="str">
            <v>TORK</v>
          </cell>
        </row>
        <row r="3730">
          <cell r="J3730" t="str">
            <v>NN-06-01-00-3722</v>
          </cell>
          <cell r="L3730" t="str">
            <v>NN-06-01-00-3722</v>
          </cell>
          <cell r="M3730" t="str">
            <v>Monitor Olidata 17" NºS 70095-95025888-000817</v>
          </cell>
          <cell r="O3730" t="str">
            <v>EQUIPOS COMPUTACIONALES Y PERIFÉRICOS EN ARRIENDO</v>
          </cell>
          <cell r="P3730">
            <v>14000</v>
          </cell>
          <cell r="T3730" t="str">
            <v>Bueno</v>
          </cell>
          <cell r="U3730" t="str">
            <v>Olidata</v>
          </cell>
        </row>
        <row r="3731">
          <cell r="J3731" t="str">
            <v>NN-06-01-00-3723</v>
          </cell>
          <cell r="L3731" t="str">
            <v>NN-06-01-00-3723</v>
          </cell>
          <cell r="M3731" t="str">
            <v>Computador CPU Olidata NºS 013433 - 000061</v>
          </cell>
          <cell r="O3731" t="str">
            <v>EQUIPOS COMPUTACIONALES Y PERIFÉRICOS EN ARRIENDO</v>
          </cell>
          <cell r="P3731">
            <v>230000</v>
          </cell>
          <cell r="T3731" t="str">
            <v>Bueno</v>
          </cell>
          <cell r="U3731" t="str">
            <v>OLIDATA</v>
          </cell>
        </row>
        <row r="3732">
          <cell r="J3732" t="str">
            <v>NN-06-01-00-3724</v>
          </cell>
          <cell r="L3732" t="str">
            <v>NN-06-01-00-3724</v>
          </cell>
          <cell r="M3732" t="str">
            <v>Mouse Convencional Laser  Olidata MODEL KM-8920</v>
          </cell>
          <cell r="O3732" t="str">
            <v>EQUIPOS COMPUTACIONALES Y PERIFÉRICOS EN ARRIENDO</v>
          </cell>
          <cell r="P3732">
            <v>4000</v>
          </cell>
          <cell r="T3732" t="str">
            <v>Bueno</v>
          </cell>
          <cell r="U3732" t="str">
            <v>OLIDATA</v>
          </cell>
        </row>
        <row r="3733">
          <cell r="J3733" t="str">
            <v>42-06-01-00-3725</v>
          </cell>
          <cell r="L3733" t="str">
            <v>42-06-01-00-3725</v>
          </cell>
          <cell r="M3733" t="str">
            <v>Teclado Model K3100</v>
          </cell>
          <cell r="O3733" t="str">
            <v>EQUIPOS COMPUTACIONALES Y PERIFÉRICOS</v>
          </cell>
          <cell r="P3733">
            <v>3500</v>
          </cell>
          <cell r="T3733" t="str">
            <v>Bueno</v>
          </cell>
          <cell r="U3733" t="str">
            <v>OLIDATA</v>
          </cell>
        </row>
        <row r="3734">
          <cell r="J3734" t="str">
            <v>42-05-02-01-3726</v>
          </cell>
          <cell r="L3734" t="str">
            <v>42-05-02-01-3726</v>
          </cell>
          <cell r="M3734" t="str">
            <v>Camilla Metalica Blanca Ajustable 4 Ruedas Colchon Cuero Café</v>
          </cell>
          <cell r="O3734" t="str">
            <v>EQUIPOS CLINICOS</v>
          </cell>
          <cell r="P3734">
            <v>35990</v>
          </cell>
          <cell r="T3734" t="str">
            <v>Bueno</v>
          </cell>
          <cell r="U3734" t="str">
            <v>N/T</v>
          </cell>
        </row>
        <row r="3735">
          <cell r="J3735" t="str">
            <v>NN-06-01-00-3727</v>
          </cell>
          <cell r="L3735" t="str">
            <v>NN-06-01-00-3727</v>
          </cell>
          <cell r="M3735" t="str">
            <v>Monitor LCD 17" Olidata SNº 75L11N - 008025</v>
          </cell>
          <cell r="O3735" t="str">
            <v>EQUIPOS COMPUTACIONALES Y PERIFÉRICOS EN ARRIENDO</v>
          </cell>
          <cell r="P3735">
            <v>14000</v>
          </cell>
          <cell r="T3735" t="str">
            <v>Bueno</v>
          </cell>
          <cell r="U3735" t="str">
            <v>Olidata</v>
          </cell>
        </row>
        <row r="3736">
          <cell r="J3736" t="str">
            <v>42-05-01-01-3728</v>
          </cell>
          <cell r="L3736" t="str">
            <v>42-05-01-01-3728</v>
          </cell>
          <cell r="M3736" t="str">
            <v>Citófono/ teléfono marca Nortel Network, Modelo 7000</v>
          </cell>
          <cell r="O3736" t="str">
            <v>EQUIPO DE OFICINA</v>
          </cell>
          <cell r="P3736">
            <v>36000</v>
          </cell>
          <cell r="T3736" t="str">
            <v>Bueno</v>
          </cell>
          <cell r="U3736" t="str">
            <v>Nortel Network</v>
          </cell>
        </row>
        <row r="3737">
          <cell r="J3737" t="str">
            <v>NN-06-01-00-3729</v>
          </cell>
          <cell r="L3737" t="str">
            <v>NN-06-01-00-3729</v>
          </cell>
          <cell r="M3737" t="str">
            <v>Teclado Convencional Olidata Model K3100</v>
          </cell>
          <cell r="O3737" t="str">
            <v>EQUIPOS COMPUTACIONALES Y PERIFÉRICOS EN ARRIENDO</v>
          </cell>
          <cell r="P3737">
            <v>3000</v>
          </cell>
          <cell r="T3737" t="str">
            <v>Bueno</v>
          </cell>
          <cell r="U3737" t="str">
            <v>Olidata</v>
          </cell>
        </row>
        <row r="3738">
          <cell r="J3738" t="str">
            <v>42-04-07-00-3730</v>
          </cell>
          <cell r="L3738" t="str">
            <v>42-04-07-00-3730</v>
          </cell>
          <cell r="M3738" t="str">
            <v>Mural Madera Plumavit Recubierto Verde 70X100</v>
          </cell>
          <cell r="O3738" t="str">
            <v>OTROS</v>
          </cell>
          <cell r="P3738">
            <v>9990</v>
          </cell>
          <cell r="T3738" t="str">
            <v>Bueno</v>
          </cell>
          <cell r="U3738" t="str">
            <v>N/T</v>
          </cell>
        </row>
        <row r="3739">
          <cell r="J3739" t="str">
            <v>42-04-07-00-3731</v>
          </cell>
          <cell r="L3739" t="str">
            <v>42-04-07-00-3731</v>
          </cell>
          <cell r="M3739" t="str">
            <v>Lavamanos con Pedestal Loza Blanco C/Llave Monomando</v>
          </cell>
          <cell r="O3739" t="str">
            <v>OTROS</v>
          </cell>
          <cell r="P3739">
            <v>11000</v>
          </cell>
          <cell r="T3739" t="str">
            <v>Bueno</v>
          </cell>
          <cell r="U3739" t="str">
            <v>N/T</v>
          </cell>
        </row>
        <row r="3740">
          <cell r="J3740" t="str">
            <v>42-04-07-00-3732</v>
          </cell>
          <cell r="L3740" t="str">
            <v>42-04-07-00-3732</v>
          </cell>
          <cell r="M3740" t="str">
            <v>Basurero Blanco Plastico (BIN)</v>
          </cell>
          <cell r="O3740" t="str">
            <v>OTROS</v>
          </cell>
          <cell r="P3740">
            <v>4000</v>
          </cell>
          <cell r="T3740" t="str">
            <v>Bueno</v>
          </cell>
          <cell r="U3740" t="str">
            <v>N/T</v>
          </cell>
        </row>
        <row r="3741">
          <cell r="J3741" t="str">
            <v>42-05-02-01-3733</v>
          </cell>
          <cell r="L3741" t="str">
            <v>42-05-02-01-3733</v>
          </cell>
          <cell r="M3741" t="str">
            <v>Escabel Mixto Plomo / Negro 02 Peldaños</v>
          </cell>
          <cell r="O3741" t="str">
            <v>EQUIPOS CLINICOS</v>
          </cell>
          <cell r="P3741">
            <v>17000</v>
          </cell>
          <cell r="T3741" t="str">
            <v>Bueno</v>
          </cell>
          <cell r="U3741" t="str">
            <v>N/T</v>
          </cell>
        </row>
        <row r="3742">
          <cell r="J3742" t="str">
            <v>42-04-07-00-3734</v>
          </cell>
          <cell r="L3742" t="str">
            <v>42-04-07-00-3734</v>
          </cell>
          <cell r="M3742" t="str">
            <v>Dispensador Jabon PISA</v>
          </cell>
          <cell r="O3742" t="str">
            <v>OTROS</v>
          </cell>
          <cell r="P3742">
            <v>4700</v>
          </cell>
          <cell r="T3742" t="str">
            <v>Bueno</v>
          </cell>
          <cell r="U3742" t="str">
            <v>PISA</v>
          </cell>
        </row>
        <row r="3743">
          <cell r="J3743" t="str">
            <v>42-04-07-00-3735</v>
          </cell>
          <cell r="L3743" t="str">
            <v>42-04-07-00-3735</v>
          </cell>
          <cell r="M3743" t="str">
            <v>Porta cortinas metálico</v>
          </cell>
          <cell r="O3743" t="str">
            <v>OTROS</v>
          </cell>
          <cell r="P3743">
            <v>2500</v>
          </cell>
          <cell r="T3743" t="str">
            <v>Bueno</v>
          </cell>
          <cell r="U3743" t="str">
            <v>N/T</v>
          </cell>
        </row>
        <row r="3744">
          <cell r="J3744" t="str">
            <v>FN-04-07-00-3736</v>
          </cell>
          <cell r="L3744" t="str">
            <v>FN-04-07-00-3736</v>
          </cell>
          <cell r="M3744" t="str">
            <v>Cortinas verde musgo</v>
          </cell>
          <cell r="O3744" t="str">
            <v>OTROS FUNGIBLE / NOMINABLE</v>
          </cell>
          <cell r="P3744">
            <v>12500</v>
          </cell>
          <cell r="T3744" t="str">
            <v>Bueno</v>
          </cell>
          <cell r="U3744" t="str">
            <v>N/T</v>
          </cell>
        </row>
        <row r="3745">
          <cell r="J3745" t="str">
            <v>42-04-07-00-3737</v>
          </cell>
          <cell r="L3745" t="str">
            <v>42-04-07-00-3737</v>
          </cell>
          <cell r="M3745" t="str">
            <v>Papelero Plastico Plomo Con Tapa</v>
          </cell>
          <cell r="O3745" t="str">
            <v>OTROS</v>
          </cell>
          <cell r="P3745">
            <v>4000</v>
          </cell>
          <cell r="T3745" t="str">
            <v>Bueno</v>
          </cell>
          <cell r="U3745" t="str">
            <v>N/T</v>
          </cell>
        </row>
        <row r="3746">
          <cell r="J3746" t="str">
            <v>42-05-02-01-3738</v>
          </cell>
          <cell r="L3746" t="str">
            <v>42-05-02-01-3738</v>
          </cell>
          <cell r="M3746" t="str">
            <v>Carro Metalico Curaciones 2 Cajones 1 Compartimiento; Tipo Mesa Blanco / Verde</v>
          </cell>
          <cell r="O3746" t="str">
            <v>EQUIPOS CLINICOS</v>
          </cell>
          <cell r="P3746">
            <v>45990</v>
          </cell>
          <cell r="T3746" t="str">
            <v>Bueno</v>
          </cell>
          <cell r="U3746" t="str">
            <v>N/T</v>
          </cell>
        </row>
        <row r="3747">
          <cell r="J3747" t="str">
            <v>42-04-07-00-3739</v>
          </cell>
          <cell r="L3747" t="str">
            <v>42-04-07-00-3739</v>
          </cell>
          <cell r="M3747" t="str">
            <v>Lavamanos con Pedestal Loza Blanco C/Llave Monomando</v>
          </cell>
          <cell r="O3747" t="str">
            <v>OTROS</v>
          </cell>
          <cell r="P3747">
            <v>11000</v>
          </cell>
          <cell r="T3747" t="str">
            <v>Bueno</v>
          </cell>
          <cell r="U3747" t="str">
            <v>N/T</v>
          </cell>
        </row>
        <row r="3748">
          <cell r="J3748" t="str">
            <v>42-04-07-00-3740</v>
          </cell>
          <cell r="L3748" t="str">
            <v>42-04-07-00-3740</v>
          </cell>
          <cell r="M3748" t="str">
            <v>Porta Toallas TORK</v>
          </cell>
          <cell r="O3748" t="str">
            <v>OTROS</v>
          </cell>
          <cell r="P3748">
            <v>17000</v>
          </cell>
          <cell r="T3748" t="str">
            <v>Bueno</v>
          </cell>
          <cell r="U3748" t="str">
            <v>N/T</v>
          </cell>
        </row>
        <row r="3749">
          <cell r="J3749" t="str">
            <v>42-04-07-00-3741</v>
          </cell>
          <cell r="L3749" t="str">
            <v>42-04-07-00-3741</v>
          </cell>
          <cell r="M3749" t="str">
            <v>Dispensador Jabon PISA</v>
          </cell>
          <cell r="O3749" t="str">
            <v>OTROS</v>
          </cell>
          <cell r="P3749">
            <v>4500</v>
          </cell>
          <cell r="T3749" t="str">
            <v>Bueno</v>
          </cell>
          <cell r="U3749" t="str">
            <v>N/T</v>
          </cell>
        </row>
        <row r="3750">
          <cell r="J3750" t="str">
            <v>42-05-01-01-3742</v>
          </cell>
          <cell r="L3750" t="str">
            <v>42-05-01-01-3742</v>
          </cell>
          <cell r="M3750" t="str">
            <v xml:space="preserve">Corchetera Torre Negra </v>
          </cell>
          <cell r="O3750" t="str">
            <v>EQUIPO DE OFICINA</v>
          </cell>
          <cell r="P3750">
            <v>4600</v>
          </cell>
          <cell r="T3750" t="str">
            <v>Bueno</v>
          </cell>
          <cell r="U3750" t="str">
            <v>N/T</v>
          </cell>
        </row>
        <row r="3751">
          <cell r="J3751" t="str">
            <v>42-05-02-01-3743</v>
          </cell>
          <cell r="L3751" t="str">
            <v>42-05-02-01-3743</v>
          </cell>
          <cell r="M3751" t="str">
            <v xml:space="preserve">Podometro Madera Pediatrico Enchapado </v>
          </cell>
          <cell r="O3751" t="str">
            <v>EQUIPOS CLINICOS</v>
          </cell>
          <cell r="P3751">
            <v>9990</v>
          </cell>
          <cell r="T3751" t="str">
            <v>Bueno</v>
          </cell>
          <cell r="U3751" t="str">
            <v>N/T</v>
          </cell>
        </row>
        <row r="3752">
          <cell r="J3752" t="str">
            <v>NN-06-01-00-3744</v>
          </cell>
          <cell r="L3752" t="str">
            <v>NN-06-01-00-3744</v>
          </cell>
          <cell r="M3752" t="str">
            <v>Teclado Olidata Model K3100</v>
          </cell>
          <cell r="O3752" t="str">
            <v>EQUIPOS COMPUTACIONALES Y PERIFÉRICOS EN ARRIENDO</v>
          </cell>
          <cell r="P3752">
            <v>3000</v>
          </cell>
          <cell r="T3752" t="str">
            <v>Bueno</v>
          </cell>
          <cell r="U3752" t="str">
            <v>Olidata</v>
          </cell>
        </row>
        <row r="3753">
          <cell r="J3753" t="str">
            <v>42-04-07-00-3745</v>
          </cell>
          <cell r="L3753" t="str">
            <v>42-04-07-00-3745</v>
          </cell>
          <cell r="M3753" t="str">
            <v>Papelero Plastico Con Tapa Plomo</v>
          </cell>
          <cell r="O3753" t="str">
            <v>OTROS</v>
          </cell>
          <cell r="P3753">
            <v>4000</v>
          </cell>
          <cell r="T3753" t="str">
            <v>Bueno</v>
          </cell>
          <cell r="U3753" t="str">
            <v>N/T</v>
          </cell>
        </row>
        <row r="3754">
          <cell r="J3754" t="str">
            <v>42-04-07-00-3746</v>
          </cell>
          <cell r="L3754" t="str">
            <v>42-04-07-00-3746</v>
          </cell>
          <cell r="M3754" t="str">
            <v>Papelero Plastico café</v>
          </cell>
          <cell r="O3754" t="str">
            <v>OTROS</v>
          </cell>
          <cell r="P3754">
            <v>4000</v>
          </cell>
          <cell r="T3754" t="str">
            <v>Bueno</v>
          </cell>
          <cell r="U3754" t="str">
            <v>N/T</v>
          </cell>
        </row>
        <row r="3755">
          <cell r="J3755" t="str">
            <v>42-04-07-00-3747</v>
          </cell>
          <cell r="L3755" t="str">
            <v>42-04-07-00-3747</v>
          </cell>
          <cell r="M3755" t="str">
            <v>Porta Toallas TORK</v>
          </cell>
          <cell r="O3755" t="str">
            <v>OTROS</v>
          </cell>
          <cell r="P3755">
            <v>17000</v>
          </cell>
          <cell r="T3755" t="str">
            <v>Bueno</v>
          </cell>
          <cell r="U3755" t="str">
            <v>TORK</v>
          </cell>
        </row>
        <row r="3756">
          <cell r="J3756" t="str">
            <v>42-04-07-00-3748</v>
          </cell>
          <cell r="L3756" t="str">
            <v>42-04-07-00-3748</v>
          </cell>
          <cell r="M3756" t="str">
            <v>Porta cortinas metálico</v>
          </cell>
          <cell r="O3756" t="str">
            <v>OTROS</v>
          </cell>
          <cell r="P3756">
            <v>2500</v>
          </cell>
          <cell r="T3756" t="str">
            <v>Bueno</v>
          </cell>
          <cell r="U3756" t="str">
            <v>N/T</v>
          </cell>
        </row>
        <row r="3757">
          <cell r="J3757" t="str">
            <v>FN-04-07-00-3749</v>
          </cell>
          <cell r="L3757" t="str">
            <v>FN-04-07-00-3749</v>
          </cell>
          <cell r="M3757" t="str">
            <v>Cortinas Blanco Invierno</v>
          </cell>
          <cell r="O3757" t="str">
            <v>OTROS FUNGIBLE / NOMINABLE</v>
          </cell>
          <cell r="P3757">
            <v>12500</v>
          </cell>
          <cell r="T3757" t="str">
            <v>Bueno</v>
          </cell>
          <cell r="U3757" t="str">
            <v>N/T</v>
          </cell>
        </row>
        <row r="3758">
          <cell r="J3758" t="str">
            <v>42-04-07-00-3750</v>
          </cell>
          <cell r="L3758" t="str">
            <v>42-04-07-00-3750</v>
          </cell>
          <cell r="M3758" t="str">
            <v>Dispensador Jabon PISA</v>
          </cell>
          <cell r="O3758" t="str">
            <v>OTROS</v>
          </cell>
          <cell r="P3758">
            <v>4700</v>
          </cell>
          <cell r="T3758" t="str">
            <v>Bueno</v>
          </cell>
          <cell r="U3758" t="str">
            <v>PISA</v>
          </cell>
        </row>
        <row r="3759">
          <cell r="J3759" t="str">
            <v>42-04-07-00-3751</v>
          </cell>
          <cell r="L3759" t="str">
            <v>42-04-07-00-3751</v>
          </cell>
          <cell r="M3759" t="str">
            <v>Lavamanos con Pedestal Loza Blanco C/Llave Monomando</v>
          </cell>
          <cell r="O3759" t="str">
            <v>OTROS</v>
          </cell>
          <cell r="P3759">
            <v>11000</v>
          </cell>
          <cell r="T3759" t="str">
            <v>Bueno</v>
          </cell>
          <cell r="U3759" t="str">
            <v>N/T</v>
          </cell>
        </row>
        <row r="3760">
          <cell r="J3760" t="str">
            <v>42-04-07-00-3752</v>
          </cell>
          <cell r="L3760" t="str">
            <v>42-04-07-00-3752</v>
          </cell>
          <cell r="M3760" t="str">
            <v>Separador Documentos Madera 4 Compartimientos Color Nogal</v>
          </cell>
          <cell r="O3760" t="str">
            <v>OTROS</v>
          </cell>
          <cell r="P3760">
            <v>6990</v>
          </cell>
          <cell r="T3760" t="str">
            <v>Bueno</v>
          </cell>
          <cell r="U3760" t="str">
            <v>N/T</v>
          </cell>
        </row>
        <row r="3761">
          <cell r="J3761" t="str">
            <v>42-05-01-01-3753</v>
          </cell>
          <cell r="L3761" t="str">
            <v>42-05-01-01-3753</v>
          </cell>
          <cell r="M3761" t="str">
            <v xml:space="preserve">Corchetera Torre Negra </v>
          </cell>
          <cell r="O3761" t="str">
            <v>EQUIPO DE OFICINA</v>
          </cell>
          <cell r="P3761">
            <v>4000</v>
          </cell>
          <cell r="T3761" t="str">
            <v>Bueno</v>
          </cell>
          <cell r="U3761" t="str">
            <v>Torre</v>
          </cell>
        </row>
        <row r="3762">
          <cell r="J3762" t="str">
            <v>42-05-01-01-3754</v>
          </cell>
          <cell r="L3762" t="str">
            <v>42-05-01-01-3754</v>
          </cell>
          <cell r="M3762" t="str">
            <v>Perforadora Negra Sello Office</v>
          </cell>
          <cell r="O3762" t="str">
            <v>EQUIPO DE OFICINA</v>
          </cell>
          <cell r="P3762">
            <v>4500</v>
          </cell>
          <cell r="T3762" t="str">
            <v>Bueno</v>
          </cell>
          <cell r="U3762" t="str">
            <v>Sello Office</v>
          </cell>
        </row>
        <row r="3763">
          <cell r="J3763" t="str">
            <v>42-05-01-01-3755</v>
          </cell>
          <cell r="L3763" t="str">
            <v>42-05-01-01-3755</v>
          </cell>
          <cell r="M3763" t="str">
            <v>Calculadora Casio MX - 120 V 12 digits</v>
          </cell>
          <cell r="O3763" t="str">
            <v>EQUIPO DE OFICINA</v>
          </cell>
          <cell r="P3763">
            <v>5990</v>
          </cell>
          <cell r="T3763" t="str">
            <v>Bueno</v>
          </cell>
          <cell r="U3763" t="str">
            <v>Casio</v>
          </cell>
        </row>
        <row r="3764">
          <cell r="J3764" t="str">
            <v>NN-06-01-00-3756</v>
          </cell>
          <cell r="L3764" t="str">
            <v>NN-06-01-00-3756</v>
          </cell>
          <cell r="M3764" t="str">
            <v>Mouse Olidata 8920 Negro</v>
          </cell>
          <cell r="O3764" t="str">
            <v>EQUIPOS COMPUTACIONALES Y PERIFÉRICOS EN ARRIENDO</v>
          </cell>
          <cell r="P3764">
            <v>4000</v>
          </cell>
          <cell r="T3764" t="str">
            <v>Bueno</v>
          </cell>
          <cell r="U3764" t="str">
            <v>Olidata</v>
          </cell>
        </row>
        <row r="3765">
          <cell r="J3765" t="str">
            <v>NN-06-01-00-3757</v>
          </cell>
          <cell r="L3765" t="str">
            <v>NN-06-01-00-3757</v>
          </cell>
          <cell r="M3765" t="str">
            <v>Teclado Olidata Model K3100</v>
          </cell>
          <cell r="O3765" t="str">
            <v>EQUIPOS COMPUTACIONALES Y PERIFÉRICOS EN ARRIENDO</v>
          </cell>
          <cell r="P3765">
            <v>3000</v>
          </cell>
          <cell r="T3765" t="str">
            <v>Bueno</v>
          </cell>
          <cell r="U3765" t="str">
            <v>Olidata</v>
          </cell>
        </row>
        <row r="3766">
          <cell r="J3766" t="str">
            <v>NN-06-01-00-3758</v>
          </cell>
          <cell r="L3766" t="str">
            <v>NN-06-01-00-3758</v>
          </cell>
          <cell r="M3766" t="str">
            <v>Monitor TFT 17" NS 7009S-95B2230-023432</v>
          </cell>
          <cell r="O3766" t="str">
            <v>EQUIPOS COMPUTACIONALES Y PERIFÉRICOS EN ARRIENDO</v>
          </cell>
          <cell r="P3766">
            <v>14000</v>
          </cell>
          <cell r="T3766" t="str">
            <v>Bueno</v>
          </cell>
          <cell r="U3766" t="str">
            <v>Olidata</v>
          </cell>
        </row>
        <row r="3767">
          <cell r="J3767" t="str">
            <v>NN-06-01-00-3759</v>
          </cell>
          <cell r="L3767" t="str">
            <v>NN-06-01-00-3759</v>
          </cell>
          <cell r="M3767" t="str">
            <v>Computador CPU Olidata Intel Core Negro / Gris</v>
          </cell>
          <cell r="O3767" t="str">
            <v>EQUIPOS COMPUTACIONALES Y PERIFÉRICOS EN ARRIENDO</v>
          </cell>
          <cell r="P3767">
            <v>240000</v>
          </cell>
          <cell r="T3767" t="str">
            <v>Bueno</v>
          </cell>
          <cell r="U3767" t="str">
            <v>Olidata</v>
          </cell>
        </row>
        <row r="3768">
          <cell r="J3768" t="str">
            <v>42-05-01-01-3760</v>
          </cell>
          <cell r="L3768" t="str">
            <v>42-05-01-01-3760</v>
          </cell>
          <cell r="M3768" t="str">
            <v xml:space="preserve">Perforador Colon Office Negro </v>
          </cell>
          <cell r="O3768" t="str">
            <v>EQUIPO DE OFICINA</v>
          </cell>
          <cell r="P3768">
            <v>4500</v>
          </cell>
          <cell r="T3768" t="str">
            <v>Bueno</v>
          </cell>
          <cell r="U3768" t="str">
            <v>Colon</v>
          </cell>
        </row>
        <row r="3769">
          <cell r="J3769" t="str">
            <v>42-05-01-01-3761</v>
          </cell>
          <cell r="L3769" t="str">
            <v>42-05-01-01-3761</v>
          </cell>
          <cell r="M3769" t="str">
            <v>Corchetera Negra marca Torre 26/6</v>
          </cell>
          <cell r="O3769" t="str">
            <v>EQUIPO DE OFICINA</v>
          </cell>
          <cell r="P3769">
            <v>4990</v>
          </cell>
          <cell r="T3769" t="str">
            <v>Bueno</v>
          </cell>
          <cell r="U3769" t="str">
            <v>Torre</v>
          </cell>
        </row>
        <row r="3770">
          <cell r="J3770" t="str">
            <v>FN-04-07-00-3762</v>
          </cell>
          <cell r="L3770" t="str">
            <v>FN-04-07-00-3762</v>
          </cell>
          <cell r="M3770" t="str">
            <v>Cortinas color café claro</v>
          </cell>
          <cell r="O3770" t="str">
            <v>OTROS FUNGIBLE / NOMINABLE</v>
          </cell>
          <cell r="P3770">
            <v>12500</v>
          </cell>
          <cell r="T3770" t="str">
            <v>Bueno</v>
          </cell>
          <cell r="U3770" t="str">
            <v>N/T</v>
          </cell>
        </row>
        <row r="3771">
          <cell r="J3771" t="str">
            <v>42-04-07-00-3763</v>
          </cell>
          <cell r="L3771" t="str">
            <v>42-04-07-00-3763</v>
          </cell>
          <cell r="M3771" t="str">
            <v>Porta cortinas metálico</v>
          </cell>
          <cell r="O3771" t="str">
            <v>OTROS</v>
          </cell>
          <cell r="P3771">
            <v>2500</v>
          </cell>
          <cell r="T3771" t="str">
            <v>Bueno</v>
          </cell>
          <cell r="U3771" t="str">
            <v>N/T</v>
          </cell>
        </row>
        <row r="3772">
          <cell r="J3772" t="str">
            <v>42-04-07-00-3764</v>
          </cell>
          <cell r="L3772" t="str">
            <v>42-04-07-00-3764</v>
          </cell>
          <cell r="M3772" t="str">
            <v>Papelero Madera Barniz Café</v>
          </cell>
          <cell r="O3772" t="str">
            <v>OTROS</v>
          </cell>
          <cell r="P3772">
            <v>4000</v>
          </cell>
          <cell r="T3772" t="str">
            <v>Bueno</v>
          </cell>
          <cell r="U3772" t="str">
            <v>N/T</v>
          </cell>
        </row>
        <row r="3773">
          <cell r="J3773" t="str">
            <v>42-04-07-00-3765</v>
          </cell>
          <cell r="L3773" t="str">
            <v>42-04-07-00-3765</v>
          </cell>
          <cell r="M3773" t="str">
            <v>Sillon Living Chico Cañamazo con Soporte</v>
          </cell>
          <cell r="O3773" t="str">
            <v>OTROS</v>
          </cell>
          <cell r="P3773">
            <v>44990</v>
          </cell>
          <cell r="T3773" t="str">
            <v>Bueno</v>
          </cell>
          <cell r="U3773" t="str">
            <v>N/T</v>
          </cell>
        </row>
        <row r="3774">
          <cell r="J3774" t="str">
            <v>NN-06-01-00-3766</v>
          </cell>
          <cell r="L3774" t="str">
            <v>NN-06-01-00-3766</v>
          </cell>
          <cell r="M3774" t="str">
            <v>Mouse Optico Olidata 8903</v>
          </cell>
          <cell r="O3774" t="str">
            <v>EQUIPOS COMPUTACIONALES Y PERIFÉRICOS EN ARRIENDO</v>
          </cell>
          <cell r="P3774">
            <v>4000</v>
          </cell>
          <cell r="T3774" t="str">
            <v>Bueno</v>
          </cell>
          <cell r="U3774" t="str">
            <v>Olidata</v>
          </cell>
        </row>
        <row r="3775">
          <cell r="J3775" t="str">
            <v>NN-06-01-00-3767</v>
          </cell>
          <cell r="L3775" t="str">
            <v>NN-06-01-00-3767</v>
          </cell>
          <cell r="M3775" t="str">
            <v>Teclado Convencional Olidata Model K3100</v>
          </cell>
          <cell r="O3775" t="str">
            <v>EQUIPOS COMPUTACIONALES Y PERIFÉRICOS EN ARRIENDO</v>
          </cell>
          <cell r="P3775">
            <v>3000</v>
          </cell>
          <cell r="T3775" t="str">
            <v>Bueno</v>
          </cell>
          <cell r="U3775" t="str">
            <v>Olidata</v>
          </cell>
        </row>
        <row r="3776">
          <cell r="J3776" t="str">
            <v>42-04-07-00-3768</v>
          </cell>
          <cell r="L3776" t="str">
            <v>42-04-07-00-3768</v>
          </cell>
          <cell r="M3776" t="str">
            <v>Portacortinas Metalico</v>
          </cell>
          <cell r="O3776" t="str">
            <v>OTROS</v>
          </cell>
          <cell r="P3776">
            <v>2500</v>
          </cell>
          <cell r="T3776" t="str">
            <v>Bueno</v>
          </cell>
          <cell r="U3776" t="str">
            <v>N/T</v>
          </cell>
        </row>
        <row r="3777">
          <cell r="J3777" t="str">
            <v>FN-04-07-00-3769</v>
          </cell>
          <cell r="L3777" t="str">
            <v>FN-04-07-00-3769</v>
          </cell>
          <cell r="M3777" t="str">
            <v>Cortinas color café claro</v>
          </cell>
          <cell r="O3777" t="str">
            <v>OTROS FUNGIBLE / NOMINABLE</v>
          </cell>
          <cell r="P3777">
            <v>12500</v>
          </cell>
          <cell r="T3777" t="str">
            <v>Bueno</v>
          </cell>
          <cell r="U3777" t="str">
            <v>N/T</v>
          </cell>
        </row>
        <row r="3778">
          <cell r="J3778" t="str">
            <v>42-04-07-00-3770</v>
          </cell>
          <cell r="L3778" t="str">
            <v>42-04-07-00-3770</v>
          </cell>
          <cell r="M3778" t="str">
            <v>Papelero Plastico Blanco con Tapa y Pedal</v>
          </cell>
          <cell r="O3778" t="str">
            <v>OTROS</v>
          </cell>
          <cell r="P3778">
            <v>4000</v>
          </cell>
          <cell r="T3778" t="str">
            <v>Bueno</v>
          </cell>
          <cell r="U3778" t="str">
            <v>N/T</v>
          </cell>
        </row>
        <row r="3779">
          <cell r="J3779" t="str">
            <v>42-04-02-00-3771</v>
          </cell>
          <cell r="L3779" t="str">
            <v>42-04-02-00-3771</v>
          </cell>
          <cell r="M3779" t="str">
            <v>Silla Computador 05 Ruedas con Apoya Brazos Color Azul</v>
          </cell>
          <cell r="O3779" t="str">
            <v>SILLAS</v>
          </cell>
          <cell r="P3779">
            <v>42500</v>
          </cell>
          <cell r="T3779" t="str">
            <v>Bueno</v>
          </cell>
          <cell r="U3779" t="str">
            <v>N/T</v>
          </cell>
        </row>
        <row r="3780">
          <cell r="J3780" t="str">
            <v>42-06-01-00-3772</v>
          </cell>
          <cell r="L3780" t="str">
            <v>42-06-01-00-3772</v>
          </cell>
          <cell r="M3780" t="str">
            <v>Teclado Convencional Mod 7563</v>
          </cell>
          <cell r="O3780" t="str">
            <v>EQUIPOS COMPUTACIONALES Y PERIFÉRICOS</v>
          </cell>
          <cell r="P3780">
            <v>3000</v>
          </cell>
          <cell r="T3780" t="str">
            <v>Bueno</v>
          </cell>
          <cell r="U3780" t="str">
            <v>Olidata</v>
          </cell>
        </row>
        <row r="3781">
          <cell r="J3781" t="str">
            <v>42-04-07-00-3773</v>
          </cell>
          <cell r="L3781" t="str">
            <v>42-04-07-00-3773</v>
          </cell>
          <cell r="M3781" t="str">
            <v>Velador Metalico Verde / Blanco Mesa Retractil</v>
          </cell>
          <cell r="O3781" t="str">
            <v>OTROS</v>
          </cell>
          <cell r="P3781">
            <v>15600</v>
          </cell>
          <cell r="T3781" t="str">
            <v>Bueno</v>
          </cell>
          <cell r="U3781" t="str">
            <v>N/T</v>
          </cell>
        </row>
        <row r="3782">
          <cell r="J3782" t="str">
            <v>42-04-07-00-3774</v>
          </cell>
          <cell r="L3782" t="str">
            <v>42-04-07-00-3774</v>
          </cell>
          <cell r="M3782" t="str">
            <v xml:space="preserve">Reloj De Pared </v>
          </cell>
          <cell r="O3782" t="str">
            <v>OTROS</v>
          </cell>
          <cell r="P3782">
            <v>3500</v>
          </cell>
          <cell r="T3782" t="str">
            <v>Bueno</v>
          </cell>
          <cell r="U3782" t="str">
            <v>N/T</v>
          </cell>
        </row>
        <row r="3783">
          <cell r="J3783" t="str">
            <v>42-04-07-00-3775</v>
          </cell>
          <cell r="L3783" t="str">
            <v>42-04-07-00-3775</v>
          </cell>
          <cell r="M3783" t="str">
            <v>Lavamanos con Pedestal Loza Blanco C/Llave Monomando</v>
          </cell>
          <cell r="O3783" t="str">
            <v>OTROS</v>
          </cell>
          <cell r="P3783">
            <v>11000</v>
          </cell>
          <cell r="T3783" t="str">
            <v>Bueno</v>
          </cell>
          <cell r="U3783" t="str">
            <v>N/T</v>
          </cell>
        </row>
        <row r="3784">
          <cell r="J3784" t="str">
            <v>42-04-07-00-3776</v>
          </cell>
          <cell r="L3784" t="str">
            <v>42-04-07-00-3776</v>
          </cell>
          <cell r="M3784" t="str">
            <v>Percha Madera 02 Colgadores Metalicos</v>
          </cell>
          <cell r="O3784" t="str">
            <v>OTROS</v>
          </cell>
          <cell r="P3784">
            <v>6990</v>
          </cell>
          <cell r="T3784" t="str">
            <v>Bueno</v>
          </cell>
          <cell r="U3784" t="str">
            <v>N/T</v>
          </cell>
        </row>
        <row r="3785">
          <cell r="J3785" t="str">
            <v>42-04-07-00-3777</v>
          </cell>
          <cell r="L3785" t="str">
            <v>42-04-07-00-3777</v>
          </cell>
          <cell r="M3785" t="str">
            <v>Mural Madera Plumavit Blanco</v>
          </cell>
          <cell r="O3785" t="str">
            <v>OTROS</v>
          </cell>
          <cell r="P3785">
            <v>4990</v>
          </cell>
          <cell r="T3785" t="str">
            <v>Bueno</v>
          </cell>
          <cell r="U3785" t="str">
            <v>N/T</v>
          </cell>
        </row>
        <row r="3786">
          <cell r="J3786" t="str">
            <v>42-04-07-00-3778</v>
          </cell>
          <cell r="L3786" t="str">
            <v>42-04-07-00-3778</v>
          </cell>
          <cell r="M3786" t="str">
            <v>Lavamanos con Pedestal Loza Blanco C/Llave Monomando</v>
          </cell>
          <cell r="O3786" t="str">
            <v>OTROS</v>
          </cell>
          <cell r="P3786">
            <v>11000</v>
          </cell>
          <cell r="T3786" t="str">
            <v>Bueno</v>
          </cell>
          <cell r="U3786" t="str">
            <v>N/T</v>
          </cell>
        </row>
        <row r="3787">
          <cell r="J3787" t="str">
            <v>42-04-03-00-3779</v>
          </cell>
          <cell r="L3787" t="str">
            <v>42-04-03-00-3779</v>
          </cell>
          <cell r="M3787" t="str">
            <v>Mueble Escritorio Mixtyo Madera / Metal Color Miel 023 Cajones</v>
          </cell>
          <cell r="O3787" t="str">
            <v>ESCRITORIOS</v>
          </cell>
          <cell r="P3787">
            <v>42500</v>
          </cell>
          <cell r="T3787" t="str">
            <v>Bueno</v>
          </cell>
          <cell r="U3787" t="str">
            <v>N/T</v>
          </cell>
        </row>
        <row r="3788">
          <cell r="J3788" t="str">
            <v>42-04-07-00-3780</v>
          </cell>
          <cell r="L3788" t="str">
            <v>42-04-07-00-3780</v>
          </cell>
          <cell r="M3788" t="str">
            <v>Velador Metalico Verde / Blanco Mesa Retractil</v>
          </cell>
          <cell r="O3788" t="str">
            <v>OTROS</v>
          </cell>
          <cell r="P3788">
            <v>15600</v>
          </cell>
          <cell r="T3788" t="str">
            <v>Bueno</v>
          </cell>
          <cell r="U3788" t="str">
            <v>N/T</v>
          </cell>
        </row>
        <row r="3789">
          <cell r="J3789" t="str">
            <v>42-04-07-00-3781</v>
          </cell>
          <cell r="L3789" t="str">
            <v>42-04-07-00-3781</v>
          </cell>
          <cell r="M3789" t="str">
            <v>Porta Toallas Tork</v>
          </cell>
          <cell r="O3789" t="str">
            <v>OTROS</v>
          </cell>
          <cell r="P3789">
            <v>17000</v>
          </cell>
          <cell r="T3789" t="str">
            <v>Bueno</v>
          </cell>
          <cell r="U3789" t="str">
            <v>Tork</v>
          </cell>
        </row>
        <row r="3790">
          <cell r="J3790" t="str">
            <v>FN-04-07-00-3782</v>
          </cell>
          <cell r="L3790" t="str">
            <v>FN-04-07-00-3782</v>
          </cell>
          <cell r="M3790" t="str">
            <v>Cortinas Color Verde</v>
          </cell>
          <cell r="O3790" t="str">
            <v>OTROS FUNGIBLE / NOMINABLE</v>
          </cell>
          <cell r="P3790">
            <v>12500</v>
          </cell>
          <cell r="T3790" t="str">
            <v>Bueno</v>
          </cell>
          <cell r="U3790" t="str">
            <v>N/T</v>
          </cell>
        </row>
        <row r="3791">
          <cell r="J3791" t="str">
            <v>42-04-07-00-3783</v>
          </cell>
          <cell r="L3791" t="str">
            <v>42-04-07-00-3783</v>
          </cell>
          <cell r="M3791" t="str">
            <v>Dispensador de Jabon Jhonsons</v>
          </cell>
          <cell r="O3791" t="str">
            <v>OTROS</v>
          </cell>
          <cell r="P3791">
            <v>4700</v>
          </cell>
          <cell r="T3791" t="str">
            <v>Bueno</v>
          </cell>
          <cell r="U3791" t="str">
            <v>Jhonsons</v>
          </cell>
        </row>
        <row r="3792">
          <cell r="J3792" t="str">
            <v>42-04-07-00-3784</v>
          </cell>
          <cell r="L3792" t="str">
            <v>42-04-07-00-3784</v>
          </cell>
          <cell r="M3792" t="str">
            <v>Porta Toallas TORK</v>
          </cell>
          <cell r="O3792" t="str">
            <v>OTROS</v>
          </cell>
          <cell r="P3792">
            <v>17000</v>
          </cell>
          <cell r="T3792" t="str">
            <v>Bueno</v>
          </cell>
          <cell r="U3792" t="str">
            <v>Tork</v>
          </cell>
        </row>
        <row r="3793">
          <cell r="J3793" t="str">
            <v>42-04-07-00-3785</v>
          </cell>
          <cell r="L3793" t="str">
            <v>42-04-07-00-3785</v>
          </cell>
          <cell r="M3793" t="str">
            <v>Lavamanos con Pedestal Loza Blanco C/Llave Monomando</v>
          </cell>
          <cell r="O3793" t="str">
            <v>OTROS</v>
          </cell>
          <cell r="P3793">
            <v>11000</v>
          </cell>
          <cell r="T3793" t="str">
            <v>Bueno</v>
          </cell>
          <cell r="U3793" t="str">
            <v>N/T</v>
          </cell>
        </row>
        <row r="3794">
          <cell r="J3794" t="str">
            <v>42-04-07-00-3786</v>
          </cell>
          <cell r="L3794" t="str">
            <v>42-04-07-00-3786</v>
          </cell>
          <cell r="M3794" t="str">
            <v>Velador Metalico Blanco 01 Puerta</v>
          </cell>
          <cell r="O3794" t="str">
            <v>OTROS</v>
          </cell>
          <cell r="P3794">
            <v>16900</v>
          </cell>
          <cell r="T3794" t="str">
            <v>Bueno</v>
          </cell>
          <cell r="U3794" t="str">
            <v>N/T</v>
          </cell>
        </row>
        <row r="3795">
          <cell r="J3795" t="str">
            <v>42-04-07-00-3787</v>
          </cell>
          <cell r="L3795" t="str">
            <v>42-04-07-00-3787</v>
          </cell>
          <cell r="M3795" t="str">
            <v>Bandeja Acero Inoxidable 20 x 40 CM</v>
          </cell>
          <cell r="O3795" t="str">
            <v>OTROS</v>
          </cell>
          <cell r="P3795">
            <v>5990</v>
          </cell>
          <cell r="T3795" t="str">
            <v>Bueno</v>
          </cell>
          <cell r="U3795" t="str">
            <v>N/T</v>
          </cell>
        </row>
        <row r="3796">
          <cell r="J3796" t="str">
            <v>42-04-07-00-3788</v>
          </cell>
          <cell r="L3796" t="str">
            <v>42-04-07-00-3788</v>
          </cell>
          <cell r="M3796" t="str">
            <v>Percha Metalica 03 Colgadores</v>
          </cell>
          <cell r="O3796" t="str">
            <v>OTROS</v>
          </cell>
          <cell r="P3796">
            <v>4500</v>
          </cell>
          <cell r="T3796" t="str">
            <v>Bueno</v>
          </cell>
          <cell r="U3796" t="str">
            <v>N/T</v>
          </cell>
        </row>
        <row r="3797">
          <cell r="J3797" t="str">
            <v>42-04-07-00-3789</v>
          </cell>
          <cell r="L3797" t="str">
            <v>42-04-07-00-3789</v>
          </cell>
          <cell r="M3797" t="str">
            <v>Mural Madera / Plumavit / Blanco y Azul</v>
          </cell>
          <cell r="O3797" t="str">
            <v>OTROS</v>
          </cell>
          <cell r="P3797">
            <v>4500</v>
          </cell>
          <cell r="T3797" t="str">
            <v>Bueno</v>
          </cell>
          <cell r="U3797" t="str">
            <v>N/T</v>
          </cell>
        </row>
        <row r="3798">
          <cell r="J3798" t="str">
            <v>42-04-07-00-3790</v>
          </cell>
          <cell r="L3798" t="str">
            <v>42-04-07-00-3790</v>
          </cell>
          <cell r="M3798" t="str">
            <v>Repisa Madera / Metal Color Blanco / Plomo</v>
          </cell>
          <cell r="O3798" t="str">
            <v>OTROS</v>
          </cell>
          <cell r="P3798">
            <v>14990</v>
          </cell>
          <cell r="T3798" t="str">
            <v>Bueno</v>
          </cell>
          <cell r="U3798" t="str">
            <v>N/T</v>
          </cell>
        </row>
        <row r="3799">
          <cell r="J3799" t="str">
            <v>42-04-07-00-3791</v>
          </cell>
          <cell r="L3799" t="str">
            <v>42-04-07-00-3791</v>
          </cell>
          <cell r="M3799" t="str">
            <v>Tarjetero Blanco 04 Compartimientos</v>
          </cell>
          <cell r="O3799" t="str">
            <v>OTROS</v>
          </cell>
          <cell r="P3799">
            <v>4990</v>
          </cell>
          <cell r="T3799" t="str">
            <v>Bueno</v>
          </cell>
          <cell r="U3799" t="str">
            <v>N/T</v>
          </cell>
        </row>
        <row r="3800">
          <cell r="J3800" t="str">
            <v>42-04-07-00-3792</v>
          </cell>
          <cell r="L3800" t="str">
            <v>42-04-07-00-3792</v>
          </cell>
          <cell r="M3800" t="str">
            <v>Termostato Temperatura Externo</v>
          </cell>
          <cell r="O3800" t="str">
            <v>OTROS</v>
          </cell>
          <cell r="P3800">
            <v>6990</v>
          </cell>
          <cell r="T3800" t="str">
            <v>Bueno</v>
          </cell>
          <cell r="U3800" t="str">
            <v>N/T</v>
          </cell>
        </row>
        <row r="3801">
          <cell r="J3801" t="str">
            <v>NN-06-01-00-3793</v>
          </cell>
          <cell r="L3801" t="str">
            <v>NN-06-01-00-3793</v>
          </cell>
          <cell r="M3801" t="str">
            <v>Mouse Olidata Mod 8942</v>
          </cell>
          <cell r="O3801" t="str">
            <v>EQUIPOS COMPUTACIONALES Y PERIFÉRICOS EN ARRIENDO</v>
          </cell>
          <cell r="P3801">
            <v>4000</v>
          </cell>
          <cell r="T3801" t="str">
            <v>Bueno</v>
          </cell>
          <cell r="U3801" t="str">
            <v>Olidata</v>
          </cell>
        </row>
        <row r="3802">
          <cell r="J3802" t="str">
            <v>NN-06-01-00-3794</v>
          </cell>
          <cell r="L3802" t="str">
            <v>NN-06-01-00-3794</v>
          </cell>
          <cell r="M3802" t="str">
            <v>Teclado Olidato Mod 5108</v>
          </cell>
          <cell r="O3802" t="str">
            <v>EQUIPOS COMPUTACIONALES Y PERIFÉRICOS EN ARRIENDO</v>
          </cell>
          <cell r="P3802">
            <v>3000</v>
          </cell>
          <cell r="T3802" t="str">
            <v>Bueno</v>
          </cell>
          <cell r="U3802" t="str">
            <v>Olidata</v>
          </cell>
        </row>
        <row r="3803">
          <cell r="J3803" t="str">
            <v>42-04-07-00-3795</v>
          </cell>
          <cell r="L3803" t="str">
            <v>42-04-07-00-3795</v>
          </cell>
          <cell r="M3803" t="str">
            <v>Porta Toallas TORK</v>
          </cell>
          <cell r="O3803" t="str">
            <v>OTROS</v>
          </cell>
          <cell r="P3803">
            <v>17000</v>
          </cell>
          <cell r="T3803" t="str">
            <v>Bueno</v>
          </cell>
          <cell r="U3803" t="str">
            <v>Tork</v>
          </cell>
        </row>
        <row r="3804">
          <cell r="J3804" t="str">
            <v>42-04-07-00-3796</v>
          </cell>
          <cell r="L3804" t="str">
            <v>42-04-07-00-3796</v>
          </cell>
          <cell r="M3804" t="str">
            <v>Basurero Blanco Invierno Con Tapa y Pedal</v>
          </cell>
          <cell r="O3804" t="str">
            <v>OTROS</v>
          </cell>
          <cell r="P3804">
            <v>4000</v>
          </cell>
          <cell r="T3804" t="str">
            <v>Bueno</v>
          </cell>
          <cell r="U3804" t="str">
            <v>N/T</v>
          </cell>
        </row>
        <row r="3805">
          <cell r="J3805" t="str">
            <v>42-05-02-01-3797</v>
          </cell>
          <cell r="L3805" t="str">
            <v>42-05-02-01-3797</v>
          </cell>
          <cell r="M3805" t="str">
            <v>Camilla Metalica Blanca Tapizada en Tevinil Verde</v>
          </cell>
          <cell r="O3805" t="str">
            <v>EQUIPOS CLINICOS</v>
          </cell>
          <cell r="P3805">
            <v>99900</v>
          </cell>
          <cell r="T3805" t="str">
            <v>Bueno</v>
          </cell>
          <cell r="U3805" t="str">
            <v>N/T</v>
          </cell>
        </row>
        <row r="3806">
          <cell r="J3806" t="str">
            <v>42-04-07-00-3798</v>
          </cell>
          <cell r="L3806" t="str">
            <v>42-04-07-00-3798</v>
          </cell>
          <cell r="M3806" t="str">
            <v>Dispensador Jabon PISA</v>
          </cell>
          <cell r="O3806" t="str">
            <v>OTROS</v>
          </cell>
          <cell r="P3806">
            <v>4700</v>
          </cell>
          <cell r="T3806" t="str">
            <v>Bueno</v>
          </cell>
          <cell r="U3806" t="str">
            <v>PISA</v>
          </cell>
        </row>
        <row r="3807">
          <cell r="J3807" t="str">
            <v>42-04-07-00-3799</v>
          </cell>
          <cell r="L3807" t="str">
            <v>42-04-07-00-3799</v>
          </cell>
          <cell r="M3807" t="str">
            <v>Porta Toallas TORK</v>
          </cell>
          <cell r="O3807" t="str">
            <v>OTROS</v>
          </cell>
          <cell r="P3807">
            <v>17000</v>
          </cell>
          <cell r="T3807" t="str">
            <v>Bueno</v>
          </cell>
          <cell r="U3807" t="str">
            <v>Tork</v>
          </cell>
        </row>
        <row r="3808">
          <cell r="J3808" t="str">
            <v>42-04-07-00-3800</v>
          </cell>
          <cell r="L3808" t="str">
            <v>42-04-07-00-3800</v>
          </cell>
          <cell r="M3808" t="str">
            <v>Lavamanos con Pedestal Loza Blanco C/Llave Monomando</v>
          </cell>
          <cell r="O3808" t="str">
            <v>OTROS</v>
          </cell>
          <cell r="P3808">
            <v>11000</v>
          </cell>
          <cell r="T3808" t="str">
            <v>Bueno</v>
          </cell>
          <cell r="U3808" t="str">
            <v>N/T</v>
          </cell>
        </row>
        <row r="3809">
          <cell r="J3809" t="str">
            <v>42-04-07-00-3801</v>
          </cell>
          <cell r="L3809" t="str">
            <v>42-04-07-00-3801</v>
          </cell>
          <cell r="M3809" t="str">
            <v>Kit Baño Completo</v>
          </cell>
          <cell r="O3809" t="str">
            <v>OTROS</v>
          </cell>
          <cell r="P3809">
            <v>25990</v>
          </cell>
          <cell r="T3809" t="str">
            <v>Bueno</v>
          </cell>
          <cell r="U3809" t="str">
            <v>N/T</v>
          </cell>
        </row>
        <row r="3810">
          <cell r="J3810" t="str">
            <v>42-04-06-00-3802</v>
          </cell>
          <cell r="L3810" t="str">
            <v>42-04-06-00-3802</v>
          </cell>
          <cell r="M3810" t="str">
            <v>Repisa 3 Compartimientos Melamina enchapada Color Miel</v>
          </cell>
          <cell r="O3810" t="str">
            <v>REPISA</v>
          </cell>
          <cell r="P3810">
            <v>39900</v>
          </cell>
          <cell r="T3810" t="str">
            <v>Bueno</v>
          </cell>
          <cell r="U3810" t="str">
            <v>N/T</v>
          </cell>
        </row>
        <row r="3811">
          <cell r="J3811" t="str">
            <v>FN-04-07-00-3803</v>
          </cell>
          <cell r="L3811" t="str">
            <v>FN-04-07-00-3803</v>
          </cell>
          <cell r="M3811" t="str">
            <v>Colgador Plastico De Pared</v>
          </cell>
          <cell r="O3811" t="str">
            <v>OTROS FUNGIBLE / NOMINABLE</v>
          </cell>
          <cell r="P3811">
            <v>1000</v>
          </cell>
          <cell r="T3811" t="str">
            <v>Bueno</v>
          </cell>
          <cell r="U3811" t="str">
            <v>N/T</v>
          </cell>
        </row>
        <row r="3812">
          <cell r="J3812" t="str">
            <v>42-04-07-00-3804</v>
          </cell>
          <cell r="L3812" t="str">
            <v>42-04-07-00-3804</v>
          </cell>
          <cell r="M3812" t="str">
            <v>Dispensador Jabon PISA</v>
          </cell>
          <cell r="O3812" t="str">
            <v>OTROS</v>
          </cell>
          <cell r="P3812">
            <v>4700</v>
          </cell>
          <cell r="T3812" t="str">
            <v>Bueno</v>
          </cell>
          <cell r="U3812" t="str">
            <v>PISA</v>
          </cell>
        </row>
        <row r="3813">
          <cell r="J3813" t="str">
            <v>42-04-07-00-3805</v>
          </cell>
          <cell r="L3813" t="str">
            <v>42-04-07-00-3805</v>
          </cell>
          <cell r="M3813" t="str">
            <v>Porta Toalla TORK</v>
          </cell>
          <cell r="O3813" t="str">
            <v>OTROS</v>
          </cell>
          <cell r="P3813">
            <v>17000</v>
          </cell>
          <cell r="T3813" t="str">
            <v>Bueno</v>
          </cell>
          <cell r="U3813" t="str">
            <v>TORK</v>
          </cell>
        </row>
        <row r="3814">
          <cell r="J3814" t="str">
            <v>42-04-07-00-3806</v>
          </cell>
          <cell r="L3814" t="str">
            <v>42-04-07-00-3806</v>
          </cell>
          <cell r="M3814" t="str">
            <v>Lavamanos con Pedestal Loza Blanco C/Llave Monomando</v>
          </cell>
          <cell r="O3814" t="str">
            <v>OTROS</v>
          </cell>
          <cell r="P3814">
            <v>11000</v>
          </cell>
          <cell r="T3814" t="str">
            <v>Bueno</v>
          </cell>
          <cell r="U3814" t="str">
            <v>N/T</v>
          </cell>
        </row>
        <row r="3815">
          <cell r="J3815" t="str">
            <v>42-05-01-01-3807</v>
          </cell>
          <cell r="L3815" t="str">
            <v>42-05-01-01-3807</v>
          </cell>
          <cell r="M3815" t="str">
            <v>Radio CD RADIO FM  RCA (Cod Int. 42-2160)</v>
          </cell>
          <cell r="O3815" t="str">
            <v>EQUIPO DE OFICINA</v>
          </cell>
          <cell r="P3815">
            <v>24990</v>
          </cell>
          <cell r="T3815" t="str">
            <v>Bueno</v>
          </cell>
          <cell r="U3815" t="str">
            <v>RCA</v>
          </cell>
        </row>
        <row r="3816">
          <cell r="J3816" t="str">
            <v>42-06-01-00-3808</v>
          </cell>
          <cell r="L3816" t="str">
            <v>42-06-01-00-3808</v>
          </cell>
          <cell r="M3816" t="str">
            <v>Monitor TFT 17" NS 7005L11N-83D2733-008380</v>
          </cell>
          <cell r="O3816" t="str">
            <v>EQUIPOS COMPUTACIONALES Y PERIFÉRICOS</v>
          </cell>
          <cell r="P3816">
            <v>35500</v>
          </cell>
          <cell r="T3816" t="str">
            <v>Bueno</v>
          </cell>
          <cell r="U3816" t="str">
            <v>Olidata</v>
          </cell>
        </row>
        <row r="3817">
          <cell r="J3817" t="str">
            <v>42-04-07-00-3809</v>
          </cell>
          <cell r="L3817" t="str">
            <v>42-04-07-00-3809</v>
          </cell>
          <cell r="M3817" t="str">
            <v>Papelero Blanco con Tapa y Pedal Plastico</v>
          </cell>
          <cell r="O3817" t="str">
            <v>OTROS</v>
          </cell>
          <cell r="P3817">
            <v>4000</v>
          </cell>
          <cell r="T3817" t="str">
            <v>Bueno</v>
          </cell>
          <cell r="U3817" t="str">
            <v>N/T</v>
          </cell>
        </row>
        <row r="3818">
          <cell r="J3818" t="str">
            <v>42-04-07-00-3810</v>
          </cell>
          <cell r="L3818" t="str">
            <v>42-04-07-00-3810</v>
          </cell>
          <cell r="M3818" t="str">
            <v>Lavamanos con Pedestal Loza Blanco C/Llave Monomando</v>
          </cell>
          <cell r="O3818" t="str">
            <v>OTROS</v>
          </cell>
          <cell r="P3818">
            <v>11000</v>
          </cell>
          <cell r="T3818" t="str">
            <v>Bueno</v>
          </cell>
          <cell r="U3818" t="str">
            <v>N/T</v>
          </cell>
        </row>
        <row r="3819">
          <cell r="J3819" t="str">
            <v>42-04-07-00-3811</v>
          </cell>
          <cell r="L3819" t="str">
            <v>42-04-07-00-3811</v>
          </cell>
          <cell r="M3819" t="str">
            <v>Dispensador Jabon Jhonsons</v>
          </cell>
          <cell r="O3819" t="str">
            <v>OTROS</v>
          </cell>
          <cell r="P3819">
            <v>4700</v>
          </cell>
          <cell r="T3819" t="str">
            <v>Bueno</v>
          </cell>
          <cell r="U3819" t="str">
            <v>Jhonsons</v>
          </cell>
        </row>
        <row r="3820">
          <cell r="J3820" t="str">
            <v>42-04-07-00-3812</v>
          </cell>
          <cell r="L3820" t="str">
            <v>42-04-07-00-3812</v>
          </cell>
          <cell r="M3820" t="str">
            <v>Porta Toallas Tork</v>
          </cell>
          <cell r="O3820" t="str">
            <v>OTROS</v>
          </cell>
          <cell r="P3820">
            <v>17000</v>
          </cell>
          <cell r="T3820" t="str">
            <v>Bueno</v>
          </cell>
          <cell r="U3820" t="str">
            <v>TORK</v>
          </cell>
        </row>
        <row r="3821">
          <cell r="J3821" t="str">
            <v>FN-05-02-01-3813</v>
          </cell>
          <cell r="L3821" t="str">
            <v>FN-05-02-01-3813</v>
          </cell>
          <cell r="M3821" t="str">
            <v>Caja acero inoxidable c/tapa 30x15x10 cms.</v>
          </cell>
          <cell r="O3821" t="str">
            <v>EQUIPOS CLINICOS FUNGIBLE / NOMINABLE</v>
          </cell>
          <cell r="P3821">
            <v>4990</v>
          </cell>
          <cell r="T3821" t="str">
            <v>Bueno</v>
          </cell>
          <cell r="U3821" t="str">
            <v>N/T</v>
          </cell>
        </row>
        <row r="3822">
          <cell r="J3822" t="str">
            <v>NN-06-01-00-3814</v>
          </cell>
          <cell r="L3822" t="str">
            <v>NN-06-01-00-3814</v>
          </cell>
          <cell r="M3822" t="str">
            <v>Mouse Olidata 8909 Negro</v>
          </cell>
          <cell r="O3822" t="str">
            <v>EQUIPOS COMPUTACIONALES Y PERIFÉRICOS EN ARRIENDO</v>
          </cell>
          <cell r="P3822">
            <v>4000</v>
          </cell>
          <cell r="T3822" t="str">
            <v>Bueno</v>
          </cell>
          <cell r="U3822" t="str">
            <v>Olidata</v>
          </cell>
        </row>
        <row r="3823">
          <cell r="J3823" t="str">
            <v>NN-06-01-00-3815</v>
          </cell>
          <cell r="L3823" t="str">
            <v>NN-06-01-00-3815</v>
          </cell>
          <cell r="M3823" t="str">
            <v>Teclado Olidata Model K3100 Negro</v>
          </cell>
          <cell r="O3823" t="str">
            <v>EQUIPOS COMPUTACIONALES Y PERIFÉRICOS EN ARRIENDO</v>
          </cell>
          <cell r="P3823">
            <v>3000</v>
          </cell>
          <cell r="T3823" t="str">
            <v>Bueno</v>
          </cell>
          <cell r="U3823" t="str">
            <v>Olidata</v>
          </cell>
        </row>
        <row r="3824">
          <cell r="J3824" t="str">
            <v>42-06-01-00-3816</v>
          </cell>
          <cell r="L3824" t="str">
            <v>42-06-01-00-3816</v>
          </cell>
          <cell r="M3824" t="str">
            <v>Monitor TFT 17" Negro NS 7009S-95D2588-000824</v>
          </cell>
          <cell r="O3824" t="str">
            <v>EQUIPOS COMPUTACIONALES Y PERIFÉRICOS</v>
          </cell>
          <cell r="P3824">
            <v>45900</v>
          </cell>
          <cell r="T3824" t="str">
            <v>Bueno</v>
          </cell>
          <cell r="U3824" t="str">
            <v>Olidata</v>
          </cell>
        </row>
        <row r="3825">
          <cell r="J3825" t="str">
            <v>NN-06-01-00-3817</v>
          </cell>
          <cell r="L3825" t="str">
            <v>NN-06-01-00-3817</v>
          </cell>
          <cell r="M3825" t="str">
            <v>CPU Computador Olidata Intel Core Duo 2 Negro NS 013433-000067</v>
          </cell>
          <cell r="O3825" t="str">
            <v>EQUIPOS COMPUTACIONALES Y PERIFÉRICOS EN ARRIENDO</v>
          </cell>
          <cell r="P3825">
            <v>320000</v>
          </cell>
          <cell r="T3825" t="str">
            <v>Bueno</v>
          </cell>
          <cell r="U3825" t="str">
            <v>Olidata</v>
          </cell>
        </row>
        <row r="3826">
          <cell r="J3826" t="str">
            <v>42-04-03-00-3818</v>
          </cell>
          <cell r="L3826" t="str">
            <v>42-04-03-00-3818</v>
          </cell>
          <cell r="M3826" t="str">
            <v>Mueble Escritorio PC Madera 4 Cajones Color Café</v>
          </cell>
          <cell r="O3826" t="str">
            <v>ESCRITORIOS</v>
          </cell>
          <cell r="P3826">
            <v>42990</v>
          </cell>
          <cell r="T3826" t="str">
            <v>Bueno</v>
          </cell>
          <cell r="U3826" t="str">
            <v>N/T</v>
          </cell>
        </row>
        <row r="3827">
          <cell r="J3827" t="str">
            <v>42-05-01-01-3819</v>
          </cell>
          <cell r="L3827" t="str">
            <v>42-05-01-01-3819</v>
          </cell>
          <cell r="M3827" t="str">
            <v>Sistema De Sonido SubWoofer  Genius 2 x 1</v>
          </cell>
          <cell r="O3827" t="str">
            <v>EQUIPO DE OFICINA</v>
          </cell>
          <cell r="P3827">
            <v>22990</v>
          </cell>
          <cell r="T3827" t="str">
            <v>Bueno</v>
          </cell>
          <cell r="U3827" t="str">
            <v>GENIUS</v>
          </cell>
        </row>
        <row r="3828">
          <cell r="J3828" t="str">
            <v>42-05-01-01-3820</v>
          </cell>
          <cell r="L3828" t="str">
            <v>42-05-01-01-3820</v>
          </cell>
          <cell r="M3828" t="str">
            <v>Horno Electrico NEX Blanco</v>
          </cell>
          <cell r="O3828" t="str">
            <v>EQUIPO DE OFICINA</v>
          </cell>
          <cell r="P3828">
            <v>24900</v>
          </cell>
          <cell r="T3828" t="str">
            <v>Bueno</v>
          </cell>
          <cell r="U3828" t="str">
            <v>NEX</v>
          </cell>
        </row>
        <row r="3829">
          <cell r="J3829" t="str">
            <v>42-05-01-01-3821</v>
          </cell>
          <cell r="L3829" t="str">
            <v>42-05-01-01-3821</v>
          </cell>
          <cell r="M3829" t="str">
            <v>Microondas Thomas Negro / Terracota</v>
          </cell>
          <cell r="O3829" t="str">
            <v>EQUIPO DE OFICINA</v>
          </cell>
          <cell r="P3829">
            <v>32900</v>
          </cell>
          <cell r="T3829" t="str">
            <v>Bueno</v>
          </cell>
          <cell r="U3829" t="str">
            <v>Thomas</v>
          </cell>
        </row>
        <row r="3830">
          <cell r="J3830" t="str">
            <v>42-05-01-01-3822</v>
          </cell>
          <cell r="L3830" t="str">
            <v>42-05-01-01-3822</v>
          </cell>
          <cell r="M3830" t="str">
            <v>Tostador Grande NEX Balco/Gris</v>
          </cell>
          <cell r="O3830" t="str">
            <v>EQUIPO DE OFICINA</v>
          </cell>
          <cell r="P3830">
            <v>19900</v>
          </cell>
          <cell r="T3830" t="str">
            <v>Bueno</v>
          </cell>
          <cell r="U3830" t="str">
            <v>NEX</v>
          </cell>
        </row>
        <row r="3831">
          <cell r="J3831" t="str">
            <v>42-05-01-01-3823</v>
          </cell>
          <cell r="L3831" t="str">
            <v>42-05-01-01-3823</v>
          </cell>
          <cell r="M3831" t="str">
            <v>Mini Refrigerador IRT Blanco 1 Puerta</v>
          </cell>
          <cell r="O3831" t="str">
            <v>EQUIPO DE OFICINA</v>
          </cell>
          <cell r="P3831">
            <v>99900</v>
          </cell>
          <cell r="T3831" t="str">
            <v>Bueno</v>
          </cell>
          <cell r="U3831" t="str">
            <v>IRT</v>
          </cell>
        </row>
        <row r="3832">
          <cell r="J3832" t="str">
            <v>42-04-07-00-3824</v>
          </cell>
          <cell r="L3832" t="str">
            <v>42-04-07-00-3824</v>
          </cell>
          <cell r="M3832" t="str">
            <v>Porta Toallas TORK</v>
          </cell>
          <cell r="O3832" t="str">
            <v>OTROS</v>
          </cell>
          <cell r="P3832">
            <v>17000</v>
          </cell>
          <cell r="T3832" t="str">
            <v>Bueno</v>
          </cell>
          <cell r="U3832" t="str">
            <v>TORK</v>
          </cell>
        </row>
        <row r="3833">
          <cell r="J3833" t="str">
            <v>42-04-07-00-3825</v>
          </cell>
          <cell r="L3833" t="str">
            <v>42-04-07-00-3825</v>
          </cell>
          <cell r="M3833" t="str">
            <v>Mural Madera Plumavit Blanco / Azul</v>
          </cell>
          <cell r="O3833" t="str">
            <v>OTROS</v>
          </cell>
          <cell r="P3833">
            <v>19500</v>
          </cell>
          <cell r="T3833" t="str">
            <v>Bueno</v>
          </cell>
          <cell r="U3833" t="str">
            <v>N/T</v>
          </cell>
        </row>
        <row r="3834">
          <cell r="J3834" t="str">
            <v>42-05-02-03-3826</v>
          </cell>
          <cell r="L3834" t="str">
            <v>42-05-02-03-3826</v>
          </cell>
          <cell r="M3834" t="str">
            <v>Radio Comunicador Motorola EP 350 con Cargador</v>
          </cell>
          <cell r="O3834" t="str">
            <v>EQUIPOS DE COMUNICACIÓN</v>
          </cell>
          <cell r="P3834">
            <v>139900</v>
          </cell>
          <cell r="T3834" t="str">
            <v>Bueno</v>
          </cell>
          <cell r="U3834" t="str">
            <v>Motorola</v>
          </cell>
        </row>
        <row r="3835">
          <cell r="J3835" t="str">
            <v>42-04-06-00-3827</v>
          </cell>
          <cell r="L3835" t="str">
            <v>42-04-06-00-3827</v>
          </cell>
          <cell r="M3835" t="str">
            <v xml:space="preserve">Mueble Repisa 01 Nivel Melamina Blanco con respaldos metalicos </v>
          </cell>
          <cell r="O3835" t="str">
            <v>REPISA</v>
          </cell>
          <cell r="P3835">
            <v>14900</v>
          </cell>
          <cell r="T3835" t="str">
            <v>Bueno</v>
          </cell>
          <cell r="U3835" t="str">
            <v>N/T</v>
          </cell>
        </row>
        <row r="3836">
          <cell r="J3836" t="str">
            <v>42-05-01-01-3828</v>
          </cell>
          <cell r="L3836" t="str">
            <v>42-05-01-01-3828</v>
          </cell>
          <cell r="M3836" t="str">
            <v>Calentador y Ventilador  MAGAFESA GREY Color Gris</v>
          </cell>
          <cell r="O3836" t="str">
            <v>EQUIPO DE OFICINA</v>
          </cell>
          <cell r="P3836">
            <v>24500</v>
          </cell>
          <cell r="T3836" t="str">
            <v>Bueno</v>
          </cell>
          <cell r="U3836" t="str">
            <v>MAGAFESA</v>
          </cell>
        </row>
        <row r="3837">
          <cell r="J3837" t="str">
            <v>42-05-01-01-3829</v>
          </cell>
          <cell r="L3837" t="str">
            <v>42-05-01-01-3829</v>
          </cell>
          <cell r="M3837" t="str">
            <v xml:space="preserve">Calentador y Ventilador Somela Blanco </v>
          </cell>
          <cell r="O3837" t="str">
            <v>EQUIPO DE OFICINA</v>
          </cell>
          <cell r="P3837">
            <v>22300</v>
          </cell>
          <cell r="T3837" t="str">
            <v>Bueno</v>
          </cell>
          <cell r="U3837" t="str">
            <v>SOMELA</v>
          </cell>
        </row>
        <row r="3838">
          <cell r="J3838" t="str">
            <v>42-05-01-01-3830</v>
          </cell>
          <cell r="L3838" t="str">
            <v>42-05-01-01-3830</v>
          </cell>
          <cell r="M3838" t="str">
            <v>Hervidor Agua Blanco Kioto JK - 1703</v>
          </cell>
          <cell r="O3838" t="str">
            <v>EQUIPO DE OFICINA</v>
          </cell>
          <cell r="P3838">
            <v>17900</v>
          </cell>
          <cell r="T3838" t="str">
            <v>Bueno</v>
          </cell>
          <cell r="U3838" t="str">
            <v>KIOTO</v>
          </cell>
        </row>
        <row r="3839">
          <cell r="J3839" t="str">
            <v>42-04-07-00-3831</v>
          </cell>
          <cell r="L3839" t="str">
            <v>42-04-07-00-3831</v>
          </cell>
          <cell r="M3839" t="str">
            <v>Papelero Plastico Con Tapa Terracota</v>
          </cell>
          <cell r="O3839" t="str">
            <v>OTROS</v>
          </cell>
          <cell r="P3839">
            <v>3500</v>
          </cell>
          <cell r="T3839" t="str">
            <v>Bueno</v>
          </cell>
          <cell r="U3839" t="str">
            <v>N/T</v>
          </cell>
        </row>
        <row r="3840">
          <cell r="J3840" t="str">
            <v>42-05-02-05-3832</v>
          </cell>
          <cell r="L3840" t="str">
            <v>42-05-02-05-3832</v>
          </cell>
          <cell r="M3840" t="str">
            <v>Sistema Luz De Emergencia VKB AT 108A</v>
          </cell>
          <cell r="O3840" t="str">
            <v>EQUIPOS DE SEGURIDAD</v>
          </cell>
          <cell r="P3840">
            <v>35000</v>
          </cell>
          <cell r="T3840" t="str">
            <v>Bueno</v>
          </cell>
          <cell r="U3840" t="str">
            <v>N/T</v>
          </cell>
        </row>
        <row r="3841">
          <cell r="J3841" t="str">
            <v>42-05-01-01-3833</v>
          </cell>
          <cell r="L3841" t="str">
            <v>42-05-01-01-3833</v>
          </cell>
          <cell r="M3841" t="str">
            <v>LCD 32" AOC Envision Series Negro Model N LC32W033</v>
          </cell>
          <cell r="O3841" t="str">
            <v>EQUIPO DE OFICINA</v>
          </cell>
          <cell r="P3841">
            <v>180000</v>
          </cell>
          <cell r="T3841" t="str">
            <v>Bueno</v>
          </cell>
          <cell r="U3841" t="str">
            <v>AOC</v>
          </cell>
        </row>
        <row r="3842">
          <cell r="J3842" t="str">
            <v>42-05-01-01-3834</v>
          </cell>
          <cell r="L3842" t="str">
            <v>42-05-01-01-3834</v>
          </cell>
          <cell r="M3842" t="str">
            <v>Regulador Temperatura IMIT Blanco</v>
          </cell>
          <cell r="O3842" t="str">
            <v>EQUIPO DE OFICINA</v>
          </cell>
          <cell r="P3842">
            <v>25200</v>
          </cell>
          <cell r="T3842" t="str">
            <v>Bueno</v>
          </cell>
          <cell r="U3842" t="str">
            <v>IMIT</v>
          </cell>
        </row>
        <row r="3843">
          <cell r="J3843" t="str">
            <v>42-05-01-01-3835</v>
          </cell>
          <cell r="L3843" t="str">
            <v>42-05-01-01-3835</v>
          </cell>
          <cell r="M3843" t="str">
            <v>Citòfono/ telefono marca Nortel Network, Modelo 7000</v>
          </cell>
          <cell r="O3843" t="str">
            <v>EQUIPO DE OFICINA</v>
          </cell>
          <cell r="P3843">
            <v>36200</v>
          </cell>
          <cell r="T3843" t="str">
            <v>Bueno</v>
          </cell>
          <cell r="U3843" t="str">
            <v>Nortel Network</v>
          </cell>
        </row>
        <row r="3844">
          <cell r="J3844" t="str">
            <v>42-05-02-05-3836</v>
          </cell>
          <cell r="L3844" t="str">
            <v>42-05-02-05-3836</v>
          </cell>
          <cell r="M3844" t="str">
            <v>Tablero Electrico T.D.G.A.F. y Computación</v>
          </cell>
          <cell r="O3844" t="str">
            <v>EQUIPOS DE SEGURIDAD</v>
          </cell>
          <cell r="P3844">
            <v>110000</v>
          </cell>
          <cell r="T3844" t="str">
            <v>Bueno</v>
          </cell>
          <cell r="U3844" t="str">
            <v>N/T</v>
          </cell>
        </row>
        <row r="3845">
          <cell r="J3845" t="str">
            <v>42-05-02-05-3837</v>
          </cell>
          <cell r="L3845" t="str">
            <v>42-05-02-05-3837</v>
          </cell>
          <cell r="M3845" t="str">
            <v>Interruptor Ascensor Hidalgo</v>
          </cell>
          <cell r="O3845" t="str">
            <v>EQUIPOS DE SEGURIDAD</v>
          </cell>
          <cell r="P3845">
            <v>19900</v>
          </cell>
          <cell r="T3845" t="str">
            <v>Bueno</v>
          </cell>
          <cell r="U3845" t="str">
            <v>N/T</v>
          </cell>
        </row>
        <row r="3846">
          <cell r="J3846" t="str">
            <v>42-05-02-05-3838</v>
          </cell>
          <cell r="L3846" t="str">
            <v>42-05-02-05-3838</v>
          </cell>
          <cell r="M3846" t="str">
            <v>Tablero Electrico T. D. A. y Maternidad</v>
          </cell>
          <cell r="O3846" t="str">
            <v>EQUIPOS DE SEGURIDAD</v>
          </cell>
          <cell r="P3846">
            <v>110000</v>
          </cell>
          <cell r="T3846" t="str">
            <v>Bueno</v>
          </cell>
          <cell r="U3846" t="str">
            <v>N/T</v>
          </cell>
        </row>
        <row r="3847">
          <cell r="J3847" t="str">
            <v>42-05-01-01-3839</v>
          </cell>
          <cell r="L3847" t="str">
            <v>42-05-01-01-3839</v>
          </cell>
          <cell r="M3847" t="str">
            <v>Citòfono/ telefono marca Nortel Network, Modelo 7000</v>
          </cell>
          <cell r="O3847" t="str">
            <v>EQUIPO DE OFICINA</v>
          </cell>
          <cell r="P3847">
            <v>13200</v>
          </cell>
          <cell r="T3847" t="str">
            <v>Bueno</v>
          </cell>
          <cell r="U3847" t="str">
            <v>Nortel Network</v>
          </cell>
        </row>
        <row r="3848">
          <cell r="J3848" t="str">
            <v>42-05-01-01-3840</v>
          </cell>
          <cell r="L3848" t="str">
            <v>42-05-01-01-3840</v>
          </cell>
          <cell r="M3848" t="str">
            <v>Parlante Ambiental / Citofono</v>
          </cell>
          <cell r="O3848" t="str">
            <v>EQUIPO DE OFICINA</v>
          </cell>
          <cell r="P3848">
            <v>16500</v>
          </cell>
          <cell r="T3848" t="str">
            <v>Bueno</v>
          </cell>
          <cell r="U3848" t="str">
            <v>N/T</v>
          </cell>
        </row>
        <row r="3849">
          <cell r="J3849" t="str">
            <v>42-05-02-05-3841</v>
          </cell>
          <cell r="L3849" t="str">
            <v>42-05-02-05-3841</v>
          </cell>
          <cell r="M3849" t="str">
            <v>Sistema Emergencia SUMMIT Fire</v>
          </cell>
          <cell r="O3849" t="str">
            <v>EQUIPOS DE SEGURIDAD</v>
          </cell>
          <cell r="P3849">
            <v>21900</v>
          </cell>
          <cell r="T3849" t="str">
            <v>Bueno</v>
          </cell>
          <cell r="U3849" t="str">
            <v>SUMMIT</v>
          </cell>
        </row>
        <row r="3850">
          <cell r="J3850" t="str">
            <v>42-04-07-00-3842</v>
          </cell>
          <cell r="L3850" t="str">
            <v>42-04-07-00-3842</v>
          </cell>
          <cell r="M3850" t="str">
            <v>Altar Con Imagenes Religiosas Cristo + Virgen Maria + Florero y 2 Caldelabros</v>
          </cell>
          <cell r="O3850" t="str">
            <v>OTROS</v>
          </cell>
          <cell r="P3850">
            <v>250000</v>
          </cell>
          <cell r="T3850" t="str">
            <v>Bueno</v>
          </cell>
          <cell r="U3850" t="str">
            <v>N/T</v>
          </cell>
        </row>
        <row r="3851">
          <cell r="J3851" t="str">
            <v>42-06-01-00-3843</v>
          </cell>
          <cell r="L3851" t="str">
            <v>42-06-01-00-3843</v>
          </cell>
          <cell r="M3851" t="str">
            <v xml:space="preserve">Caja Box RACK Instalación De RED y Sistema Conexión </v>
          </cell>
          <cell r="O3851" t="str">
            <v>EQUIPOS COMPUTACIONALES Y PERIFÉRICOS</v>
          </cell>
          <cell r="P3851">
            <v>269000</v>
          </cell>
          <cell r="T3851" t="str">
            <v>Bueno</v>
          </cell>
          <cell r="U3851" t="str">
            <v>N/T</v>
          </cell>
        </row>
        <row r="3852">
          <cell r="J3852" t="str">
            <v>42-05-02-05-3844</v>
          </cell>
          <cell r="L3852" t="str">
            <v>42-05-02-05-3844</v>
          </cell>
          <cell r="M3852" t="str">
            <v>Sistema Alarma Contra Incendio Sensor Humo</v>
          </cell>
          <cell r="O3852" t="str">
            <v>EQUIPOS DE SEGURIDAD</v>
          </cell>
          <cell r="P3852">
            <v>21900</v>
          </cell>
          <cell r="T3852" t="str">
            <v>Bueno</v>
          </cell>
          <cell r="U3852" t="str">
            <v>N/T</v>
          </cell>
        </row>
        <row r="3853">
          <cell r="J3853" t="str">
            <v>42-05-02-03-3845</v>
          </cell>
          <cell r="L3853" t="str">
            <v>42-05-02-03-3845</v>
          </cell>
          <cell r="M3853" t="str">
            <v>Citofono Parlante Ambiental</v>
          </cell>
          <cell r="O3853" t="str">
            <v>EQUIPOS DE COMUNICACIÓN</v>
          </cell>
          <cell r="P3853">
            <v>26200</v>
          </cell>
          <cell r="T3853" t="str">
            <v>Bueno</v>
          </cell>
          <cell r="U3853" t="str">
            <v>Nortel Network</v>
          </cell>
        </row>
        <row r="3854">
          <cell r="J3854" t="str">
            <v>42-05-02-05-3846</v>
          </cell>
          <cell r="L3854" t="str">
            <v>42-05-02-05-3846</v>
          </cell>
          <cell r="M3854" t="str">
            <v>Tablero T.D. A. y F. Policlinico</v>
          </cell>
          <cell r="O3854" t="str">
            <v>EQUIPOS DE SEGURIDAD</v>
          </cell>
          <cell r="P3854">
            <v>120000</v>
          </cell>
          <cell r="T3854" t="str">
            <v>Bueno</v>
          </cell>
          <cell r="U3854" t="str">
            <v>N/T</v>
          </cell>
        </row>
        <row r="3855">
          <cell r="J3855" t="str">
            <v>42-04-07-00-3847</v>
          </cell>
          <cell r="L3855" t="str">
            <v>42-04-07-00-3847</v>
          </cell>
          <cell r="M3855" t="str">
            <v>Basurero Plastico Plomo Con Tapa</v>
          </cell>
          <cell r="O3855" t="str">
            <v>OTROS</v>
          </cell>
          <cell r="P3855">
            <v>4000</v>
          </cell>
          <cell r="T3855" t="str">
            <v>Bueno</v>
          </cell>
          <cell r="U3855" t="str">
            <v>N/T</v>
          </cell>
        </row>
        <row r="3856">
          <cell r="J3856" t="str">
            <v>42-04-07-00-3848</v>
          </cell>
          <cell r="L3856" t="str">
            <v>42-04-07-00-3848</v>
          </cell>
          <cell r="M3856" t="str">
            <v>Mural Madera Blanco Plumavit Forro Azul</v>
          </cell>
          <cell r="O3856" t="str">
            <v>OTROS</v>
          </cell>
          <cell r="P3856">
            <v>7500</v>
          </cell>
          <cell r="T3856" t="str">
            <v>Bueno</v>
          </cell>
          <cell r="U3856" t="str">
            <v>N/T</v>
          </cell>
        </row>
        <row r="3857">
          <cell r="J3857" t="str">
            <v>42-05-02-03-3849</v>
          </cell>
          <cell r="L3857" t="str">
            <v>42-05-02-03-3849</v>
          </cell>
          <cell r="M3857" t="str">
            <v>Parlante Ambiental / Citofono</v>
          </cell>
          <cell r="O3857" t="str">
            <v>EQUIPOS DE COMUNICACIÓN</v>
          </cell>
          <cell r="P3857">
            <v>16500</v>
          </cell>
          <cell r="T3857" t="str">
            <v>Bueno</v>
          </cell>
          <cell r="U3857" t="str">
            <v>N/T</v>
          </cell>
        </row>
        <row r="3858">
          <cell r="J3858" t="str">
            <v>42-04-07-00-3850</v>
          </cell>
          <cell r="L3858" t="str">
            <v>42-04-07-00-3850</v>
          </cell>
          <cell r="M3858" t="str">
            <v>Basurero Color Plomo Con Tapa Plastico</v>
          </cell>
          <cell r="O3858" t="str">
            <v>OTROS</v>
          </cell>
          <cell r="P3858">
            <v>4000</v>
          </cell>
          <cell r="T3858" t="str">
            <v>Bueno</v>
          </cell>
          <cell r="U3858" t="str">
            <v>N/T</v>
          </cell>
        </row>
        <row r="3859">
          <cell r="J3859" t="str">
            <v>42-04-07-00-3851</v>
          </cell>
          <cell r="L3859" t="str">
            <v>42-04-07-00-3851</v>
          </cell>
          <cell r="M3859" t="str">
            <v>Banca Madera Color Plomo</v>
          </cell>
          <cell r="O3859" t="str">
            <v>OTROS</v>
          </cell>
          <cell r="P3859">
            <v>16500</v>
          </cell>
          <cell r="T3859" t="str">
            <v>Bueno</v>
          </cell>
          <cell r="U3859" t="str">
            <v>N/T</v>
          </cell>
        </row>
        <row r="3860">
          <cell r="J3860" t="str">
            <v>42-05-02-05-3852</v>
          </cell>
          <cell r="L3860" t="str">
            <v>42-05-02-05-3852</v>
          </cell>
          <cell r="M3860" t="str">
            <v>Sistema Alerta Seguridad Fire SUMMIT</v>
          </cell>
          <cell r="O3860" t="str">
            <v>EQUIPOS DE SEGURIDAD</v>
          </cell>
          <cell r="P3860">
            <v>21900</v>
          </cell>
          <cell r="T3860" t="str">
            <v>Bueno</v>
          </cell>
          <cell r="U3860" t="str">
            <v>SUMMIT</v>
          </cell>
        </row>
        <row r="3861">
          <cell r="J3861" t="str">
            <v>42-05-01-01-3853</v>
          </cell>
          <cell r="L3861" t="str">
            <v>42-05-01-01-3853</v>
          </cell>
          <cell r="M3861" t="str">
            <v>Reloj Mural Blanco Redondo Marca Casio</v>
          </cell>
          <cell r="O3861" t="str">
            <v>EQUIPO DE OFICINA</v>
          </cell>
          <cell r="P3861">
            <v>6500</v>
          </cell>
          <cell r="T3861" t="str">
            <v>Bueno</v>
          </cell>
          <cell r="U3861" t="str">
            <v>CASIO</v>
          </cell>
        </row>
        <row r="3862">
          <cell r="J3862" t="str">
            <v>42-05-01-01-3854</v>
          </cell>
          <cell r="L3862" t="str">
            <v>42-05-01-01-3854</v>
          </cell>
          <cell r="M3862" t="str">
            <v>Counter Farmacia - Contador De Atenciones</v>
          </cell>
          <cell r="O3862" t="str">
            <v>EQUIPO DE OFICINA</v>
          </cell>
          <cell r="P3862">
            <v>89500</v>
          </cell>
          <cell r="T3862" t="str">
            <v>Bueno</v>
          </cell>
          <cell r="U3862" t="str">
            <v>N/T</v>
          </cell>
        </row>
        <row r="3863">
          <cell r="J3863" t="str">
            <v>42-04-07-00-3855</v>
          </cell>
          <cell r="L3863" t="str">
            <v>42-04-07-00-3855</v>
          </cell>
          <cell r="M3863" t="str">
            <v>Banca Madera Color Plomo</v>
          </cell>
          <cell r="O3863" t="str">
            <v>OTROS</v>
          </cell>
          <cell r="P3863">
            <v>14900</v>
          </cell>
          <cell r="T3863" t="str">
            <v>Bueno</v>
          </cell>
          <cell r="U3863" t="str">
            <v>N/T</v>
          </cell>
        </row>
        <row r="3864">
          <cell r="J3864" t="str">
            <v>42-04-07-00-3856</v>
          </cell>
          <cell r="L3864" t="str">
            <v>42-04-07-00-3856</v>
          </cell>
          <cell r="M3864" t="str">
            <v>Banca Mixta Color Plomo</v>
          </cell>
          <cell r="O3864" t="str">
            <v>OTROS</v>
          </cell>
          <cell r="P3864">
            <v>15900</v>
          </cell>
          <cell r="T3864" t="str">
            <v>Bueno</v>
          </cell>
          <cell r="U3864" t="str">
            <v>N/T</v>
          </cell>
        </row>
        <row r="3865">
          <cell r="J3865" t="str">
            <v>42-04-07-00-3857</v>
          </cell>
          <cell r="L3865" t="str">
            <v>42-04-07-00-3857</v>
          </cell>
          <cell r="M3865" t="str">
            <v>Basurero Plastico Color Gris Con Tapa</v>
          </cell>
          <cell r="O3865" t="str">
            <v>OTROS</v>
          </cell>
          <cell r="P3865">
            <v>4000</v>
          </cell>
          <cell r="T3865" t="str">
            <v>Bueno</v>
          </cell>
          <cell r="U3865" t="str">
            <v>N/T</v>
          </cell>
        </row>
        <row r="3866">
          <cell r="J3866" t="str">
            <v>42-05-01-01-3858</v>
          </cell>
          <cell r="L3866" t="str">
            <v>42-05-01-01-3858</v>
          </cell>
          <cell r="M3866" t="str">
            <v>Reloj Crono Termostato</v>
          </cell>
          <cell r="O3866" t="str">
            <v>EQUIPO DE OFICINA</v>
          </cell>
          <cell r="P3866">
            <v>28500</v>
          </cell>
          <cell r="T3866" t="str">
            <v>Bueno</v>
          </cell>
          <cell r="U3866" t="str">
            <v>N/T</v>
          </cell>
        </row>
        <row r="3867">
          <cell r="J3867" t="str">
            <v>42-04-07-00-3859</v>
          </cell>
          <cell r="L3867" t="str">
            <v>42-04-07-00-3859</v>
          </cell>
          <cell r="M3867" t="str">
            <v>Caja Masisa para Televisor color Miel Con tapa y Seguro de Candado</v>
          </cell>
          <cell r="O3867" t="str">
            <v>OTROS</v>
          </cell>
          <cell r="P3867">
            <v>25500</v>
          </cell>
          <cell r="T3867" t="str">
            <v>Bueno</v>
          </cell>
          <cell r="U3867" t="str">
            <v>N/T</v>
          </cell>
        </row>
        <row r="3868">
          <cell r="J3868" t="str">
            <v>42-04-07-00-3860</v>
          </cell>
          <cell r="L3868" t="str">
            <v>42-04-07-00-3860</v>
          </cell>
          <cell r="M3868" t="str">
            <v xml:space="preserve">Caja Masisa para Video Reproductor VHS Color Blanco Con Tapa y Seguro </v>
          </cell>
          <cell r="O3868" t="str">
            <v>OTROS</v>
          </cell>
          <cell r="P3868">
            <v>9900</v>
          </cell>
          <cell r="T3868" t="str">
            <v>Bueno</v>
          </cell>
          <cell r="U3868" t="str">
            <v>N/T</v>
          </cell>
        </row>
        <row r="3869">
          <cell r="J3869" t="str">
            <v>42-05-02-05-3861</v>
          </cell>
          <cell r="L3869" t="str">
            <v>42-05-02-05-3861</v>
          </cell>
          <cell r="M3869" t="str">
            <v>Sistema Iluminación de Emergencia VKB</v>
          </cell>
          <cell r="O3869" t="str">
            <v>EQUIPOS DE SEGURIDAD</v>
          </cell>
          <cell r="P3869">
            <v>35000</v>
          </cell>
          <cell r="T3869" t="str">
            <v>Bueno</v>
          </cell>
          <cell r="U3869" t="str">
            <v>VKB</v>
          </cell>
        </row>
        <row r="3870">
          <cell r="J3870" t="str">
            <v>42-05-02-03-3862</v>
          </cell>
          <cell r="L3870" t="str">
            <v>42-05-02-03-3862</v>
          </cell>
          <cell r="M3870" t="str">
            <v>Parlante Citofono Ambiental</v>
          </cell>
          <cell r="O3870" t="str">
            <v>EQUIPOS DE COMUNICACIÓN</v>
          </cell>
          <cell r="P3870">
            <v>16500</v>
          </cell>
          <cell r="T3870" t="str">
            <v>Bueno</v>
          </cell>
          <cell r="U3870" t="str">
            <v>N/T</v>
          </cell>
        </row>
        <row r="3871">
          <cell r="J3871" t="str">
            <v>42-05-02-05-3863</v>
          </cell>
          <cell r="L3871" t="str">
            <v>42-05-02-05-3863</v>
          </cell>
          <cell r="M3871" t="str">
            <v>Sistema Iluminación de Emergencia VKB</v>
          </cell>
          <cell r="O3871" t="str">
            <v>EQUIPOS DE SEGURIDAD</v>
          </cell>
          <cell r="P3871">
            <v>35000</v>
          </cell>
          <cell r="T3871" t="str">
            <v>Bueno</v>
          </cell>
          <cell r="U3871" t="str">
            <v>VKB</v>
          </cell>
        </row>
        <row r="3872">
          <cell r="J3872" t="str">
            <v>42-04-07-00-3864</v>
          </cell>
          <cell r="L3872" t="str">
            <v>42-04-07-00-3864</v>
          </cell>
          <cell r="M3872" t="str">
            <v>Banca Mixta Color Plomo</v>
          </cell>
          <cell r="O3872" t="str">
            <v>OTROS</v>
          </cell>
          <cell r="P3872">
            <v>15900</v>
          </cell>
          <cell r="T3872" t="str">
            <v>Bueno</v>
          </cell>
          <cell r="U3872" t="str">
            <v>N/T</v>
          </cell>
        </row>
        <row r="3873">
          <cell r="J3873" t="str">
            <v>42-04-07-00-3865</v>
          </cell>
          <cell r="L3873" t="str">
            <v>42-04-07-00-3865</v>
          </cell>
          <cell r="M3873" t="str">
            <v>Banca Mixta Color Plomo</v>
          </cell>
          <cell r="O3873" t="str">
            <v>OTROS</v>
          </cell>
          <cell r="P3873">
            <v>15900</v>
          </cell>
          <cell r="T3873" t="str">
            <v>Bueno</v>
          </cell>
          <cell r="U3873" t="str">
            <v>N/T</v>
          </cell>
        </row>
        <row r="3874">
          <cell r="J3874" t="str">
            <v>42-04-07-00-3866</v>
          </cell>
          <cell r="L3874" t="str">
            <v>42-04-07-00-3866</v>
          </cell>
          <cell r="M3874" t="str">
            <v>Banca Mixta Color Plomo</v>
          </cell>
          <cell r="O3874" t="str">
            <v>OTROS</v>
          </cell>
          <cell r="P3874">
            <v>15900</v>
          </cell>
          <cell r="T3874" t="str">
            <v>Bueno</v>
          </cell>
          <cell r="U3874" t="str">
            <v>N/T</v>
          </cell>
        </row>
        <row r="3875">
          <cell r="J3875" t="str">
            <v>42-05-02-05-3867</v>
          </cell>
          <cell r="L3875" t="str">
            <v>42-05-02-05-3867</v>
          </cell>
          <cell r="M3875" t="str">
            <v>Tablero T. D. A. y F. Urgencia</v>
          </cell>
          <cell r="O3875" t="str">
            <v>EQUIPOS DE SEGURIDAD</v>
          </cell>
          <cell r="P3875">
            <v>120000</v>
          </cell>
          <cell r="T3875" t="str">
            <v>Bueno</v>
          </cell>
          <cell r="U3875" t="str">
            <v>N/T</v>
          </cell>
        </row>
        <row r="3876">
          <cell r="J3876" t="str">
            <v>42-05-02-05-3868</v>
          </cell>
          <cell r="L3876" t="str">
            <v>42-05-02-05-3868</v>
          </cell>
          <cell r="M3876" t="str">
            <v xml:space="preserve">Control Valvulas de Emergencia Oxigeno - </v>
          </cell>
          <cell r="O3876" t="str">
            <v>EQUIPOS DE SEGURIDAD</v>
          </cell>
          <cell r="P3876">
            <v>99500</v>
          </cell>
          <cell r="T3876" t="str">
            <v>Bueno</v>
          </cell>
          <cell r="U3876" t="str">
            <v>N/T</v>
          </cell>
        </row>
        <row r="3877">
          <cell r="J3877" t="str">
            <v>42-04-07-00-3869</v>
          </cell>
          <cell r="L3877" t="str">
            <v>42-04-07-00-3869</v>
          </cell>
          <cell r="M3877" t="str">
            <v>Caja para llaves Madera Color Café Puerta con Vidrio</v>
          </cell>
          <cell r="O3877" t="str">
            <v>OTROS</v>
          </cell>
          <cell r="P3877">
            <v>8900</v>
          </cell>
          <cell r="T3877" t="str">
            <v>Bueno</v>
          </cell>
          <cell r="U3877" t="str">
            <v>N/T</v>
          </cell>
        </row>
        <row r="3878">
          <cell r="J3878" t="str">
            <v>42-04-07-00-3870</v>
          </cell>
          <cell r="L3878" t="str">
            <v>42-04-07-00-3870</v>
          </cell>
          <cell r="M3878" t="str">
            <v>Basurero Plastico Blanco Con Tapa</v>
          </cell>
          <cell r="O3878" t="str">
            <v>OTROS</v>
          </cell>
          <cell r="P3878">
            <v>4000</v>
          </cell>
          <cell r="T3878" t="str">
            <v>Bueno</v>
          </cell>
          <cell r="U3878" t="str">
            <v>N/T</v>
          </cell>
        </row>
        <row r="3879">
          <cell r="J3879" t="str">
            <v>42-04-07-00-3871</v>
          </cell>
          <cell r="L3879" t="str">
            <v>42-04-07-00-3871</v>
          </cell>
          <cell r="M3879" t="str">
            <v>Caja Masisa Color Plomo 1.70x60x60 C/Tapa y Seguro de Candado</v>
          </cell>
          <cell r="O3879" t="str">
            <v>OTROS</v>
          </cell>
          <cell r="P3879">
            <v>28900</v>
          </cell>
          <cell r="T3879" t="str">
            <v>Bueno</v>
          </cell>
          <cell r="U3879" t="str">
            <v>N/T</v>
          </cell>
        </row>
        <row r="3880">
          <cell r="J3880" t="str">
            <v>42-04-07-00-3872</v>
          </cell>
          <cell r="L3880" t="str">
            <v>42-04-07-00-3872</v>
          </cell>
          <cell r="M3880" t="str">
            <v>Mural Madera Verde con 2 Puertas De Vidrio con Seguro y Chapa</v>
          </cell>
          <cell r="O3880" t="str">
            <v>OTROS</v>
          </cell>
          <cell r="P3880">
            <v>19900</v>
          </cell>
          <cell r="T3880" t="str">
            <v>Bueno</v>
          </cell>
          <cell r="U3880" t="str">
            <v>N/T</v>
          </cell>
        </row>
        <row r="3881">
          <cell r="J3881" t="str">
            <v>42-05-02-03-3873</v>
          </cell>
          <cell r="L3881" t="str">
            <v>42-05-02-03-3873</v>
          </cell>
          <cell r="M3881" t="str">
            <v>Parlante Citofono Ambiental</v>
          </cell>
          <cell r="O3881" t="str">
            <v>EQUIPOS DE COMUNICACIÓN</v>
          </cell>
          <cell r="P3881">
            <v>16500</v>
          </cell>
          <cell r="T3881" t="str">
            <v>Bueno</v>
          </cell>
          <cell r="U3881" t="str">
            <v>N/T</v>
          </cell>
        </row>
        <row r="3882">
          <cell r="J3882" t="str">
            <v>42-05-02-03-3874</v>
          </cell>
          <cell r="L3882" t="str">
            <v>42-05-02-03-3874</v>
          </cell>
          <cell r="M3882" t="str">
            <v>Parlante Citofono Ambiental</v>
          </cell>
          <cell r="O3882" t="str">
            <v>EQUIPOS DE COMUNICACIÓN</v>
          </cell>
          <cell r="P3882">
            <v>16500</v>
          </cell>
          <cell r="T3882" t="str">
            <v>Bueno</v>
          </cell>
          <cell r="U3882" t="str">
            <v>N/T</v>
          </cell>
        </row>
        <row r="3883">
          <cell r="J3883" t="str">
            <v>42-05-02-05-3875</v>
          </cell>
          <cell r="L3883" t="str">
            <v>42-05-02-05-3875</v>
          </cell>
          <cell r="M3883" t="str">
            <v>Sensor Sistema Alerta Seguridad Contra Incendio - Humo</v>
          </cell>
          <cell r="O3883" t="str">
            <v>EQUIPOS DE SEGURIDAD</v>
          </cell>
          <cell r="P3883">
            <v>21900</v>
          </cell>
          <cell r="T3883" t="str">
            <v>Bueno</v>
          </cell>
          <cell r="U3883" t="str">
            <v>SUMMIT</v>
          </cell>
        </row>
        <row r="3884">
          <cell r="J3884" t="str">
            <v>42-05-02-05-3876</v>
          </cell>
          <cell r="L3884" t="str">
            <v>42-05-02-05-3876</v>
          </cell>
          <cell r="M3884" t="str">
            <v>Sistema Iluminación Emergencia VKB</v>
          </cell>
          <cell r="O3884" t="str">
            <v>EQUIPOS DE SEGURIDAD</v>
          </cell>
          <cell r="P3884">
            <v>35000</v>
          </cell>
          <cell r="T3884" t="str">
            <v>Bueno</v>
          </cell>
          <cell r="U3884" t="str">
            <v>VKB</v>
          </cell>
        </row>
        <row r="3885">
          <cell r="J3885" t="str">
            <v>42-04-02-00-3877</v>
          </cell>
          <cell r="L3885" t="str">
            <v>42-04-02-00-3877</v>
          </cell>
          <cell r="M3885" t="str">
            <v>Silla Computación 5 Ruedas Azul con Apoya Brazos</v>
          </cell>
          <cell r="O3885" t="str">
            <v>SILLAS</v>
          </cell>
          <cell r="P3885">
            <v>42500</v>
          </cell>
          <cell r="T3885" t="str">
            <v>Bueno</v>
          </cell>
          <cell r="U3885" t="str">
            <v>N/T</v>
          </cell>
        </row>
        <row r="3886">
          <cell r="J3886" t="str">
            <v>42-04-07-00-3878</v>
          </cell>
          <cell r="L3886" t="str">
            <v>42-04-07-00-3878</v>
          </cell>
          <cell r="M3886" t="str">
            <v>Porta Toallas TORK</v>
          </cell>
          <cell r="O3886" t="str">
            <v>OTROS</v>
          </cell>
          <cell r="P3886">
            <v>17000</v>
          </cell>
          <cell r="T3886" t="str">
            <v>Bueno</v>
          </cell>
          <cell r="U3886" t="str">
            <v>TORK</v>
          </cell>
        </row>
        <row r="3887">
          <cell r="J3887" t="str">
            <v>42-04-06-00-3879</v>
          </cell>
          <cell r="L3887" t="str">
            <v>42-04-06-00-3879</v>
          </cell>
          <cell r="M3887" t="str">
            <v>Mueble Blanco Madera y Melamina 21 Compartimientos</v>
          </cell>
          <cell r="O3887" t="str">
            <v>REPISA</v>
          </cell>
          <cell r="P3887">
            <v>24900</v>
          </cell>
          <cell r="T3887" t="str">
            <v>Bueno</v>
          </cell>
          <cell r="U3887" t="str">
            <v>N/T</v>
          </cell>
        </row>
        <row r="3888">
          <cell r="J3888" t="str">
            <v>42-04-07-00-3880</v>
          </cell>
          <cell r="L3888" t="str">
            <v>42-04-07-00-3880</v>
          </cell>
          <cell r="M3888" t="str">
            <v>Lavamanos con Pedestal Loza Blanco C/Llave Monomando</v>
          </cell>
          <cell r="O3888" t="str">
            <v>OTROS</v>
          </cell>
          <cell r="P3888">
            <v>11000</v>
          </cell>
          <cell r="T3888" t="str">
            <v>Bueno</v>
          </cell>
          <cell r="U3888" t="str">
            <v>N/T</v>
          </cell>
        </row>
        <row r="3889">
          <cell r="J3889" t="str">
            <v>42-04-07-00-3881</v>
          </cell>
          <cell r="L3889" t="str">
            <v>42-04-07-00-3881</v>
          </cell>
          <cell r="M3889" t="str">
            <v>Biombo Metalico Blanco con 3 Cortinas Verde Agua</v>
          </cell>
          <cell r="O3889" t="str">
            <v>OTROS</v>
          </cell>
          <cell r="P3889">
            <v>19900</v>
          </cell>
          <cell r="T3889" t="str">
            <v>Bueno</v>
          </cell>
          <cell r="U3889" t="str">
            <v>N/T</v>
          </cell>
        </row>
        <row r="3890">
          <cell r="J3890" t="str">
            <v>42-04-03-00-3882</v>
          </cell>
          <cell r="L3890" t="str">
            <v>42-04-03-00-3882</v>
          </cell>
          <cell r="M3890" t="str">
            <v>Escritorio Melamina Blanco Atención a Publico</v>
          </cell>
          <cell r="O3890" t="str">
            <v>ESCRITORIOS</v>
          </cell>
          <cell r="P3890">
            <v>24900</v>
          </cell>
          <cell r="T3890" t="str">
            <v>Bueno</v>
          </cell>
          <cell r="U3890" t="str">
            <v>N/T</v>
          </cell>
        </row>
        <row r="3891">
          <cell r="J3891" t="str">
            <v>42-05-02-01-3883</v>
          </cell>
          <cell r="L3891" t="str">
            <v>42-05-02-01-3883</v>
          </cell>
          <cell r="M3891" t="str">
            <v>Termometro Refrigeración Externo</v>
          </cell>
          <cell r="O3891" t="str">
            <v>EQUIPOS CLINICOS</v>
          </cell>
          <cell r="P3891">
            <v>15900</v>
          </cell>
          <cell r="T3891" t="str">
            <v>Bueno</v>
          </cell>
          <cell r="U3891" t="str">
            <v>N/T</v>
          </cell>
        </row>
        <row r="3892">
          <cell r="J3892" t="str">
            <v>FN-04-07-00-3884</v>
          </cell>
          <cell r="L3892" t="str">
            <v>FN-04-07-00-3884</v>
          </cell>
          <cell r="M3892" t="str">
            <v>Porta cortinas metálico</v>
          </cell>
          <cell r="O3892" t="str">
            <v>OTROS FUNGIBLE / NOMINABLE</v>
          </cell>
          <cell r="P3892">
            <v>2500</v>
          </cell>
          <cell r="T3892" t="str">
            <v>Bueno</v>
          </cell>
          <cell r="U3892" t="str">
            <v>N/T</v>
          </cell>
        </row>
        <row r="3893">
          <cell r="J3893" t="str">
            <v>FN-04-07-00-3885</v>
          </cell>
          <cell r="L3893" t="str">
            <v>FN-04-07-00-3885</v>
          </cell>
          <cell r="M3893" t="str">
            <v>Cortinas Blanco Invierno</v>
          </cell>
          <cell r="O3893" t="str">
            <v>OTROS FUNGIBLE / NOMINABLE</v>
          </cell>
          <cell r="P3893">
            <v>12500</v>
          </cell>
          <cell r="T3893" t="str">
            <v>Bueno</v>
          </cell>
          <cell r="U3893" t="str">
            <v>N/T</v>
          </cell>
        </row>
        <row r="3894">
          <cell r="J3894" t="str">
            <v>42-04-03-00-3886</v>
          </cell>
          <cell r="L3894" t="str">
            <v>42-04-03-00-3886</v>
          </cell>
          <cell r="M3894" t="str">
            <v>Escritorio PC Melamina Enchapado 01 Cajon C/ Llave</v>
          </cell>
          <cell r="O3894" t="str">
            <v>ESCRITORIOS</v>
          </cell>
          <cell r="P3894">
            <v>65900</v>
          </cell>
          <cell r="T3894" t="str">
            <v>Bueno</v>
          </cell>
          <cell r="U3894" t="str">
            <v>N/T</v>
          </cell>
        </row>
        <row r="3895">
          <cell r="J3895" t="str">
            <v>42-06-01-00-3887</v>
          </cell>
          <cell r="L3895" t="str">
            <v>42-06-01-00-3887</v>
          </cell>
          <cell r="M3895" t="str">
            <v>Impresora EPSON Stylus C43UX</v>
          </cell>
          <cell r="O3895" t="str">
            <v>EQUIPOS COMPUTACIONALES Y PERIFÉRICOS</v>
          </cell>
          <cell r="P3895">
            <v>54500</v>
          </cell>
          <cell r="T3895" t="str">
            <v>Bueno</v>
          </cell>
          <cell r="U3895" t="str">
            <v>EPSON</v>
          </cell>
        </row>
        <row r="3896">
          <cell r="J3896" t="str">
            <v>NN-06-01-00-3888</v>
          </cell>
          <cell r="L3896" t="str">
            <v>NN-06-01-00-3888</v>
          </cell>
          <cell r="M3896" t="str">
            <v>PC All in One Olidata NºS 014568-000848</v>
          </cell>
          <cell r="O3896" t="str">
            <v>EQUIPOS COMPUTACIONALES Y PERIFÉRICOS EN ARRIENDO</v>
          </cell>
          <cell r="P3896">
            <v>320000</v>
          </cell>
          <cell r="T3896" t="str">
            <v>Bueno</v>
          </cell>
          <cell r="U3896" t="str">
            <v>Olidata</v>
          </cell>
        </row>
        <row r="3897">
          <cell r="J3897" t="str">
            <v>NN-06-01-00-3889</v>
          </cell>
          <cell r="L3897" t="str">
            <v>NN-06-01-00-3889</v>
          </cell>
          <cell r="M3897" t="str">
            <v>Mouse Convencional Olidata 8903</v>
          </cell>
          <cell r="O3897" t="str">
            <v>EQUIPOS COMPUTACIONALES Y PERIFÉRICOS EN ARRIENDO</v>
          </cell>
          <cell r="P3897">
            <v>4000</v>
          </cell>
          <cell r="T3897" t="str">
            <v>Bueno</v>
          </cell>
          <cell r="U3897" t="str">
            <v>Olidata</v>
          </cell>
        </row>
        <row r="3898">
          <cell r="J3898" t="str">
            <v>NN-06-01-00-3890</v>
          </cell>
          <cell r="L3898" t="str">
            <v>NN-06-01-00-3890</v>
          </cell>
          <cell r="M3898" t="str">
            <v>Teclado Olidata Model K3100</v>
          </cell>
          <cell r="O3898" t="str">
            <v>EQUIPOS COMPUTACIONALES Y PERIFÉRICOS EN ARRIENDO</v>
          </cell>
          <cell r="P3898">
            <v>3500</v>
          </cell>
          <cell r="T3898" t="str">
            <v>Bueno</v>
          </cell>
          <cell r="U3898" t="str">
            <v>Olidata</v>
          </cell>
        </row>
        <row r="3899">
          <cell r="J3899" t="str">
            <v>42-05-02-06-3891</v>
          </cell>
          <cell r="L3899" t="str">
            <v>42-05-02-06-3891</v>
          </cell>
          <cell r="M3899" t="str">
            <v>Lavadora Industrial Centrifuga Maytag Comercial</v>
          </cell>
          <cell r="O3899" t="str">
            <v>HERRAMIENTAS</v>
          </cell>
          <cell r="P3899">
            <v>4400000</v>
          </cell>
          <cell r="T3899" t="str">
            <v>Bueno</v>
          </cell>
          <cell r="U3899" t="str">
            <v>MAYTAG</v>
          </cell>
        </row>
        <row r="3900">
          <cell r="J3900" t="str">
            <v>42-05-02-06-3892</v>
          </cell>
          <cell r="L3900" t="str">
            <v>42-05-02-06-3892</v>
          </cell>
          <cell r="M3900" t="str">
            <v>Lavadora Industrial Centrifuga UNIMAC</v>
          </cell>
          <cell r="O3900" t="str">
            <v>HERRAMIENTAS</v>
          </cell>
          <cell r="P3900">
            <v>4400000</v>
          </cell>
          <cell r="T3900" t="str">
            <v>Bueno</v>
          </cell>
          <cell r="U3900" t="str">
            <v>UNIMAC</v>
          </cell>
        </row>
        <row r="3901">
          <cell r="J3901" t="str">
            <v>42-05-02-06-3893</v>
          </cell>
          <cell r="L3901" t="str">
            <v>42-05-02-06-3893</v>
          </cell>
          <cell r="M3901" t="str">
            <v>Secadora Industrial CISSELL CT 075</v>
          </cell>
          <cell r="O3901" t="str">
            <v>HERRAMIENTAS</v>
          </cell>
          <cell r="P3901">
            <v>3803491</v>
          </cell>
          <cell r="T3901" t="str">
            <v>Bueno</v>
          </cell>
          <cell r="U3901" t="str">
            <v>CISSELL</v>
          </cell>
        </row>
        <row r="3902">
          <cell r="J3902" t="str">
            <v>42-05-02-05-3894</v>
          </cell>
          <cell r="L3902" t="str">
            <v>42-05-02-05-3894</v>
          </cell>
          <cell r="M3902" t="str">
            <v>Extintor Tipo ABC 06 KG</v>
          </cell>
          <cell r="O3902" t="str">
            <v>EQUIPOS DE SEGURIDAD</v>
          </cell>
          <cell r="P3902">
            <v>26900</v>
          </cell>
          <cell r="T3902" t="str">
            <v>Bueno</v>
          </cell>
          <cell r="U3902" t="str">
            <v>N/T</v>
          </cell>
        </row>
        <row r="3903">
          <cell r="J3903" t="str">
            <v>42-04-03-00-3895</v>
          </cell>
          <cell r="L3903" t="str">
            <v>42-04-03-00-3895</v>
          </cell>
          <cell r="M3903" t="str">
            <v>Mueble Escritorio Color Miel 08 Cajones</v>
          </cell>
          <cell r="O3903" t="str">
            <v>ESCRITORIOS</v>
          </cell>
          <cell r="P3903">
            <v>45900</v>
          </cell>
          <cell r="T3903" t="str">
            <v>Bueno</v>
          </cell>
          <cell r="U3903" t="str">
            <v>N/T</v>
          </cell>
        </row>
        <row r="3904">
          <cell r="J3904" t="str">
            <v>42-04-07-00-3896</v>
          </cell>
          <cell r="L3904" t="str">
            <v>42-04-07-00-3896</v>
          </cell>
          <cell r="M3904" t="str">
            <v>Vitrina Metalica Celeste Pta. Vidrio</v>
          </cell>
          <cell r="O3904" t="str">
            <v>OTROS</v>
          </cell>
          <cell r="P3904">
            <v>42500</v>
          </cell>
          <cell r="T3904" t="str">
            <v>Bueno</v>
          </cell>
          <cell r="U3904" t="str">
            <v>N/T</v>
          </cell>
        </row>
        <row r="3905">
          <cell r="J3905" t="str">
            <v>42-04-06-00-3897</v>
          </cell>
          <cell r="L3905" t="str">
            <v>42-04-06-00-3897</v>
          </cell>
          <cell r="M3905" t="str">
            <v>Estante Mixto Melamina Blanco Metal 4 Compartimientos</v>
          </cell>
          <cell r="O3905" t="str">
            <v>REPISA</v>
          </cell>
          <cell r="P3905">
            <v>54900</v>
          </cell>
          <cell r="T3905" t="str">
            <v>Bueno</v>
          </cell>
          <cell r="U3905" t="str">
            <v>N/T</v>
          </cell>
        </row>
        <row r="3906">
          <cell r="J3906" t="str">
            <v>42-04-07-00-3898</v>
          </cell>
          <cell r="L3906" t="str">
            <v>42-04-07-00-3898</v>
          </cell>
          <cell r="M3906" t="str">
            <v>Carro Tipo Supermercado Para traslado Ropa</v>
          </cell>
          <cell r="O3906" t="str">
            <v>OTROS</v>
          </cell>
          <cell r="P3906">
            <v>15900</v>
          </cell>
          <cell r="T3906" t="str">
            <v>Bueno</v>
          </cell>
          <cell r="U3906" t="str">
            <v>N/T</v>
          </cell>
        </row>
        <row r="3907">
          <cell r="J3907" t="str">
            <v>42-04-07-00-3899</v>
          </cell>
          <cell r="L3907" t="str">
            <v>42-04-07-00-3899</v>
          </cell>
          <cell r="M3907" t="str">
            <v>Bergere Negro Ecocuero Sillon Descanso</v>
          </cell>
          <cell r="O3907" t="str">
            <v>OTROS</v>
          </cell>
          <cell r="P3907">
            <v>130900</v>
          </cell>
          <cell r="T3907" t="str">
            <v>Bueno</v>
          </cell>
          <cell r="U3907" t="str">
            <v>Metarus</v>
          </cell>
        </row>
        <row r="3908">
          <cell r="J3908" t="str">
            <v>42-04-07-00-3900</v>
          </cell>
          <cell r="L3908" t="str">
            <v>42-04-07-00-3900</v>
          </cell>
          <cell r="M3908" t="str">
            <v>Porta Toallas TORK</v>
          </cell>
          <cell r="O3908" t="str">
            <v>OTROS</v>
          </cell>
          <cell r="P3908">
            <v>17000</v>
          </cell>
          <cell r="T3908" t="str">
            <v>Bueno</v>
          </cell>
          <cell r="U3908" t="str">
            <v>TORK</v>
          </cell>
        </row>
        <row r="3909">
          <cell r="J3909" t="str">
            <v>42-04-06-00-3901</v>
          </cell>
          <cell r="L3909" t="str">
            <v>42-04-06-00-3901</v>
          </cell>
          <cell r="M3909" t="str">
            <v>Repisa Melamina 4 Divisiones Color Nogal</v>
          </cell>
          <cell r="O3909" t="str">
            <v>REPISA</v>
          </cell>
          <cell r="P3909">
            <v>52500</v>
          </cell>
          <cell r="T3909" t="str">
            <v>Bueno</v>
          </cell>
          <cell r="U3909" t="str">
            <v>N/T</v>
          </cell>
        </row>
        <row r="3910">
          <cell r="J3910" t="str">
            <v>42-04-07-00-3902</v>
          </cell>
          <cell r="L3910" t="str">
            <v>42-04-07-00-3902</v>
          </cell>
          <cell r="M3910" t="str">
            <v>Porta cortinas metálico</v>
          </cell>
          <cell r="O3910" t="str">
            <v>OTROS</v>
          </cell>
          <cell r="P3910">
            <v>2500</v>
          </cell>
          <cell r="T3910" t="str">
            <v>Bueno</v>
          </cell>
          <cell r="U3910" t="str">
            <v>N/T</v>
          </cell>
        </row>
        <row r="3911">
          <cell r="J3911" t="str">
            <v>FN-04-07-00-3903</v>
          </cell>
          <cell r="L3911" t="str">
            <v>FN-04-07-00-3903</v>
          </cell>
          <cell r="M3911" t="str">
            <v>Cortinas color café claro</v>
          </cell>
          <cell r="O3911" t="str">
            <v>OTROS FUNGIBLE / NOMINABLE</v>
          </cell>
          <cell r="P3911">
            <v>12500</v>
          </cell>
          <cell r="T3911" t="str">
            <v>Bueno</v>
          </cell>
          <cell r="U3911" t="str">
            <v>N/T</v>
          </cell>
        </row>
        <row r="3912">
          <cell r="J3912" t="str">
            <v>42-04-07-00-3904</v>
          </cell>
          <cell r="L3912" t="str">
            <v>42-04-07-00-3904</v>
          </cell>
          <cell r="M3912" t="str">
            <v>Persiana Color Trigo</v>
          </cell>
          <cell r="O3912" t="str">
            <v>OTROS</v>
          </cell>
          <cell r="P3912">
            <v>10490</v>
          </cell>
          <cell r="T3912" t="str">
            <v>Bueno</v>
          </cell>
          <cell r="U3912" t="str">
            <v>N/T</v>
          </cell>
        </row>
        <row r="3913">
          <cell r="J3913" t="str">
            <v>42-05-01-01-3905</v>
          </cell>
          <cell r="L3913" t="str">
            <v>42-05-01-01-3905</v>
          </cell>
          <cell r="M3913" t="str">
            <v>Corchetera Torre color Gris</v>
          </cell>
          <cell r="O3913" t="str">
            <v>EQUIPO DE OFICINA</v>
          </cell>
          <cell r="P3913">
            <v>3500</v>
          </cell>
          <cell r="T3913" t="str">
            <v>Bueno</v>
          </cell>
          <cell r="U3913" t="str">
            <v>Torre</v>
          </cell>
        </row>
        <row r="3914">
          <cell r="J3914" t="str">
            <v>42-05-01-01-3906</v>
          </cell>
          <cell r="L3914" t="str">
            <v>42-05-01-01-3906</v>
          </cell>
          <cell r="M3914" t="str">
            <v>Porta Timbres Capacidad 6 Unidades</v>
          </cell>
          <cell r="O3914" t="str">
            <v>EQUIPO DE OFICINA</v>
          </cell>
          <cell r="P3914">
            <v>4000</v>
          </cell>
          <cell r="T3914" t="str">
            <v>Bueno</v>
          </cell>
          <cell r="U3914" t="str">
            <v>N/T</v>
          </cell>
        </row>
        <row r="3915">
          <cell r="J3915" t="str">
            <v>42-06-01-00-3907</v>
          </cell>
          <cell r="L3915" t="str">
            <v>42-06-01-00-3907</v>
          </cell>
          <cell r="M3915" t="str">
            <v>Mouse Optico Genius NS 147802809041</v>
          </cell>
          <cell r="O3915" t="str">
            <v>EQUIPOS COMPUTACIONALES Y PERIFÉRICOS</v>
          </cell>
          <cell r="P3915">
            <v>4500</v>
          </cell>
          <cell r="T3915" t="str">
            <v>Bueno</v>
          </cell>
          <cell r="U3915" t="str">
            <v>GENIUS</v>
          </cell>
        </row>
        <row r="3916">
          <cell r="J3916" t="str">
            <v>42-05-01-01-3908</v>
          </cell>
          <cell r="L3916" t="str">
            <v>42-05-01-01-3908</v>
          </cell>
          <cell r="M3916" t="str">
            <v>Papelero Blanco Sin Tapa Plastico</v>
          </cell>
          <cell r="O3916" t="str">
            <v>EQUIPO DE OFICINA</v>
          </cell>
          <cell r="P3916">
            <v>4000</v>
          </cell>
          <cell r="T3916" t="str">
            <v>Bueno</v>
          </cell>
          <cell r="U3916" t="str">
            <v>N/T</v>
          </cell>
        </row>
        <row r="3917">
          <cell r="J3917" t="str">
            <v>42-05-01-01-3909</v>
          </cell>
          <cell r="L3917" t="str">
            <v>42-05-01-01-3909</v>
          </cell>
          <cell r="M3917" t="str">
            <v>Corchetera Torre 26/6 Rojo / Negro</v>
          </cell>
          <cell r="O3917" t="str">
            <v>EQUIPO DE OFICINA</v>
          </cell>
          <cell r="P3917">
            <v>3500</v>
          </cell>
          <cell r="T3917" t="str">
            <v>Bueno</v>
          </cell>
          <cell r="U3917" t="str">
            <v>N/T</v>
          </cell>
        </row>
        <row r="3918">
          <cell r="J3918" t="str">
            <v>42-04-07-00-3910</v>
          </cell>
          <cell r="L3918" t="str">
            <v>42-04-07-00-3910</v>
          </cell>
          <cell r="M3918" t="str">
            <v>Papelero Plastico Negro Sin Tapa</v>
          </cell>
          <cell r="O3918" t="str">
            <v>OTROS</v>
          </cell>
          <cell r="P3918">
            <v>4000</v>
          </cell>
          <cell r="T3918" t="str">
            <v>Bueno</v>
          </cell>
          <cell r="U3918" t="str">
            <v>N/T</v>
          </cell>
        </row>
        <row r="3919">
          <cell r="J3919" t="str">
            <v>42-04-07-00-3911</v>
          </cell>
          <cell r="L3919" t="str">
            <v>42-04-07-00-3911</v>
          </cell>
          <cell r="M3919" t="str">
            <v>Pizarra 120x100 Blanca</v>
          </cell>
          <cell r="O3919" t="str">
            <v>OTROS</v>
          </cell>
          <cell r="P3919">
            <v>8900</v>
          </cell>
          <cell r="T3919" t="str">
            <v>Bueno</v>
          </cell>
          <cell r="U3919" t="str">
            <v>N/T</v>
          </cell>
        </row>
        <row r="3920">
          <cell r="J3920" t="str">
            <v>42-05-01-01-3912</v>
          </cell>
          <cell r="L3920" t="str">
            <v>42-05-01-01-3912</v>
          </cell>
          <cell r="M3920" t="str">
            <v>Calculadora Olivetti Logos 354 NS 0865085</v>
          </cell>
          <cell r="O3920" t="str">
            <v>EQUIPO DE OFICINA</v>
          </cell>
          <cell r="P3920">
            <v>15900</v>
          </cell>
          <cell r="T3920" t="str">
            <v>Mala</v>
          </cell>
          <cell r="U3920" t="str">
            <v>Olivetti</v>
          </cell>
        </row>
        <row r="3921">
          <cell r="J3921" t="str">
            <v>42-04-07-00-3913</v>
          </cell>
          <cell r="L3921" t="str">
            <v>42-04-07-00-3913</v>
          </cell>
          <cell r="M3921" t="str">
            <v>Persiana Color Trigo</v>
          </cell>
          <cell r="O3921" t="str">
            <v>OTROS</v>
          </cell>
          <cell r="P3921">
            <v>10490</v>
          </cell>
          <cell r="T3921" t="str">
            <v>Bueno</v>
          </cell>
          <cell r="U3921" t="str">
            <v>N/T</v>
          </cell>
        </row>
        <row r="3922">
          <cell r="J3922" t="str">
            <v>42-04-06-00-3914</v>
          </cell>
          <cell r="L3922" t="str">
            <v>42-04-06-00-3914</v>
          </cell>
          <cell r="M3922" t="str">
            <v>Repisa Melamina Enchapada 3 Divisiones Color Miel</v>
          </cell>
          <cell r="O3922" t="str">
            <v>REPISA</v>
          </cell>
          <cell r="P3922">
            <v>42500</v>
          </cell>
          <cell r="T3922" t="str">
            <v>Bueno</v>
          </cell>
          <cell r="U3922" t="str">
            <v>N/T</v>
          </cell>
        </row>
        <row r="3923">
          <cell r="J3923" t="str">
            <v>42-04-07-00-3915</v>
          </cell>
          <cell r="L3923" t="str">
            <v>42-04-07-00-3915</v>
          </cell>
          <cell r="M3923" t="str">
            <v>Porta Toalla TORK</v>
          </cell>
          <cell r="O3923" t="str">
            <v>OTROS</v>
          </cell>
          <cell r="P3923">
            <v>17000</v>
          </cell>
          <cell r="T3923" t="str">
            <v>Bueno</v>
          </cell>
          <cell r="U3923" t="str">
            <v>TORK</v>
          </cell>
        </row>
        <row r="3924">
          <cell r="J3924" t="str">
            <v>42-04-07-00-3916</v>
          </cell>
          <cell r="L3924" t="str">
            <v>42-04-07-00-3916</v>
          </cell>
          <cell r="M3924" t="str">
            <v>Lavamanos con Pedestal Loza Blanco C/Llave Monomando</v>
          </cell>
          <cell r="O3924" t="str">
            <v>OTROS</v>
          </cell>
          <cell r="P3924">
            <v>11000</v>
          </cell>
          <cell r="T3924" t="str">
            <v>Bueno</v>
          </cell>
          <cell r="U3924" t="str">
            <v>N/T</v>
          </cell>
        </row>
        <row r="3925">
          <cell r="J3925" t="str">
            <v>42-05-02-01-3917</v>
          </cell>
          <cell r="L3925" t="str">
            <v>42-05-02-01-3917</v>
          </cell>
          <cell r="M3925" t="str">
            <v>Manometro Oxigeno con Humidificador</v>
          </cell>
          <cell r="N3925" t="str">
            <v>Sala 1</v>
          </cell>
          <cell r="O3925" t="str">
            <v>EQUIPOS CLINICOS</v>
          </cell>
          <cell r="P3925">
            <v>42900</v>
          </cell>
          <cell r="T3925" t="str">
            <v>Bueno</v>
          </cell>
          <cell r="U3925" t="str">
            <v>N/T</v>
          </cell>
        </row>
        <row r="3926">
          <cell r="J3926" t="str">
            <v>42-05-02-01-3918</v>
          </cell>
          <cell r="L3926" t="str">
            <v>42-05-02-01-3918</v>
          </cell>
          <cell r="M3926" t="str">
            <v>Manometro Oxigeno con Humidificador</v>
          </cell>
          <cell r="N3926" t="str">
            <v>Sala 1</v>
          </cell>
          <cell r="O3926" t="str">
            <v>EQUIPOS CLINICOS</v>
          </cell>
          <cell r="P3926">
            <v>42900</v>
          </cell>
          <cell r="T3926" t="str">
            <v>Bueno</v>
          </cell>
          <cell r="U3926" t="str">
            <v>N/T</v>
          </cell>
        </row>
        <row r="3927">
          <cell r="J3927" t="str">
            <v>42-05-02-01-3919</v>
          </cell>
          <cell r="L3927" t="str">
            <v>42-05-02-01-3919</v>
          </cell>
          <cell r="M3927" t="str">
            <v>Manometro Oxigeno con Humidificador</v>
          </cell>
          <cell r="N3927" t="str">
            <v>Sala 1</v>
          </cell>
          <cell r="O3927" t="str">
            <v>EQUIPOS CLINICOS</v>
          </cell>
          <cell r="P3927">
            <v>42900</v>
          </cell>
          <cell r="T3927" t="str">
            <v>Bueno</v>
          </cell>
          <cell r="U3927" t="str">
            <v>N/T</v>
          </cell>
        </row>
        <row r="3928">
          <cell r="J3928" t="str">
            <v>42-05-02-01-3920</v>
          </cell>
          <cell r="L3928" t="str">
            <v>42-05-02-01-3920</v>
          </cell>
          <cell r="M3928" t="str">
            <v>Manometro Oxigeno con Humidificador</v>
          </cell>
          <cell r="N3928" t="str">
            <v>Sala 1</v>
          </cell>
          <cell r="O3928" t="str">
            <v>EQUIPOS CLINICOS</v>
          </cell>
          <cell r="P3928">
            <v>42900</v>
          </cell>
          <cell r="T3928" t="str">
            <v>Bueno</v>
          </cell>
          <cell r="U3928" t="str">
            <v>N/T</v>
          </cell>
        </row>
        <row r="3929">
          <cell r="J3929" t="str">
            <v>42-05-02-01-3921</v>
          </cell>
          <cell r="L3929" t="str">
            <v>42-05-02-01-3921</v>
          </cell>
          <cell r="M3929" t="str">
            <v>Manometro Oxigeno con Humidificador</v>
          </cell>
          <cell r="N3929" t="str">
            <v>Sala 1</v>
          </cell>
          <cell r="O3929" t="str">
            <v>EQUIPOS CLINICOS</v>
          </cell>
          <cell r="P3929">
            <v>42900</v>
          </cell>
          <cell r="T3929" t="str">
            <v>Bueno</v>
          </cell>
          <cell r="U3929" t="str">
            <v>N/T</v>
          </cell>
        </row>
        <row r="3930">
          <cell r="J3930" t="str">
            <v>42-05-02-01-3922</v>
          </cell>
          <cell r="L3930" t="str">
            <v>42-05-02-01-3922</v>
          </cell>
          <cell r="M3930" t="str">
            <v>Manometro Oxigeno con Humidificador</v>
          </cell>
          <cell r="N3930" t="str">
            <v>Sala 1</v>
          </cell>
          <cell r="O3930" t="str">
            <v>EQUIPOS CLINICOS</v>
          </cell>
          <cell r="P3930">
            <v>42900</v>
          </cell>
          <cell r="T3930" t="str">
            <v>Bueno</v>
          </cell>
          <cell r="U3930" t="str">
            <v>N/T</v>
          </cell>
        </row>
        <row r="3931">
          <cell r="J3931" t="str">
            <v>42-05-02-01-3923</v>
          </cell>
          <cell r="L3931" t="str">
            <v>42-05-02-01-3923</v>
          </cell>
          <cell r="M3931" t="str">
            <v>Manometro Oxigeno con Humidificador</v>
          </cell>
          <cell r="N3931" t="str">
            <v>Sala 2</v>
          </cell>
          <cell r="O3931" t="str">
            <v>EQUIPOS CLINICOS</v>
          </cell>
          <cell r="P3931">
            <v>42900</v>
          </cell>
          <cell r="T3931" t="str">
            <v>Bueno</v>
          </cell>
          <cell r="U3931" t="str">
            <v>N/T</v>
          </cell>
        </row>
        <row r="3932">
          <cell r="J3932" t="str">
            <v>42-05-02-01-3924</v>
          </cell>
          <cell r="L3932" t="str">
            <v>42-05-02-01-3924</v>
          </cell>
          <cell r="M3932" t="str">
            <v>Manometro Oxigeno con Humidificador</v>
          </cell>
          <cell r="N3932" t="str">
            <v>Sala 2</v>
          </cell>
          <cell r="O3932" t="str">
            <v>EQUIPOS CLINICOS</v>
          </cell>
          <cell r="P3932">
            <v>42900</v>
          </cell>
          <cell r="T3932" t="str">
            <v>Bueno</v>
          </cell>
          <cell r="U3932" t="str">
            <v>N/T</v>
          </cell>
        </row>
        <row r="3933">
          <cell r="J3933" t="str">
            <v>42-05-02-01-3925</v>
          </cell>
          <cell r="L3933" t="str">
            <v>42-05-02-01-3925</v>
          </cell>
          <cell r="M3933" t="str">
            <v>Manometro Oxigeno con Humidificador</v>
          </cell>
          <cell r="N3933" t="str">
            <v>Sala 2</v>
          </cell>
          <cell r="O3933" t="str">
            <v>EQUIPOS CLINICOS</v>
          </cell>
          <cell r="P3933">
            <v>42900</v>
          </cell>
          <cell r="T3933" t="str">
            <v>Bueno</v>
          </cell>
          <cell r="U3933" t="str">
            <v>N/T</v>
          </cell>
        </row>
        <row r="3934">
          <cell r="J3934" t="str">
            <v>42-05-02-01-3926</v>
          </cell>
          <cell r="L3934" t="str">
            <v>42-05-02-01-3926</v>
          </cell>
          <cell r="M3934" t="str">
            <v>Manometro Oxigeno con Humidificador</v>
          </cell>
          <cell r="N3934" t="str">
            <v>Sala 2</v>
          </cell>
          <cell r="O3934" t="str">
            <v>EQUIPOS CLINICOS</v>
          </cell>
          <cell r="P3934">
            <v>42900</v>
          </cell>
          <cell r="T3934" t="str">
            <v>Bueno</v>
          </cell>
          <cell r="U3934" t="str">
            <v>N/T</v>
          </cell>
        </row>
        <row r="3935">
          <cell r="J3935" t="str">
            <v>42-05-02-01-3927</v>
          </cell>
          <cell r="L3935" t="str">
            <v>42-05-02-01-3927</v>
          </cell>
          <cell r="M3935" t="str">
            <v>Manometro Oxigeno con Humidificador</v>
          </cell>
          <cell r="N3935" t="str">
            <v>Sala 2</v>
          </cell>
          <cell r="O3935" t="str">
            <v>EQUIPOS CLINICOS</v>
          </cell>
          <cell r="P3935">
            <v>42900</v>
          </cell>
          <cell r="T3935" t="str">
            <v>Bueno</v>
          </cell>
          <cell r="U3935" t="str">
            <v>N/T</v>
          </cell>
        </row>
        <row r="3936">
          <cell r="J3936" t="str">
            <v>42-05-02-01-3928</v>
          </cell>
          <cell r="L3936" t="str">
            <v>42-05-02-01-3928</v>
          </cell>
          <cell r="M3936" t="str">
            <v>Manometro Oxigeno con Humidificador</v>
          </cell>
          <cell r="N3936" t="str">
            <v>Sala 2</v>
          </cell>
          <cell r="O3936" t="str">
            <v>EQUIPOS CLINICOS</v>
          </cell>
          <cell r="P3936">
            <v>42900</v>
          </cell>
          <cell r="T3936" t="str">
            <v>Bueno</v>
          </cell>
          <cell r="U3936" t="str">
            <v>N/T</v>
          </cell>
        </row>
        <row r="3937">
          <cell r="J3937" t="str">
            <v>42-05-02-01-3929</v>
          </cell>
          <cell r="L3937" t="str">
            <v>42-05-02-01-3929</v>
          </cell>
          <cell r="M3937" t="str">
            <v>Manometro Oxigeno con Humidificador</v>
          </cell>
          <cell r="N3937" t="str">
            <v>Sala 3</v>
          </cell>
          <cell r="O3937" t="str">
            <v>EQUIPOS CLINICOS</v>
          </cell>
          <cell r="P3937">
            <v>42900</v>
          </cell>
          <cell r="T3937" t="str">
            <v>Bueno</v>
          </cell>
          <cell r="U3937" t="str">
            <v>N/T</v>
          </cell>
        </row>
        <row r="3938">
          <cell r="J3938" t="str">
            <v>42-05-02-01-3930</v>
          </cell>
          <cell r="L3938" t="str">
            <v>42-05-02-01-3930</v>
          </cell>
          <cell r="M3938" t="str">
            <v>Manometro Oxigeno con Humidificador</v>
          </cell>
          <cell r="N3938" t="str">
            <v>Sala 3</v>
          </cell>
          <cell r="O3938" t="str">
            <v>EQUIPOS CLINICOS</v>
          </cell>
          <cell r="P3938">
            <v>42900</v>
          </cell>
          <cell r="T3938" t="str">
            <v>Bueno</v>
          </cell>
          <cell r="U3938" t="str">
            <v>N/T</v>
          </cell>
        </row>
        <row r="3939">
          <cell r="J3939" t="str">
            <v>42-05-02-01-3931</v>
          </cell>
          <cell r="L3939" t="str">
            <v>42-05-02-01-3931</v>
          </cell>
          <cell r="M3939" t="str">
            <v>Manometro Oxigeno con Humidificador</v>
          </cell>
          <cell r="N3939" t="str">
            <v>Sala 3</v>
          </cell>
          <cell r="O3939" t="str">
            <v>EQUIPOS CLINICOS</v>
          </cell>
          <cell r="P3939">
            <v>42900</v>
          </cell>
          <cell r="T3939" t="str">
            <v>Bueno</v>
          </cell>
          <cell r="U3939" t="str">
            <v>N/T</v>
          </cell>
        </row>
        <row r="3940">
          <cell r="J3940" t="str">
            <v>42-05-02-01-3932</v>
          </cell>
          <cell r="L3940" t="str">
            <v>42-05-02-01-3932</v>
          </cell>
          <cell r="M3940" t="str">
            <v>Manometro Oxigeno con Humidificador</v>
          </cell>
          <cell r="N3940" t="str">
            <v>Sala 4</v>
          </cell>
          <cell r="O3940" t="str">
            <v>EQUIPOS CLINICOS</v>
          </cell>
          <cell r="P3940">
            <v>42900</v>
          </cell>
          <cell r="T3940" t="str">
            <v>Bueno</v>
          </cell>
          <cell r="U3940" t="str">
            <v>N/T</v>
          </cell>
        </row>
        <row r="3941">
          <cell r="J3941" t="str">
            <v>42-05-02-01-3933</v>
          </cell>
          <cell r="L3941" t="str">
            <v>42-05-02-01-3933</v>
          </cell>
          <cell r="M3941" t="str">
            <v>Manometro Oxigeno con Humidificador</v>
          </cell>
          <cell r="N3941" t="str">
            <v>Sala 4</v>
          </cell>
          <cell r="O3941" t="str">
            <v>EQUIPOS CLINICOS</v>
          </cell>
          <cell r="P3941">
            <v>42900</v>
          </cell>
          <cell r="T3941" t="str">
            <v>Bueno</v>
          </cell>
          <cell r="U3941" t="str">
            <v>N/T</v>
          </cell>
        </row>
        <row r="3942">
          <cell r="J3942" t="str">
            <v>42-05-02-01-3934</v>
          </cell>
          <cell r="L3942" t="str">
            <v>42-05-02-01-3934</v>
          </cell>
          <cell r="M3942" t="str">
            <v>Manometro Oxigeno con Humidificador</v>
          </cell>
          <cell r="N3942" t="str">
            <v>Sala 4</v>
          </cell>
          <cell r="O3942" t="str">
            <v>EQUIPOS CLINICOS</v>
          </cell>
          <cell r="P3942">
            <v>42900</v>
          </cell>
          <cell r="T3942" t="str">
            <v>Bueno</v>
          </cell>
          <cell r="U3942" t="str">
            <v>N/T</v>
          </cell>
        </row>
        <row r="3943">
          <cell r="J3943" t="str">
            <v>42-05-02-01-3935</v>
          </cell>
          <cell r="L3943" t="str">
            <v>42-05-02-01-3935</v>
          </cell>
          <cell r="M3943" t="str">
            <v>Manometro Oxigeno con Humidificador</v>
          </cell>
          <cell r="N3943" t="str">
            <v>Sala 5</v>
          </cell>
          <cell r="O3943" t="str">
            <v>EQUIPOS CLINICOS</v>
          </cell>
          <cell r="P3943">
            <v>42900</v>
          </cell>
          <cell r="T3943" t="str">
            <v>Bueno</v>
          </cell>
          <cell r="U3943" t="str">
            <v>N/T</v>
          </cell>
        </row>
        <row r="3944">
          <cell r="J3944" t="str">
            <v>42-05-02-01-3936</v>
          </cell>
          <cell r="L3944" t="str">
            <v>42-05-02-01-3936</v>
          </cell>
          <cell r="M3944" t="str">
            <v>Manometro Oxigeno con Humidificador</v>
          </cell>
          <cell r="N3944" t="str">
            <v>Sala 6</v>
          </cell>
          <cell r="O3944" t="str">
            <v>EQUIPOS CLINICOS</v>
          </cell>
          <cell r="P3944">
            <v>42900</v>
          </cell>
          <cell r="T3944" t="str">
            <v>Bueno</v>
          </cell>
          <cell r="U3944" t="str">
            <v>N/T</v>
          </cell>
        </row>
        <row r="3945">
          <cell r="J3945" t="str">
            <v>42-05-02-01-3937</v>
          </cell>
          <cell r="L3945" t="str">
            <v>42-05-02-01-3937</v>
          </cell>
          <cell r="M3945" t="str">
            <v>Sistema Aspiración Central</v>
          </cell>
          <cell r="N3945" t="str">
            <v>Sala 1</v>
          </cell>
          <cell r="O3945" t="str">
            <v>EQUIPOS CLINICOS</v>
          </cell>
          <cell r="P3945">
            <v>35600</v>
          </cell>
          <cell r="T3945" t="str">
            <v>Bueno</v>
          </cell>
          <cell r="U3945" t="str">
            <v>N/T</v>
          </cell>
        </row>
        <row r="3946">
          <cell r="J3946" t="str">
            <v>42-05-02-01-3938</v>
          </cell>
          <cell r="L3946" t="str">
            <v>42-05-02-01-3938</v>
          </cell>
          <cell r="M3946" t="str">
            <v>Sistema Aspiración Central</v>
          </cell>
          <cell r="N3946" t="str">
            <v>Sala 1</v>
          </cell>
          <cell r="O3946" t="str">
            <v>EQUIPOS CLINICOS</v>
          </cell>
          <cell r="P3946">
            <v>35600</v>
          </cell>
          <cell r="T3946" t="str">
            <v>Bueno</v>
          </cell>
          <cell r="U3946" t="str">
            <v>N/T</v>
          </cell>
        </row>
        <row r="3947">
          <cell r="J3947" t="str">
            <v>42-05-02-01-3939</v>
          </cell>
          <cell r="L3947" t="str">
            <v>42-05-02-01-3939</v>
          </cell>
          <cell r="M3947" t="str">
            <v>Sistema Aspiración Central</v>
          </cell>
          <cell r="N3947" t="str">
            <v>Sala 1</v>
          </cell>
          <cell r="O3947" t="str">
            <v>EQUIPOS CLINICOS</v>
          </cell>
          <cell r="P3947">
            <v>35600</v>
          </cell>
          <cell r="T3947" t="str">
            <v>Bueno</v>
          </cell>
          <cell r="U3947" t="str">
            <v>N/T</v>
          </cell>
        </row>
        <row r="3948">
          <cell r="J3948" t="str">
            <v>42-05-02-01-3940</v>
          </cell>
          <cell r="L3948" t="str">
            <v>42-05-02-01-3940</v>
          </cell>
          <cell r="M3948" t="str">
            <v>Sistema Aspiración Central</v>
          </cell>
          <cell r="N3948" t="str">
            <v>Sala 1</v>
          </cell>
          <cell r="O3948" t="str">
            <v>EQUIPOS CLINICOS</v>
          </cell>
          <cell r="P3948">
            <v>35600</v>
          </cell>
          <cell r="T3948" t="str">
            <v>Bueno</v>
          </cell>
          <cell r="U3948" t="str">
            <v>N/T</v>
          </cell>
        </row>
        <row r="3949">
          <cell r="J3949" t="str">
            <v>42-05-02-01-3941</v>
          </cell>
          <cell r="L3949" t="str">
            <v>42-05-02-01-3941</v>
          </cell>
          <cell r="M3949" t="str">
            <v>Sistema Aspiración Central</v>
          </cell>
          <cell r="N3949" t="str">
            <v>Sala 1</v>
          </cell>
          <cell r="O3949" t="str">
            <v>EQUIPOS CLINICOS</v>
          </cell>
          <cell r="P3949">
            <v>35600</v>
          </cell>
          <cell r="T3949" t="str">
            <v>Bueno</v>
          </cell>
          <cell r="U3949" t="str">
            <v>N/T</v>
          </cell>
        </row>
        <row r="3950">
          <cell r="J3950" t="str">
            <v>42-05-02-01-3942</v>
          </cell>
          <cell r="L3950" t="str">
            <v>42-05-02-01-3942</v>
          </cell>
          <cell r="M3950" t="str">
            <v>Sistema Aspiración Central</v>
          </cell>
          <cell r="N3950" t="str">
            <v>Sala 1</v>
          </cell>
          <cell r="O3950" t="str">
            <v>EQUIPOS CLINICOS</v>
          </cell>
          <cell r="P3950">
            <v>35600</v>
          </cell>
          <cell r="T3950" t="str">
            <v>Bueno</v>
          </cell>
          <cell r="U3950" t="str">
            <v>N/T</v>
          </cell>
        </row>
        <row r="3951">
          <cell r="J3951" t="str">
            <v>42-05-02-01-3943</v>
          </cell>
          <cell r="L3951" t="str">
            <v>42-05-02-01-3943</v>
          </cell>
          <cell r="M3951" t="str">
            <v>Sistema Aspiración Central</v>
          </cell>
          <cell r="N3951" t="str">
            <v>Sala 2</v>
          </cell>
          <cell r="O3951" t="str">
            <v>EQUIPOS CLINICOS</v>
          </cell>
          <cell r="P3951">
            <v>35600</v>
          </cell>
          <cell r="T3951" t="str">
            <v>Bueno</v>
          </cell>
          <cell r="U3951" t="str">
            <v>N/T</v>
          </cell>
        </row>
        <row r="3952">
          <cell r="J3952" t="str">
            <v>42-05-02-01-3944</v>
          </cell>
          <cell r="L3952" t="str">
            <v>42-05-02-01-3944</v>
          </cell>
          <cell r="M3952" t="str">
            <v>Sistema Aspiración Central</v>
          </cell>
          <cell r="N3952" t="str">
            <v>Sala 2</v>
          </cell>
          <cell r="O3952" t="str">
            <v>EQUIPOS CLINICOS</v>
          </cell>
          <cell r="P3952">
            <v>35600</v>
          </cell>
          <cell r="T3952" t="str">
            <v>Bueno</v>
          </cell>
          <cell r="U3952" t="str">
            <v>N/T</v>
          </cell>
        </row>
        <row r="3953">
          <cell r="J3953" t="str">
            <v>42-05-02-01-3945</v>
          </cell>
          <cell r="L3953" t="str">
            <v>42-05-02-01-3945</v>
          </cell>
          <cell r="M3953" t="str">
            <v>Sistema Aspiración Central</v>
          </cell>
          <cell r="N3953" t="str">
            <v>Sala 2</v>
          </cell>
          <cell r="O3953" t="str">
            <v>EQUIPOS CLINICOS</v>
          </cell>
          <cell r="P3953">
            <v>35600</v>
          </cell>
          <cell r="T3953" t="str">
            <v>Bueno</v>
          </cell>
          <cell r="U3953" t="str">
            <v>N/T</v>
          </cell>
        </row>
        <row r="3954">
          <cell r="J3954" t="str">
            <v>42-05-02-01-3946</v>
          </cell>
          <cell r="L3954" t="str">
            <v>42-05-02-01-3946</v>
          </cell>
          <cell r="M3954" t="str">
            <v>Sistema Aspiración Central</v>
          </cell>
          <cell r="N3954" t="str">
            <v>Sala 2</v>
          </cell>
          <cell r="O3954" t="str">
            <v>EQUIPOS CLINICOS</v>
          </cell>
          <cell r="P3954">
            <v>35600</v>
          </cell>
          <cell r="T3954" t="str">
            <v>Bueno</v>
          </cell>
          <cell r="U3954" t="str">
            <v>N/T</v>
          </cell>
        </row>
        <row r="3955">
          <cell r="J3955" t="str">
            <v>42-05-02-01-3947</v>
          </cell>
          <cell r="L3955" t="str">
            <v>42-05-02-01-3947</v>
          </cell>
          <cell r="M3955" t="str">
            <v>Sistema Aspiración Central</v>
          </cell>
          <cell r="N3955" t="str">
            <v>Sala 2</v>
          </cell>
          <cell r="O3955" t="str">
            <v>EQUIPOS CLINICOS</v>
          </cell>
          <cell r="P3955">
            <v>35600</v>
          </cell>
          <cell r="T3955" t="str">
            <v>Bueno</v>
          </cell>
          <cell r="U3955" t="str">
            <v>N/T</v>
          </cell>
        </row>
        <row r="3956">
          <cell r="J3956" t="str">
            <v>42-05-02-01-3948</v>
          </cell>
          <cell r="L3956" t="str">
            <v>42-05-02-01-3948</v>
          </cell>
          <cell r="M3956" t="str">
            <v>Sistema Aspiración Central</v>
          </cell>
          <cell r="N3956" t="str">
            <v>Sala 2</v>
          </cell>
          <cell r="O3956" t="str">
            <v>EQUIPOS CLINICOS</v>
          </cell>
          <cell r="P3956">
            <v>35600</v>
          </cell>
          <cell r="T3956" t="str">
            <v>Bueno</v>
          </cell>
          <cell r="U3956" t="str">
            <v>N/T</v>
          </cell>
        </row>
        <row r="3957">
          <cell r="J3957" t="str">
            <v>42-05-02-01-3949</v>
          </cell>
          <cell r="L3957" t="str">
            <v>42-05-02-01-3949</v>
          </cell>
          <cell r="M3957" t="str">
            <v>Sistema Aspiración Central</v>
          </cell>
          <cell r="N3957" t="str">
            <v>Sala 3</v>
          </cell>
          <cell r="O3957" t="str">
            <v>EQUIPOS CLINICOS</v>
          </cell>
          <cell r="P3957">
            <v>35600</v>
          </cell>
          <cell r="T3957" t="str">
            <v>Bueno</v>
          </cell>
          <cell r="U3957" t="str">
            <v>N/T</v>
          </cell>
        </row>
        <row r="3958">
          <cell r="J3958" t="str">
            <v>42-05-02-01-3950</v>
          </cell>
          <cell r="L3958" t="str">
            <v>42-05-02-01-3950</v>
          </cell>
          <cell r="M3958" t="str">
            <v>Sistema Aspiración Central</v>
          </cell>
          <cell r="N3958" t="str">
            <v>Sala 3</v>
          </cell>
          <cell r="O3958" t="str">
            <v>EQUIPOS CLINICOS</v>
          </cell>
          <cell r="P3958">
            <v>35600</v>
          </cell>
          <cell r="T3958" t="str">
            <v>Bueno</v>
          </cell>
          <cell r="U3958" t="str">
            <v>N/T</v>
          </cell>
        </row>
        <row r="3959">
          <cell r="J3959" t="str">
            <v>42-05-02-01-3951</v>
          </cell>
          <cell r="L3959" t="str">
            <v>42-05-02-01-3951</v>
          </cell>
          <cell r="M3959" t="str">
            <v>Sistema Aspiración Central</v>
          </cell>
          <cell r="N3959" t="str">
            <v>Sala 3</v>
          </cell>
          <cell r="O3959" t="str">
            <v>EQUIPOS CLINICOS</v>
          </cell>
          <cell r="P3959">
            <v>35600</v>
          </cell>
          <cell r="T3959" t="str">
            <v>Bueno</v>
          </cell>
          <cell r="U3959" t="str">
            <v>N/T</v>
          </cell>
        </row>
        <row r="3960">
          <cell r="J3960" t="str">
            <v>42-05-02-01-3952</v>
          </cell>
          <cell r="L3960" t="str">
            <v>42-05-02-01-3952</v>
          </cell>
          <cell r="M3960" t="str">
            <v>Sistema Aspiración Central</v>
          </cell>
          <cell r="N3960" t="str">
            <v>Sala 4</v>
          </cell>
          <cell r="O3960" t="str">
            <v>EQUIPOS CLINICOS</v>
          </cell>
          <cell r="P3960">
            <v>35600</v>
          </cell>
          <cell r="T3960" t="str">
            <v>Bueno</v>
          </cell>
          <cell r="U3960" t="str">
            <v>N/T</v>
          </cell>
        </row>
        <row r="3961">
          <cell r="J3961" t="str">
            <v>42-05-02-01-3953</v>
          </cell>
          <cell r="L3961" t="str">
            <v>42-05-02-01-3953</v>
          </cell>
          <cell r="M3961" t="str">
            <v>Sistema Aspiración Central</v>
          </cell>
          <cell r="N3961" t="str">
            <v>Sala 4</v>
          </cell>
          <cell r="O3961" t="str">
            <v>EQUIPOS CLINICOS</v>
          </cell>
          <cell r="P3961">
            <v>35600</v>
          </cell>
          <cell r="T3961" t="str">
            <v>Bueno</v>
          </cell>
          <cell r="U3961" t="str">
            <v>N/T</v>
          </cell>
        </row>
        <row r="3962">
          <cell r="J3962" t="str">
            <v>42-05-02-01-3954</v>
          </cell>
          <cell r="L3962" t="str">
            <v>42-05-02-01-3954</v>
          </cell>
          <cell r="M3962" t="str">
            <v>Sistema Aspiración Central</v>
          </cell>
          <cell r="N3962" t="str">
            <v>Sala 4</v>
          </cell>
          <cell r="O3962" t="str">
            <v>EQUIPOS CLINICOS</v>
          </cell>
          <cell r="P3962">
            <v>35600</v>
          </cell>
          <cell r="T3962" t="str">
            <v>Bueno</v>
          </cell>
          <cell r="U3962" t="str">
            <v>N/T</v>
          </cell>
        </row>
        <row r="3963">
          <cell r="J3963" t="str">
            <v>42-05-02-01-3955</v>
          </cell>
          <cell r="L3963" t="str">
            <v>42-05-02-01-3955</v>
          </cell>
          <cell r="M3963" t="str">
            <v>Sistema Aspiración Central</v>
          </cell>
          <cell r="N3963" t="str">
            <v>Sala 5</v>
          </cell>
          <cell r="O3963" t="str">
            <v>EQUIPOS CLINICOS</v>
          </cell>
          <cell r="P3963">
            <v>35600</v>
          </cell>
          <cell r="T3963" t="str">
            <v>Bueno</v>
          </cell>
          <cell r="U3963" t="str">
            <v>N/T</v>
          </cell>
        </row>
        <row r="3964">
          <cell r="J3964" t="str">
            <v>42-05-02-01-3956</v>
          </cell>
          <cell r="L3964" t="str">
            <v>42-05-02-01-3956</v>
          </cell>
          <cell r="M3964" t="str">
            <v>Sistema Aspiración Central</v>
          </cell>
          <cell r="N3964" t="str">
            <v>Sala 6</v>
          </cell>
          <cell r="O3964" t="str">
            <v>EQUIPOS CLINICOS</v>
          </cell>
          <cell r="P3964">
            <v>35600</v>
          </cell>
          <cell r="T3964" t="str">
            <v>Bueno</v>
          </cell>
          <cell r="U3964" t="str">
            <v>N/T</v>
          </cell>
        </row>
        <row r="3965">
          <cell r="J3965" t="str">
            <v>42-04-07-00-3957</v>
          </cell>
          <cell r="L3965" t="str">
            <v>42-04-07-00-3957</v>
          </cell>
          <cell r="M3965" t="str">
            <v>Papelero Plastico Blanco con Tapa y Pedal</v>
          </cell>
          <cell r="O3965" t="str">
            <v>OTROS</v>
          </cell>
          <cell r="P3965">
            <v>4000</v>
          </cell>
          <cell r="T3965" t="str">
            <v>Bueno</v>
          </cell>
          <cell r="U3965" t="str">
            <v>N/T</v>
          </cell>
        </row>
        <row r="3966">
          <cell r="J3966" t="str">
            <v>42-04-02-00-3958</v>
          </cell>
          <cell r="L3966" t="str">
            <v>42-04-02-00-3958</v>
          </cell>
          <cell r="M3966" t="str">
            <v>Silla de Madera Color Blanco</v>
          </cell>
          <cell r="O3966" t="str">
            <v>SILLAS</v>
          </cell>
          <cell r="P3966">
            <v>8990</v>
          </cell>
          <cell r="T3966" t="str">
            <v>Bueno</v>
          </cell>
          <cell r="U3966" t="str">
            <v>N/T</v>
          </cell>
        </row>
        <row r="3967">
          <cell r="J3967" t="str">
            <v>42-04-03-00-3959</v>
          </cell>
          <cell r="L3967" t="str">
            <v>42-04-03-00-3959</v>
          </cell>
          <cell r="M3967" t="str">
            <v>Estación de Trabajo Melamina Blanco Invierno 4 Compartimientos Bandeja Teclado Cubierta Postformada</v>
          </cell>
          <cell r="N3967" t="str">
            <v>Oficina Enfermeras</v>
          </cell>
          <cell r="O3967" t="str">
            <v>ESCRITORIOS</v>
          </cell>
          <cell r="P3967">
            <v>320000</v>
          </cell>
          <cell r="T3967" t="str">
            <v>Bueno</v>
          </cell>
          <cell r="U3967" t="str">
            <v>N/T</v>
          </cell>
        </row>
        <row r="3968">
          <cell r="J3968" t="str">
            <v>42-04-06-00-3960</v>
          </cell>
          <cell r="L3968" t="str">
            <v>42-04-06-00-3960</v>
          </cell>
          <cell r="M3968" t="str">
            <v>Archivador Madera Melamina Blanco Invierno 30 Compartimientos - Colgante</v>
          </cell>
          <cell r="N3968" t="str">
            <v>Oficina Enfermeras</v>
          </cell>
          <cell r="O3968" t="str">
            <v>REPISA</v>
          </cell>
          <cell r="P3968">
            <v>56200</v>
          </cell>
          <cell r="T3968" t="str">
            <v>Bueno</v>
          </cell>
          <cell r="U3968" t="str">
            <v>N/T</v>
          </cell>
        </row>
        <row r="3969">
          <cell r="J3969" t="str">
            <v>42-04-07-00-3961</v>
          </cell>
          <cell r="L3969" t="str">
            <v>42-04-07-00-3961</v>
          </cell>
          <cell r="M3969" t="str">
            <v>Mueble Tipo Mesa Esquinero cubierta Postformada Mini Refrigerador</v>
          </cell>
          <cell r="N3969" t="str">
            <v>Oficina Enfermeras</v>
          </cell>
          <cell r="O3969" t="str">
            <v>OTROS</v>
          </cell>
          <cell r="P3969">
            <v>48900</v>
          </cell>
          <cell r="T3969" t="str">
            <v>Bueno</v>
          </cell>
          <cell r="U3969" t="str">
            <v>N/T</v>
          </cell>
        </row>
        <row r="3970">
          <cell r="J3970" t="str">
            <v>42-04-07-00-3962</v>
          </cell>
          <cell r="L3970" t="str">
            <v>42-04-07-00-3962</v>
          </cell>
          <cell r="M3970" t="str">
            <v>Mueble Colgante Adosado a Pared 6 Puertas 6 Compartimientos Color Blanco Invierno</v>
          </cell>
          <cell r="N3970" t="str">
            <v>Oficina Enfermeras</v>
          </cell>
          <cell r="O3970" t="str">
            <v>OTROS</v>
          </cell>
          <cell r="P3970">
            <v>250000</v>
          </cell>
          <cell r="T3970" t="str">
            <v>Bueno</v>
          </cell>
          <cell r="U3970" t="str">
            <v>N/T</v>
          </cell>
        </row>
        <row r="3971">
          <cell r="J3971" t="str">
            <v>42-04-07-00-3963</v>
          </cell>
          <cell r="L3971" t="str">
            <v>42-04-07-00-3963</v>
          </cell>
          <cell r="M3971" t="str">
            <v>Mueble Colgante Adosado a Pared 8 Puertas 8 Compartimientos Color Blanco Invierno</v>
          </cell>
          <cell r="N3971" t="str">
            <v>Oficina Enfermeras</v>
          </cell>
          <cell r="O3971" t="str">
            <v>OTROS</v>
          </cell>
          <cell r="P3971">
            <v>270000</v>
          </cell>
          <cell r="T3971" t="str">
            <v>Bueno</v>
          </cell>
          <cell r="U3971" t="str">
            <v>N/T</v>
          </cell>
        </row>
        <row r="3972">
          <cell r="J3972" t="str">
            <v>42-04-06-00-3964</v>
          </cell>
          <cell r="L3972" t="str">
            <v>42-04-06-00-3964</v>
          </cell>
          <cell r="M3972" t="str">
            <v xml:space="preserve">Mueble Estacion de trabajo Melamina Cubierta Postformada 5 Puertas 16 Cajones Color Blanco Invierno </v>
          </cell>
          <cell r="N3972" t="str">
            <v>Oficina Enfermeras</v>
          </cell>
          <cell r="O3972" t="str">
            <v>REPISA</v>
          </cell>
          <cell r="P3972">
            <v>380000</v>
          </cell>
          <cell r="T3972" t="str">
            <v>Bueno</v>
          </cell>
          <cell r="U3972" t="str">
            <v>N/T</v>
          </cell>
        </row>
        <row r="3973">
          <cell r="J3973" t="str">
            <v>42-04-06-00-3965</v>
          </cell>
          <cell r="L3973" t="str">
            <v>42-04-06-00-3965</v>
          </cell>
          <cell r="M3973" t="str">
            <v>Mueble Estante Grande 2 Puertas 5 Compartimientos Melamina Color Blanco Invierno</v>
          </cell>
          <cell r="N3973" t="str">
            <v>Oficina Enfermeras</v>
          </cell>
          <cell r="O3973" t="str">
            <v>REPISA</v>
          </cell>
          <cell r="P3973">
            <v>170000</v>
          </cell>
          <cell r="T3973" t="str">
            <v>Bueno</v>
          </cell>
          <cell r="U3973" t="str">
            <v>N/T</v>
          </cell>
        </row>
        <row r="3974">
          <cell r="J3974" t="str">
            <v>42-05-02-05-3966</v>
          </cell>
          <cell r="L3974" t="str">
            <v>42-05-02-05-3966</v>
          </cell>
          <cell r="M3974" t="str">
            <v>Tablero Control Oxigeno, Aire Medico, Vacio Marca AMICO Corporation</v>
          </cell>
          <cell r="N3974" t="str">
            <v>Oficina Enfermeras</v>
          </cell>
          <cell r="O3974" t="str">
            <v>EQUIPOS DE SEGURIDAD</v>
          </cell>
          <cell r="P3974">
            <v>99900</v>
          </cell>
          <cell r="T3974" t="str">
            <v>Bueno</v>
          </cell>
          <cell r="U3974" t="str">
            <v>N/T</v>
          </cell>
        </row>
        <row r="3975">
          <cell r="J3975" t="str">
            <v>42-05-02-05-3967</v>
          </cell>
          <cell r="L3975" t="str">
            <v>42-05-02-05-3967</v>
          </cell>
          <cell r="M3975" t="str">
            <v>Tablero Control Timbres de Salas Hospitalizados</v>
          </cell>
          <cell r="N3975" t="str">
            <v>Oficina Enfermeras</v>
          </cell>
          <cell r="O3975" t="str">
            <v>EQUIPOS DE SEGURIDAD</v>
          </cell>
          <cell r="P3975">
            <v>79900</v>
          </cell>
          <cell r="T3975" t="str">
            <v>Bueno</v>
          </cell>
          <cell r="U3975" t="str">
            <v>N/T</v>
          </cell>
        </row>
        <row r="3976">
          <cell r="J3976" t="str">
            <v>42-05-02-01-3968</v>
          </cell>
          <cell r="L3976" t="str">
            <v>42-05-02-01-3968</v>
          </cell>
          <cell r="M3976" t="str">
            <v>Andador Metalico 2 Ruedas Tipo Burrito</v>
          </cell>
          <cell r="O3976" t="str">
            <v>EQUIPOS CLINICOS</v>
          </cell>
          <cell r="P3976">
            <v>45500</v>
          </cell>
          <cell r="T3976" t="str">
            <v>Bueno</v>
          </cell>
          <cell r="U3976" t="str">
            <v>N/T</v>
          </cell>
        </row>
        <row r="3977">
          <cell r="J3977" t="str">
            <v>42-04-07-00-3969</v>
          </cell>
          <cell r="L3977" t="str">
            <v>42-04-07-00-3969</v>
          </cell>
          <cell r="M3977" t="str">
            <v>Pilon Acero Inoxidable con  llave de Combinacion</v>
          </cell>
          <cell r="N3977" t="str">
            <v>Sala SUCIA</v>
          </cell>
          <cell r="O3977" t="str">
            <v>OTROS</v>
          </cell>
          <cell r="P3977">
            <v>90000</v>
          </cell>
          <cell r="T3977" t="str">
            <v>Bueno</v>
          </cell>
          <cell r="U3977" t="str">
            <v>N/T</v>
          </cell>
        </row>
        <row r="3978">
          <cell r="J3978" t="str">
            <v>42-04-07-00-3970</v>
          </cell>
          <cell r="L3978" t="str">
            <v>42-04-07-00-3970</v>
          </cell>
          <cell r="M3978" t="str">
            <v>Dispensador De Jabon PISA</v>
          </cell>
          <cell r="N3978" t="str">
            <v>Sala SUCIA</v>
          </cell>
          <cell r="O3978" t="str">
            <v>OTROS</v>
          </cell>
          <cell r="P3978">
            <v>4700</v>
          </cell>
          <cell r="T3978" t="str">
            <v>Bueno</v>
          </cell>
          <cell r="U3978" t="str">
            <v>PISA</v>
          </cell>
        </row>
        <row r="3979">
          <cell r="J3979" t="str">
            <v>42-04-07-00-3971</v>
          </cell>
          <cell r="L3979" t="str">
            <v>42-04-07-00-3971</v>
          </cell>
          <cell r="M3979" t="str">
            <v>Porta Toallas TORK</v>
          </cell>
          <cell r="N3979" t="str">
            <v>Sala SUCIA</v>
          </cell>
          <cell r="O3979" t="str">
            <v>OTROS</v>
          </cell>
          <cell r="P3979">
            <v>17000</v>
          </cell>
          <cell r="T3979" t="str">
            <v>Bueno</v>
          </cell>
          <cell r="U3979" t="str">
            <v>TORK</v>
          </cell>
        </row>
        <row r="3980">
          <cell r="J3980" t="str">
            <v>42-04-06-00-3972</v>
          </cell>
          <cell r="L3980" t="str">
            <v>42-04-06-00-3972</v>
          </cell>
          <cell r="M3980" t="str">
            <v>Mueble Melamina 4 Puertas Blanco Invierno Cubierta Pstformada</v>
          </cell>
          <cell r="N3980" t="str">
            <v>Sala SUCIA</v>
          </cell>
          <cell r="O3980" t="str">
            <v>REPISA</v>
          </cell>
          <cell r="P3980">
            <v>210000</v>
          </cell>
          <cell r="T3980" t="str">
            <v>Bueno</v>
          </cell>
          <cell r="U3980" t="str">
            <v>N/T</v>
          </cell>
        </row>
        <row r="3981">
          <cell r="J3981" t="str">
            <v>42-04-07-00-3973</v>
          </cell>
          <cell r="L3981" t="str">
            <v>42-04-07-00-3973</v>
          </cell>
          <cell r="M3981" t="str">
            <v>Mesa Metal Cubierta Melamina color Gris</v>
          </cell>
          <cell r="O3981" t="str">
            <v>OTROS</v>
          </cell>
          <cell r="P3981">
            <v>120000</v>
          </cell>
          <cell r="T3981" t="str">
            <v>Bueno</v>
          </cell>
          <cell r="U3981" t="str">
            <v>N/T</v>
          </cell>
        </row>
        <row r="3982">
          <cell r="J3982" t="str">
            <v>42-04-07-00-3974</v>
          </cell>
          <cell r="L3982" t="str">
            <v>42-04-07-00-3974</v>
          </cell>
          <cell r="M3982" t="str">
            <v>Bergere para Descanso Cuero Color CAFÉ</v>
          </cell>
          <cell r="O3982" t="str">
            <v>OTROS</v>
          </cell>
          <cell r="P3982">
            <v>330000</v>
          </cell>
          <cell r="T3982" t="str">
            <v>Bueno</v>
          </cell>
          <cell r="U3982" t="str">
            <v>N/T</v>
          </cell>
        </row>
        <row r="3983">
          <cell r="J3983" t="str">
            <v>42-04-07-00-3975</v>
          </cell>
          <cell r="L3983" t="str">
            <v>42-04-07-00-3975</v>
          </cell>
          <cell r="M3983" t="str">
            <v>Bergere para Descanso Cuero Color BEIGE</v>
          </cell>
          <cell r="O3983" t="str">
            <v>OTROS</v>
          </cell>
          <cell r="P3983">
            <v>330000</v>
          </cell>
          <cell r="T3983" t="str">
            <v>Bueno</v>
          </cell>
          <cell r="U3983" t="str">
            <v>N/T</v>
          </cell>
        </row>
        <row r="3984">
          <cell r="J3984" t="str">
            <v>42-04-07-00-3976</v>
          </cell>
          <cell r="L3984" t="str">
            <v>42-04-07-00-3976</v>
          </cell>
          <cell r="M3984" t="str">
            <v>Dispensador Jabon PISA</v>
          </cell>
          <cell r="O3984" t="str">
            <v>OTROS</v>
          </cell>
          <cell r="P3984">
            <v>4700</v>
          </cell>
          <cell r="T3984" t="str">
            <v>Bueno</v>
          </cell>
          <cell r="U3984" t="str">
            <v>PISA</v>
          </cell>
        </row>
        <row r="3985">
          <cell r="J3985" t="str">
            <v>42-04-07-00-3977</v>
          </cell>
          <cell r="L3985" t="str">
            <v>42-04-07-00-3977</v>
          </cell>
          <cell r="M3985" t="str">
            <v>Porta Toalla TORK</v>
          </cell>
          <cell r="O3985" t="str">
            <v>OTROS</v>
          </cell>
          <cell r="P3985">
            <v>17000</v>
          </cell>
          <cell r="T3985" t="str">
            <v>Bueno</v>
          </cell>
          <cell r="U3985" t="str">
            <v>TORK</v>
          </cell>
        </row>
        <row r="3986">
          <cell r="J3986" t="str">
            <v>42-04-07-00-3978</v>
          </cell>
          <cell r="L3986" t="str">
            <v>42-04-07-00-3978</v>
          </cell>
          <cell r="M3986" t="str">
            <v>Basurero Grande Color Gris Con tapa Negra ( Transporte De Ropa Sucia)</v>
          </cell>
          <cell r="O3986" t="str">
            <v>OTROS</v>
          </cell>
          <cell r="P3986">
            <v>8990</v>
          </cell>
          <cell r="T3986" t="str">
            <v>Bueno</v>
          </cell>
          <cell r="U3986" t="str">
            <v>N/T</v>
          </cell>
        </row>
        <row r="3987">
          <cell r="J3987" t="str">
            <v>42-05-02-01-3979</v>
          </cell>
          <cell r="L3987" t="str">
            <v>42-05-02-01-3979</v>
          </cell>
          <cell r="M3987" t="str">
            <v>Camilla Metalica Con Baranda Cuatro Ruedas Gris Sin Colchoneta</v>
          </cell>
          <cell r="N3987" t="str">
            <v>Pasillo Principal</v>
          </cell>
          <cell r="O3987" t="str">
            <v>EQUIPOS CLINICOS</v>
          </cell>
          <cell r="P3987">
            <v>85000</v>
          </cell>
          <cell r="T3987" t="str">
            <v>Bueno</v>
          </cell>
          <cell r="U3987" t="str">
            <v>N/T</v>
          </cell>
        </row>
        <row r="3988">
          <cell r="J3988" t="str">
            <v>42-04-07-00-3980</v>
          </cell>
          <cell r="L3988" t="str">
            <v>42-04-07-00-3980</v>
          </cell>
          <cell r="M3988" t="str">
            <v>Bergere para descanso Tapizado Azul</v>
          </cell>
          <cell r="N3988" t="str">
            <v>Residencia</v>
          </cell>
          <cell r="O3988" t="str">
            <v>OTROS</v>
          </cell>
          <cell r="P3988">
            <v>330000</v>
          </cell>
          <cell r="T3988" t="str">
            <v>Bueno</v>
          </cell>
          <cell r="U3988" t="str">
            <v>N/T</v>
          </cell>
        </row>
        <row r="3989">
          <cell r="J3989" t="str">
            <v>42-04-07-00-3981</v>
          </cell>
          <cell r="L3989" t="str">
            <v>42-04-07-00-3981</v>
          </cell>
          <cell r="M3989" t="str">
            <v>Bergere para descanso Ecocuero Beige</v>
          </cell>
          <cell r="N3989" t="str">
            <v>Residencia</v>
          </cell>
          <cell r="O3989" t="str">
            <v>OTROS</v>
          </cell>
          <cell r="P3989">
            <v>330000</v>
          </cell>
          <cell r="T3989" t="str">
            <v>Bueno</v>
          </cell>
          <cell r="U3989" t="str">
            <v>N/T</v>
          </cell>
        </row>
        <row r="3990">
          <cell r="J3990" t="str">
            <v>42-04-01-00-3982</v>
          </cell>
          <cell r="L3990" t="str">
            <v>42-04-01-00-3982</v>
          </cell>
          <cell r="M3990" t="str">
            <v>Mesa Mixta Cubierta Melamina Color Café</v>
          </cell>
          <cell r="N3990" t="str">
            <v>Residencia</v>
          </cell>
          <cell r="O3990" t="str">
            <v>MESAS</v>
          </cell>
          <cell r="P3990">
            <v>42500</v>
          </cell>
          <cell r="T3990" t="str">
            <v>Bueno</v>
          </cell>
          <cell r="U3990" t="str">
            <v>N/T</v>
          </cell>
        </row>
        <row r="3991">
          <cell r="J3991" t="str">
            <v>42-04-06-00-3983</v>
          </cell>
          <cell r="L3991" t="str">
            <v>42-04-06-00-3983</v>
          </cell>
          <cell r="M3991" t="str">
            <v>Mueble Melamina Blanco 1 Puerta con Llave</v>
          </cell>
          <cell r="N3991" t="str">
            <v>Residencia</v>
          </cell>
          <cell r="O3991" t="str">
            <v>REPISA</v>
          </cell>
          <cell r="P3991">
            <v>46200</v>
          </cell>
          <cell r="T3991" t="str">
            <v>Bueno</v>
          </cell>
          <cell r="U3991" t="str">
            <v>N/T</v>
          </cell>
        </row>
        <row r="3992">
          <cell r="J3992" t="str">
            <v>42-04-06-00-3984</v>
          </cell>
          <cell r="L3992" t="str">
            <v>42-04-06-00-3984</v>
          </cell>
          <cell r="M3992" t="str">
            <v xml:space="preserve">Mueble Adosado a pared 3 Cajones Con Llave </v>
          </cell>
          <cell r="N3992" t="str">
            <v>Residencia</v>
          </cell>
          <cell r="O3992" t="str">
            <v>REPISA</v>
          </cell>
          <cell r="P3992">
            <v>25600</v>
          </cell>
          <cell r="T3992" t="str">
            <v>Bueno</v>
          </cell>
          <cell r="U3992" t="str">
            <v>N/T</v>
          </cell>
        </row>
        <row r="3993">
          <cell r="J3993" t="str">
            <v>42-04-06-00-3985</v>
          </cell>
          <cell r="L3993" t="str">
            <v>42-04-06-00-3985</v>
          </cell>
          <cell r="M3993" t="str">
            <v>Mueble Melamina Blanco 12 Compartimientos</v>
          </cell>
          <cell r="N3993" t="str">
            <v>Residencia</v>
          </cell>
          <cell r="O3993" t="str">
            <v>REPISA</v>
          </cell>
          <cell r="P3993">
            <v>76200</v>
          </cell>
          <cell r="T3993" t="str">
            <v>Bueno</v>
          </cell>
          <cell r="U3993" t="str">
            <v>N/T</v>
          </cell>
        </row>
        <row r="3994">
          <cell r="J3994" t="str">
            <v>42-04-06-00-3986</v>
          </cell>
          <cell r="L3994" t="str">
            <v>42-04-06-00-3986</v>
          </cell>
          <cell r="M3994" t="str">
            <v>Estante Colgante 1 Cuerpo Melamina Blanco</v>
          </cell>
          <cell r="N3994" t="str">
            <v>Residencia</v>
          </cell>
          <cell r="O3994" t="str">
            <v>REPISA</v>
          </cell>
          <cell r="P3994">
            <v>35600</v>
          </cell>
          <cell r="T3994" t="str">
            <v>Bueno</v>
          </cell>
          <cell r="U3994" t="str">
            <v>N/T</v>
          </cell>
        </row>
        <row r="3995">
          <cell r="J3995" t="str">
            <v>42-04-07-00-3987</v>
          </cell>
          <cell r="L3995" t="str">
            <v>42-04-07-00-3987</v>
          </cell>
          <cell r="M3995" t="str">
            <v>Porta Confort Lite</v>
          </cell>
          <cell r="O3995" t="str">
            <v>OTROS</v>
          </cell>
          <cell r="P3995">
            <v>5200</v>
          </cell>
          <cell r="T3995" t="str">
            <v>Bueno</v>
          </cell>
          <cell r="U3995" t="str">
            <v>LITE</v>
          </cell>
        </row>
        <row r="3996">
          <cell r="J3996" t="str">
            <v>42-04-07-00-3988</v>
          </cell>
          <cell r="L3996" t="str">
            <v>42-04-07-00-3988</v>
          </cell>
          <cell r="M3996" t="str">
            <v>Lavatorio Metalico 4 Puertas Llave Combinación</v>
          </cell>
          <cell r="O3996" t="str">
            <v>OTROS</v>
          </cell>
          <cell r="P3996">
            <v>90000</v>
          </cell>
          <cell r="T3996" t="str">
            <v>Bueno</v>
          </cell>
          <cell r="U3996" t="str">
            <v>N/T</v>
          </cell>
        </row>
        <row r="3997">
          <cell r="J3997" t="str">
            <v>NN-06-01-00-3989</v>
          </cell>
          <cell r="L3997" t="str">
            <v>NN-06-01-00-3989</v>
          </cell>
          <cell r="M3997" t="str">
            <v>PC All in One Olidata NºS 014588-000854</v>
          </cell>
          <cell r="O3997" t="str">
            <v>EQUIPOS COMPUTACIONALES Y PERIFÉRICOS EN ARRIENDO</v>
          </cell>
          <cell r="P3997">
            <v>320000</v>
          </cell>
          <cell r="T3997" t="str">
            <v>Bueno</v>
          </cell>
          <cell r="U3997" t="str">
            <v>Olidata</v>
          </cell>
        </row>
        <row r="3998">
          <cell r="J3998" t="str">
            <v>NN-06-01-00-3990</v>
          </cell>
          <cell r="L3998" t="str">
            <v>NN-06-01-00-3990</v>
          </cell>
          <cell r="M3998" t="str">
            <v>Mouse Optico Olidata KM-8903</v>
          </cell>
          <cell r="O3998" t="str">
            <v>EQUIPOS COMPUTACIONALES Y PERIFÉRICOS EN ARRIENDO</v>
          </cell>
          <cell r="P3998">
            <v>4000</v>
          </cell>
          <cell r="T3998" t="str">
            <v>Bueno</v>
          </cell>
          <cell r="U3998" t="str">
            <v>Olidata</v>
          </cell>
        </row>
        <row r="3999">
          <cell r="J3999" t="str">
            <v>42-06-01-00-3991</v>
          </cell>
          <cell r="L3999" t="str">
            <v>42-06-01-00-3991</v>
          </cell>
          <cell r="M3999" t="str">
            <v>Teclado Convencional Model K-3100</v>
          </cell>
          <cell r="O3999" t="str">
            <v>EQUIPOS COMPUTACIONALES Y PERIFÉRICOS</v>
          </cell>
          <cell r="P3999">
            <v>3500</v>
          </cell>
          <cell r="T3999" t="str">
            <v>Bueno</v>
          </cell>
          <cell r="U3999" t="str">
            <v>Olidata</v>
          </cell>
        </row>
        <row r="4000">
          <cell r="J4000" t="str">
            <v>42-04-07-00-3992</v>
          </cell>
          <cell r="L4000" t="str">
            <v>42-04-07-00-3992</v>
          </cell>
          <cell r="M4000" t="str">
            <v>Vitrina metálica con 2 puertas de vidrio color blanco</v>
          </cell>
          <cell r="O4000" t="str">
            <v>OTROS</v>
          </cell>
          <cell r="P4000">
            <v>42500</v>
          </cell>
          <cell r="T4000" t="str">
            <v>Bueno</v>
          </cell>
          <cell r="U4000" t="str">
            <v>N/T</v>
          </cell>
        </row>
        <row r="4001">
          <cell r="J4001" t="str">
            <v>42-04-06-00-3993</v>
          </cell>
          <cell r="L4001" t="str">
            <v>42-04-06-00-3993</v>
          </cell>
          <cell r="M4001" t="str">
            <v>Repisa Madera Color Café 10 Compartimientos</v>
          </cell>
          <cell r="O4001" t="str">
            <v>REPISA</v>
          </cell>
          <cell r="P4001">
            <v>55000</v>
          </cell>
          <cell r="T4001" t="str">
            <v>Bueno</v>
          </cell>
          <cell r="U4001" t="str">
            <v>N/T</v>
          </cell>
        </row>
        <row r="4002">
          <cell r="J4002" t="str">
            <v>42-04-06-00-3994</v>
          </cell>
          <cell r="L4002" t="str">
            <v>42-04-06-00-3994</v>
          </cell>
          <cell r="M4002" t="str">
            <v>Repisa Madera Color Café 16 Compartimientos</v>
          </cell>
          <cell r="O4002" t="str">
            <v>REPISA</v>
          </cell>
          <cell r="P4002">
            <v>65000</v>
          </cell>
          <cell r="T4002" t="str">
            <v>Bueno</v>
          </cell>
          <cell r="U4002" t="str">
            <v>N/T</v>
          </cell>
        </row>
        <row r="4003">
          <cell r="J4003" t="str">
            <v>42-04-06-00-3995</v>
          </cell>
          <cell r="L4003" t="str">
            <v>42-04-06-00-3995</v>
          </cell>
          <cell r="M4003" t="str">
            <v>Repisa Madera Color Café 22 Compartimientos</v>
          </cell>
          <cell r="O4003" t="str">
            <v>REPISA</v>
          </cell>
          <cell r="P4003">
            <v>75000</v>
          </cell>
          <cell r="T4003" t="str">
            <v>Bueno</v>
          </cell>
          <cell r="U4003" t="str">
            <v>N/T</v>
          </cell>
        </row>
        <row r="4004">
          <cell r="J4004" t="str">
            <v>42-04-07-00-3996</v>
          </cell>
          <cell r="L4004" t="str">
            <v>42-04-07-00-3996</v>
          </cell>
          <cell r="M4004" t="str">
            <v>Lavamanos con Pedestal Loza Blanco C/Llave Monomando</v>
          </cell>
          <cell r="O4004" t="str">
            <v>OTROS</v>
          </cell>
          <cell r="P4004">
            <v>11000</v>
          </cell>
          <cell r="T4004" t="str">
            <v>Bueno</v>
          </cell>
          <cell r="U4004" t="str">
            <v>N/T</v>
          </cell>
        </row>
        <row r="4005">
          <cell r="J4005" t="str">
            <v>42-04-06-00-3997</v>
          </cell>
          <cell r="L4005" t="str">
            <v>42-04-06-00-3997</v>
          </cell>
          <cell r="M4005" t="str">
            <v>Repisa Madera Color Café 12 Compartimientos</v>
          </cell>
          <cell r="O4005" t="str">
            <v>REPISA</v>
          </cell>
          <cell r="P4005">
            <v>65000</v>
          </cell>
          <cell r="T4005" t="str">
            <v>Bueno</v>
          </cell>
          <cell r="U4005" t="str">
            <v>N/T</v>
          </cell>
        </row>
        <row r="4006">
          <cell r="J4006" t="str">
            <v>42-04-07-00-3998</v>
          </cell>
          <cell r="L4006" t="str">
            <v>42-04-07-00-3998</v>
          </cell>
          <cell r="M4006" t="str">
            <v>Porta Toalla TORK</v>
          </cell>
          <cell r="O4006" t="str">
            <v>OTROS</v>
          </cell>
          <cell r="P4006">
            <v>17000</v>
          </cell>
          <cell r="T4006" t="str">
            <v>Bueno</v>
          </cell>
          <cell r="U4006" t="str">
            <v>TORK</v>
          </cell>
        </row>
        <row r="4007">
          <cell r="J4007" t="str">
            <v>42-04-07-00-3999</v>
          </cell>
          <cell r="L4007" t="str">
            <v>42-04-07-00-3999</v>
          </cell>
          <cell r="M4007" t="str">
            <v>Dispensador Jabon PISA</v>
          </cell>
          <cell r="O4007" t="str">
            <v>OTROS</v>
          </cell>
          <cell r="P4007">
            <v>4700</v>
          </cell>
          <cell r="T4007" t="str">
            <v>Bueno</v>
          </cell>
          <cell r="U4007" t="str">
            <v>PISA</v>
          </cell>
        </row>
        <row r="4008">
          <cell r="J4008" t="str">
            <v>42-04-06-00-4000</v>
          </cell>
          <cell r="L4008" t="str">
            <v>42-04-06-00-4000</v>
          </cell>
          <cell r="M4008" t="str">
            <v>Repisa Melamina Blanca 2 Compartimientos</v>
          </cell>
          <cell r="O4008" t="str">
            <v>REPISA</v>
          </cell>
          <cell r="P4008">
            <v>45900</v>
          </cell>
          <cell r="T4008" t="str">
            <v>Bueno</v>
          </cell>
          <cell r="U4008" t="str">
            <v>N/T</v>
          </cell>
        </row>
        <row r="4009">
          <cell r="J4009" t="str">
            <v>42-04-06-00-4001</v>
          </cell>
          <cell r="L4009" t="str">
            <v>42-04-06-00-4001</v>
          </cell>
          <cell r="M4009" t="str">
            <v>Repisa Melamina Blanca 6 Compartimientos</v>
          </cell>
          <cell r="O4009" t="str">
            <v>REPISA</v>
          </cell>
          <cell r="P4009">
            <v>45900</v>
          </cell>
          <cell r="T4009" t="str">
            <v>Bueno</v>
          </cell>
          <cell r="U4009" t="str">
            <v>N/T</v>
          </cell>
        </row>
        <row r="4010">
          <cell r="J4010" t="str">
            <v>42-05-01-01-4002</v>
          </cell>
          <cell r="L4010" t="str">
            <v>42-05-01-01-4002</v>
          </cell>
          <cell r="M4010" t="str">
            <v>Porta Scotch Negro Torre</v>
          </cell>
          <cell r="O4010" t="str">
            <v>EQUIPO DE OFICINA</v>
          </cell>
          <cell r="P4010">
            <v>4000</v>
          </cell>
          <cell r="T4010" t="str">
            <v>Bueno</v>
          </cell>
          <cell r="U4010" t="str">
            <v>Torre</v>
          </cell>
        </row>
        <row r="4011">
          <cell r="J4011" t="str">
            <v>42-05-01-01-4003</v>
          </cell>
          <cell r="L4011" t="str">
            <v>42-05-01-01-4003</v>
          </cell>
          <cell r="M4011" t="str">
            <v>Corchetera Mediana Torre Negra</v>
          </cell>
          <cell r="O4011" t="str">
            <v>EQUIPO DE OFICINA</v>
          </cell>
          <cell r="P4011">
            <v>4200</v>
          </cell>
          <cell r="T4011" t="str">
            <v>Bueno</v>
          </cell>
          <cell r="U4011" t="str">
            <v>Torre</v>
          </cell>
        </row>
        <row r="4012">
          <cell r="J4012" t="str">
            <v>42-04-07-00-4004</v>
          </cell>
          <cell r="L4012" t="str">
            <v>42-04-07-00-4004</v>
          </cell>
          <cell r="M4012" t="str">
            <v>Papelero Gris c/Tapa Pedal</v>
          </cell>
          <cell r="O4012" t="str">
            <v>OTROS</v>
          </cell>
          <cell r="P4012">
            <v>4500</v>
          </cell>
          <cell r="T4012" t="str">
            <v>Bueno</v>
          </cell>
          <cell r="U4012" t="str">
            <v>Torre</v>
          </cell>
        </row>
        <row r="4013">
          <cell r="J4013" t="str">
            <v>42-04-07-00-4005</v>
          </cell>
          <cell r="L4013" t="str">
            <v>42-04-07-00-4005</v>
          </cell>
          <cell r="M4013" t="str">
            <v>Escabel Mixto Blanco 2 Peldaños</v>
          </cell>
          <cell r="O4013" t="str">
            <v>OTROS</v>
          </cell>
          <cell r="P4013">
            <v>5600</v>
          </cell>
          <cell r="T4013" t="str">
            <v>Bueno</v>
          </cell>
          <cell r="U4013" t="str">
            <v>N/T</v>
          </cell>
        </row>
        <row r="4014">
          <cell r="J4014" t="str">
            <v>FN-05-01-01-4006</v>
          </cell>
          <cell r="L4014" t="str">
            <v>FN-05-01-01-4006</v>
          </cell>
          <cell r="M4014" t="str">
            <v>Corchetera Negra Grande Marca Torre</v>
          </cell>
          <cell r="O4014" t="str">
            <v>EQUIPO DE OFICINA FUNGIBLE / NOMINABLE</v>
          </cell>
          <cell r="P4014">
            <v>6200</v>
          </cell>
          <cell r="T4014" t="str">
            <v>Bueno</v>
          </cell>
          <cell r="U4014" t="str">
            <v>Torre</v>
          </cell>
        </row>
        <row r="4015">
          <cell r="J4015" t="str">
            <v>42-04-07-00-4007</v>
          </cell>
          <cell r="L4015" t="str">
            <v>42-04-07-00-4007</v>
          </cell>
          <cell r="M4015" t="str">
            <v>Estanque Agua Caliente CORDIVARI 2000 LTS</v>
          </cell>
          <cell r="O4015" t="str">
            <v>OTROS</v>
          </cell>
          <cell r="P4015">
            <v>1400000</v>
          </cell>
          <cell r="T4015" t="str">
            <v>Bueno</v>
          </cell>
          <cell r="U4015" t="str">
            <v>CORDIVARI</v>
          </cell>
        </row>
        <row r="4016">
          <cell r="J4016" t="str">
            <v>42-04-07-00-4008</v>
          </cell>
          <cell r="L4016" t="str">
            <v>42-04-07-00-4008</v>
          </cell>
          <cell r="M4016" t="str">
            <v>Caldera Gas Mediana Presion I VAR SUPER RAC</v>
          </cell>
          <cell r="O4016" t="str">
            <v>OTROS</v>
          </cell>
          <cell r="P4016">
            <v>2700000</v>
          </cell>
          <cell r="T4016" t="str">
            <v>Bueno</v>
          </cell>
          <cell r="U4016" t="str">
            <v>I VAR</v>
          </cell>
        </row>
        <row r="4017">
          <cell r="J4017" t="str">
            <v>42-04-07-00-4009</v>
          </cell>
          <cell r="L4017" t="str">
            <v>42-04-07-00-4009</v>
          </cell>
          <cell r="M4017" t="str">
            <v>Quemador RIELLO BURVERS ANWO RS50</v>
          </cell>
          <cell r="O4017" t="str">
            <v>OTROS</v>
          </cell>
          <cell r="P4017">
            <v>1900000</v>
          </cell>
          <cell r="T4017" t="str">
            <v>Bueno</v>
          </cell>
          <cell r="U4017" t="str">
            <v>ANWO</v>
          </cell>
        </row>
        <row r="4018">
          <cell r="J4018" t="str">
            <v>42-04-07-00-4010</v>
          </cell>
          <cell r="L4018" t="str">
            <v>42-04-07-00-4010</v>
          </cell>
          <cell r="M4018" t="str">
            <v>Bomba Circuladora de Agua MOTOR ANWO Verde</v>
          </cell>
          <cell r="O4018" t="str">
            <v>OTROS</v>
          </cell>
          <cell r="P4018">
            <v>47000</v>
          </cell>
          <cell r="T4018" t="str">
            <v>Bueno</v>
          </cell>
          <cell r="U4018" t="str">
            <v>ANWO</v>
          </cell>
        </row>
        <row r="4019">
          <cell r="J4019" t="str">
            <v>42-04-07-00-4011</v>
          </cell>
          <cell r="L4019" t="str">
            <v>42-04-07-00-4011</v>
          </cell>
          <cell r="M4019" t="str">
            <v>Bomba Circuladora de Agua DAB PUMPS A 11/18OXMX</v>
          </cell>
          <cell r="O4019" t="str">
            <v>OTROS</v>
          </cell>
          <cell r="P4019">
            <v>47000</v>
          </cell>
          <cell r="T4019" t="str">
            <v>Bueno</v>
          </cell>
          <cell r="U4019" t="str">
            <v>DAB</v>
          </cell>
        </row>
        <row r="4020">
          <cell r="J4020" t="str">
            <v>42-04-07-00-4012</v>
          </cell>
          <cell r="L4020" t="str">
            <v>42-04-07-00-4012</v>
          </cell>
          <cell r="M4020" t="str">
            <v>Bomba Estanque Agua Caliente DAB VS 65 / 150</v>
          </cell>
          <cell r="O4020" t="str">
            <v>OTROS</v>
          </cell>
          <cell r="P4020">
            <v>70000</v>
          </cell>
          <cell r="T4020" t="str">
            <v>Bueno</v>
          </cell>
          <cell r="U4020" t="str">
            <v>DAB</v>
          </cell>
        </row>
        <row r="4021">
          <cell r="J4021" t="str">
            <v>42-04-07-00-4013</v>
          </cell>
          <cell r="L4021" t="str">
            <v>42-04-07-00-4013</v>
          </cell>
          <cell r="M4021" t="str">
            <v>Inter Calor AZUL ANWO P - 040 SN 181 - 01</v>
          </cell>
          <cell r="O4021" t="str">
            <v>OTROS</v>
          </cell>
          <cell r="P4021">
            <v>2500000</v>
          </cell>
          <cell r="T4021" t="str">
            <v>Bueno</v>
          </cell>
          <cell r="U4021" t="str">
            <v>ANWO</v>
          </cell>
        </row>
        <row r="4022">
          <cell r="J4022" t="str">
            <v>42-04-07-00-4014</v>
          </cell>
          <cell r="L4022" t="str">
            <v>42-04-07-00-4014</v>
          </cell>
          <cell r="M4022" t="str">
            <v>Bomba Surtidor Agua Caliente DAB VS 65 / 150 Nº 4</v>
          </cell>
          <cell r="O4022" t="str">
            <v>OTROS</v>
          </cell>
          <cell r="P4022">
            <v>70000</v>
          </cell>
          <cell r="T4022" t="str">
            <v>Bueno</v>
          </cell>
          <cell r="U4022" t="str">
            <v>DAB</v>
          </cell>
        </row>
        <row r="4023">
          <cell r="J4023" t="str">
            <v>42-04-07-00-4015</v>
          </cell>
          <cell r="L4023" t="str">
            <v>42-04-07-00-4015</v>
          </cell>
          <cell r="M4023" t="str">
            <v>Bomba Surtidor Agua Caliente NXL ALMSON NXL - 43 - 25 P</v>
          </cell>
          <cell r="O4023" t="str">
            <v>OTROS</v>
          </cell>
          <cell r="P4023">
            <v>70000</v>
          </cell>
          <cell r="T4023" t="str">
            <v>Bueno</v>
          </cell>
          <cell r="U4023" t="str">
            <v>ALMSON</v>
          </cell>
        </row>
        <row r="4024">
          <cell r="J4024" t="str">
            <v>42-04-07-00-4016</v>
          </cell>
          <cell r="L4024" t="str">
            <v>42-04-07-00-4016</v>
          </cell>
          <cell r="M4024" t="str">
            <v>Surtidor Agua Caliente Chico IMERA NS 3384677</v>
          </cell>
          <cell r="O4024" t="str">
            <v>OTROS</v>
          </cell>
          <cell r="P4024">
            <v>70000</v>
          </cell>
          <cell r="T4024" t="str">
            <v>Bueno</v>
          </cell>
          <cell r="U4024" t="str">
            <v>IMERA</v>
          </cell>
        </row>
        <row r="4025">
          <cell r="J4025" t="str">
            <v>42-04-07-00-4017</v>
          </cell>
          <cell r="L4025" t="str">
            <v>42-04-07-00-4017</v>
          </cell>
          <cell r="M4025" t="str">
            <v>Surtidor Agua Caliente Mediano IMERA 3041239</v>
          </cell>
          <cell r="O4025" t="str">
            <v>OTROS</v>
          </cell>
          <cell r="P4025">
            <v>70000</v>
          </cell>
          <cell r="T4025" t="str">
            <v>Bueno</v>
          </cell>
          <cell r="U4025" t="str">
            <v>IMERA</v>
          </cell>
        </row>
        <row r="4026">
          <cell r="J4026" t="str">
            <v>42-05-02-05-4018</v>
          </cell>
          <cell r="L4026" t="str">
            <v>42-05-02-05-4018</v>
          </cell>
          <cell r="M4026" t="str">
            <v>Tablero Electrico Chico MOLLER Caldera Nº 2</v>
          </cell>
          <cell r="O4026" t="str">
            <v>EQUIPOS DE SEGURIDAD</v>
          </cell>
          <cell r="P4026">
            <v>200000</v>
          </cell>
          <cell r="T4026" t="str">
            <v>Bueno</v>
          </cell>
          <cell r="U4026" t="str">
            <v>MOLLER</v>
          </cell>
        </row>
        <row r="4027">
          <cell r="J4027" t="str">
            <v>42-05-02-05-4019</v>
          </cell>
          <cell r="L4027" t="str">
            <v>42-05-02-05-4019</v>
          </cell>
          <cell r="M4027" t="str">
            <v>Tablero Electrico Bombas Calefaccion Agua Caliente T.D.F. y Control Bombas</v>
          </cell>
          <cell r="O4027" t="str">
            <v>EQUIPOS DE SEGURIDAD</v>
          </cell>
          <cell r="P4027">
            <v>150000</v>
          </cell>
          <cell r="T4027" t="str">
            <v>Bueno</v>
          </cell>
          <cell r="U4027" t="str">
            <v>N/T</v>
          </cell>
        </row>
        <row r="4028">
          <cell r="J4028" t="str">
            <v>42-05-02-05-4020</v>
          </cell>
          <cell r="L4028" t="str">
            <v>42-05-02-05-4020</v>
          </cell>
          <cell r="M4028" t="str">
            <v>Tablero Control Bombas 3 y 4 Antiguas</v>
          </cell>
          <cell r="O4028" t="str">
            <v>EQUIPOS DE SEGURIDAD</v>
          </cell>
          <cell r="P4028">
            <v>120000</v>
          </cell>
          <cell r="T4028" t="str">
            <v>Bueno</v>
          </cell>
          <cell r="U4028" t="str">
            <v>N/T</v>
          </cell>
        </row>
        <row r="4029">
          <cell r="J4029" t="str">
            <v>42-05-02-05-4021</v>
          </cell>
          <cell r="L4029" t="str">
            <v>42-05-02-05-4021</v>
          </cell>
          <cell r="M4029" t="str">
            <v xml:space="preserve">Botiquin Emergencia Standard </v>
          </cell>
          <cell r="O4029" t="str">
            <v>EQUIPOS DE SEGURIDAD</v>
          </cell>
          <cell r="P4029">
            <v>5000</v>
          </cell>
          <cell r="T4029" t="str">
            <v>Bueno</v>
          </cell>
          <cell r="U4029" t="str">
            <v>N/T</v>
          </cell>
        </row>
        <row r="4030">
          <cell r="J4030" t="str">
            <v>42-04-07-00-4022</v>
          </cell>
          <cell r="L4030" t="str">
            <v>42-04-07-00-4022</v>
          </cell>
          <cell r="M4030" t="str">
            <v xml:space="preserve">Banca Madera Color Miel </v>
          </cell>
          <cell r="O4030" t="str">
            <v>OTROS</v>
          </cell>
          <cell r="P4030">
            <v>15900</v>
          </cell>
          <cell r="T4030" t="str">
            <v>Bueno</v>
          </cell>
          <cell r="U4030" t="str">
            <v>N/T</v>
          </cell>
        </row>
        <row r="4031">
          <cell r="J4031" t="str">
            <v>42-04-04-00-4023</v>
          </cell>
          <cell r="L4031" t="str">
            <v>42-04-04-00-4023</v>
          </cell>
          <cell r="M4031" t="str">
            <v>Lavaplato Acero Inoxidable Doble con Llave Combinacion y Mueble Mixto Madera / Melamina Blanco 4 Cajones 2 Puertas</v>
          </cell>
          <cell r="O4031" t="str">
            <v>MUEBLES DE COCINA</v>
          </cell>
          <cell r="P4031">
            <v>260000</v>
          </cell>
          <cell r="T4031" t="str">
            <v>Bueno</v>
          </cell>
          <cell r="U4031" t="str">
            <v>N/T</v>
          </cell>
        </row>
        <row r="4032">
          <cell r="J4032" t="str">
            <v>42-05-01-01-4024</v>
          </cell>
          <cell r="L4032" t="str">
            <v>42-05-01-01-4024</v>
          </cell>
          <cell r="M4032" t="str">
            <v>Telefono Citofono Nortwell Network Blanco NS  0074438</v>
          </cell>
          <cell r="O4032" t="str">
            <v>EQUIPO DE OFICINA</v>
          </cell>
          <cell r="P4032">
            <v>13600</v>
          </cell>
          <cell r="T4032" t="str">
            <v>Bueno</v>
          </cell>
          <cell r="U4032" t="str">
            <v>Nortel Network</v>
          </cell>
        </row>
        <row r="4033">
          <cell r="J4033" t="str">
            <v>42-04-02-00-4025</v>
          </cell>
          <cell r="L4033" t="str">
            <v>42-04-02-00-4025</v>
          </cell>
          <cell r="M4033" t="str">
            <v>Silla Mixta Pequeña de Niño Roja</v>
          </cell>
          <cell r="O4033" t="str">
            <v>SILLAS</v>
          </cell>
          <cell r="P4033">
            <v>5200</v>
          </cell>
          <cell r="T4033" t="str">
            <v>Bueno</v>
          </cell>
          <cell r="U4033" t="str">
            <v>N/T</v>
          </cell>
        </row>
        <row r="4034">
          <cell r="J4034" t="str">
            <v>42-04-02-00-4026</v>
          </cell>
          <cell r="L4034" t="str">
            <v>42-04-02-00-4026</v>
          </cell>
          <cell r="M4034" t="str">
            <v>Silla Mixta Pequeña de Niño Amarilla</v>
          </cell>
          <cell r="O4034" t="str">
            <v>SILLAS</v>
          </cell>
          <cell r="P4034">
            <v>5200</v>
          </cell>
          <cell r="T4034" t="str">
            <v>Bueno</v>
          </cell>
          <cell r="U4034" t="str">
            <v>N/T</v>
          </cell>
        </row>
        <row r="4035">
          <cell r="J4035" t="str">
            <v>42-04-01-00-4027</v>
          </cell>
          <cell r="L4035" t="str">
            <v>42-04-01-00-4027</v>
          </cell>
          <cell r="M4035" t="str">
            <v>Mesa Mixta Pequeña Niño Amarilla</v>
          </cell>
          <cell r="O4035" t="str">
            <v>MESAS</v>
          </cell>
          <cell r="P4035">
            <v>8900</v>
          </cell>
          <cell r="T4035" t="str">
            <v>Bueno</v>
          </cell>
          <cell r="U4035" t="str">
            <v>N/T</v>
          </cell>
        </row>
        <row r="4036">
          <cell r="J4036" t="str">
            <v>42-04-07-00-4028</v>
          </cell>
          <cell r="L4036" t="str">
            <v>42-04-07-00-4028</v>
          </cell>
          <cell r="M4036" t="str">
            <v>Mural Interactivo con Motivos Infantiles Con Ruedas</v>
          </cell>
          <cell r="O4036" t="str">
            <v>OTROS</v>
          </cell>
          <cell r="P4036">
            <v>22900</v>
          </cell>
          <cell r="T4036" t="str">
            <v>Bueno</v>
          </cell>
          <cell r="U4036" t="str">
            <v>N/T</v>
          </cell>
        </row>
        <row r="4037">
          <cell r="J4037" t="str">
            <v>42-04-07-00-4029</v>
          </cell>
          <cell r="L4037" t="str">
            <v>42-04-07-00-4029</v>
          </cell>
          <cell r="M4037" t="str">
            <v>Mesa / Cama Madera Color Miel con Regulador de Cabecera Con Colchon Azul Ecocuero</v>
          </cell>
          <cell r="O4037" t="str">
            <v>OTROS</v>
          </cell>
          <cell r="P4037">
            <v>85900</v>
          </cell>
          <cell r="T4037" t="str">
            <v>Bueno</v>
          </cell>
          <cell r="U4037" t="str">
            <v>N/T</v>
          </cell>
        </row>
        <row r="4038">
          <cell r="J4038" t="str">
            <v>42-04-07-00-4030</v>
          </cell>
          <cell r="L4038" t="str">
            <v>42-04-07-00-4030</v>
          </cell>
          <cell r="M4038" t="str">
            <v>Frazada Motivos Florales, Celeste</v>
          </cell>
          <cell r="O4038" t="str">
            <v>OTROS</v>
          </cell>
          <cell r="P4038">
            <v>3500</v>
          </cell>
          <cell r="T4038" t="str">
            <v>Bueno</v>
          </cell>
          <cell r="U4038" t="str">
            <v>N/T</v>
          </cell>
        </row>
        <row r="4039">
          <cell r="J4039" t="str">
            <v>42-04-02-00-4031</v>
          </cell>
          <cell r="L4039" t="str">
            <v>42-04-02-00-4031</v>
          </cell>
          <cell r="M4039" t="str">
            <v xml:space="preserve">Silla Computacion Azul Con Apoya Brazos 5 Ruedas </v>
          </cell>
          <cell r="O4039" t="str">
            <v>SILLAS</v>
          </cell>
          <cell r="P4039">
            <v>42500</v>
          </cell>
          <cell r="T4039" t="str">
            <v>Bueno</v>
          </cell>
          <cell r="U4039" t="str">
            <v>N/T</v>
          </cell>
        </row>
        <row r="4040">
          <cell r="J4040" t="str">
            <v>42-04-07-00-4032</v>
          </cell>
          <cell r="L4040" t="str">
            <v>42-04-07-00-4032</v>
          </cell>
          <cell r="M4040" t="str">
            <v>Puerta MDF Terciado Con Chapa y Manilla</v>
          </cell>
          <cell r="O4040" t="str">
            <v>OTROS</v>
          </cell>
          <cell r="P4040">
            <v>22500</v>
          </cell>
          <cell r="T4040" t="str">
            <v>Bueno</v>
          </cell>
          <cell r="U4040" t="str">
            <v>N/T</v>
          </cell>
        </row>
        <row r="4041">
          <cell r="J4041" t="str">
            <v>42-04-07-00-4033</v>
          </cell>
          <cell r="L4041" t="str">
            <v>42-04-07-00-4033</v>
          </cell>
          <cell r="M4041" t="str">
            <v>Colchoneta Circular Tipo Rodillo Amarillo / Rojo / azul</v>
          </cell>
          <cell r="O4041" t="str">
            <v>OTROS</v>
          </cell>
          <cell r="P4041">
            <v>22600</v>
          </cell>
          <cell r="T4041" t="str">
            <v>Bueno</v>
          </cell>
          <cell r="U4041" t="str">
            <v>N/T</v>
          </cell>
        </row>
        <row r="4042">
          <cell r="J4042" t="str">
            <v>FN-04-07-00-4034</v>
          </cell>
          <cell r="L4042" t="str">
            <v>FN-04-07-00-4034</v>
          </cell>
          <cell r="M4042" t="str">
            <v xml:space="preserve">Plafon para Iluminacion Forma Media Luna </v>
          </cell>
          <cell r="O4042" t="str">
            <v>OTROS FUNGIBLE / NOMINABLE</v>
          </cell>
          <cell r="P4042">
            <v>3690</v>
          </cell>
          <cell r="T4042" t="str">
            <v>BUENO</v>
          </cell>
          <cell r="U4042" t="str">
            <v>N/T</v>
          </cell>
        </row>
        <row r="4043">
          <cell r="J4043" t="str">
            <v>42-04-07-00-4035</v>
          </cell>
          <cell r="L4043" t="str">
            <v>42-04-07-00-4035</v>
          </cell>
          <cell r="M4043" t="str">
            <v>Dispensador Jabon PISA</v>
          </cell>
          <cell r="O4043" t="str">
            <v>OTROS</v>
          </cell>
          <cell r="P4043">
            <v>4700</v>
          </cell>
          <cell r="T4043" t="str">
            <v>Bueno</v>
          </cell>
          <cell r="U4043" t="str">
            <v>PISA</v>
          </cell>
        </row>
        <row r="4044">
          <cell r="J4044" t="str">
            <v>42-04-07-00-4036</v>
          </cell>
          <cell r="L4044" t="str">
            <v>42-04-07-00-4036</v>
          </cell>
          <cell r="M4044" t="str">
            <v>Basurero Mediano Color Gris Con Tapa y Pedestal</v>
          </cell>
          <cell r="O4044" t="str">
            <v>OTROS</v>
          </cell>
          <cell r="P4044">
            <v>4800</v>
          </cell>
          <cell r="T4044" t="str">
            <v>Bueno</v>
          </cell>
          <cell r="U4044" t="str">
            <v>N/T</v>
          </cell>
        </row>
        <row r="4045">
          <cell r="J4045" t="str">
            <v>FN-04-07-00-4037</v>
          </cell>
          <cell r="L4045" t="str">
            <v>FN-04-07-00-4037</v>
          </cell>
          <cell r="M4045" t="str">
            <v>Basurero Gris Chico Con Tapa</v>
          </cell>
          <cell r="O4045" t="str">
            <v>OTROS FUNGIBLE / NOMINABLE</v>
          </cell>
          <cell r="P4045">
            <v>4000</v>
          </cell>
          <cell r="T4045" t="str">
            <v>Bueno</v>
          </cell>
          <cell r="U4045" t="str">
            <v>N/T</v>
          </cell>
        </row>
        <row r="4046">
          <cell r="J4046" t="str">
            <v>42-05-02-01-4038</v>
          </cell>
          <cell r="L4046" t="str">
            <v>42-05-02-01-4038</v>
          </cell>
          <cell r="M4046" t="str">
            <v>Centrifuga Para 8 Tubos SIGMA 201</v>
          </cell>
          <cell r="O4046" t="str">
            <v>EQUIPOS CLINICOS</v>
          </cell>
          <cell r="P4046">
            <v>160000</v>
          </cell>
          <cell r="T4046" t="str">
            <v>Bueno</v>
          </cell>
          <cell r="U4046" t="str">
            <v>SIGMA</v>
          </cell>
        </row>
        <row r="4047">
          <cell r="J4047" t="str">
            <v>42-04-07-00-4039</v>
          </cell>
          <cell r="L4047" t="str">
            <v>42-04-07-00-4039</v>
          </cell>
          <cell r="M4047" t="str">
            <v>Porta Toallas TORK</v>
          </cell>
          <cell r="O4047" t="str">
            <v>OTROS</v>
          </cell>
          <cell r="P4047">
            <v>17000</v>
          </cell>
          <cell r="T4047" t="str">
            <v>Bueno</v>
          </cell>
          <cell r="U4047" t="str">
            <v>TORK</v>
          </cell>
        </row>
        <row r="4048">
          <cell r="J4048" t="str">
            <v>NN-05-02-01-4040</v>
          </cell>
          <cell r="L4048" t="str">
            <v>NN-05-02-01-4040</v>
          </cell>
          <cell r="M4048" t="str">
            <v>Contador Hematologico MINDRAY BC - 5300 (VALTEK S.A.)</v>
          </cell>
          <cell r="O4048" t="str">
            <v>EQUIPOS CLINICOS EN ARRIENDO</v>
          </cell>
          <cell r="P4048">
            <v>1200000</v>
          </cell>
          <cell r="T4048" t="str">
            <v>Bueno</v>
          </cell>
          <cell r="U4048" t="str">
            <v>MINDRAY</v>
          </cell>
        </row>
        <row r="4049">
          <cell r="J4049" t="str">
            <v>NN-05-02-01-4041</v>
          </cell>
          <cell r="L4049" t="str">
            <v>NN-05-02-01-4041</v>
          </cell>
          <cell r="M4049" t="str">
            <v>Analizador Bioquimico MINDRAY BS - 300 (VALTEK S.A.)</v>
          </cell>
          <cell r="O4049" t="str">
            <v>EQUIPOS CLINICOS EN ARRIENDO</v>
          </cell>
          <cell r="P4049">
            <v>2500000</v>
          </cell>
          <cell r="T4049" t="str">
            <v>Bueno</v>
          </cell>
          <cell r="U4049" t="str">
            <v>MINDRAY</v>
          </cell>
        </row>
        <row r="4050">
          <cell r="J4050" t="str">
            <v>NN-06-01-00-4042</v>
          </cell>
          <cell r="L4050" t="str">
            <v>NN-06-01-00-4042</v>
          </cell>
          <cell r="M4050" t="str">
            <v xml:space="preserve">CPU IICI Nº 3062 Pentium Dual Core E5700  (VALTEK S.A.) </v>
          </cell>
          <cell r="O4050" t="str">
            <v>EQUIPOS COMPUTACIONALES Y PERIFÉRICOS EN ARRIENDO</v>
          </cell>
          <cell r="P4050">
            <v>320000</v>
          </cell>
          <cell r="T4050" t="str">
            <v>Bueno</v>
          </cell>
          <cell r="U4050" t="str">
            <v>IICI</v>
          </cell>
        </row>
        <row r="4051">
          <cell r="J4051" t="str">
            <v>NN-06-01-00-4043</v>
          </cell>
          <cell r="L4051" t="str">
            <v>NN-06-01-00-4043</v>
          </cell>
          <cell r="M4051" t="str">
            <v>Monitor Samsung Nº 2951 17 " (VALTEK S.A.)</v>
          </cell>
          <cell r="O4051" t="str">
            <v>EQUIPOS COMPUTACIONALES Y PERIFÉRICOS EN ARRIENDO</v>
          </cell>
          <cell r="P4051">
            <v>70000</v>
          </cell>
          <cell r="T4051" t="str">
            <v>Bueno</v>
          </cell>
          <cell r="U4051" t="str">
            <v>Samsung</v>
          </cell>
        </row>
        <row r="4052">
          <cell r="J4052" t="str">
            <v>NN-06-01-00-4044</v>
          </cell>
          <cell r="L4052" t="str">
            <v>NN-06-01-00-4044</v>
          </cell>
          <cell r="M4052" t="str">
            <v xml:space="preserve">Teclado Microsoft WK 600 </v>
          </cell>
          <cell r="O4052" t="str">
            <v>EQUIPOS COMPUTACIONALES Y PERIFÉRICOS EN ARRIENDO</v>
          </cell>
          <cell r="P4052">
            <v>3500</v>
          </cell>
          <cell r="T4052" t="str">
            <v>Bueno</v>
          </cell>
          <cell r="U4052" t="str">
            <v>Microsoft</v>
          </cell>
        </row>
        <row r="4053">
          <cell r="J4053" t="str">
            <v>NN-06-01-00-4045</v>
          </cell>
          <cell r="L4053" t="str">
            <v>NN-06-01-00-4045</v>
          </cell>
          <cell r="M4053" t="str">
            <v>Mouse Microsoft B O M  V.2.0</v>
          </cell>
          <cell r="O4053" t="str">
            <v>EQUIPOS COMPUTACIONALES Y PERIFÉRICOS EN ARRIENDO</v>
          </cell>
          <cell r="P4053">
            <v>4500</v>
          </cell>
          <cell r="T4053" t="str">
            <v>Bueno</v>
          </cell>
          <cell r="U4053" t="str">
            <v>Microsoft</v>
          </cell>
        </row>
        <row r="4054">
          <cell r="J4054" t="str">
            <v>NN-06-01-00-4046</v>
          </cell>
          <cell r="L4054" t="str">
            <v>NN-06-01-00-4046</v>
          </cell>
          <cell r="M4054" t="str">
            <v>Impresora Zebra GK 420 T Nº 2937 (VALTEK S.A.)</v>
          </cell>
          <cell r="O4054" t="str">
            <v>EQUIPOS COMPUTACIONALES Y PERIFÉRICOS EN ARRIENDO</v>
          </cell>
          <cell r="P4054">
            <v>90000</v>
          </cell>
          <cell r="T4054" t="str">
            <v>Bueno</v>
          </cell>
          <cell r="U4054" t="str">
            <v>ZEBRA</v>
          </cell>
        </row>
        <row r="4055">
          <cell r="J4055" t="str">
            <v>NN-06-01-00-4047</v>
          </cell>
          <cell r="L4055" t="str">
            <v>NN-06-01-00-4047</v>
          </cell>
          <cell r="M4055" t="str">
            <v>Impresora HP Laser Jet P1102W Nº 3024 (VALTEK S.A.)</v>
          </cell>
          <cell r="O4055" t="str">
            <v>EQUIPOS COMPUTACIONALES Y PERIFÉRICOS EN ARRIENDO</v>
          </cell>
          <cell r="P4055">
            <v>43500</v>
          </cell>
          <cell r="T4055" t="str">
            <v>Bueno</v>
          </cell>
          <cell r="U4055" t="str">
            <v>HP</v>
          </cell>
        </row>
        <row r="4056">
          <cell r="J4056" t="str">
            <v>NN-06-01-00-4048</v>
          </cell>
          <cell r="L4056" t="str">
            <v>NN-06-01-00-4048</v>
          </cell>
          <cell r="M4056" t="str">
            <v xml:space="preserve">CPU IICI Nº 2999 Pentium Dual Core E5700  (VALTEK S.A.) </v>
          </cell>
          <cell r="O4056" t="str">
            <v>EQUIPOS COMPUTACIONALES Y PERIFÉRICOS EN ARRIENDO</v>
          </cell>
          <cell r="P4056">
            <v>320000</v>
          </cell>
          <cell r="T4056" t="str">
            <v>Bueno</v>
          </cell>
          <cell r="U4056" t="str">
            <v>IICI</v>
          </cell>
        </row>
        <row r="4057">
          <cell r="J4057" t="str">
            <v>NN-06-01-00-4049</v>
          </cell>
          <cell r="L4057" t="str">
            <v>NN-06-01-00-4049</v>
          </cell>
          <cell r="M4057" t="str">
            <v>Monitor Samsung Nº 2993 17 " (VALTEK S.A.)</v>
          </cell>
          <cell r="O4057" t="str">
            <v>EQUIPOS COMPUTACIONALES Y PERIFÉRICOS EN ARRIENDO</v>
          </cell>
          <cell r="P4057">
            <v>70000</v>
          </cell>
          <cell r="T4057" t="str">
            <v>Bueno</v>
          </cell>
          <cell r="U4057" t="str">
            <v>Samsung</v>
          </cell>
        </row>
        <row r="4058">
          <cell r="J4058" t="str">
            <v>NN-06-01-00-4050</v>
          </cell>
          <cell r="L4058" t="str">
            <v>NN-06-01-00-4050</v>
          </cell>
          <cell r="M4058" t="str">
            <v xml:space="preserve">Teclado Microsoft WK 600 </v>
          </cell>
          <cell r="O4058" t="str">
            <v>EQUIPOS COMPUTACIONALES Y PERIFÉRICOS EN ARRIENDO</v>
          </cell>
          <cell r="P4058">
            <v>3500</v>
          </cell>
          <cell r="T4058" t="str">
            <v>Bueno</v>
          </cell>
          <cell r="U4058" t="str">
            <v>Microsoft</v>
          </cell>
        </row>
        <row r="4059">
          <cell r="J4059" t="str">
            <v>NN-06-01-00-4051</v>
          </cell>
          <cell r="L4059" t="str">
            <v>NN-06-01-00-4051</v>
          </cell>
          <cell r="M4059" t="str">
            <v>Mouse Microsoft B O M  V.2.0</v>
          </cell>
          <cell r="O4059" t="str">
            <v>EQUIPOS COMPUTACIONALES Y PERIFÉRICOS EN ARRIENDO</v>
          </cell>
          <cell r="P4059">
            <v>4500</v>
          </cell>
          <cell r="T4059" t="str">
            <v>Bueno</v>
          </cell>
          <cell r="U4059" t="str">
            <v>Microsoft</v>
          </cell>
        </row>
        <row r="4060">
          <cell r="J4060" t="str">
            <v>42-06-01-00-4052</v>
          </cell>
          <cell r="L4060" t="str">
            <v>42-06-01-00-4052</v>
          </cell>
          <cell r="M4060" t="str">
            <v>Lector Optico Codigo De Barra AIDA M 9010</v>
          </cell>
          <cell r="O4060" t="str">
            <v>EQUIPOS COMPUTACIONALES Y PERIFÉRICOS</v>
          </cell>
          <cell r="P4060">
            <v>22500</v>
          </cell>
          <cell r="T4060" t="str">
            <v>Bueno</v>
          </cell>
          <cell r="U4060" t="str">
            <v>AIDA</v>
          </cell>
        </row>
        <row r="4061">
          <cell r="J4061" t="str">
            <v>NN-05-02-05-4053</v>
          </cell>
          <cell r="L4061" t="str">
            <v>NN-05-02-05-4053</v>
          </cell>
          <cell r="M4061" t="str">
            <v>UPS Chico EAST Nº 2920 (VALTEK S.A.)</v>
          </cell>
          <cell r="O4061" t="str">
            <v>EQUIPOS DE SEGURIDAD EN ARRIENDO</v>
          </cell>
          <cell r="P4061">
            <v>45000</v>
          </cell>
          <cell r="T4061" t="str">
            <v>Bueno</v>
          </cell>
          <cell r="U4061" t="str">
            <v>EAST</v>
          </cell>
        </row>
        <row r="4062">
          <cell r="J4062" t="str">
            <v>NN-06-01-00-4054</v>
          </cell>
          <cell r="L4062" t="str">
            <v>NN-06-01-00-4054</v>
          </cell>
          <cell r="M4062" t="str">
            <v xml:space="preserve">CPU IICI Nº 3057 Pentium Dual Core E5700  (VALTEK S.A.) </v>
          </cell>
          <cell r="O4062" t="str">
            <v>EQUIPOS COMPUTACIONALES Y PERIFÉRICOS EN ARRIENDO</v>
          </cell>
          <cell r="P4062">
            <v>320000</v>
          </cell>
          <cell r="T4062" t="str">
            <v>Bueno</v>
          </cell>
          <cell r="U4062" t="str">
            <v>IICI</v>
          </cell>
        </row>
        <row r="4063">
          <cell r="J4063" t="str">
            <v>NN-06-01-00-4055</v>
          </cell>
          <cell r="L4063" t="str">
            <v>NN-06-01-00-4055</v>
          </cell>
          <cell r="M4063" t="str">
            <v xml:space="preserve">CPU IICI Nº 3065 Pentium Dual Core E5700  (VALTEK S.A.) </v>
          </cell>
          <cell r="O4063" t="str">
            <v>EQUIPOS COMPUTACIONALES Y PERIFÉRICOS EN ARRIENDO</v>
          </cell>
          <cell r="P4063">
            <v>320000</v>
          </cell>
          <cell r="T4063" t="str">
            <v>Bueno</v>
          </cell>
          <cell r="U4063" t="str">
            <v>IICI</v>
          </cell>
        </row>
        <row r="4064">
          <cell r="J4064" t="str">
            <v>NN-06-01-00-4056</v>
          </cell>
          <cell r="L4064" t="str">
            <v>NN-06-01-00-4056</v>
          </cell>
          <cell r="M4064" t="str">
            <v xml:space="preserve">Teclado Microsoft WK 600 </v>
          </cell>
          <cell r="O4064" t="str">
            <v>EQUIPOS COMPUTACIONALES Y PERIFÉRICOS EN ARRIENDO</v>
          </cell>
          <cell r="P4064">
            <v>70000</v>
          </cell>
          <cell r="T4064" t="str">
            <v>Bueno</v>
          </cell>
          <cell r="U4064" t="str">
            <v>Microsoft</v>
          </cell>
        </row>
        <row r="4065">
          <cell r="J4065" t="str">
            <v>NN-06-01-00-4057</v>
          </cell>
          <cell r="L4065" t="str">
            <v>NN-06-01-00-4057</v>
          </cell>
          <cell r="M4065" t="str">
            <v>Mouse Microsoft B O M  V.2.0</v>
          </cell>
          <cell r="O4065" t="str">
            <v>EQUIPOS COMPUTACIONALES Y PERIFÉRICOS EN ARRIENDO</v>
          </cell>
          <cell r="P4065">
            <v>3500</v>
          </cell>
          <cell r="T4065" t="str">
            <v>Bueno</v>
          </cell>
          <cell r="U4065" t="str">
            <v>Microsoft</v>
          </cell>
        </row>
        <row r="4066">
          <cell r="J4066" t="str">
            <v>NN-06-01-00-4058</v>
          </cell>
          <cell r="L4066" t="str">
            <v>NN-06-01-00-4058</v>
          </cell>
          <cell r="M4066" t="str">
            <v>Monitor Samsung Nº 2922 17 " (VALTEK S.A.)</v>
          </cell>
          <cell r="O4066" t="str">
            <v>EQUIPOS COMPUTACIONALES Y PERIFÉRICOS EN ARRIENDO</v>
          </cell>
          <cell r="P4066">
            <v>4500</v>
          </cell>
          <cell r="T4066" t="str">
            <v>Bueno</v>
          </cell>
          <cell r="U4066" t="str">
            <v>Samsung</v>
          </cell>
        </row>
        <row r="4067">
          <cell r="J4067" t="str">
            <v>NN-05-02-05-4059</v>
          </cell>
          <cell r="L4067" t="str">
            <v>NN-05-02-05-4059</v>
          </cell>
          <cell r="M4067" t="str">
            <v>UPS Mediano EAST Nº 2976 (VALTEK S.A.)</v>
          </cell>
          <cell r="O4067" t="str">
            <v>EQUIPOS DE SEGURIDAD EN ARRIENDO</v>
          </cell>
          <cell r="P4067">
            <v>56500</v>
          </cell>
          <cell r="T4067" t="str">
            <v>Bueno</v>
          </cell>
          <cell r="U4067" t="str">
            <v>EAST</v>
          </cell>
        </row>
        <row r="4068">
          <cell r="J4068" t="str">
            <v>NN-06-01-00-4060</v>
          </cell>
          <cell r="L4068" t="str">
            <v>NN-06-01-00-4060</v>
          </cell>
          <cell r="M4068" t="str">
            <v xml:space="preserve">CPU IICI Nº 2998 Pentium Dual Core E5700  (VALTEK S.A.) </v>
          </cell>
          <cell r="O4068" t="str">
            <v>EQUIPOS COMPUTACIONALES Y PERIFÉRICOS EN ARRIENDO</v>
          </cell>
          <cell r="P4068">
            <v>320000</v>
          </cell>
          <cell r="T4068" t="str">
            <v>Bueno</v>
          </cell>
          <cell r="U4068" t="str">
            <v>IICI</v>
          </cell>
        </row>
        <row r="4069">
          <cell r="J4069" t="str">
            <v>NN-06-01-00-4061</v>
          </cell>
          <cell r="L4069" t="str">
            <v>NN-06-01-00-4061</v>
          </cell>
          <cell r="M4069" t="str">
            <v>Monitor Samsung Nº 2988 17 " (VALTEK S.A.)</v>
          </cell>
          <cell r="O4069" t="str">
            <v>EQUIPOS COMPUTACIONALES Y PERIFÉRICOS EN ARRIENDO</v>
          </cell>
          <cell r="P4069">
            <v>70000</v>
          </cell>
          <cell r="T4069" t="str">
            <v>Bueno</v>
          </cell>
          <cell r="U4069" t="str">
            <v>Samsung</v>
          </cell>
        </row>
        <row r="4070">
          <cell r="J4070" t="str">
            <v>NN-06-01-00-4062</v>
          </cell>
          <cell r="L4070" t="str">
            <v>NN-06-01-00-4062</v>
          </cell>
          <cell r="M4070" t="str">
            <v xml:space="preserve">Teclado Microsoft WK 600 </v>
          </cell>
          <cell r="O4070" t="str">
            <v>EQUIPOS COMPUTACIONALES Y PERIFÉRICOS EN ARRIENDO</v>
          </cell>
          <cell r="P4070">
            <v>3500</v>
          </cell>
          <cell r="T4070" t="str">
            <v>Bueno</v>
          </cell>
          <cell r="U4070" t="str">
            <v>Microsoft</v>
          </cell>
        </row>
        <row r="4071">
          <cell r="J4071" t="str">
            <v>NN-06-01-00-4063</v>
          </cell>
          <cell r="L4071" t="str">
            <v>NN-06-01-00-4063</v>
          </cell>
          <cell r="M4071" t="str">
            <v>Mouse Microsoft B O M  V.2.0</v>
          </cell>
          <cell r="O4071" t="str">
            <v>EQUIPOS COMPUTACIONALES Y PERIFÉRICOS EN ARRIENDO</v>
          </cell>
          <cell r="P4071">
            <v>4500</v>
          </cell>
          <cell r="T4071" t="str">
            <v>Bueno</v>
          </cell>
          <cell r="U4071" t="str">
            <v>Microsoft</v>
          </cell>
        </row>
        <row r="4072">
          <cell r="J4072" t="str">
            <v>NN-05-02-05-4064</v>
          </cell>
          <cell r="L4072" t="str">
            <v>NN-05-02-05-4064</v>
          </cell>
          <cell r="M4072" t="str">
            <v>UPS Mediano EAST Nº 2640 (VALTEK S.A.)</v>
          </cell>
          <cell r="O4072" t="str">
            <v>EQUIPOS DE SEGURIDAD EN ARRIENDO</v>
          </cell>
          <cell r="P4072">
            <v>56500</v>
          </cell>
          <cell r="T4072" t="str">
            <v>Bueno</v>
          </cell>
          <cell r="U4072" t="str">
            <v>EAST</v>
          </cell>
        </row>
        <row r="4073">
          <cell r="J4073" t="str">
            <v>NN-06-01-00-4065</v>
          </cell>
          <cell r="L4073" t="str">
            <v>NN-06-01-00-4065</v>
          </cell>
          <cell r="M4073" t="str">
            <v xml:space="preserve">CPU IICI Nº 3038 Pentium Dual Core E5700  (VALTEK S.A.) </v>
          </cell>
          <cell r="O4073" t="str">
            <v>EQUIPOS COMPUTACIONALES Y PERIFÉRICOS EN ARRIENDO</v>
          </cell>
          <cell r="P4073">
            <v>320000</v>
          </cell>
          <cell r="T4073" t="str">
            <v>Bueno</v>
          </cell>
          <cell r="U4073" t="str">
            <v>IICI</v>
          </cell>
        </row>
        <row r="4074">
          <cell r="J4074" t="str">
            <v>NN-06-01-00-4066</v>
          </cell>
          <cell r="L4074" t="str">
            <v>NN-06-01-00-4066</v>
          </cell>
          <cell r="M4074" t="str">
            <v>Monitor Samsung Nº 2952 17 " (VALTEK S.A.)</v>
          </cell>
          <cell r="O4074" t="str">
            <v>EQUIPOS COMPUTACIONALES Y PERIFÉRICOS EN ARRIENDO</v>
          </cell>
          <cell r="P4074">
            <v>70000</v>
          </cell>
          <cell r="T4074" t="str">
            <v>Bueno</v>
          </cell>
          <cell r="U4074" t="str">
            <v>Samsung</v>
          </cell>
        </row>
        <row r="4075">
          <cell r="J4075" t="str">
            <v>NN-06-01-00-4067</v>
          </cell>
          <cell r="L4075" t="str">
            <v>NN-06-01-00-4067</v>
          </cell>
          <cell r="M4075" t="str">
            <v xml:space="preserve">Teclado Microsoft WK 600 </v>
          </cell>
          <cell r="O4075" t="str">
            <v>EQUIPOS COMPUTACIONALES Y PERIFÉRICOS EN ARRIENDO</v>
          </cell>
          <cell r="P4075">
            <v>3500</v>
          </cell>
          <cell r="T4075" t="str">
            <v>Bueno</v>
          </cell>
          <cell r="U4075" t="str">
            <v>Microsoft</v>
          </cell>
        </row>
        <row r="4076">
          <cell r="J4076" t="str">
            <v>NN-06-01-00-4068</v>
          </cell>
          <cell r="L4076" t="str">
            <v>NN-06-01-00-4068</v>
          </cell>
          <cell r="M4076" t="str">
            <v>Mouse Microsoft B O M  V.2.0</v>
          </cell>
          <cell r="O4076" t="str">
            <v>EQUIPOS COMPUTACIONALES Y PERIFÉRICOS EN ARRIENDO</v>
          </cell>
          <cell r="P4076">
            <v>4500</v>
          </cell>
          <cell r="T4076" t="str">
            <v>Bueno</v>
          </cell>
          <cell r="U4076" t="str">
            <v>Microsoft</v>
          </cell>
        </row>
        <row r="4077">
          <cell r="J4077" t="str">
            <v>42-05-02-05-4069</v>
          </cell>
          <cell r="L4077" t="str">
            <v>42-05-02-05-4069</v>
          </cell>
          <cell r="M4077" t="str">
            <v>FAN COIL UNIT Baumann Calefaccion Controlada</v>
          </cell>
          <cell r="O4077" t="str">
            <v>EQUIPOS DE SEGURIDAD</v>
          </cell>
          <cell r="P4077">
            <v>120000</v>
          </cell>
          <cell r="T4077" t="str">
            <v>Bueno</v>
          </cell>
          <cell r="U4077" t="str">
            <v>Baumann</v>
          </cell>
        </row>
        <row r="4078">
          <cell r="J4078" t="str">
            <v>42-05-02-05-4070</v>
          </cell>
          <cell r="L4078" t="str">
            <v>42-05-02-05-4070</v>
          </cell>
          <cell r="M4078" t="str">
            <v>Panel Control Electrico Frontal Energia Laboratorio</v>
          </cell>
          <cell r="O4078" t="str">
            <v>EQUIPOS DE SEGURIDAD</v>
          </cell>
          <cell r="P4078">
            <v>90000</v>
          </cell>
          <cell r="T4078" t="str">
            <v>Bueno</v>
          </cell>
          <cell r="U4078" t="str">
            <v>N/T</v>
          </cell>
        </row>
        <row r="4079">
          <cell r="J4079" t="str">
            <v>NN-06-01-00-4071</v>
          </cell>
          <cell r="L4079" t="str">
            <v>NN-06-01-00-4071</v>
          </cell>
          <cell r="M4079" t="str">
            <v>Monitor Olidata TFT 17 " SN 7009S-95D2588-001263</v>
          </cell>
          <cell r="O4079" t="str">
            <v>EQUIPOS COMPUTACIONALES Y PERIFÉRICOS EN ARRIENDO</v>
          </cell>
          <cell r="P4079">
            <v>70000</v>
          </cell>
          <cell r="T4079" t="str">
            <v>Bueno</v>
          </cell>
          <cell r="U4079" t="str">
            <v>Olidata</v>
          </cell>
        </row>
        <row r="4080">
          <cell r="J4080" t="str">
            <v>NN-06-01-00-4072</v>
          </cell>
          <cell r="L4080" t="str">
            <v>NN-06-01-00-4072</v>
          </cell>
          <cell r="M4080" t="str">
            <v>Impresora HP Laser Jet P1102W Nº 3022 (VALTEK S.A.)</v>
          </cell>
          <cell r="O4080" t="str">
            <v>EQUIPOS COMPUTACIONALES Y PERIFÉRICOS EN ARRIENDO</v>
          </cell>
          <cell r="P4080">
            <v>43500</v>
          </cell>
          <cell r="T4080" t="str">
            <v>Bueno</v>
          </cell>
          <cell r="U4080" t="str">
            <v>HP</v>
          </cell>
        </row>
        <row r="4081">
          <cell r="J4081" t="str">
            <v>NN-06-01-00-4073</v>
          </cell>
          <cell r="L4081" t="str">
            <v>NN-06-01-00-4073</v>
          </cell>
          <cell r="M4081" t="str">
            <v>Mouse Olidata 8920 Negro</v>
          </cell>
          <cell r="O4081" t="str">
            <v>EQUIPOS COMPUTACIONALES Y PERIFÉRICOS EN ARRIENDO</v>
          </cell>
          <cell r="P4081">
            <v>4000</v>
          </cell>
          <cell r="T4081" t="str">
            <v>Bueno</v>
          </cell>
          <cell r="U4081" t="str">
            <v>Olidata</v>
          </cell>
        </row>
        <row r="4082">
          <cell r="J4082" t="str">
            <v>NN-06-01-00-4074</v>
          </cell>
          <cell r="L4082" t="str">
            <v>NN-06-01-00-4074</v>
          </cell>
          <cell r="M4082" t="str">
            <v>Teclado Olidata MOD K3100</v>
          </cell>
          <cell r="O4082" t="str">
            <v>EQUIPOS COMPUTACIONALES Y PERIFÉRICOS EN ARRIENDO</v>
          </cell>
          <cell r="P4082">
            <v>3000</v>
          </cell>
          <cell r="T4082" t="str">
            <v>Bueno</v>
          </cell>
          <cell r="U4082" t="str">
            <v>Olidata</v>
          </cell>
        </row>
        <row r="4083">
          <cell r="J4083" t="str">
            <v>NN-06-01-00-4075</v>
          </cell>
          <cell r="L4083" t="str">
            <v>NN-06-01-00-4075</v>
          </cell>
          <cell r="M4083" t="str">
            <v>CPU Olidata Intel CORE 2 DUO E 7500</v>
          </cell>
          <cell r="O4083" t="str">
            <v>EQUIPOS COMPUTACIONALES Y PERIFÉRICOS EN ARRIENDO</v>
          </cell>
          <cell r="P4083">
            <v>270000</v>
          </cell>
          <cell r="T4083" t="str">
            <v>Bueno</v>
          </cell>
          <cell r="U4083" t="str">
            <v>Olidata</v>
          </cell>
        </row>
        <row r="4084">
          <cell r="J4084" t="str">
            <v>42-04-03-00-4076</v>
          </cell>
          <cell r="L4084" t="str">
            <v>42-04-03-00-4076</v>
          </cell>
          <cell r="M4084" t="str">
            <v>Escritorio Postformado Color Blanco Invierno 1 Cajon 1 Puerta + Bandeja Corredera Teclado</v>
          </cell>
          <cell r="O4084" t="str">
            <v>ESCRITORIOS</v>
          </cell>
          <cell r="P4084">
            <v>75000</v>
          </cell>
          <cell r="T4084" t="str">
            <v>Bueno</v>
          </cell>
          <cell r="U4084" t="str">
            <v>N/T</v>
          </cell>
        </row>
        <row r="4085">
          <cell r="J4085" t="str">
            <v>NN-06-01-00-4077</v>
          </cell>
          <cell r="L4085" t="str">
            <v>NN-06-01-00-4077</v>
          </cell>
          <cell r="M4085" t="str">
            <v>Impresora HP Laser Jet P1102W Nº 3017 (VALTEK S.A.)</v>
          </cell>
          <cell r="O4085" t="str">
            <v>EQUIPOS COMPUTACIONALES Y PERIFÉRICOS EN ARRIENDO</v>
          </cell>
          <cell r="P4085">
            <v>43500</v>
          </cell>
          <cell r="T4085" t="str">
            <v>Bueno</v>
          </cell>
          <cell r="U4085" t="str">
            <v>HP</v>
          </cell>
        </row>
        <row r="4086">
          <cell r="J4086" t="str">
            <v>NN-06-01-00-4078</v>
          </cell>
          <cell r="L4086" t="str">
            <v>NN-06-01-00-4078</v>
          </cell>
          <cell r="M4086" t="str">
            <v>Impresora Zebra GK 420 T Nº 2939 (VALTEK S.A.)</v>
          </cell>
          <cell r="O4086" t="str">
            <v>EQUIPOS COMPUTACIONALES Y PERIFÉRICOS EN ARRIENDO</v>
          </cell>
          <cell r="P4086">
            <v>90000</v>
          </cell>
          <cell r="T4086" t="str">
            <v>Bueno</v>
          </cell>
          <cell r="U4086" t="str">
            <v>ZEBRA</v>
          </cell>
        </row>
        <row r="4087">
          <cell r="J4087" t="str">
            <v>NN-06-01-00-4079</v>
          </cell>
          <cell r="L4087" t="str">
            <v>NN-06-01-00-4079</v>
          </cell>
          <cell r="M4087" t="str">
            <v xml:space="preserve">CPU IICI Nº 3043 Pentium Dual Core E5700  (VALTEK S.A.) </v>
          </cell>
          <cell r="O4087" t="str">
            <v>EQUIPOS COMPUTACIONALES Y PERIFÉRICOS EN ARRIENDO</v>
          </cell>
          <cell r="P4087">
            <v>320000</v>
          </cell>
          <cell r="T4087" t="str">
            <v>Bueno</v>
          </cell>
          <cell r="U4087" t="str">
            <v>IICI</v>
          </cell>
        </row>
        <row r="4088">
          <cell r="J4088" t="str">
            <v>NN-06-01-00-4080</v>
          </cell>
          <cell r="L4088" t="str">
            <v>NN-06-01-00-4080</v>
          </cell>
          <cell r="M4088" t="str">
            <v>Monitor Samsung Nº 2989 17 " (VALTEK S.A.)</v>
          </cell>
          <cell r="O4088" t="str">
            <v>EQUIPOS COMPUTACIONALES Y PERIFÉRICOS EN ARRIENDO</v>
          </cell>
          <cell r="P4088">
            <v>70000</v>
          </cell>
          <cell r="T4088" t="str">
            <v>Bueno</v>
          </cell>
          <cell r="U4088" t="str">
            <v>Samsung</v>
          </cell>
        </row>
        <row r="4089">
          <cell r="J4089" t="str">
            <v>NN-06-01-00-4081</v>
          </cell>
          <cell r="L4089" t="str">
            <v>NN-06-01-00-4081</v>
          </cell>
          <cell r="M4089" t="str">
            <v xml:space="preserve">Teclado Microsoft WK 600 </v>
          </cell>
          <cell r="O4089" t="str">
            <v>EQUIPOS COMPUTACIONALES Y PERIFÉRICOS EN ARRIENDO</v>
          </cell>
          <cell r="P4089">
            <v>3500</v>
          </cell>
          <cell r="T4089" t="str">
            <v>Bueno</v>
          </cell>
          <cell r="U4089" t="str">
            <v>Microsoft</v>
          </cell>
        </row>
        <row r="4090">
          <cell r="J4090" t="str">
            <v>NN-06-01-00-4082</v>
          </cell>
          <cell r="L4090" t="str">
            <v>NN-06-01-00-4082</v>
          </cell>
          <cell r="M4090" t="str">
            <v>Mouse Microsoft B O M  V.2.0</v>
          </cell>
          <cell r="O4090" t="str">
            <v>EQUIPOS COMPUTACIONALES Y PERIFÉRICOS EN ARRIENDO</v>
          </cell>
          <cell r="P4090">
            <v>4500</v>
          </cell>
          <cell r="T4090" t="str">
            <v>Bueno</v>
          </cell>
          <cell r="U4090" t="str">
            <v>Microsoft</v>
          </cell>
        </row>
        <row r="4091">
          <cell r="J4091" t="str">
            <v>42-05-02-01-4083</v>
          </cell>
          <cell r="L4091" t="str">
            <v>42-05-02-01-4083</v>
          </cell>
          <cell r="M4091" t="str">
            <v>Manometro Oxigeno con Humidificador</v>
          </cell>
          <cell r="N4091" t="str">
            <v>SALA IZQ</v>
          </cell>
          <cell r="O4091" t="str">
            <v>EQUIPOS CLINICOS</v>
          </cell>
          <cell r="P4091">
            <v>42900</v>
          </cell>
          <cell r="T4091" t="str">
            <v>Bueno</v>
          </cell>
          <cell r="U4091" t="str">
            <v>N/T</v>
          </cell>
        </row>
        <row r="4092">
          <cell r="J4092" t="str">
            <v>42-05-02-01-4084</v>
          </cell>
          <cell r="L4092" t="str">
            <v>42-05-02-01-4084</v>
          </cell>
          <cell r="M4092" t="str">
            <v>Sistema Aspiración Central</v>
          </cell>
          <cell r="N4092" t="str">
            <v>SALA IZQ</v>
          </cell>
          <cell r="O4092" t="str">
            <v>EQUIPOS CLINICOS</v>
          </cell>
          <cell r="P4092">
            <v>35600</v>
          </cell>
          <cell r="T4092" t="str">
            <v>Bueno</v>
          </cell>
          <cell r="U4092" t="str">
            <v>N/T</v>
          </cell>
        </row>
        <row r="4093">
          <cell r="J4093" t="str">
            <v>42-04-07-00-4085</v>
          </cell>
          <cell r="L4093" t="str">
            <v>42-04-07-00-4085</v>
          </cell>
          <cell r="M4093" t="str">
            <v>Lavamanos con Pedestal Loza Blanco C/Llave Monomando</v>
          </cell>
          <cell r="O4093" t="str">
            <v>OTROS</v>
          </cell>
          <cell r="P4093">
            <v>11000</v>
          </cell>
          <cell r="T4093" t="str">
            <v>Bueno</v>
          </cell>
          <cell r="U4093" t="str">
            <v>N/T</v>
          </cell>
        </row>
        <row r="4094">
          <cell r="J4094" t="str">
            <v>42-04-07-00-4086</v>
          </cell>
          <cell r="L4094" t="str">
            <v>42-04-07-00-4086</v>
          </cell>
          <cell r="M4094" t="str">
            <v>Porta Toallas TORK</v>
          </cell>
          <cell r="O4094" t="str">
            <v>OTROS</v>
          </cell>
          <cell r="P4094">
            <v>17000</v>
          </cell>
          <cell r="T4094" t="str">
            <v>Bueno</v>
          </cell>
          <cell r="U4094" t="str">
            <v>N/T</v>
          </cell>
        </row>
        <row r="4095">
          <cell r="J4095" t="str">
            <v>42-04-07-00-4087</v>
          </cell>
          <cell r="L4095" t="str">
            <v>42-04-07-00-4087</v>
          </cell>
          <cell r="M4095" t="str">
            <v>Dispensador Jabon Jhonsons</v>
          </cell>
          <cell r="O4095" t="str">
            <v>OTROS</v>
          </cell>
          <cell r="P4095">
            <v>4700</v>
          </cell>
          <cell r="T4095" t="str">
            <v>Bueno</v>
          </cell>
          <cell r="U4095" t="str">
            <v>N/T</v>
          </cell>
        </row>
        <row r="4096">
          <cell r="J4096" t="str">
            <v>42-05-02-01-4088</v>
          </cell>
          <cell r="L4096" t="str">
            <v>42-05-02-01-4088</v>
          </cell>
          <cell r="M4096" t="str">
            <v>Porta Suero 05 Ruedas 4 Colgadores</v>
          </cell>
          <cell r="O4096" t="str">
            <v>EQUIPOS CLINICOS</v>
          </cell>
          <cell r="P4096">
            <v>14200</v>
          </cell>
          <cell r="T4096" t="str">
            <v>Bueno</v>
          </cell>
          <cell r="U4096" t="str">
            <v>N/T</v>
          </cell>
        </row>
        <row r="4097">
          <cell r="J4097" t="str">
            <v>42-05-02-01-4089</v>
          </cell>
          <cell r="L4097" t="str">
            <v>42-05-02-01-4089</v>
          </cell>
          <cell r="M4097" t="str">
            <v>Manometro Oxigeno con Humidificador</v>
          </cell>
          <cell r="N4097" t="str">
            <v>SALA DER</v>
          </cell>
          <cell r="O4097" t="str">
            <v>EQUIPOS CLINICOS</v>
          </cell>
          <cell r="P4097">
            <v>42900</v>
          </cell>
          <cell r="T4097" t="str">
            <v>Bueno</v>
          </cell>
          <cell r="U4097" t="str">
            <v>N/T</v>
          </cell>
        </row>
        <row r="4098">
          <cell r="J4098" t="str">
            <v>42-05-02-01-4090</v>
          </cell>
          <cell r="L4098" t="str">
            <v>42-05-02-01-4090</v>
          </cell>
          <cell r="M4098" t="str">
            <v>Sistema Aspiración Central</v>
          </cell>
          <cell r="N4098" t="str">
            <v>SALA DER</v>
          </cell>
          <cell r="O4098" t="str">
            <v>EQUIPOS CLINICOS</v>
          </cell>
          <cell r="P4098">
            <v>35600</v>
          </cell>
          <cell r="T4098" t="str">
            <v>Bueno</v>
          </cell>
          <cell r="U4098" t="str">
            <v>N/T</v>
          </cell>
        </row>
        <row r="4099">
          <cell r="J4099" t="str">
            <v>42-04-07-00-4091</v>
          </cell>
          <cell r="L4099" t="str">
            <v>42-04-07-00-4091</v>
          </cell>
          <cell r="M4099" t="str">
            <v>Papelero Blanco Platico Con Tapa y Pedal</v>
          </cell>
          <cell r="O4099" t="str">
            <v>OTROS</v>
          </cell>
          <cell r="P4099">
            <v>4000</v>
          </cell>
          <cell r="T4099" t="str">
            <v>Bueno</v>
          </cell>
          <cell r="U4099" t="str">
            <v>N/T</v>
          </cell>
        </row>
        <row r="4100">
          <cell r="J4100" t="str">
            <v>FN-04-07-00-4092</v>
          </cell>
          <cell r="L4100" t="str">
            <v>FN-04-07-00-4092</v>
          </cell>
          <cell r="M4100" t="str">
            <v>Basurero Mediano Color  Blanco/Gris Con Tapa y Pedestal</v>
          </cell>
          <cell r="O4100" t="str">
            <v>OTROS FUNGIBLE / NOMINABLE</v>
          </cell>
          <cell r="P4100">
            <v>3500</v>
          </cell>
          <cell r="T4100" t="str">
            <v>Bueno</v>
          </cell>
          <cell r="U4100" t="str">
            <v>N/T</v>
          </cell>
        </row>
        <row r="4101">
          <cell r="J4101" t="str">
            <v>FN-05-02-01-4093</v>
          </cell>
          <cell r="L4101" t="str">
            <v>FN-05-02-01-4093</v>
          </cell>
          <cell r="M4101" t="str">
            <v>Chatas Metalicas Standard</v>
          </cell>
          <cell r="O4101" t="str">
            <v>EQUIPOS CLINICOS FUNGIBLE / NOMINABLE</v>
          </cell>
          <cell r="P4101">
            <v>9900</v>
          </cell>
          <cell r="T4101" t="str">
            <v>Bueno</v>
          </cell>
          <cell r="U4101" t="str">
            <v>N/T</v>
          </cell>
        </row>
        <row r="4102">
          <cell r="J4102" t="str">
            <v>42-04-07-00-4094</v>
          </cell>
          <cell r="L4102" t="str">
            <v>42-04-07-00-4094</v>
          </cell>
          <cell r="M4102" t="str">
            <v>Lavamanos con Pedestal Loza Blanco C/Llave Monomando</v>
          </cell>
          <cell r="O4102" t="str">
            <v>OTROS</v>
          </cell>
          <cell r="P4102">
            <v>11000</v>
          </cell>
          <cell r="T4102" t="str">
            <v>Bueno</v>
          </cell>
          <cell r="U4102" t="str">
            <v>N/T</v>
          </cell>
        </row>
        <row r="4103">
          <cell r="J4103" t="str">
            <v>42-04-07-00-4095</v>
          </cell>
          <cell r="L4103" t="str">
            <v>42-04-07-00-4095</v>
          </cell>
          <cell r="M4103" t="str">
            <v>Basurero Plastico Gris Con Tapa Omnium</v>
          </cell>
          <cell r="O4103" t="str">
            <v>OTROS</v>
          </cell>
          <cell r="P4103">
            <v>14900</v>
          </cell>
          <cell r="T4103" t="str">
            <v>Bueno</v>
          </cell>
          <cell r="U4103" t="str">
            <v>N/T</v>
          </cell>
        </row>
        <row r="4104">
          <cell r="J4104" t="str">
            <v>42-04-07-00-4096</v>
          </cell>
          <cell r="L4104" t="str">
            <v>42-04-07-00-4096</v>
          </cell>
          <cell r="M4104" t="str">
            <v>Ducha Telefono Metalica</v>
          </cell>
          <cell r="O4104" t="str">
            <v>OTROS</v>
          </cell>
          <cell r="P4104">
            <v>12900</v>
          </cell>
          <cell r="T4104" t="str">
            <v>Bueno</v>
          </cell>
          <cell r="U4104" t="str">
            <v>N/T</v>
          </cell>
        </row>
        <row r="4105">
          <cell r="J4105" t="str">
            <v>42-04-07-00-4097</v>
          </cell>
          <cell r="L4105" t="str">
            <v>42-04-07-00-4097</v>
          </cell>
          <cell r="M4105" t="str">
            <v>Porta cortinas metálico</v>
          </cell>
          <cell r="O4105" t="str">
            <v>OTROS</v>
          </cell>
          <cell r="P4105">
            <v>2500</v>
          </cell>
          <cell r="T4105" t="str">
            <v>Bueno</v>
          </cell>
          <cell r="U4105" t="str">
            <v>N/T</v>
          </cell>
        </row>
        <row r="4106">
          <cell r="J4106" t="str">
            <v>FN-04-07-00-4098</v>
          </cell>
          <cell r="L4106" t="str">
            <v>FN-04-07-00-4098</v>
          </cell>
          <cell r="M4106" t="str">
            <v>Cortinas Color Mostaza</v>
          </cell>
          <cell r="O4106" t="str">
            <v>OTROS FUNGIBLE / NOMINABLE</v>
          </cell>
          <cell r="P4106">
            <v>12500</v>
          </cell>
          <cell r="T4106" t="str">
            <v>Bueno</v>
          </cell>
          <cell r="U4106" t="str">
            <v>N/T</v>
          </cell>
        </row>
        <row r="4107">
          <cell r="J4107" t="str">
            <v>42-04-07-00-4099</v>
          </cell>
          <cell r="L4107" t="str">
            <v>42-04-07-00-4099</v>
          </cell>
          <cell r="M4107" t="str">
            <v>Pizarra Blanca 90x90 CM Melamina</v>
          </cell>
          <cell r="O4107" t="str">
            <v>OTROS</v>
          </cell>
          <cell r="P4107">
            <v>12100</v>
          </cell>
          <cell r="T4107" t="str">
            <v>Bueno</v>
          </cell>
          <cell r="U4107" t="str">
            <v>N/T</v>
          </cell>
        </row>
        <row r="4108">
          <cell r="J4108" t="str">
            <v>42-05-01-02-4100</v>
          </cell>
          <cell r="L4108" t="str">
            <v>42-05-01-02-4100</v>
          </cell>
          <cell r="M4108" t="str">
            <v>Selecciones Del Reader´s Digest, Nov 1984</v>
          </cell>
          <cell r="O4108" t="str">
            <v>LITERATURA</v>
          </cell>
          <cell r="P4108">
            <v>3000</v>
          </cell>
          <cell r="T4108" t="str">
            <v>Bueno</v>
          </cell>
          <cell r="U4108" t="str">
            <v>N/T</v>
          </cell>
        </row>
        <row r="4109">
          <cell r="J4109" t="str">
            <v>42-05-01-02-4101</v>
          </cell>
          <cell r="L4109" t="str">
            <v>42-05-01-02-4101</v>
          </cell>
          <cell r="M4109" t="str">
            <v>Selecciones Del Reader´s Digest, Jul 1967 Eº 200</v>
          </cell>
          <cell r="O4109" t="str">
            <v>LITERATURA</v>
          </cell>
          <cell r="P4109">
            <v>3000</v>
          </cell>
          <cell r="T4109" t="str">
            <v>Bueno</v>
          </cell>
          <cell r="U4109" t="str">
            <v>N/T</v>
          </cell>
        </row>
        <row r="4110">
          <cell r="J4110" t="str">
            <v>42-05-01-02-4102</v>
          </cell>
          <cell r="L4110" t="str">
            <v>42-05-01-02-4102</v>
          </cell>
          <cell r="M4110" t="str">
            <v>Selecciones Del Reader´s Digest, Octubre 1996</v>
          </cell>
          <cell r="O4110" t="str">
            <v>LITERATURA</v>
          </cell>
          <cell r="P4110">
            <v>3000</v>
          </cell>
          <cell r="T4110" t="str">
            <v>Bueno</v>
          </cell>
          <cell r="U4110" t="str">
            <v>N/T</v>
          </cell>
        </row>
        <row r="4111">
          <cell r="J4111" t="str">
            <v>42-05-01-02-4103</v>
          </cell>
          <cell r="L4111" t="str">
            <v>42-05-01-02-4103</v>
          </cell>
          <cell r="M4111" t="str">
            <v>Farsa De Amor; Barbara Cartland</v>
          </cell>
          <cell r="O4111" t="str">
            <v>LITERATURA</v>
          </cell>
          <cell r="P4111">
            <v>6900</v>
          </cell>
          <cell r="T4111" t="str">
            <v>Bueno</v>
          </cell>
          <cell r="U4111" t="str">
            <v>N/T</v>
          </cell>
        </row>
        <row r="4112">
          <cell r="J4112" t="str">
            <v>42-05-01-02-4104</v>
          </cell>
          <cell r="L4112" t="str">
            <v>42-05-01-02-4104</v>
          </cell>
          <cell r="M4112" t="str">
            <v>El Peso De La Noche; Jorge Edwards</v>
          </cell>
          <cell r="O4112" t="str">
            <v>LITERATURA</v>
          </cell>
          <cell r="P4112">
            <v>7500</v>
          </cell>
          <cell r="T4112" t="str">
            <v>Bueno</v>
          </cell>
          <cell r="U4112" t="str">
            <v>N/T</v>
          </cell>
        </row>
        <row r="4113">
          <cell r="J4113" t="str">
            <v>42-05-01-02-4105</v>
          </cell>
          <cell r="L4113" t="str">
            <v>42-05-01-02-4105</v>
          </cell>
          <cell r="M4113" t="str">
            <v>ANFA, Anuario Farmacologico de Chile; MERCK</v>
          </cell>
          <cell r="O4113" t="str">
            <v>LITERATURA</v>
          </cell>
          <cell r="P4113">
            <v>8900</v>
          </cell>
          <cell r="T4113" t="str">
            <v>Bueno</v>
          </cell>
          <cell r="U4113" t="str">
            <v>N/T</v>
          </cell>
        </row>
        <row r="4114">
          <cell r="J4114" t="str">
            <v>42-05-01-02-4106</v>
          </cell>
          <cell r="L4114" t="str">
            <v>42-05-01-02-4106</v>
          </cell>
          <cell r="M4114" t="str">
            <v>Ginecologia y Obstetricia; Dr. Ralph Benson</v>
          </cell>
          <cell r="O4114" t="str">
            <v>LITERATURA</v>
          </cell>
          <cell r="P4114">
            <v>9000</v>
          </cell>
          <cell r="T4114" t="str">
            <v>Bueno</v>
          </cell>
          <cell r="U4114" t="str">
            <v>N/T</v>
          </cell>
        </row>
        <row r="4115">
          <cell r="J4115" t="str">
            <v>42-05-01-02-4107</v>
          </cell>
          <cell r="L4115" t="str">
            <v>42-05-01-02-4107</v>
          </cell>
          <cell r="M4115" t="str">
            <v>LA Metamorfosis; Franz Kafka</v>
          </cell>
          <cell r="O4115" t="str">
            <v>LITERATURA</v>
          </cell>
          <cell r="P4115">
            <v>2500</v>
          </cell>
          <cell r="T4115" t="str">
            <v>Bueno</v>
          </cell>
          <cell r="U4115" t="str">
            <v>N/T</v>
          </cell>
        </row>
        <row r="4116">
          <cell r="J4116" t="str">
            <v>42-04-07-00-4108</v>
          </cell>
          <cell r="L4116" t="str">
            <v>42-04-07-00-4108</v>
          </cell>
          <cell r="M4116" t="str">
            <v>Cajon Madera Blanco Invierno Para Botas</v>
          </cell>
          <cell r="O4116" t="str">
            <v>OTROS</v>
          </cell>
          <cell r="P4116">
            <v>9900</v>
          </cell>
          <cell r="T4116" t="str">
            <v>Bueno</v>
          </cell>
          <cell r="U4116" t="str">
            <v>N/T</v>
          </cell>
        </row>
        <row r="4117">
          <cell r="J4117" t="str">
            <v>42-04-07-00-4109</v>
          </cell>
          <cell r="L4117" t="str">
            <v>42-04-07-00-4109</v>
          </cell>
          <cell r="M4117" t="str">
            <v>Porta Toallas TORK</v>
          </cell>
          <cell r="O4117" t="str">
            <v>OTROS</v>
          </cell>
          <cell r="P4117">
            <v>17000</v>
          </cell>
          <cell r="T4117" t="str">
            <v>Bueno</v>
          </cell>
          <cell r="U4117" t="str">
            <v>TORK</v>
          </cell>
        </row>
        <row r="4118">
          <cell r="J4118" t="str">
            <v>42-04-07-00-4110</v>
          </cell>
          <cell r="L4118" t="str">
            <v>42-04-07-00-4110</v>
          </cell>
          <cell r="M4118" t="str">
            <v>Dispensador de Jabon Jhonsons</v>
          </cell>
          <cell r="O4118" t="str">
            <v>OTROS</v>
          </cell>
          <cell r="P4118">
            <v>4700</v>
          </cell>
          <cell r="T4118" t="str">
            <v>Bueno</v>
          </cell>
          <cell r="U4118" t="str">
            <v>JHONSONS</v>
          </cell>
        </row>
        <row r="4119">
          <cell r="J4119" t="str">
            <v>42-05-02-01-4111</v>
          </cell>
          <cell r="L4119" t="str">
            <v>42-05-02-01-4111</v>
          </cell>
          <cell r="M4119" t="str">
            <v>Riñon De Porcelana Blanco</v>
          </cell>
          <cell r="O4119" t="str">
            <v>EQUIPOS CLINICOS</v>
          </cell>
          <cell r="P4119">
            <v>4900</v>
          </cell>
          <cell r="T4119" t="str">
            <v>Bueno</v>
          </cell>
          <cell r="U4119" t="str">
            <v>N/T</v>
          </cell>
        </row>
        <row r="4120">
          <cell r="J4120" t="str">
            <v>42-04-07-00-4112</v>
          </cell>
          <cell r="L4120" t="str">
            <v>42-04-07-00-4112</v>
          </cell>
          <cell r="M4120" t="str">
            <v>Caja Madera 30 X 20 CM Color Miel</v>
          </cell>
          <cell r="O4120" t="str">
            <v>OTROS</v>
          </cell>
          <cell r="P4120">
            <v>4500</v>
          </cell>
          <cell r="T4120" t="str">
            <v>Bueno</v>
          </cell>
          <cell r="U4120" t="str">
            <v>N/T</v>
          </cell>
        </row>
        <row r="4121">
          <cell r="J4121" t="str">
            <v>42-04-07-00-4113</v>
          </cell>
          <cell r="L4121" t="str">
            <v>42-04-07-00-4113</v>
          </cell>
          <cell r="M4121" t="str">
            <v>Mueble Tipo Mesa 50 CM Altura Melamina Blanco</v>
          </cell>
          <cell r="O4121" t="str">
            <v>OTROS</v>
          </cell>
          <cell r="P4121">
            <v>16500</v>
          </cell>
          <cell r="T4121" t="str">
            <v>Bueno</v>
          </cell>
          <cell r="U4121" t="str">
            <v>N/T</v>
          </cell>
        </row>
        <row r="4122">
          <cell r="J4122" t="str">
            <v>42-05-02-01-4114</v>
          </cell>
          <cell r="L4122" t="str">
            <v>42-05-02-01-4114</v>
          </cell>
          <cell r="M4122" t="str">
            <v>Detector Aislación 4 Conmtroles Sala De Parto</v>
          </cell>
          <cell r="O4122" t="str">
            <v>EQUIPOS CLINICOS</v>
          </cell>
          <cell r="P4122">
            <v>36900</v>
          </cell>
          <cell r="T4122" t="str">
            <v>Bueno</v>
          </cell>
          <cell r="U4122" t="str">
            <v>N/T</v>
          </cell>
        </row>
        <row r="4123">
          <cell r="J4123" t="str">
            <v>42-05-02-01-4115</v>
          </cell>
          <cell r="L4123" t="str">
            <v>42-05-02-01-4115</v>
          </cell>
          <cell r="M4123" t="str">
            <v>Pedestal Metalico Portasuero</v>
          </cell>
          <cell r="O4123" t="str">
            <v>EQUIPOS CLINICOS</v>
          </cell>
          <cell r="P4123">
            <v>12500</v>
          </cell>
          <cell r="T4123" t="str">
            <v>Bueno</v>
          </cell>
          <cell r="U4123" t="str">
            <v>N/T</v>
          </cell>
        </row>
        <row r="4124">
          <cell r="J4124" t="str">
            <v>42-05-02-01-4116</v>
          </cell>
          <cell r="L4124" t="str">
            <v>42-05-02-01-4116</v>
          </cell>
          <cell r="M4124" t="str">
            <v>Esfingomanometro Con Pedestal Suelo</v>
          </cell>
          <cell r="O4124" t="str">
            <v>EQUIPOS CLINICOS</v>
          </cell>
          <cell r="P4124">
            <v>39900</v>
          </cell>
          <cell r="T4124" t="str">
            <v>Bueno</v>
          </cell>
          <cell r="U4124" t="str">
            <v>N/T</v>
          </cell>
        </row>
        <row r="4125">
          <cell r="J4125" t="str">
            <v>42-05-02-01-4117</v>
          </cell>
          <cell r="L4125" t="str">
            <v>42-05-02-01-4117</v>
          </cell>
          <cell r="M4125" t="str">
            <v>Esfingomanometro Portatil</v>
          </cell>
          <cell r="O4125" t="str">
            <v>EQUIPOS CLINICOS</v>
          </cell>
          <cell r="P4125">
            <v>25500</v>
          </cell>
          <cell r="T4125" t="str">
            <v>BUENO</v>
          </cell>
          <cell r="U4125" t="str">
            <v>N/T</v>
          </cell>
        </row>
        <row r="4126">
          <cell r="J4126" t="str">
            <v>42-04-07-00-4118</v>
          </cell>
          <cell r="L4126" t="str">
            <v>42-04-07-00-4118</v>
          </cell>
          <cell r="M4126" t="str">
            <v>Papelero Gris Con Tapa y Pedal</v>
          </cell>
          <cell r="O4126" t="str">
            <v>OTROS</v>
          </cell>
          <cell r="P4126">
            <v>4000</v>
          </cell>
          <cell r="T4126" t="str">
            <v>BUENO</v>
          </cell>
          <cell r="U4126" t="str">
            <v>N/T</v>
          </cell>
        </row>
        <row r="4127">
          <cell r="J4127" t="str">
            <v>42-04-07-00-4119</v>
          </cell>
          <cell r="L4127" t="str">
            <v>42-04-07-00-4119</v>
          </cell>
          <cell r="M4127" t="str">
            <v>Mueble Colgante Melamina Blanco 2 Puertas De Vidrio</v>
          </cell>
          <cell r="O4127" t="str">
            <v>OTROS</v>
          </cell>
          <cell r="P4127">
            <v>25900</v>
          </cell>
          <cell r="T4127" t="str">
            <v>BUENO</v>
          </cell>
          <cell r="U4127" t="str">
            <v>N/T</v>
          </cell>
        </row>
        <row r="4128">
          <cell r="J4128" t="str">
            <v>42-05-02-01-4120</v>
          </cell>
          <cell r="L4128" t="str">
            <v>42-05-02-01-4120</v>
          </cell>
          <cell r="M4128" t="str">
            <v>Escabel Mixto Negro / Blanco</v>
          </cell>
          <cell r="O4128" t="str">
            <v>EQUIPOS CLINICOS</v>
          </cell>
          <cell r="P4128">
            <v>12500</v>
          </cell>
          <cell r="T4128" t="str">
            <v>BUENO</v>
          </cell>
          <cell r="U4128" t="str">
            <v>N/T</v>
          </cell>
        </row>
        <row r="4129">
          <cell r="J4129" t="str">
            <v>42-04-07-00-4121</v>
          </cell>
          <cell r="L4129" t="str">
            <v>42-04-07-00-4121</v>
          </cell>
          <cell r="M4129" t="str">
            <v>Basurero Blanco Plastico con Tapa y Pedal</v>
          </cell>
          <cell r="O4129" t="str">
            <v>OTROS</v>
          </cell>
          <cell r="P4129">
            <v>4000</v>
          </cell>
          <cell r="T4129" t="str">
            <v>BUENO</v>
          </cell>
          <cell r="U4129" t="str">
            <v>N/T</v>
          </cell>
        </row>
        <row r="4130">
          <cell r="J4130" t="str">
            <v>42-05-02-01-4122</v>
          </cell>
          <cell r="L4130" t="str">
            <v>42-05-02-01-4122</v>
          </cell>
          <cell r="M4130" t="str">
            <v>Lavatorio Aluminio Mediano</v>
          </cell>
          <cell r="O4130" t="str">
            <v>EQUIPOS CLINICOS</v>
          </cell>
          <cell r="P4130">
            <v>8500</v>
          </cell>
          <cell r="T4130" t="str">
            <v>BUENO</v>
          </cell>
          <cell r="U4130" t="str">
            <v>N/T</v>
          </cell>
        </row>
        <row r="4131">
          <cell r="J4131" t="str">
            <v>FN-04-07-00-4123</v>
          </cell>
          <cell r="L4131" t="str">
            <v>FN-04-07-00-4123</v>
          </cell>
          <cell r="M4131" t="str">
            <v>Cortinas Blanco Invierno</v>
          </cell>
          <cell r="O4131" t="str">
            <v>OTROS FUNGIBLE / NOMINABLE</v>
          </cell>
          <cell r="P4131">
            <v>12500</v>
          </cell>
          <cell r="T4131" t="str">
            <v>BUENO</v>
          </cell>
          <cell r="U4131" t="str">
            <v>N/T</v>
          </cell>
        </row>
        <row r="4132">
          <cell r="J4132" t="str">
            <v>42-04-07-00-4124</v>
          </cell>
          <cell r="L4132" t="str">
            <v>42-04-07-00-4124</v>
          </cell>
          <cell r="M4132" t="str">
            <v>Porta cortinas metálico</v>
          </cell>
          <cell r="O4132" t="str">
            <v>OTROS</v>
          </cell>
          <cell r="P4132">
            <v>2500</v>
          </cell>
          <cell r="T4132" t="str">
            <v>BUENO</v>
          </cell>
          <cell r="U4132" t="str">
            <v>N/T</v>
          </cell>
        </row>
        <row r="4133">
          <cell r="J4133" t="str">
            <v>42-04-07-00-4125</v>
          </cell>
          <cell r="L4133" t="str">
            <v>42-04-07-00-4125</v>
          </cell>
          <cell r="M4133" t="str">
            <v>Basurero Gris Chico Con Tapa y Pedal</v>
          </cell>
          <cell r="O4133" t="str">
            <v>OTROS</v>
          </cell>
          <cell r="P4133">
            <v>4000</v>
          </cell>
          <cell r="T4133" t="str">
            <v>BUENO</v>
          </cell>
          <cell r="U4133" t="str">
            <v>N/T</v>
          </cell>
        </row>
        <row r="4134">
          <cell r="J4134" t="str">
            <v>42-04-07-00-4126</v>
          </cell>
          <cell r="L4134" t="str">
            <v>42-04-07-00-4126</v>
          </cell>
          <cell r="M4134" t="str">
            <v>Velador Metalico 1 Cajon Clinico Marca Hope Full</v>
          </cell>
          <cell r="O4134" t="str">
            <v>OTROS</v>
          </cell>
          <cell r="P4134">
            <v>18900</v>
          </cell>
          <cell r="T4134" t="str">
            <v>BUENO</v>
          </cell>
          <cell r="U4134" t="str">
            <v>N/T</v>
          </cell>
        </row>
        <row r="4135">
          <cell r="J4135" t="str">
            <v>42-05-02-01-4127</v>
          </cell>
          <cell r="L4135" t="str">
            <v>42-05-02-01-4127</v>
          </cell>
          <cell r="M4135" t="str">
            <v>Manometro Oxigeno con Humidificador</v>
          </cell>
          <cell r="O4135" t="str">
            <v>EQUIPOS CLINICOS</v>
          </cell>
          <cell r="P4135">
            <v>42900</v>
          </cell>
          <cell r="T4135" t="str">
            <v>Bueno</v>
          </cell>
          <cell r="U4135" t="str">
            <v>N/T</v>
          </cell>
        </row>
        <row r="4136">
          <cell r="J4136" t="str">
            <v>42-05-02-01-4128</v>
          </cell>
          <cell r="L4136" t="str">
            <v>42-05-02-01-4128</v>
          </cell>
          <cell r="M4136" t="str">
            <v>Sistema Aspiración Central</v>
          </cell>
          <cell r="O4136" t="str">
            <v>EQUIPOS CLINICOS</v>
          </cell>
          <cell r="P4136">
            <v>35600</v>
          </cell>
          <cell r="T4136" t="str">
            <v>Bueno</v>
          </cell>
          <cell r="U4136" t="str">
            <v>N/T</v>
          </cell>
        </row>
        <row r="4137">
          <cell r="J4137" t="str">
            <v>42-05-02-01-4129</v>
          </cell>
          <cell r="L4137" t="str">
            <v>42-05-02-01-4129</v>
          </cell>
          <cell r="M4137" t="str">
            <v>Manometro Oxigeno con Humidificador</v>
          </cell>
          <cell r="O4137" t="str">
            <v>EQUIPOS CLINICOS</v>
          </cell>
          <cell r="P4137">
            <v>42900</v>
          </cell>
          <cell r="T4137" t="str">
            <v>Bueno</v>
          </cell>
          <cell r="U4137" t="str">
            <v>N/T</v>
          </cell>
        </row>
        <row r="4138">
          <cell r="J4138" t="str">
            <v>42-05-02-01-4130</v>
          </cell>
          <cell r="L4138" t="str">
            <v>42-05-02-01-4130</v>
          </cell>
          <cell r="M4138" t="str">
            <v>Sistema Aspiración Central</v>
          </cell>
          <cell r="O4138" t="str">
            <v>EQUIPOS CLINICOS</v>
          </cell>
          <cell r="P4138">
            <v>35600</v>
          </cell>
          <cell r="T4138" t="str">
            <v>Bueno</v>
          </cell>
          <cell r="U4138" t="str">
            <v>N/T</v>
          </cell>
        </row>
        <row r="4139">
          <cell r="J4139" t="str">
            <v>42-05-02-01-4131</v>
          </cell>
          <cell r="L4139" t="str">
            <v>42-05-02-01-4131</v>
          </cell>
          <cell r="M4139" t="str">
            <v>Manometro Oxigeno con Humidificador</v>
          </cell>
          <cell r="O4139" t="str">
            <v>EQUIPOS CLINICOS</v>
          </cell>
          <cell r="P4139">
            <v>42900</v>
          </cell>
          <cell r="T4139" t="str">
            <v>Bueno</v>
          </cell>
          <cell r="U4139" t="str">
            <v>N/T</v>
          </cell>
        </row>
        <row r="4140">
          <cell r="J4140" t="str">
            <v>42-05-02-01-4132</v>
          </cell>
          <cell r="L4140" t="str">
            <v>42-05-02-01-4132</v>
          </cell>
          <cell r="M4140" t="str">
            <v>Sistema Aspiración Central</v>
          </cell>
          <cell r="O4140" t="str">
            <v>EQUIPOS CLINICOS</v>
          </cell>
          <cell r="P4140">
            <v>35600</v>
          </cell>
          <cell r="T4140" t="str">
            <v>Bueno</v>
          </cell>
          <cell r="U4140" t="str">
            <v>N/T</v>
          </cell>
        </row>
        <row r="4141">
          <cell r="J4141" t="str">
            <v>42-05-02-01-4133</v>
          </cell>
          <cell r="L4141" t="str">
            <v>42-05-02-01-4133</v>
          </cell>
          <cell r="M4141" t="str">
            <v>Manometro Oxigeno con Humidificador</v>
          </cell>
          <cell r="O4141" t="str">
            <v>EQUIPOS CLINICOS</v>
          </cell>
          <cell r="P4141">
            <v>42900</v>
          </cell>
          <cell r="T4141" t="str">
            <v>Bueno</v>
          </cell>
          <cell r="U4141" t="str">
            <v>N/T</v>
          </cell>
        </row>
        <row r="4142">
          <cell r="J4142" t="str">
            <v>42-05-02-01-4134</v>
          </cell>
          <cell r="L4142" t="str">
            <v>42-05-02-01-4134</v>
          </cell>
          <cell r="M4142" t="str">
            <v>Sistema Aspiración Central</v>
          </cell>
          <cell r="O4142" t="str">
            <v>EQUIPOS CLINICOS</v>
          </cell>
          <cell r="P4142">
            <v>35600</v>
          </cell>
          <cell r="T4142" t="str">
            <v>Bueno</v>
          </cell>
          <cell r="U4142" t="str">
            <v>N/T</v>
          </cell>
        </row>
        <row r="4143">
          <cell r="J4143" t="str">
            <v>42-05-02-01-4135</v>
          </cell>
          <cell r="L4143" t="str">
            <v>42-05-02-01-4135</v>
          </cell>
          <cell r="M4143" t="str">
            <v>Manometro Oxigeno con Humidificador</v>
          </cell>
          <cell r="O4143" t="str">
            <v>EQUIPOS CLINICOS</v>
          </cell>
          <cell r="P4143">
            <v>42900</v>
          </cell>
          <cell r="T4143" t="str">
            <v>Bueno</v>
          </cell>
          <cell r="U4143" t="str">
            <v>N/T</v>
          </cell>
        </row>
        <row r="4144">
          <cell r="J4144" t="str">
            <v>42-05-02-01-4136</v>
          </cell>
          <cell r="L4144" t="str">
            <v>42-05-02-01-4136</v>
          </cell>
          <cell r="M4144" t="str">
            <v>Sistema Aspiración Central</v>
          </cell>
          <cell r="O4144" t="str">
            <v>EQUIPOS CLINICOS</v>
          </cell>
          <cell r="P4144">
            <v>35600</v>
          </cell>
          <cell r="T4144" t="str">
            <v>Bueno</v>
          </cell>
          <cell r="U4144" t="str">
            <v>N/T</v>
          </cell>
        </row>
        <row r="4145">
          <cell r="J4145" t="str">
            <v>42-05-02-01-4137</v>
          </cell>
          <cell r="L4145" t="str">
            <v>42-05-02-01-4137</v>
          </cell>
          <cell r="M4145" t="str">
            <v>Manometro Oxigeno con Humidificador</v>
          </cell>
          <cell r="O4145" t="str">
            <v>EQUIPOS CLINICOS</v>
          </cell>
          <cell r="P4145">
            <v>42900</v>
          </cell>
          <cell r="T4145" t="str">
            <v>Bueno</v>
          </cell>
          <cell r="U4145" t="str">
            <v>N/T</v>
          </cell>
        </row>
        <row r="4146">
          <cell r="J4146" t="str">
            <v>42-05-02-01-4138</v>
          </cell>
          <cell r="L4146" t="str">
            <v>42-05-02-01-4138</v>
          </cell>
          <cell r="M4146" t="str">
            <v>Sistema Aspiración Central</v>
          </cell>
          <cell r="O4146" t="str">
            <v>EQUIPOS CLINICOS</v>
          </cell>
          <cell r="P4146">
            <v>35600</v>
          </cell>
          <cell r="T4146" t="str">
            <v>Bueno</v>
          </cell>
          <cell r="U4146" t="str">
            <v>N/T</v>
          </cell>
        </row>
        <row r="4147">
          <cell r="J4147" t="str">
            <v>42-04-07-00-4139</v>
          </cell>
          <cell r="L4147" t="str">
            <v>42-04-07-00-4139</v>
          </cell>
          <cell r="M4147" t="str">
            <v>Lavamanos con Pedestal Loza Blanco C/Llave Monomando</v>
          </cell>
          <cell r="O4147" t="str">
            <v>OTROS</v>
          </cell>
          <cell r="P4147">
            <v>11000</v>
          </cell>
          <cell r="T4147" t="str">
            <v>BUENO</v>
          </cell>
          <cell r="U4147" t="str">
            <v>N/T</v>
          </cell>
        </row>
        <row r="4148">
          <cell r="J4148" t="str">
            <v>42-04-07-00-4140</v>
          </cell>
          <cell r="L4148" t="str">
            <v>42-04-07-00-4140</v>
          </cell>
          <cell r="M4148" t="str">
            <v>Porta Toallas TORK</v>
          </cell>
          <cell r="O4148" t="str">
            <v>OTROS</v>
          </cell>
          <cell r="P4148">
            <v>17000</v>
          </cell>
          <cell r="T4148" t="str">
            <v>BUENO</v>
          </cell>
          <cell r="U4148" t="str">
            <v>TORK</v>
          </cell>
        </row>
        <row r="4149">
          <cell r="J4149" t="str">
            <v>42-04-07-00-4141</v>
          </cell>
          <cell r="L4149" t="str">
            <v>42-04-07-00-4141</v>
          </cell>
          <cell r="M4149" t="str">
            <v>Dispensador Jabon Jhonsons</v>
          </cell>
          <cell r="O4149" t="str">
            <v>OTROS</v>
          </cell>
          <cell r="P4149">
            <v>4700</v>
          </cell>
          <cell r="T4149" t="str">
            <v>BUENO</v>
          </cell>
          <cell r="U4149" t="str">
            <v>JHONSONS</v>
          </cell>
        </row>
        <row r="4150">
          <cell r="J4150" t="str">
            <v>42-05-02-01-4142</v>
          </cell>
          <cell r="L4150" t="str">
            <v>42-05-02-01-4142</v>
          </cell>
          <cell r="M4150" t="str">
            <v>Cuna Metalica Recien Nacido Color Blanco</v>
          </cell>
          <cell r="O4150" t="str">
            <v>EQUIPOS CLINICOS</v>
          </cell>
          <cell r="P4150">
            <v>45000</v>
          </cell>
          <cell r="T4150" t="str">
            <v>Bueno</v>
          </cell>
          <cell r="U4150" t="str">
            <v>N/T</v>
          </cell>
        </row>
        <row r="4151">
          <cell r="J4151" t="str">
            <v>42-05-02-01-4143</v>
          </cell>
          <cell r="L4151" t="str">
            <v>42-05-02-01-4143</v>
          </cell>
          <cell r="M4151" t="str">
            <v>Cuna Metalica Recien Nacido Color Blanco</v>
          </cell>
          <cell r="O4151" t="str">
            <v>EQUIPOS CLINICOS</v>
          </cell>
          <cell r="P4151">
            <v>45000</v>
          </cell>
          <cell r="T4151" t="str">
            <v>Bueno</v>
          </cell>
          <cell r="U4151" t="str">
            <v>N/T</v>
          </cell>
        </row>
        <row r="4152">
          <cell r="J4152" t="str">
            <v>42-05-02-01-4144</v>
          </cell>
          <cell r="L4152" t="str">
            <v>42-05-02-01-4144</v>
          </cell>
          <cell r="M4152" t="str">
            <v>Luz Alogena Rojo / Negro</v>
          </cell>
          <cell r="O4152" t="str">
            <v>EQUIPOS CLINICOS</v>
          </cell>
          <cell r="P4152">
            <v>12000</v>
          </cell>
          <cell r="T4152" t="str">
            <v>Bueno</v>
          </cell>
          <cell r="U4152" t="str">
            <v>N/T</v>
          </cell>
        </row>
        <row r="4153">
          <cell r="J4153" t="str">
            <v>42-05-02-01-4145</v>
          </cell>
          <cell r="L4153" t="str">
            <v>42-05-02-01-4145</v>
          </cell>
          <cell r="M4153" t="str">
            <v>Manometro Oxigeno con Humidificador</v>
          </cell>
          <cell r="O4153" t="str">
            <v>EQUIPOS CLINICOS</v>
          </cell>
          <cell r="P4153">
            <v>42900</v>
          </cell>
          <cell r="T4153" t="str">
            <v>Bueno</v>
          </cell>
          <cell r="U4153" t="str">
            <v>N/T</v>
          </cell>
        </row>
        <row r="4154">
          <cell r="J4154" t="str">
            <v>42-05-02-01-4146</v>
          </cell>
          <cell r="L4154" t="str">
            <v>42-05-02-01-4146</v>
          </cell>
          <cell r="M4154" t="str">
            <v>Sistema Aspiración Central</v>
          </cell>
          <cell r="O4154" t="str">
            <v>EQUIPOS CLINICOS</v>
          </cell>
          <cell r="P4154">
            <v>35600</v>
          </cell>
          <cell r="T4154" t="str">
            <v>Bueno</v>
          </cell>
          <cell r="U4154" t="str">
            <v>N/T</v>
          </cell>
        </row>
        <row r="4155">
          <cell r="J4155" t="str">
            <v>42-05-02-01-4147</v>
          </cell>
          <cell r="L4155" t="str">
            <v>42-05-02-01-4147</v>
          </cell>
          <cell r="M4155" t="str">
            <v>Manometro Oxigeno con Humidificador</v>
          </cell>
          <cell r="O4155" t="str">
            <v>EQUIPOS CLINICOS</v>
          </cell>
          <cell r="P4155">
            <v>42900</v>
          </cell>
          <cell r="T4155" t="str">
            <v>Bueno</v>
          </cell>
          <cell r="U4155" t="str">
            <v>N/T</v>
          </cell>
        </row>
        <row r="4156">
          <cell r="J4156" t="str">
            <v>42-05-02-01-4148</v>
          </cell>
          <cell r="L4156" t="str">
            <v>42-05-02-01-4148</v>
          </cell>
          <cell r="M4156" t="str">
            <v>Sistema Aspiración Central</v>
          </cell>
          <cell r="O4156" t="str">
            <v>EQUIPOS CLINICOS</v>
          </cell>
          <cell r="P4156">
            <v>35600</v>
          </cell>
          <cell r="T4156" t="str">
            <v>Bueno</v>
          </cell>
          <cell r="U4156" t="str">
            <v>N/T</v>
          </cell>
        </row>
        <row r="4157">
          <cell r="J4157" t="str">
            <v>42-04-07-00-4149</v>
          </cell>
          <cell r="L4157" t="str">
            <v>42-04-07-00-4149</v>
          </cell>
          <cell r="M4157" t="str">
            <v>Lavamanos con Pedestal Loza Blanco C/Llave Monomando</v>
          </cell>
          <cell r="O4157" t="str">
            <v>OTROS</v>
          </cell>
          <cell r="P4157">
            <v>11000</v>
          </cell>
          <cell r="T4157" t="str">
            <v>Bueno</v>
          </cell>
          <cell r="U4157" t="str">
            <v>N/T</v>
          </cell>
        </row>
        <row r="4158">
          <cell r="J4158" t="str">
            <v>42-04-07-00-4150</v>
          </cell>
          <cell r="L4158" t="str">
            <v>42-04-07-00-4150</v>
          </cell>
          <cell r="M4158" t="str">
            <v>Porta Toallas TORK</v>
          </cell>
          <cell r="O4158" t="str">
            <v>OTROS</v>
          </cell>
          <cell r="P4158">
            <v>17000</v>
          </cell>
          <cell r="T4158" t="str">
            <v>Bueno</v>
          </cell>
          <cell r="U4158" t="str">
            <v>N/T</v>
          </cell>
        </row>
        <row r="4159">
          <cell r="J4159" t="str">
            <v>42-05-01-01-4151</v>
          </cell>
          <cell r="L4159" t="str">
            <v>42-05-01-01-4151</v>
          </cell>
          <cell r="M4159" t="str">
            <v>Reloj Mural Quartz</v>
          </cell>
          <cell r="O4159" t="str">
            <v>EQUIPO DE OFICINA</v>
          </cell>
          <cell r="P4159">
            <v>4500</v>
          </cell>
          <cell r="T4159" t="str">
            <v>Bueno</v>
          </cell>
          <cell r="U4159" t="str">
            <v>N/T</v>
          </cell>
        </row>
        <row r="4160">
          <cell r="J4160" t="str">
            <v>42-04-07-00-4152</v>
          </cell>
          <cell r="L4160" t="str">
            <v>42-04-07-00-4152</v>
          </cell>
          <cell r="M4160" t="str">
            <v>Cuadro Pared 50 X 25 Marco De Madera Color Miel con Vidrio</v>
          </cell>
          <cell r="O4160" t="str">
            <v>OTROS</v>
          </cell>
          <cell r="P4160">
            <v>9500</v>
          </cell>
          <cell r="T4160" t="str">
            <v>Bueno</v>
          </cell>
          <cell r="U4160" t="str">
            <v>N/T</v>
          </cell>
        </row>
        <row r="4161">
          <cell r="J4161" t="str">
            <v>NN-06-01-00-4153</v>
          </cell>
          <cell r="L4161" t="str">
            <v>NN-06-01-00-4153</v>
          </cell>
          <cell r="M4161" t="str">
            <v>PC Olidata Negro NS 013433 - 000059</v>
          </cell>
          <cell r="O4161" t="str">
            <v>EQUIPOS COMPUTACIONALES Y PERIFÉRICOS EN ARRIENDO</v>
          </cell>
          <cell r="P4161">
            <v>270000</v>
          </cell>
          <cell r="T4161" t="str">
            <v>BUENO</v>
          </cell>
          <cell r="U4161" t="str">
            <v>Olidata</v>
          </cell>
        </row>
        <row r="4162">
          <cell r="J4162" t="str">
            <v>NN-06-01-00-4154</v>
          </cell>
          <cell r="L4162" t="str">
            <v>NN-06-01-00-4154</v>
          </cell>
          <cell r="M4162" t="str">
            <v>Monitor TFT 17" Olidata NS 7009S-95D2588-000858</v>
          </cell>
          <cell r="O4162" t="str">
            <v>EQUIPOS COMPUTACIONALES Y PERIFÉRICOS EN ARRIENDO</v>
          </cell>
          <cell r="P4162">
            <v>32500</v>
          </cell>
          <cell r="T4162" t="str">
            <v>BUENO</v>
          </cell>
          <cell r="U4162" t="str">
            <v>Olidata</v>
          </cell>
        </row>
        <row r="4163">
          <cell r="J4163" t="str">
            <v>NN-06-01-00-4155</v>
          </cell>
          <cell r="L4163" t="str">
            <v>NN-06-01-00-4155</v>
          </cell>
          <cell r="M4163" t="str">
            <v>Teclado Olidata Negro Model K 3100</v>
          </cell>
          <cell r="O4163" t="str">
            <v>EQUIPOS COMPUTACIONALES Y PERIFÉRICOS EN ARRIENDO</v>
          </cell>
          <cell r="P4163">
            <v>3000</v>
          </cell>
          <cell r="T4163" t="str">
            <v>BUENO</v>
          </cell>
          <cell r="U4163" t="str">
            <v>Olidata</v>
          </cell>
        </row>
        <row r="4164">
          <cell r="J4164" t="str">
            <v>NN-06-01-00-4156</v>
          </cell>
          <cell r="L4164" t="str">
            <v>NN-06-01-00-4156</v>
          </cell>
          <cell r="M4164" t="str">
            <v>Mouse Olidata Negro KM 8920</v>
          </cell>
          <cell r="O4164" t="str">
            <v>EQUIPOS COMPUTACIONALES Y PERIFÉRICOS EN ARRIENDO</v>
          </cell>
          <cell r="P4164">
            <v>4000</v>
          </cell>
          <cell r="T4164" t="str">
            <v>BUENO</v>
          </cell>
          <cell r="U4164" t="str">
            <v>Olidata</v>
          </cell>
        </row>
        <row r="4165">
          <cell r="J4165" t="str">
            <v>42-04-03-00-4157</v>
          </cell>
          <cell r="L4165" t="str">
            <v>42-04-03-00-4157</v>
          </cell>
          <cell r="M4165" t="str">
            <v>Escritorio Melamina Color Miel 1 Cajon Llave + Porta Teclado</v>
          </cell>
          <cell r="O4165" t="str">
            <v>ESCRITORIOS</v>
          </cell>
          <cell r="P4165">
            <v>45600</v>
          </cell>
          <cell r="T4165" t="str">
            <v>BUENO</v>
          </cell>
          <cell r="U4165" t="str">
            <v>N/T</v>
          </cell>
        </row>
        <row r="4166">
          <cell r="J4166" t="str">
            <v>42-04-07-00-4158</v>
          </cell>
          <cell r="L4166" t="str">
            <v>42-04-07-00-4158</v>
          </cell>
          <cell r="M4166" t="str">
            <v>Melamina Blanca Tipo Repisa Sostenedores Metalicos Gris</v>
          </cell>
          <cell r="O4166" t="str">
            <v>OTROS</v>
          </cell>
          <cell r="P4166">
            <v>4500</v>
          </cell>
          <cell r="T4166" t="str">
            <v>BUENO</v>
          </cell>
          <cell r="U4166" t="str">
            <v>N/T</v>
          </cell>
        </row>
        <row r="4167">
          <cell r="J4167" t="str">
            <v>42-04-07-00-4159</v>
          </cell>
          <cell r="L4167" t="str">
            <v>42-04-07-00-4159</v>
          </cell>
          <cell r="M4167" t="str">
            <v>Porta Cortinas metálico</v>
          </cell>
          <cell r="O4167" t="str">
            <v>OTROS</v>
          </cell>
          <cell r="P4167">
            <v>2500</v>
          </cell>
          <cell r="T4167" t="str">
            <v>BUENO</v>
          </cell>
          <cell r="U4167" t="str">
            <v>N/T</v>
          </cell>
        </row>
        <row r="4168">
          <cell r="J4168" t="str">
            <v>FN-04-07-00-4160</v>
          </cell>
          <cell r="L4168" t="str">
            <v>FN-04-07-00-4160</v>
          </cell>
          <cell r="M4168" t="str">
            <v>Cortinas Verdes</v>
          </cell>
          <cell r="O4168" t="str">
            <v>OTROS FUNGIBLE / NOMINABLE</v>
          </cell>
          <cell r="P4168">
            <v>12500</v>
          </cell>
          <cell r="T4168" t="str">
            <v>BUENO</v>
          </cell>
          <cell r="U4168" t="str">
            <v>N/T</v>
          </cell>
        </row>
        <row r="4169">
          <cell r="J4169" t="str">
            <v>42-04-07-00-4161</v>
          </cell>
          <cell r="L4169" t="str">
            <v>42-04-07-00-4161</v>
          </cell>
          <cell r="M4169" t="str">
            <v>Melamina Blanca Tipo Repisa Sostenedores Metalicos Blancos</v>
          </cell>
          <cell r="O4169" t="str">
            <v>OTROS</v>
          </cell>
          <cell r="P4169">
            <v>4500</v>
          </cell>
          <cell r="T4169" t="str">
            <v>BUENO</v>
          </cell>
          <cell r="U4169" t="str">
            <v>N/T</v>
          </cell>
        </row>
        <row r="4170">
          <cell r="J4170" t="str">
            <v>42-04-02-00-4162</v>
          </cell>
          <cell r="L4170" t="str">
            <v>42-04-02-00-4162</v>
          </cell>
          <cell r="M4170" t="str">
            <v>Silla Mixta Postformada Blanca</v>
          </cell>
          <cell r="O4170" t="str">
            <v>SILLAS</v>
          </cell>
          <cell r="P4170">
            <v>26900</v>
          </cell>
          <cell r="T4170" t="str">
            <v>BUENO</v>
          </cell>
          <cell r="U4170" t="str">
            <v>N/T</v>
          </cell>
        </row>
        <row r="4171">
          <cell r="J4171" t="str">
            <v>42-05-02-05-4163</v>
          </cell>
          <cell r="L4171" t="str">
            <v>42-05-02-05-4163</v>
          </cell>
          <cell r="M4171" t="str">
            <v>Sistema Luz De Emergencia VKB AT 108A</v>
          </cell>
          <cell r="O4171" t="str">
            <v>EQUIPOS DE SEGURIDAD</v>
          </cell>
          <cell r="P4171">
            <v>35000</v>
          </cell>
          <cell r="T4171" t="str">
            <v>BUENO</v>
          </cell>
          <cell r="U4171" t="str">
            <v>N/T</v>
          </cell>
        </row>
        <row r="4172">
          <cell r="J4172" t="str">
            <v>42-05-02-01-4164</v>
          </cell>
          <cell r="L4172" t="str">
            <v>42-05-02-01-4164</v>
          </cell>
          <cell r="M4172" t="str">
            <v>Porta Suero Metalico Blanco Adosado a Pared</v>
          </cell>
          <cell r="O4172" t="str">
            <v>EQUIPOS CLINICOS</v>
          </cell>
          <cell r="P4172">
            <v>12800</v>
          </cell>
          <cell r="T4172" t="str">
            <v>BUENO</v>
          </cell>
          <cell r="U4172" t="str">
            <v>N/T</v>
          </cell>
        </row>
        <row r="4173">
          <cell r="J4173" t="str">
            <v>42-05-02-01-4165</v>
          </cell>
          <cell r="L4173" t="str">
            <v>42-05-02-01-4165</v>
          </cell>
          <cell r="M4173" t="str">
            <v>Manometro Oxigeno con Humidificador</v>
          </cell>
          <cell r="O4173" t="str">
            <v>EQUIPOS CLINICOS</v>
          </cell>
          <cell r="P4173">
            <v>42900</v>
          </cell>
          <cell r="T4173" t="str">
            <v>Bueno</v>
          </cell>
          <cell r="U4173" t="str">
            <v>N/T</v>
          </cell>
        </row>
        <row r="4174">
          <cell r="J4174" t="str">
            <v>42-05-02-01-4166</v>
          </cell>
          <cell r="L4174" t="str">
            <v>42-05-02-01-4166</v>
          </cell>
          <cell r="M4174" t="str">
            <v>Sistema Aspiración Central</v>
          </cell>
          <cell r="O4174" t="str">
            <v>EQUIPOS CLINICOS</v>
          </cell>
          <cell r="P4174">
            <v>35600</v>
          </cell>
          <cell r="T4174" t="str">
            <v>Bueno</v>
          </cell>
          <cell r="U4174" t="str">
            <v>N/T</v>
          </cell>
        </row>
        <row r="4175">
          <cell r="J4175" t="str">
            <v>42-05-02-01-4167</v>
          </cell>
          <cell r="L4175" t="str">
            <v>42-05-02-01-4167</v>
          </cell>
          <cell r="M4175" t="str">
            <v>Sistema Emergencia SUMMIT Fire</v>
          </cell>
          <cell r="O4175" t="str">
            <v>EQUIPOS CLINICOS</v>
          </cell>
          <cell r="P4175">
            <v>25000</v>
          </cell>
          <cell r="T4175" t="str">
            <v>Bueno</v>
          </cell>
          <cell r="U4175" t="str">
            <v>Fire Summit</v>
          </cell>
        </row>
        <row r="4176">
          <cell r="J4176" t="str">
            <v>42-05-02-01-4168</v>
          </cell>
          <cell r="L4176" t="str">
            <v>42-05-02-01-4168</v>
          </cell>
          <cell r="M4176" t="str">
            <v>Sistema Emergencia Detector Fuego / Humo</v>
          </cell>
          <cell r="O4176" t="str">
            <v>EQUIPOS CLINICOS</v>
          </cell>
          <cell r="P4176">
            <v>30000</v>
          </cell>
          <cell r="T4176" t="str">
            <v>Bueno</v>
          </cell>
          <cell r="U4176" t="str">
            <v>N/T</v>
          </cell>
        </row>
        <row r="4177">
          <cell r="J4177" t="str">
            <v>42-05-01-01-4169</v>
          </cell>
          <cell r="L4177" t="str">
            <v>42-05-01-01-4169</v>
          </cell>
          <cell r="M4177" t="str">
            <v>Timbre Atencion Publico Urgencias</v>
          </cell>
          <cell r="O4177" t="str">
            <v>EQUIPO DE OFICINA</v>
          </cell>
          <cell r="P4177">
            <v>15000</v>
          </cell>
          <cell r="T4177" t="str">
            <v>BUENO</v>
          </cell>
          <cell r="U4177" t="str">
            <v>N/T</v>
          </cell>
        </row>
        <row r="4178">
          <cell r="J4178" t="str">
            <v>42-05-01-01-4170</v>
          </cell>
          <cell r="L4178" t="str">
            <v>42-05-01-01-4170</v>
          </cell>
          <cell r="M4178" t="str">
            <v>Reloj Pared Mona Lisa Quartz</v>
          </cell>
          <cell r="O4178" t="str">
            <v>EQUIPO DE OFICINA</v>
          </cell>
          <cell r="P4178">
            <v>4000</v>
          </cell>
          <cell r="T4178" t="str">
            <v>BUENO</v>
          </cell>
          <cell r="U4178" t="str">
            <v>Quartz</v>
          </cell>
        </row>
        <row r="4179">
          <cell r="J4179" t="str">
            <v>42-04-07-00-4171</v>
          </cell>
          <cell r="L4179" t="str">
            <v>42-04-07-00-4171</v>
          </cell>
          <cell r="M4179" t="str">
            <v>Papelero Mediano Gris C/ Tapa y Pedal</v>
          </cell>
          <cell r="O4179" t="str">
            <v>OTROS</v>
          </cell>
          <cell r="P4179">
            <v>4000</v>
          </cell>
          <cell r="T4179" t="str">
            <v>BUENO</v>
          </cell>
          <cell r="U4179" t="str">
            <v>N/T</v>
          </cell>
        </row>
        <row r="4180">
          <cell r="J4180" t="str">
            <v>42-04-07-00-4172</v>
          </cell>
          <cell r="L4180" t="str">
            <v>42-04-07-00-4172</v>
          </cell>
          <cell r="M4180" t="str">
            <v>Living  Descanso 1 Cuerpo Color Azul</v>
          </cell>
          <cell r="O4180" t="str">
            <v>OTROS</v>
          </cell>
          <cell r="P4180">
            <v>45000</v>
          </cell>
          <cell r="T4180" t="str">
            <v>BUENO</v>
          </cell>
          <cell r="U4180" t="str">
            <v>N/T</v>
          </cell>
        </row>
        <row r="4181">
          <cell r="J4181" t="str">
            <v>42-04-07-00-4173</v>
          </cell>
          <cell r="L4181" t="str">
            <v>42-04-07-00-4173</v>
          </cell>
          <cell r="M4181" t="str">
            <v>Living  Descanso 1 Cuerpo Color Azul</v>
          </cell>
          <cell r="O4181" t="str">
            <v>OTROS</v>
          </cell>
          <cell r="P4181">
            <v>45000</v>
          </cell>
          <cell r="T4181" t="str">
            <v>BUENO</v>
          </cell>
          <cell r="U4181" t="str">
            <v>N/T</v>
          </cell>
        </row>
        <row r="4182">
          <cell r="J4182" t="str">
            <v>42-04-07-00-4174</v>
          </cell>
          <cell r="L4182" t="str">
            <v>42-04-07-00-4174</v>
          </cell>
          <cell r="M4182" t="str">
            <v>Sistema Ventilación Sobre Techo</v>
          </cell>
          <cell r="O4182" t="str">
            <v>OTROS</v>
          </cell>
          <cell r="P4182">
            <v>26500</v>
          </cell>
          <cell r="T4182" t="str">
            <v>BUENO</v>
          </cell>
          <cell r="U4182" t="str">
            <v>N/T</v>
          </cell>
        </row>
        <row r="4183">
          <cell r="J4183" t="str">
            <v>42-05-02-01-4175</v>
          </cell>
          <cell r="L4183" t="str">
            <v>42-05-02-01-4175</v>
          </cell>
          <cell r="M4183" t="str">
            <v>Carro Medicinal Gris Metalico Nº 07108909</v>
          </cell>
          <cell r="O4183" t="str">
            <v>EQUIPOS CLINICOS</v>
          </cell>
          <cell r="P4183">
            <v>42600</v>
          </cell>
          <cell r="T4183" t="str">
            <v>BUENO</v>
          </cell>
          <cell r="U4183" t="str">
            <v>N/T</v>
          </cell>
        </row>
        <row r="4184">
          <cell r="J4184" t="str">
            <v>42-05-02-01-4176</v>
          </cell>
          <cell r="L4184" t="str">
            <v>42-05-02-01-4176</v>
          </cell>
          <cell r="M4184" t="str">
            <v xml:space="preserve">Camilla Metalica Urgencias Con Fouler de Regulación, Dos Portasueros  y Ruedas </v>
          </cell>
          <cell r="O4184" t="str">
            <v>EQUIPOS CLINICOS</v>
          </cell>
          <cell r="P4184">
            <v>96800</v>
          </cell>
          <cell r="T4184" t="str">
            <v>BUENO</v>
          </cell>
          <cell r="U4184" t="str">
            <v>N/T</v>
          </cell>
        </row>
        <row r="4185">
          <cell r="J4185" t="str">
            <v>42-04-07-00-4177</v>
          </cell>
          <cell r="L4185" t="str">
            <v>42-04-07-00-4177</v>
          </cell>
          <cell r="M4185" t="str">
            <v xml:space="preserve">Colchón de Pergamoide Blanco </v>
          </cell>
          <cell r="O4185" t="str">
            <v>OTROS</v>
          </cell>
          <cell r="P4185">
            <v>25000</v>
          </cell>
          <cell r="T4185" t="str">
            <v>BUENO</v>
          </cell>
          <cell r="U4185" t="str">
            <v>N/T</v>
          </cell>
        </row>
        <row r="4186">
          <cell r="J4186" t="str">
            <v>42-05-02-01-4178</v>
          </cell>
          <cell r="L4186" t="str">
            <v>42-05-02-01-4178</v>
          </cell>
          <cell r="M4186" t="str">
            <v>Escabel Mixto Negro / Blanco 2 Peldaños</v>
          </cell>
          <cell r="O4186" t="str">
            <v>EQUIPOS CLINICOS</v>
          </cell>
          <cell r="P4186">
            <v>26500</v>
          </cell>
          <cell r="T4186" t="str">
            <v>BUENO</v>
          </cell>
          <cell r="U4186" t="str">
            <v>N/T</v>
          </cell>
        </row>
        <row r="4187">
          <cell r="J4187" t="str">
            <v>42-05-02-01-4179</v>
          </cell>
          <cell r="L4187" t="str">
            <v>42-05-02-01-4179</v>
          </cell>
          <cell r="M4187" t="str">
            <v>Manometro Oxigeno con Humidificador</v>
          </cell>
          <cell r="O4187" t="str">
            <v>EQUIPOS CLINICOS</v>
          </cell>
          <cell r="P4187">
            <v>42900</v>
          </cell>
          <cell r="T4187" t="str">
            <v>Bueno</v>
          </cell>
          <cell r="U4187" t="str">
            <v>N/T</v>
          </cell>
        </row>
        <row r="4188">
          <cell r="J4188" t="str">
            <v>42-05-02-01-4180</v>
          </cell>
          <cell r="L4188" t="str">
            <v>42-05-02-01-4180</v>
          </cell>
          <cell r="M4188" t="str">
            <v>Sistema Aspiración Central</v>
          </cell>
          <cell r="O4188" t="str">
            <v>EQUIPOS CLINICOS</v>
          </cell>
          <cell r="P4188">
            <v>35600</v>
          </cell>
          <cell r="T4188" t="str">
            <v>Bueno</v>
          </cell>
          <cell r="U4188" t="str">
            <v>N/T</v>
          </cell>
        </row>
        <row r="4189">
          <cell r="J4189" t="str">
            <v>42-04-07-00-4181</v>
          </cell>
          <cell r="L4189" t="str">
            <v>42-04-07-00-4181</v>
          </cell>
          <cell r="M4189" t="str">
            <v>Dispensador Jabon PISA</v>
          </cell>
          <cell r="O4189" t="str">
            <v>OTROS</v>
          </cell>
          <cell r="P4189">
            <v>4700</v>
          </cell>
          <cell r="T4189" t="str">
            <v>BUENO</v>
          </cell>
          <cell r="U4189" t="str">
            <v>PISA</v>
          </cell>
        </row>
        <row r="4190">
          <cell r="J4190" t="str">
            <v>42-04-07-00-4182</v>
          </cell>
          <cell r="L4190" t="str">
            <v>42-04-07-00-4182</v>
          </cell>
          <cell r="M4190" t="str">
            <v>Percha Madera Color Café 3 Colgadores Metalicos</v>
          </cell>
          <cell r="O4190" t="str">
            <v>OTROS</v>
          </cell>
          <cell r="P4190">
            <v>5000</v>
          </cell>
          <cell r="T4190" t="str">
            <v>BUENO</v>
          </cell>
          <cell r="U4190" t="str">
            <v>N/T</v>
          </cell>
        </row>
        <row r="4191">
          <cell r="J4191" t="str">
            <v>42-04-07-00-4183</v>
          </cell>
          <cell r="L4191" t="str">
            <v>42-04-07-00-4183</v>
          </cell>
          <cell r="M4191" t="str">
            <v>Percha Porta Llaves 10 Colgadores Chicos</v>
          </cell>
          <cell r="O4191" t="str">
            <v>OTROS</v>
          </cell>
          <cell r="P4191">
            <v>5000</v>
          </cell>
          <cell r="T4191" t="str">
            <v>BUENO</v>
          </cell>
          <cell r="U4191" t="str">
            <v>N/T</v>
          </cell>
        </row>
        <row r="4192">
          <cell r="J4192" t="str">
            <v>42-05-01-01-4184</v>
          </cell>
          <cell r="L4192" t="str">
            <v>42-05-01-01-4184</v>
          </cell>
          <cell r="M4192" t="str">
            <v>Ventilador / Calefactor Horizontal Gris Somela MOD FT - 1007</v>
          </cell>
          <cell r="O4192" t="str">
            <v>EQUIPO DE OFICINA</v>
          </cell>
          <cell r="P4192">
            <v>32600</v>
          </cell>
          <cell r="T4192" t="str">
            <v>BUENO</v>
          </cell>
          <cell r="U4192" t="str">
            <v>N/T</v>
          </cell>
        </row>
        <row r="4193">
          <cell r="J4193" t="str">
            <v>42-04-07-00-4185</v>
          </cell>
          <cell r="L4193" t="str">
            <v>42-04-07-00-4185</v>
          </cell>
          <cell r="M4193" t="str">
            <v>Basurero Blanco Con Tapa y Pedal Mediano</v>
          </cell>
          <cell r="O4193" t="str">
            <v>OTROS</v>
          </cell>
          <cell r="P4193">
            <v>4000</v>
          </cell>
          <cell r="T4193" t="str">
            <v>BUENO</v>
          </cell>
          <cell r="U4193" t="str">
            <v>N/T</v>
          </cell>
        </row>
        <row r="4194">
          <cell r="J4194" t="str">
            <v>42-05-01-01-4186</v>
          </cell>
          <cell r="L4194" t="str">
            <v>42-05-01-01-4186</v>
          </cell>
          <cell r="M4194" t="str">
            <v>Equipo Extractor De Aire Sobre Techo</v>
          </cell>
          <cell r="O4194" t="str">
            <v>EQUIPO DE OFICINA</v>
          </cell>
          <cell r="P4194">
            <v>25000</v>
          </cell>
          <cell r="T4194" t="str">
            <v>BUENO</v>
          </cell>
          <cell r="U4194" t="str">
            <v>N/T</v>
          </cell>
        </row>
        <row r="4195">
          <cell r="J4195" t="str">
            <v>42-05-02-05-4187</v>
          </cell>
          <cell r="L4195" t="str">
            <v>42-05-02-05-4187</v>
          </cell>
          <cell r="M4195" t="str">
            <v>Sistema Iluminación de Emergencia VKB</v>
          </cell>
          <cell r="O4195" t="str">
            <v>EQUIPOS DE SEGURIDAD</v>
          </cell>
          <cell r="P4195">
            <v>35000</v>
          </cell>
          <cell r="T4195" t="str">
            <v>BUENO</v>
          </cell>
          <cell r="U4195" t="str">
            <v>N/T</v>
          </cell>
        </row>
        <row r="4196">
          <cell r="J4196" t="str">
            <v>42-05-02-03-4188</v>
          </cell>
          <cell r="L4196" t="str">
            <v>42-05-02-03-4188</v>
          </cell>
          <cell r="M4196" t="str">
            <v>Equipo Radiocomunicador MOTOROLA DGM 6100 Con Microfono Handi Motorola</v>
          </cell>
          <cell r="O4196" t="str">
            <v>EQUIPOS DE COMUNICACIÓN</v>
          </cell>
          <cell r="P4196">
            <v>199500</v>
          </cell>
          <cell r="T4196" t="str">
            <v>BUENO</v>
          </cell>
          <cell r="U4196" t="str">
            <v>MOTOROLA</v>
          </cell>
        </row>
        <row r="4197">
          <cell r="J4197" t="str">
            <v>42-05-02-03-4189</v>
          </cell>
          <cell r="L4197" t="str">
            <v>42-05-02-03-4189</v>
          </cell>
          <cell r="M4197" t="str">
            <v>Equipo Energia ASTRON RS - 20A - BB</v>
          </cell>
          <cell r="O4197" t="str">
            <v>EQUIPOS DE COMUNICACIÓN</v>
          </cell>
          <cell r="P4197">
            <v>80000</v>
          </cell>
          <cell r="T4197" t="str">
            <v>BUENO</v>
          </cell>
          <cell r="U4197" t="str">
            <v>ASTRON</v>
          </cell>
        </row>
        <row r="4198">
          <cell r="J4198" t="str">
            <v>42-04-07-00-4190</v>
          </cell>
          <cell r="L4198" t="str">
            <v>42-04-07-00-4190</v>
          </cell>
          <cell r="M4198" t="str">
            <v>Basurero Plastico (BIN)</v>
          </cell>
          <cell r="O4198" t="str">
            <v>OTROS</v>
          </cell>
          <cell r="P4198">
            <v>4000</v>
          </cell>
          <cell r="T4198" t="str">
            <v>BUENO</v>
          </cell>
          <cell r="U4198" t="str">
            <v>N/T</v>
          </cell>
        </row>
        <row r="4199">
          <cell r="J4199" t="str">
            <v>42-04-07-00-4191</v>
          </cell>
          <cell r="L4199" t="str">
            <v>42-04-07-00-4191</v>
          </cell>
          <cell r="M4199" t="str">
            <v>Mural Marco Madera Blanco con Plumavit Covertura Azul</v>
          </cell>
          <cell r="O4199" t="str">
            <v>OTROS</v>
          </cell>
          <cell r="P4199">
            <v>12300</v>
          </cell>
          <cell r="T4199" t="str">
            <v>BUENO</v>
          </cell>
          <cell r="U4199" t="str">
            <v>N/T</v>
          </cell>
        </row>
        <row r="4200">
          <cell r="J4200" t="str">
            <v>42-05-02-03-4192</v>
          </cell>
          <cell r="L4200" t="str">
            <v>42-05-02-03-4192</v>
          </cell>
          <cell r="M4200" t="str">
            <v>Equipo Radiocomunicador MOTOROLA DGM 6100 Con Microfono Handi Motorola</v>
          </cell>
          <cell r="O4200" t="str">
            <v>EQUIPOS DE COMUNICACIÓN</v>
          </cell>
          <cell r="P4200">
            <v>199500</v>
          </cell>
          <cell r="T4200" t="str">
            <v>BUENO</v>
          </cell>
          <cell r="U4200" t="str">
            <v>MOTOROLA</v>
          </cell>
        </row>
        <row r="4201">
          <cell r="J4201" t="str">
            <v>42-05-02-03-4193</v>
          </cell>
          <cell r="L4201" t="str">
            <v>42-05-02-03-4193</v>
          </cell>
          <cell r="M4201" t="str">
            <v>Equipo Energia ASTRON RS - 20A - BB</v>
          </cell>
          <cell r="O4201" t="str">
            <v>EQUIPOS DE COMUNICACIÓN</v>
          </cell>
          <cell r="P4201">
            <v>80000</v>
          </cell>
          <cell r="T4201" t="str">
            <v>BUENO</v>
          </cell>
          <cell r="U4201" t="str">
            <v>ASTRON</v>
          </cell>
        </row>
        <row r="4202">
          <cell r="J4202" t="str">
            <v>42-05-01-01-4194</v>
          </cell>
          <cell r="L4202" t="str">
            <v>42-05-01-01-4194</v>
          </cell>
          <cell r="M4202" t="str">
            <v>Radio CD marca Sony BASS REFLEX BODY</v>
          </cell>
          <cell r="O4202" t="str">
            <v>EQUIPO DE OFICINA</v>
          </cell>
          <cell r="P4202">
            <v>15900</v>
          </cell>
          <cell r="T4202" t="str">
            <v>REGULAR</v>
          </cell>
          <cell r="U4202" t="str">
            <v>SONY</v>
          </cell>
        </row>
        <row r="4203">
          <cell r="J4203" t="str">
            <v>42-04-02-00-4195</v>
          </cell>
          <cell r="L4203" t="str">
            <v>42-04-02-00-4195</v>
          </cell>
          <cell r="M4203" t="str">
            <v>Silla Cuero Color Terracota Compoutacion Ruedas</v>
          </cell>
          <cell r="O4203" t="str">
            <v>SILLAS</v>
          </cell>
          <cell r="P4203">
            <v>45900</v>
          </cell>
          <cell r="T4203" t="str">
            <v>BUENO</v>
          </cell>
          <cell r="U4203" t="str">
            <v>N/T</v>
          </cell>
        </row>
        <row r="4204">
          <cell r="J4204" t="str">
            <v>42-04-03-00-4196</v>
          </cell>
          <cell r="L4204" t="str">
            <v>42-04-03-00-4196</v>
          </cell>
          <cell r="M4204" t="str">
            <v>Escritorio PC Melamina Enchapado 01 Cajon 1 Compartimiento C/ Llave</v>
          </cell>
          <cell r="O4204" t="str">
            <v>ESCRITORIOS</v>
          </cell>
          <cell r="P4204">
            <v>46900</v>
          </cell>
          <cell r="T4204" t="str">
            <v>BUENO</v>
          </cell>
          <cell r="U4204" t="str">
            <v>N/T</v>
          </cell>
        </row>
        <row r="4205">
          <cell r="J4205" t="str">
            <v>NN-06-01-00-4197</v>
          </cell>
          <cell r="L4205" t="str">
            <v>NN-06-01-00-4197</v>
          </cell>
          <cell r="M4205" t="str">
            <v>Teclado Olidata MOD K 3100</v>
          </cell>
          <cell r="O4205" t="str">
            <v>EQUIPOS COMPUTACIONALES Y PERIFÉRICOS EN ARRIENDO</v>
          </cell>
          <cell r="P4205">
            <v>3000</v>
          </cell>
          <cell r="T4205" t="str">
            <v>BUENO</v>
          </cell>
          <cell r="U4205" t="str">
            <v>Olidata</v>
          </cell>
        </row>
        <row r="4206">
          <cell r="J4206" t="str">
            <v>NN-06-01-00-4198</v>
          </cell>
          <cell r="L4206" t="str">
            <v>NN-06-01-00-4198</v>
          </cell>
          <cell r="M4206" t="str">
            <v>Mouse  Olidata MOD KM 8903</v>
          </cell>
          <cell r="O4206" t="str">
            <v>EQUIPOS COMPUTACIONALES Y PERIFÉRICOS EN ARRIENDO</v>
          </cell>
          <cell r="P4206">
            <v>4000</v>
          </cell>
          <cell r="T4206" t="str">
            <v>BUENO</v>
          </cell>
          <cell r="U4206" t="str">
            <v>Olidata</v>
          </cell>
        </row>
        <row r="4207">
          <cell r="J4207" t="str">
            <v>42-04-07-00-4199</v>
          </cell>
          <cell r="L4207" t="str">
            <v>42-04-07-00-4199</v>
          </cell>
          <cell r="M4207" t="str">
            <v>Melamina Tipo Respisa Café Con Sostenedores Metalicos Blancos</v>
          </cell>
          <cell r="O4207" t="str">
            <v>OTROS</v>
          </cell>
          <cell r="P4207">
            <v>5000</v>
          </cell>
          <cell r="T4207" t="str">
            <v>BUENO</v>
          </cell>
          <cell r="U4207" t="str">
            <v>N/T</v>
          </cell>
        </row>
        <row r="4208">
          <cell r="J4208" t="str">
            <v>42-04-07-00-4200</v>
          </cell>
          <cell r="L4208" t="str">
            <v>42-04-07-00-4200</v>
          </cell>
          <cell r="M4208" t="str">
            <v>Mueble Melamina Enchapado Porta Archivadores 10 Compartimientos</v>
          </cell>
          <cell r="O4208" t="str">
            <v>OTROS</v>
          </cell>
          <cell r="P4208">
            <v>19900</v>
          </cell>
          <cell r="T4208" t="str">
            <v>BUENO</v>
          </cell>
          <cell r="U4208" t="str">
            <v>N/T</v>
          </cell>
        </row>
        <row r="4209">
          <cell r="J4209" t="str">
            <v>42-05-01-01-4201</v>
          </cell>
          <cell r="L4209" t="str">
            <v>42-05-01-01-4201</v>
          </cell>
          <cell r="M4209" t="str">
            <v>Telefono Citofono Nortwell Network Blanco NS URGENCIA</v>
          </cell>
          <cell r="O4209" t="str">
            <v>EQUIPO DE OFICINA</v>
          </cell>
          <cell r="P4209">
            <v>16500</v>
          </cell>
          <cell r="T4209" t="str">
            <v>BUENO</v>
          </cell>
          <cell r="U4209" t="str">
            <v>N/T</v>
          </cell>
        </row>
        <row r="4210">
          <cell r="J4210" t="str">
            <v>42-04-07-00-4202</v>
          </cell>
          <cell r="L4210" t="str">
            <v>42-04-07-00-4202</v>
          </cell>
          <cell r="M4210" t="str">
            <v>Sillon Cama Tapizado CELESTE</v>
          </cell>
          <cell r="O4210" t="str">
            <v>OTROS</v>
          </cell>
          <cell r="P4210">
            <v>20000</v>
          </cell>
          <cell r="T4210" t="str">
            <v>BUENO</v>
          </cell>
          <cell r="U4210" t="str">
            <v>N/T</v>
          </cell>
        </row>
        <row r="4211">
          <cell r="J4211" t="str">
            <v>42-04-07-00-4203</v>
          </cell>
          <cell r="L4211" t="str">
            <v>42-04-07-00-4203</v>
          </cell>
          <cell r="M4211" t="str">
            <v>Porta Cortinas metálico</v>
          </cell>
          <cell r="O4211" t="str">
            <v>OTROS</v>
          </cell>
          <cell r="P4211">
            <v>2500</v>
          </cell>
          <cell r="T4211" t="str">
            <v>BUENO</v>
          </cell>
          <cell r="U4211" t="str">
            <v>N/T</v>
          </cell>
        </row>
        <row r="4212">
          <cell r="J4212" t="str">
            <v>FN-04-07-00-4204</v>
          </cell>
          <cell r="L4212" t="str">
            <v>FN-04-07-00-4204</v>
          </cell>
          <cell r="M4212" t="str">
            <v>Cortinas verde musgo</v>
          </cell>
          <cell r="O4212" t="str">
            <v>OTROS FUNGIBLE / NOMINABLE</v>
          </cell>
          <cell r="P4212">
            <v>12500</v>
          </cell>
          <cell r="T4212" t="str">
            <v>BUENO</v>
          </cell>
          <cell r="U4212" t="str">
            <v>N/T</v>
          </cell>
        </row>
        <row r="4213">
          <cell r="J4213" t="str">
            <v>42-05-01-01-4205</v>
          </cell>
          <cell r="L4213" t="str">
            <v>42-05-01-01-4205</v>
          </cell>
          <cell r="M4213" t="str">
            <v>Regulador Temperatura Pared DSC 1234</v>
          </cell>
          <cell r="O4213" t="str">
            <v>EQUIPO DE OFICINA</v>
          </cell>
          <cell r="P4213">
            <v>25600</v>
          </cell>
          <cell r="T4213" t="str">
            <v>BUENO</v>
          </cell>
          <cell r="U4213" t="str">
            <v>N/T</v>
          </cell>
        </row>
        <row r="4214">
          <cell r="J4214" t="str">
            <v>42-04-06-00-4206</v>
          </cell>
          <cell r="L4214" t="str">
            <v>42-04-06-00-4206</v>
          </cell>
          <cell r="M4214" t="str">
            <v>Mueble Melamina Blanco Esquinero Izquierdo Soportes Metalicos Blancos</v>
          </cell>
          <cell r="O4214" t="str">
            <v>REPISA</v>
          </cell>
          <cell r="P4214">
            <v>42600</v>
          </cell>
          <cell r="T4214" t="str">
            <v>BUENO</v>
          </cell>
          <cell r="U4214" t="str">
            <v>N/T</v>
          </cell>
        </row>
        <row r="4215">
          <cell r="J4215" t="str">
            <v>42-04-06-00-4207</v>
          </cell>
          <cell r="L4215" t="str">
            <v>42-04-06-00-4207</v>
          </cell>
          <cell r="M4215" t="str">
            <v>Mueble Melamina / Aluminio Blanco Soportes Metalicos Blancos</v>
          </cell>
          <cell r="O4215" t="str">
            <v>REPISA</v>
          </cell>
          <cell r="P4215">
            <v>35600</v>
          </cell>
          <cell r="T4215" t="str">
            <v>BUENO</v>
          </cell>
          <cell r="U4215" t="str">
            <v>N/T</v>
          </cell>
        </row>
        <row r="4216">
          <cell r="J4216" t="str">
            <v>42-04-06-00-4208</v>
          </cell>
          <cell r="L4216" t="str">
            <v>42-04-06-00-4208</v>
          </cell>
          <cell r="M4216" t="str">
            <v>Mueble Melamina Blanco Esquinero Derecho Soportes Metalicos Blancos</v>
          </cell>
          <cell r="O4216" t="str">
            <v>REPISA</v>
          </cell>
          <cell r="P4216">
            <v>42600</v>
          </cell>
          <cell r="T4216" t="str">
            <v>BUENO</v>
          </cell>
          <cell r="U4216" t="str">
            <v>N/T</v>
          </cell>
        </row>
        <row r="4217">
          <cell r="J4217" t="str">
            <v>42-05-02-01-4209</v>
          </cell>
          <cell r="L4217" t="str">
            <v>42-05-02-01-4209</v>
          </cell>
          <cell r="M4217" t="str">
            <v>Manometro Oxigeno con Humidificador</v>
          </cell>
          <cell r="O4217" t="str">
            <v>EQUIPOS CLINICOS</v>
          </cell>
          <cell r="P4217">
            <v>42900</v>
          </cell>
          <cell r="T4217" t="str">
            <v>Bueno</v>
          </cell>
          <cell r="U4217" t="str">
            <v>N/T</v>
          </cell>
        </row>
        <row r="4218">
          <cell r="J4218" t="str">
            <v>42-05-02-01-4210</v>
          </cell>
          <cell r="L4218" t="str">
            <v>42-05-02-01-4210</v>
          </cell>
          <cell r="M4218" t="str">
            <v>Sistema Aspiración Central</v>
          </cell>
          <cell r="O4218" t="str">
            <v>EQUIPOS CLINICOS</v>
          </cell>
          <cell r="P4218">
            <v>35600</v>
          </cell>
          <cell r="T4218" t="str">
            <v>Bueno</v>
          </cell>
          <cell r="U4218" t="str">
            <v>N/T</v>
          </cell>
        </row>
        <row r="4219">
          <cell r="J4219" t="str">
            <v>42-05-02-01-4211</v>
          </cell>
          <cell r="L4219" t="str">
            <v>42-05-02-01-4211</v>
          </cell>
          <cell r="M4219" t="str">
            <v>Glucometro Negro Optium Exceed</v>
          </cell>
          <cell r="O4219" t="str">
            <v>EQUIPOS CLINICOS</v>
          </cell>
          <cell r="P4219">
            <v>42500</v>
          </cell>
          <cell r="T4219" t="str">
            <v>Bueno</v>
          </cell>
          <cell r="U4219" t="str">
            <v>N/T</v>
          </cell>
        </row>
        <row r="4220">
          <cell r="J4220" t="str">
            <v>FN-05-02-01-4212</v>
          </cell>
          <cell r="L4220" t="str">
            <v>FN-05-02-01-4212</v>
          </cell>
          <cell r="M4220" t="str">
            <v>Tijera acero Inoxidable Tipo Pato</v>
          </cell>
          <cell r="O4220" t="str">
            <v>EQUIPOS CLINICOS FUNGIBLE / NOMINABLE</v>
          </cell>
          <cell r="P4220">
            <v>6200</v>
          </cell>
          <cell r="T4220" t="str">
            <v>Bueno</v>
          </cell>
          <cell r="U4220" t="str">
            <v>N/T</v>
          </cell>
        </row>
        <row r="4221">
          <cell r="J4221" t="str">
            <v>42-05-02-01-4213</v>
          </cell>
          <cell r="L4221" t="str">
            <v>42-05-02-01-4213</v>
          </cell>
          <cell r="M4221" t="str">
            <v xml:space="preserve">Tarro Metal Inoxidable Redondo Con Tapa y Seguro Para Esterilización </v>
          </cell>
          <cell r="O4221" t="str">
            <v>EQUIPOS CLINICOS</v>
          </cell>
          <cell r="P4221">
            <v>9900</v>
          </cell>
          <cell r="T4221" t="str">
            <v>Bueno</v>
          </cell>
          <cell r="U4221" t="str">
            <v>N/T</v>
          </cell>
        </row>
        <row r="4222">
          <cell r="J4222" t="str">
            <v>42-04-07-00-4214</v>
          </cell>
          <cell r="K4222" t="str">
            <v>42-2196 b</v>
          </cell>
          <cell r="L4222" t="str">
            <v>42-04-07-00-4214</v>
          </cell>
          <cell r="M4222" t="str">
            <v>Velador Metalico Blanco 1 Cajon 1 Puerta</v>
          </cell>
          <cell r="O4222" t="str">
            <v>OTROS</v>
          </cell>
          <cell r="P4222">
            <v>12300</v>
          </cell>
          <cell r="T4222" t="str">
            <v>BUENO</v>
          </cell>
          <cell r="U4222" t="str">
            <v>N/T</v>
          </cell>
        </row>
        <row r="4223">
          <cell r="J4223" t="str">
            <v>42-05-02-01-4215</v>
          </cell>
          <cell r="L4223" t="str">
            <v>42-05-02-01-4215</v>
          </cell>
          <cell r="M4223" t="str">
            <v>Manometro Regulador Oxigeno Victor Medical + Humidificador</v>
          </cell>
          <cell r="O4223" t="str">
            <v>EQUIPOS CLINICOS</v>
          </cell>
          <cell r="P4223">
            <v>15200</v>
          </cell>
          <cell r="T4223" t="str">
            <v>Bueno</v>
          </cell>
          <cell r="U4223" t="str">
            <v>VICTOR</v>
          </cell>
        </row>
        <row r="4224">
          <cell r="J4224" t="str">
            <v>42-05-02-01-4216</v>
          </cell>
          <cell r="L4224" t="str">
            <v>42-05-02-01-4216</v>
          </cell>
          <cell r="M4224" t="str">
            <v>Balón Pilates Color Negro</v>
          </cell>
          <cell r="O4224" t="str">
            <v>EQUIPOS CLINICOS</v>
          </cell>
          <cell r="P4224">
            <v>25000</v>
          </cell>
          <cell r="T4224" t="str">
            <v>Bueno</v>
          </cell>
          <cell r="U4224" t="str">
            <v>N/T</v>
          </cell>
        </row>
        <row r="4225">
          <cell r="J4225" t="str">
            <v>42-05-01-01-4217</v>
          </cell>
          <cell r="L4225" t="str">
            <v>42-05-01-01-4217</v>
          </cell>
          <cell r="M4225" t="str">
            <v>Calefactor Radiant Somela Electrico</v>
          </cell>
          <cell r="O4225" t="str">
            <v>EQUIPO DE OFICINA</v>
          </cell>
          <cell r="P4225">
            <v>20000</v>
          </cell>
          <cell r="T4225" t="str">
            <v>Bueno</v>
          </cell>
          <cell r="U4225" t="str">
            <v>Somela</v>
          </cell>
        </row>
        <row r="4226">
          <cell r="J4226" t="str">
            <v>42-04-07-00-4218</v>
          </cell>
          <cell r="L4226" t="str">
            <v>42-04-07-00-4218</v>
          </cell>
          <cell r="M4226" t="str">
            <v>Dispensador Jabon Jhonsons</v>
          </cell>
          <cell r="O4226" t="str">
            <v>OTROS</v>
          </cell>
          <cell r="P4226">
            <v>4700</v>
          </cell>
          <cell r="T4226" t="str">
            <v>Bueno</v>
          </cell>
          <cell r="U4226" t="str">
            <v>JHONSONS</v>
          </cell>
        </row>
        <row r="4227">
          <cell r="J4227" t="str">
            <v>42-04-07-00-4219</v>
          </cell>
          <cell r="L4227" t="str">
            <v>42-04-07-00-4219</v>
          </cell>
          <cell r="M4227" t="str">
            <v>Porta Toallas TORK</v>
          </cell>
          <cell r="O4227" t="str">
            <v>OTROS</v>
          </cell>
          <cell r="P4227">
            <v>17000</v>
          </cell>
          <cell r="T4227" t="str">
            <v>BUENO</v>
          </cell>
          <cell r="U4227" t="str">
            <v>TORK</v>
          </cell>
        </row>
        <row r="4228">
          <cell r="J4228" t="str">
            <v>42-05-01-01-4220</v>
          </cell>
          <cell r="L4228" t="str">
            <v>42-05-01-01-4220</v>
          </cell>
          <cell r="M4228" t="str">
            <v>Reloj Pared Negro BELTZ</v>
          </cell>
          <cell r="O4228" t="str">
            <v>EQUIPO DE OFICINA</v>
          </cell>
          <cell r="P4228">
            <v>4500</v>
          </cell>
          <cell r="T4228" t="str">
            <v>BUENO</v>
          </cell>
          <cell r="U4228" t="str">
            <v>BELTZ</v>
          </cell>
        </row>
        <row r="4229">
          <cell r="J4229" t="str">
            <v>42-04-07-00-4221</v>
          </cell>
          <cell r="L4229" t="str">
            <v>42-04-07-00-4221</v>
          </cell>
          <cell r="M4229" t="str">
            <v>Mueble Melamina Color Crema 3 Puertas 8 Cajones Con Lavamanos Acero Inoxidable y Llave Combinacion</v>
          </cell>
          <cell r="O4229" t="str">
            <v>OTROS</v>
          </cell>
          <cell r="P4229">
            <v>169900</v>
          </cell>
          <cell r="T4229" t="str">
            <v>BUENO</v>
          </cell>
          <cell r="U4229" t="str">
            <v>N/T</v>
          </cell>
        </row>
        <row r="4230">
          <cell r="J4230" t="str">
            <v>42-04-07-00-4222</v>
          </cell>
          <cell r="L4230" t="str">
            <v>42-04-07-00-4222</v>
          </cell>
          <cell r="M4230" t="str">
            <v>Papelero Blanco Con Tapa Plastico</v>
          </cell>
          <cell r="O4230" t="str">
            <v>OTROS</v>
          </cell>
          <cell r="P4230">
            <v>4000</v>
          </cell>
          <cell r="T4230" t="str">
            <v>BUENO</v>
          </cell>
          <cell r="U4230" t="str">
            <v>N/T</v>
          </cell>
        </row>
        <row r="4231">
          <cell r="J4231" t="str">
            <v>42-04-07-00-4223</v>
          </cell>
          <cell r="L4231" t="str">
            <v>42-04-07-00-4223</v>
          </cell>
          <cell r="M4231" t="str">
            <v>Papelero Gris Con Tapa y Pedal</v>
          </cell>
          <cell r="O4231" t="str">
            <v>OTROS</v>
          </cell>
          <cell r="P4231">
            <v>4000</v>
          </cell>
          <cell r="T4231" t="str">
            <v>BUENO</v>
          </cell>
          <cell r="U4231" t="str">
            <v>N/T</v>
          </cell>
        </row>
        <row r="4232">
          <cell r="J4232" t="str">
            <v>42-05-02-01-4224</v>
          </cell>
          <cell r="L4232" t="str">
            <v>42-05-02-01-4224</v>
          </cell>
          <cell r="M4232" t="str">
            <v>Cilindros Oxigeno Blancos</v>
          </cell>
          <cell r="O4232" t="str">
            <v>EQUIPOS CLINICOS</v>
          </cell>
          <cell r="P4232">
            <v>35000</v>
          </cell>
          <cell r="T4232" t="str">
            <v>BUENO</v>
          </cell>
          <cell r="U4232" t="str">
            <v>N/T</v>
          </cell>
        </row>
        <row r="4233">
          <cell r="J4233" t="str">
            <v>42-04-07-00-4225</v>
          </cell>
          <cell r="L4233" t="str">
            <v>42-04-07-00-4225</v>
          </cell>
          <cell r="M4233" t="str">
            <v>Velador Metalico 1 Cajon 1 Puerta Color Café</v>
          </cell>
          <cell r="O4233" t="str">
            <v>OTROS</v>
          </cell>
          <cell r="P4233">
            <v>15000</v>
          </cell>
          <cell r="T4233" t="str">
            <v>BUENO</v>
          </cell>
          <cell r="U4233" t="str">
            <v>N/T</v>
          </cell>
        </row>
        <row r="4234">
          <cell r="J4234" t="str">
            <v>42-04-07-00-4226</v>
          </cell>
          <cell r="L4234" t="str">
            <v>42-04-07-00-4226</v>
          </cell>
          <cell r="M4234" t="str">
            <v>Porta Toallas TORK</v>
          </cell>
          <cell r="O4234" t="str">
            <v>OTROS</v>
          </cell>
          <cell r="P4234">
            <v>17000</v>
          </cell>
          <cell r="T4234" t="str">
            <v>BUENO</v>
          </cell>
          <cell r="U4234" t="str">
            <v>N/T</v>
          </cell>
        </row>
        <row r="4235">
          <cell r="J4235" t="str">
            <v>42-04-07-00-4227</v>
          </cell>
          <cell r="L4235" t="str">
            <v>42-04-07-00-4227</v>
          </cell>
          <cell r="M4235" t="str">
            <v>Lavamanos con Pedestal Loza Blanco C/Llave Monomando</v>
          </cell>
          <cell r="O4235" t="str">
            <v>OTROS</v>
          </cell>
          <cell r="P4235">
            <v>11000</v>
          </cell>
          <cell r="T4235" t="str">
            <v>BUENO</v>
          </cell>
          <cell r="U4235" t="str">
            <v>N/T</v>
          </cell>
        </row>
        <row r="4236">
          <cell r="J4236" t="str">
            <v>42-04-07-00-4228</v>
          </cell>
          <cell r="L4236" t="str">
            <v>42-04-07-00-4228</v>
          </cell>
          <cell r="M4236" t="str">
            <v>Basurero Plastico Tapa y Pedal Blanco</v>
          </cell>
          <cell r="O4236" t="str">
            <v>OTROS</v>
          </cell>
          <cell r="P4236">
            <v>4000</v>
          </cell>
          <cell r="T4236" t="str">
            <v>BUENO</v>
          </cell>
          <cell r="U4236" t="str">
            <v>N/T</v>
          </cell>
        </row>
        <row r="4237">
          <cell r="J4237" t="str">
            <v>42-05-02-01-4229</v>
          </cell>
          <cell r="L4237" t="str">
            <v>42-05-02-01-4229</v>
          </cell>
          <cell r="M4237" t="str">
            <v>Manometro Oxigeno con Humidificador</v>
          </cell>
          <cell r="O4237" t="str">
            <v>EQUIPOS CLINICOS</v>
          </cell>
          <cell r="P4237">
            <v>42900</v>
          </cell>
          <cell r="T4237" t="str">
            <v>Bueno</v>
          </cell>
          <cell r="U4237" t="str">
            <v>N/T</v>
          </cell>
        </row>
        <row r="4238">
          <cell r="J4238" t="str">
            <v>42-05-02-01-4230</v>
          </cell>
          <cell r="L4238" t="str">
            <v>42-05-02-01-4230</v>
          </cell>
          <cell r="M4238" t="str">
            <v>Sistema Aspiración Central</v>
          </cell>
          <cell r="O4238" t="str">
            <v>EQUIPOS CLINICOS</v>
          </cell>
          <cell r="P4238">
            <v>35600</v>
          </cell>
          <cell r="T4238" t="str">
            <v>Bueno</v>
          </cell>
          <cell r="U4238" t="str">
            <v>N/T</v>
          </cell>
        </row>
        <row r="4239">
          <cell r="J4239" t="str">
            <v>42-05-02-01-4231</v>
          </cell>
          <cell r="L4239" t="str">
            <v>42-05-02-01-4231</v>
          </cell>
          <cell r="M4239" t="str">
            <v>Manometro Oxigeno con Humidificador</v>
          </cell>
          <cell r="O4239" t="str">
            <v>EQUIPOS CLINICOS</v>
          </cell>
          <cell r="P4239">
            <v>42900</v>
          </cell>
          <cell r="T4239" t="str">
            <v>Bueno</v>
          </cell>
          <cell r="U4239" t="str">
            <v>N/T</v>
          </cell>
        </row>
        <row r="4240">
          <cell r="J4240" t="str">
            <v>42-05-02-01-4232</v>
          </cell>
          <cell r="L4240" t="str">
            <v>42-05-02-01-4232</v>
          </cell>
          <cell r="M4240" t="str">
            <v>Sistema Aspiración Central</v>
          </cell>
          <cell r="O4240" t="str">
            <v>EQUIPOS CLINICOS</v>
          </cell>
          <cell r="P4240">
            <v>35600</v>
          </cell>
          <cell r="T4240" t="str">
            <v>Bueno</v>
          </cell>
          <cell r="U4240" t="str">
            <v>N/T</v>
          </cell>
        </row>
        <row r="4241">
          <cell r="J4241" t="str">
            <v>42-05-02-01-4233</v>
          </cell>
          <cell r="L4241" t="str">
            <v>42-05-02-01-4233</v>
          </cell>
          <cell r="M4241" t="str">
            <v>Manometro Oxigeno con Humidificador</v>
          </cell>
          <cell r="O4241" t="str">
            <v>EQUIPOS CLINICOS</v>
          </cell>
          <cell r="P4241">
            <v>42900</v>
          </cell>
          <cell r="T4241" t="str">
            <v>Bueno</v>
          </cell>
          <cell r="U4241" t="str">
            <v>N/T</v>
          </cell>
        </row>
        <row r="4242">
          <cell r="J4242" t="str">
            <v>42-05-02-01-4234</v>
          </cell>
          <cell r="L4242" t="str">
            <v>42-05-02-01-4234</v>
          </cell>
          <cell r="M4242" t="str">
            <v>Sistema Aspiración Central</v>
          </cell>
          <cell r="O4242" t="str">
            <v>EQUIPOS CLINICOS</v>
          </cell>
          <cell r="P4242">
            <v>35600</v>
          </cell>
          <cell r="T4242" t="str">
            <v>Bueno</v>
          </cell>
          <cell r="U4242" t="str">
            <v>N/T</v>
          </cell>
        </row>
        <row r="4243">
          <cell r="J4243" t="str">
            <v>42-05-02-01-4235</v>
          </cell>
          <cell r="L4243" t="str">
            <v>42-05-02-01-4235</v>
          </cell>
          <cell r="M4243" t="str">
            <v>Manometro Oxigeno con Humidificador</v>
          </cell>
          <cell r="O4243" t="str">
            <v>EQUIPOS CLINICOS</v>
          </cell>
          <cell r="P4243">
            <v>42900</v>
          </cell>
          <cell r="T4243" t="str">
            <v>Bueno</v>
          </cell>
          <cell r="U4243" t="str">
            <v>N/T</v>
          </cell>
        </row>
        <row r="4244">
          <cell r="J4244" t="str">
            <v>42-05-02-01-4236</v>
          </cell>
          <cell r="L4244" t="str">
            <v>42-05-02-01-4236</v>
          </cell>
          <cell r="M4244" t="str">
            <v>Sistema Aspiración Central</v>
          </cell>
          <cell r="O4244" t="str">
            <v>EQUIPOS CLINICOS</v>
          </cell>
          <cell r="P4244">
            <v>35600</v>
          </cell>
          <cell r="T4244" t="str">
            <v>Bueno</v>
          </cell>
          <cell r="U4244" t="str">
            <v>N/T</v>
          </cell>
        </row>
        <row r="4245">
          <cell r="J4245" t="str">
            <v>42-05-02-01-4237</v>
          </cell>
          <cell r="L4245" t="str">
            <v>42-05-02-01-4237</v>
          </cell>
          <cell r="M4245" t="str">
            <v>Manometro Oxigeno con Humidificador</v>
          </cell>
          <cell r="O4245" t="str">
            <v>EQUIPOS CLINICOS</v>
          </cell>
          <cell r="P4245">
            <v>42900</v>
          </cell>
          <cell r="T4245" t="str">
            <v>Bueno</v>
          </cell>
          <cell r="U4245" t="str">
            <v>N/T</v>
          </cell>
        </row>
        <row r="4246">
          <cell r="J4246" t="str">
            <v>42-05-02-01-4238</v>
          </cell>
          <cell r="L4246" t="str">
            <v>42-05-02-01-4238</v>
          </cell>
          <cell r="M4246" t="str">
            <v>Sistema Aspiración Central</v>
          </cell>
          <cell r="O4246" t="str">
            <v>EQUIPOS CLINICOS</v>
          </cell>
          <cell r="P4246">
            <v>35600</v>
          </cell>
          <cell r="T4246" t="str">
            <v>Bueno</v>
          </cell>
          <cell r="U4246" t="str">
            <v>N/T</v>
          </cell>
        </row>
        <row r="4247">
          <cell r="J4247" t="str">
            <v>42-05-02-01-4239</v>
          </cell>
          <cell r="L4247" t="str">
            <v>42-05-02-01-4239</v>
          </cell>
          <cell r="M4247" t="str">
            <v>Manometro Oxigeno con Humidificador</v>
          </cell>
          <cell r="O4247" t="str">
            <v>EQUIPOS CLINICOS</v>
          </cell>
          <cell r="P4247">
            <v>42900</v>
          </cell>
          <cell r="T4247" t="str">
            <v>Bueno</v>
          </cell>
          <cell r="U4247" t="str">
            <v>N/T</v>
          </cell>
        </row>
        <row r="4248">
          <cell r="J4248" t="str">
            <v>42-05-02-01-4240</v>
          </cell>
          <cell r="L4248" t="str">
            <v>42-05-02-01-4240</v>
          </cell>
          <cell r="M4248" t="str">
            <v>Sistema Aspiración Central</v>
          </cell>
          <cell r="O4248" t="str">
            <v>EQUIPOS CLINICOS</v>
          </cell>
          <cell r="P4248">
            <v>35600</v>
          </cell>
          <cell r="T4248" t="str">
            <v>Bueno</v>
          </cell>
          <cell r="U4248" t="str">
            <v>N/T</v>
          </cell>
        </row>
        <row r="4249">
          <cell r="J4249" t="str">
            <v>42-04-07-00-4241</v>
          </cell>
          <cell r="L4249" t="str">
            <v>42-04-07-00-4241</v>
          </cell>
          <cell r="M4249" t="str">
            <v>Cubre Cama 1 Plaza</v>
          </cell>
          <cell r="O4249" t="str">
            <v>OTROS</v>
          </cell>
          <cell r="P4249">
            <v>11600</v>
          </cell>
          <cell r="T4249" t="str">
            <v>Bueno</v>
          </cell>
          <cell r="U4249" t="str">
            <v>N/T</v>
          </cell>
        </row>
        <row r="4250">
          <cell r="J4250" t="str">
            <v>42-05-02-01-4242</v>
          </cell>
          <cell r="L4250" t="str">
            <v>42-05-02-01-4242</v>
          </cell>
          <cell r="M4250" t="str">
            <v>Sistema Regulador Oxigeno y Aire Medico</v>
          </cell>
          <cell r="O4250" t="str">
            <v>EQUIPOS CLINICOS</v>
          </cell>
          <cell r="P4250">
            <v>66500</v>
          </cell>
          <cell r="T4250" t="str">
            <v>Bueno</v>
          </cell>
          <cell r="U4250" t="str">
            <v>N/T</v>
          </cell>
        </row>
        <row r="4251">
          <cell r="J4251" t="str">
            <v>42-04-06-00-4243</v>
          </cell>
          <cell r="L4251" t="str">
            <v>42-04-06-00-4243</v>
          </cell>
          <cell r="M4251" t="str">
            <v>Mueble Colgante Melamina Color Crema 6 Puertas Con Vidrio</v>
          </cell>
          <cell r="O4251" t="str">
            <v>REPISA</v>
          </cell>
          <cell r="P4251">
            <v>99900</v>
          </cell>
          <cell r="T4251" t="str">
            <v>BUENO</v>
          </cell>
          <cell r="U4251" t="str">
            <v>N/T</v>
          </cell>
        </row>
        <row r="4252">
          <cell r="J4252" t="str">
            <v>42-04-06-00-4244</v>
          </cell>
          <cell r="L4252" t="str">
            <v>42-04-06-00-4244</v>
          </cell>
          <cell r="M4252" t="str">
            <v>Mueble Base Esquinero 5 Puertas 4 Cajones de Melamina con Cubierta Postformada + Lavamanos y llave combinacion</v>
          </cell>
          <cell r="O4252" t="str">
            <v>REPISA</v>
          </cell>
          <cell r="P4252">
            <v>270000</v>
          </cell>
          <cell r="T4252" t="str">
            <v>BUENO</v>
          </cell>
          <cell r="U4252" t="str">
            <v>N/T</v>
          </cell>
        </row>
        <row r="4253">
          <cell r="J4253" t="str">
            <v>42-04-07-00-4245</v>
          </cell>
          <cell r="L4253" t="str">
            <v>42-04-07-00-4245</v>
          </cell>
          <cell r="M4253" t="str">
            <v>Porta Toallas PISA</v>
          </cell>
          <cell r="O4253" t="str">
            <v>OTROS</v>
          </cell>
          <cell r="P4253">
            <v>17000</v>
          </cell>
          <cell r="T4253" t="str">
            <v>BUENO</v>
          </cell>
          <cell r="U4253" t="str">
            <v>PISA</v>
          </cell>
        </row>
        <row r="4254">
          <cell r="J4254" t="str">
            <v>42-04-07-00-4246</v>
          </cell>
          <cell r="L4254" t="str">
            <v>42-04-07-00-4246</v>
          </cell>
          <cell r="M4254" t="str">
            <v>Basurero Plastico Tapa Pedestal Blanco</v>
          </cell>
          <cell r="O4254" t="str">
            <v>OTROS</v>
          </cell>
          <cell r="P4254">
            <v>4000</v>
          </cell>
          <cell r="T4254" t="str">
            <v>BUENO</v>
          </cell>
          <cell r="U4254" t="str">
            <v>N/T</v>
          </cell>
        </row>
        <row r="4255">
          <cell r="J4255" t="str">
            <v>42-05-01-01-4247</v>
          </cell>
          <cell r="L4255" t="str">
            <v>42-05-01-01-4247</v>
          </cell>
          <cell r="M4255" t="str">
            <v>Reloj Mural QUARTZ Gris / Terracota</v>
          </cell>
          <cell r="O4255" t="str">
            <v>EQUIPO DE OFICINA</v>
          </cell>
          <cell r="P4255">
            <v>4500</v>
          </cell>
          <cell r="T4255" t="str">
            <v>BUENO</v>
          </cell>
          <cell r="U4255" t="str">
            <v>Quartz</v>
          </cell>
        </row>
        <row r="4256">
          <cell r="J4256" t="str">
            <v>42-04-05-00-4248</v>
          </cell>
          <cell r="L4256" t="str">
            <v>42-04-05-00-4248</v>
          </cell>
          <cell r="M4256" t="str">
            <v>Mueble Melamina Color Crema 16 Compartimientos Colgante</v>
          </cell>
          <cell r="O4256" t="str">
            <v>KARDEX</v>
          </cell>
          <cell r="P4256">
            <v>35200</v>
          </cell>
          <cell r="T4256" t="str">
            <v>BUENO</v>
          </cell>
          <cell r="U4256" t="str">
            <v>N/T</v>
          </cell>
        </row>
        <row r="4257">
          <cell r="J4257" t="str">
            <v>42-05-01-01-4249</v>
          </cell>
          <cell r="L4257" t="str">
            <v>42-05-01-01-4249</v>
          </cell>
          <cell r="M4257" t="str">
            <v xml:space="preserve">Perforador Celeste </v>
          </cell>
          <cell r="O4257" t="str">
            <v>EQUIPO DE OFICINA</v>
          </cell>
          <cell r="P4257">
            <v>3500</v>
          </cell>
          <cell r="T4257" t="str">
            <v>BUENO</v>
          </cell>
          <cell r="U4257" t="str">
            <v>N/T</v>
          </cell>
        </row>
        <row r="4258">
          <cell r="J4258" t="str">
            <v>42-04-06-00-4250</v>
          </cell>
          <cell r="L4258" t="str">
            <v>42-04-06-00-4250</v>
          </cell>
          <cell r="M4258" t="str">
            <v>Repisa Melamina Crema 200x150 4 Puertas 10 Compartimientos</v>
          </cell>
          <cell r="O4258" t="str">
            <v>REPISA</v>
          </cell>
          <cell r="P4258">
            <v>230000</v>
          </cell>
          <cell r="T4258" t="str">
            <v>BUENO</v>
          </cell>
          <cell r="U4258" t="str">
            <v>N/T</v>
          </cell>
        </row>
        <row r="4259">
          <cell r="J4259" t="str">
            <v>42-05-01-01-4251</v>
          </cell>
          <cell r="L4259" t="str">
            <v>42-05-01-01-4251</v>
          </cell>
          <cell r="M4259" t="str">
            <v>Frigobar MABE Blanco Mod. MAC65B0/220/50</v>
          </cell>
          <cell r="O4259" t="str">
            <v>EQUIPO DE OFICINA</v>
          </cell>
          <cell r="P4259">
            <v>75000</v>
          </cell>
          <cell r="T4259" t="str">
            <v>BUENO</v>
          </cell>
          <cell r="U4259" t="str">
            <v>N/T</v>
          </cell>
        </row>
        <row r="4260">
          <cell r="J4260" t="str">
            <v>42-04-07-00-4252</v>
          </cell>
          <cell r="L4260" t="str">
            <v>42-04-07-00-4252</v>
          </cell>
          <cell r="M4260" t="str">
            <v xml:space="preserve">Mueble Melamina Color Crema 3 Puertas Cubierta Postformada </v>
          </cell>
          <cell r="O4260" t="str">
            <v>OTROS</v>
          </cell>
          <cell r="P4260">
            <v>85500</v>
          </cell>
          <cell r="T4260" t="str">
            <v>BUENO</v>
          </cell>
          <cell r="U4260" t="str">
            <v>N/T</v>
          </cell>
        </row>
        <row r="4261">
          <cell r="J4261" t="str">
            <v>42-04-07-00-4253</v>
          </cell>
          <cell r="L4261" t="str">
            <v>42-04-07-00-4253</v>
          </cell>
          <cell r="M4261" t="str">
            <v>Porta Toallas Tork</v>
          </cell>
          <cell r="O4261" t="str">
            <v>OTROS</v>
          </cell>
          <cell r="P4261">
            <v>17000</v>
          </cell>
          <cell r="T4261" t="str">
            <v>BUENO</v>
          </cell>
          <cell r="U4261" t="str">
            <v>TORK</v>
          </cell>
        </row>
        <row r="4262">
          <cell r="J4262" t="str">
            <v>42-04-07-00-4254</v>
          </cell>
          <cell r="L4262" t="str">
            <v>42-04-07-00-4254</v>
          </cell>
          <cell r="M4262" t="str">
            <v>Dispensador Jabon PISA</v>
          </cell>
          <cell r="O4262" t="str">
            <v>OTROS</v>
          </cell>
          <cell r="P4262">
            <v>4700</v>
          </cell>
          <cell r="T4262" t="str">
            <v>BUENO</v>
          </cell>
          <cell r="U4262" t="str">
            <v>PISA</v>
          </cell>
        </row>
        <row r="4263">
          <cell r="J4263" t="str">
            <v>42-04-07-00-4255</v>
          </cell>
          <cell r="L4263" t="str">
            <v>42-04-07-00-4255</v>
          </cell>
          <cell r="M4263" t="str">
            <v>Basurero Blanco Con Tapa y Pedal Mediano</v>
          </cell>
          <cell r="O4263" t="str">
            <v>OTROS</v>
          </cell>
          <cell r="P4263">
            <v>4000</v>
          </cell>
          <cell r="T4263" t="str">
            <v>BUENO</v>
          </cell>
          <cell r="U4263" t="str">
            <v>N/T</v>
          </cell>
        </row>
        <row r="4264">
          <cell r="J4264" t="str">
            <v>42-04-07-00-4256</v>
          </cell>
          <cell r="L4264" t="str">
            <v>42-04-07-00-4256</v>
          </cell>
          <cell r="M4264" t="str">
            <v>Percha Paraguero 4 Colgadores Metalica Color Blanca</v>
          </cell>
          <cell r="O4264" t="str">
            <v>OTROS</v>
          </cell>
          <cell r="P4264">
            <v>15900</v>
          </cell>
          <cell r="T4264" t="str">
            <v>BUENO</v>
          </cell>
          <cell r="U4264" t="str">
            <v>N/T</v>
          </cell>
        </row>
        <row r="4265">
          <cell r="J4265" t="str">
            <v>42-05-02-01-4257</v>
          </cell>
          <cell r="L4265" t="str">
            <v>42-05-02-01-4257</v>
          </cell>
          <cell r="M4265" t="str">
            <v>Estetoscopio Tipo Pinard Aluminio</v>
          </cell>
          <cell r="O4265" t="str">
            <v>EQUIPOS CLINICOS</v>
          </cell>
          <cell r="P4265">
            <v>5900</v>
          </cell>
          <cell r="T4265" t="str">
            <v>BUENO</v>
          </cell>
          <cell r="U4265" t="str">
            <v>N/T</v>
          </cell>
        </row>
        <row r="4266">
          <cell r="J4266" t="str">
            <v>NN-06-01-00-4258</v>
          </cell>
          <cell r="L4266" t="str">
            <v>NN-06-01-00-4258</v>
          </cell>
          <cell r="M4266" t="str">
            <v>Monitor TFT 17" Olidata NS 7009S-95D2588-000237</v>
          </cell>
          <cell r="O4266" t="str">
            <v>EQUIPOS COMPUTACIONALES Y PERIFÉRICOS EN ARRIENDO</v>
          </cell>
          <cell r="P4266">
            <v>32500</v>
          </cell>
          <cell r="T4266" t="str">
            <v>BUENO</v>
          </cell>
          <cell r="U4266" t="str">
            <v>Olidata</v>
          </cell>
        </row>
        <row r="4267">
          <cell r="J4267" t="str">
            <v>NN-06-01-00-4259</v>
          </cell>
          <cell r="L4267" t="str">
            <v>NN-06-01-00-4259</v>
          </cell>
          <cell r="M4267" t="str">
            <v>Mouse Olidata KM - 8920</v>
          </cell>
          <cell r="O4267" t="str">
            <v>EQUIPOS COMPUTACIONALES Y PERIFÉRICOS EN ARRIENDO</v>
          </cell>
          <cell r="P4267">
            <v>4000</v>
          </cell>
          <cell r="T4267" t="str">
            <v>Bueno</v>
          </cell>
          <cell r="U4267" t="str">
            <v>Olidata</v>
          </cell>
        </row>
        <row r="4268">
          <cell r="J4268" t="str">
            <v>NN-06-01-00-4260</v>
          </cell>
          <cell r="L4268" t="str">
            <v>NN-06-01-00-4260</v>
          </cell>
          <cell r="M4268" t="str">
            <v xml:space="preserve">Teclado Olidata KM - 8920 </v>
          </cell>
          <cell r="O4268" t="str">
            <v>EQUIPOS COMPUTACIONALES Y PERIFÉRICOS EN ARRIENDO</v>
          </cell>
          <cell r="P4268">
            <v>3500</v>
          </cell>
          <cell r="T4268" t="str">
            <v>Bueno</v>
          </cell>
          <cell r="U4268" t="str">
            <v>Olidata</v>
          </cell>
        </row>
        <row r="4269">
          <cell r="J4269" t="str">
            <v>42-05-01-01-4261</v>
          </cell>
          <cell r="L4269" t="str">
            <v>42-05-01-01-4261</v>
          </cell>
          <cell r="M4269" t="str">
            <v>Televisor Phillips 14" Convencional Color Gris</v>
          </cell>
          <cell r="O4269" t="str">
            <v>EQUIPO DE OFICINA</v>
          </cell>
          <cell r="P4269">
            <v>46500</v>
          </cell>
          <cell r="T4269" t="str">
            <v>Bueno</v>
          </cell>
          <cell r="U4269" t="str">
            <v>Olidata</v>
          </cell>
        </row>
        <row r="4270">
          <cell r="J4270" t="str">
            <v>NN-06-01-00-4262</v>
          </cell>
          <cell r="L4270" t="str">
            <v>NN-06-01-00-4262</v>
          </cell>
          <cell r="M4270" t="str">
            <v>CPU Computador Olidata NS 76460-OEM-0011903-00145 NEGRO</v>
          </cell>
          <cell r="O4270" t="str">
            <v>EQUIPOS COMPUTACIONALES Y PERIFÉRICOS EN ARRIENDO</v>
          </cell>
          <cell r="P4270">
            <v>270000</v>
          </cell>
          <cell r="T4270" t="str">
            <v>Bueno</v>
          </cell>
          <cell r="U4270" t="str">
            <v>Olidata</v>
          </cell>
        </row>
        <row r="4271">
          <cell r="J4271" t="str">
            <v>42-04-03-00-4263</v>
          </cell>
          <cell r="L4271" t="str">
            <v>42-04-03-00-4263</v>
          </cell>
          <cell r="M4271" t="str">
            <v>Mueble Escritorio Melamina Color Crema 4 Cajones Cubierta Postformada</v>
          </cell>
          <cell r="O4271" t="str">
            <v>ESCRITORIOS</v>
          </cell>
          <cell r="P4271">
            <v>199500</v>
          </cell>
          <cell r="T4271" t="str">
            <v>BUENO</v>
          </cell>
          <cell r="U4271" t="str">
            <v>N/T</v>
          </cell>
        </row>
        <row r="4272">
          <cell r="J4272" t="str">
            <v>42-04-05-00-4264</v>
          </cell>
          <cell r="L4272" t="str">
            <v>42-04-05-00-4264</v>
          </cell>
          <cell r="M4272" t="str">
            <v>Colgante Archivador Melamina Color Crema 22 Compartimientos</v>
          </cell>
          <cell r="O4272" t="str">
            <v>KARDEX</v>
          </cell>
          <cell r="P4272">
            <v>42500</v>
          </cell>
          <cell r="T4272" t="str">
            <v>BUENO</v>
          </cell>
          <cell r="U4272" t="str">
            <v>N/T</v>
          </cell>
        </row>
        <row r="4273">
          <cell r="J4273" t="str">
            <v>42-04-07-00-4265</v>
          </cell>
          <cell r="L4273" t="str">
            <v>42-04-07-00-4265</v>
          </cell>
          <cell r="M4273" t="str">
            <v>Porta Toalla TORK</v>
          </cell>
          <cell r="O4273" t="str">
            <v>OTROS</v>
          </cell>
          <cell r="P4273">
            <v>17000</v>
          </cell>
          <cell r="T4273" t="str">
            <v>Bueno</v>
          </cell>
          <cell r="U4273" t="str">
            <v>TORK</v>
          </cell>
        </row>
        <row r="4274">
          <cell r="J4274" t="str">
            <v>42-04-01-00-4266</v>
          </cell>
          <cell r="L4274" t="str">
            <v>42-04-01-00-4266</v>
          </cell>
          <cell r="M4274" t="str">
            <v>Mesa Metalica Cubierta Gris</v>
          </cell>
          <cell r="O4274" t="str">
            <v>MESAS</v>
          </cell>
          <cell r="P4274">
            <v>15600</v>
          </cell>
          <cell r="T4274" t="str">
            <v>Bueno</v>
          </cell>
          <cell r="U4274" t="str">
            <v>N/T</v>
          </cell>
        </row>
        <row r="4275">
          <cell r="J4275" t="str">
            <v>42-04-07-00-4267</v>
          </cell>
          <cell r="L4275" t="str">
            <v>42-04-07-00-4267</v>
          </cell>
          <cell r="M4275" t="str">
            <v>Pedestal Biombo Metalico Blanco Para Colgar Nariceras</v>
          </cell>
          <cell r="O4275" t="str">
            <v>OTROS</v>
          </cell>
          <cell r="P4275">
            <v>12500</v>
          </cell>
          <cell r="T4275" t="str">
            <v>Bueno</v>
          </cell>
          <cell r="U4275" t="str">
            <v>N/T</v>
          </cell>
        </row>
        <row r="4276">
          <cell r="J4276" t="str">
            <v>42-04-07-00-4268</v>
          </cell>
          <cell r="L4276" t="str">
            <v>42-04-07-00-4268</v>
          </cell>
          <cell r="M4276" t="str">
            <v>Estacion De Trabajo Esquinero Fija cubierto en baldosas 4 Puertas Melamina 1 Lavaplatos Acero Inoxidable con Llave Combinacion Color Blanco</v>
          </cell>
          <cell r="O4276" t="str">
            <v>OTROS</v>
          </cell>
          <cell r="P4276">
            <v>210000</v>
          </cell>
          <cell r="T4276" t="str">
            <v>Bueno</v>
          </cell>
          <cell r="U4276" t="str">
            <v>N/T</v>
          </cell>
        </row>
        <row r="4277">
          <cell r="J4277" t="str">
            <v>42-04-07-00-4269</v>
          </cell>
          <cell r="L4277" t="str">
            <v>42-04-07-00-4269</v>
          </cell>
          <cell r="M4277" t="str">
            <v>Estacion De Trabajo Fija cubierto en baldosas 8 Puertas Melamina Color Blanco</v>
          </cell>
          <cell r="O4277" t="str">
            <v>OTROS</v>
          </cell>
          <cell r="P4277">
            <v>180000</v>
          </cell>
          <cell r="T4277" t="str">
            <v>BUENO</v>
          </cell>
          <cell r="U4277" t="str">
            <v>N/T</v>
          </cell>
        </row>
        <row r="4278">
          <cell r="J4278" t="str">
            <v>42-05-02-01-4270</v>
          </cell>
          <cell r="L4278" t="str">
            <v>42-05-02-01-4270</v>
          </cell>
          <cell r="M4278" t="str">
            <v>Bandeja Acero Inoxidable (Caja Equipo De Sutura Nº 1)</v>
          </cell>
          <cell r="O4278" t="str">
            <v>EQUIPOS CLINICOS</v>
          </cell>
          <cell r="P4278">
            <v>8500</v>
          </cell>
          <cell r="T4278" t="str">
            <v>BUENO</v>
          </cell>
          <cell r="U4278" t="str">
            <v>N/T</v>
          </cell>
        </row>
        <row r="4279">
          <cell r="J4279" t="str">
            <v>42-05-02-01-4271</v>
          </cell>
          <cell r="L4279" t="str">
            <v>42-05-02-01-4271</v>
          </cell>
          <cell r="M4279" t="str">
            <v>Pinza Quirurjica</v>
          </cell>
          <cell r="O4279" t="str">
            <v>EQUIPOS CLINICOS</v>
          </cell>
          <cell r="P4279">
            <v>1470</v>
          </cell>
          <cell r="T4279" t="str">
            <v>BUENO</v>
          </cell>
          <cell r="U4279" t="str">
            <v>N/T</v>
          </cell>
        </row>
        <row r="4280">
          <cell r="J4280" t="str">
            <v>42-05-02-01-4272</v>
          </cell>
          <cell r="L4280" t="str">
            <v>42-05-02-01-4272</v>
          </cell>
          <cell r="M4280" t="str">
            <v>Porta Aguja</v>
          </cell>
          <cell r="O4280" t="str">
            <v>EQUIPOS CLINICOS</v>
          </cell>
          <cell r="P4280">
            <v>3500</v>
          </cell>
          <cell r="T4280" t="str">
            <v>BUENO</v>
          </cell>
          <cell r="U4280" t="str">
            <v>N/T</v>
          </cell>
        </row>
        <row r="4281">
          <cell r="J4281" t="str">
            <v>42-05-02-01-4273</v>
          </cell>
          <cell r="L4281" t="str">
            <v>42-05-02-01-4273</v>
          </cell>
          <cell r="M4281" t="str">
            <v>Tijera acero Inoxidable Tipo Pato</v>
          </cell>
          <cell r="O4281" t="str">
            <v>EQUIPOS CLINICOS</v>
          </cell>
          <cell r="P4281">
            <v>1870</v>
          </cell>
          <cell r="T4281" t="str">
            <v>BUENO</v>
          </cell>
          <cell r="U4281" t="str">
            <v>N/T</v>
          </cell>
        </row>
        <row r="4282">
          <cell r="J4282" t="str">
            <v>42-05-02-01-4274</v>
          </cell>
          <cell r="L4282" t="str">
            <v>42-05-02-01-4274</v>
          </cell>
          <cell r="M4282" t="str">
            <v>Pinza Kelly</v>
          </cell>
          <cell r="O4282" t="str">
            <v>EQUIPOS CLINICOS</v>
          </cell>
          <cell r="P4282">
            <v>2270</v>
          </cell>
          <cell r="T4282" t="str">
            <v>BUENO</v>
          </cell>
          <cell r="U4282" t="str">
            <v>N/T</v>
          </cell>
        </row>
        <row r="4283">
          <cell r="J4283" t="str">
            <v>42-05-02-01-4275</v>
          </cell>
          <cell r="L4283" t="str">
            <v>42-05-02-01-4275</v>
          </cell>
          <cell r="M4283" t="str">
            <v>Bandeja Acero Inoxidable (Caja Equipo De Sutura Nº 2)</v>
          </cell>
          <cell r="O4283" t="str">
            <v>EQUIPOS CLINICOS</v>
          </cell>
          <cell r="P4283">
            <v>8500</v>
          </cell>
          <cell r="T4283" t="str">
            <v>BUENO</v>
          </cell>
          <cell r="U4283" t="str">
            <v>N/T</v>
          </cell>
        </row>
        <row r="4284">
          <cell r="J4284" t="str">
            <v>42-05-02-01-4276</v>
          </cell>
          <cell r="L4284" t="str">
            <v>42-05-02-01-4276</v>
          </cell>
          <cell r="M4284" t="str">
            <v>Pinza Quirurjica</v>
          </cell>
          <cell r="O4284" t="str">
            <v>EQUIPOS CLINICOS</v>
          </cell>
          <cell r="P4284">
            <v>1470</v>
          </cell>
          <cell r="T4284" t="str">
            <v>BUENO</v>
          </cell>
          <cell r="U4284" t="str">
            <v>N/T</v>
          </cell>
        </row>
        <row r="4285">
          <cell r="J4285" t="str">
            <v>42-05-02-01-4277</v>
          </cell>
          <cell r="L4285" t="str">
            <v>42-05-02-01-4277</v>
          </cell>
          <cell r="M4285" t="str">
            <v>Porta Aguja</v>
          </cell>
          <cell r="O4285" t="str">
            <v>EQUIPOS CLINICOS</v>
          </cell>
          <cell r="P4285">
            <v>3500</v>
          </cell>
          <cell r="T4285" t="str">
            <v>BUENO</v>
          </cell>
          <cell r="U4285" t="str">
            <v>N/T</v>
          </cell>
        </row>
        <row r="4286">
          <cell r="J4286" t="str">
            <v>42-05-02-01-4278</v>
          </cell>
          <cell r="L4286" t="str">
            <v>42-05-02-01-4278</v>
          </cell>
          <cell r="M4286" t="str">
            <v>Tijera acero Inoxidable Tipo Pato</v>
          </cell>
          <cell r="O4286" t="str">
            <v>EQUIPOS CLINICOS</v>
          </cell>
          <cell r="P4286">
            <v>1870</v>
          </cell>
          <cell r="T4286" t="str">
            <v>BUENO</v>
          </cell>
          <cell r="U4286" t="str">
            <v>N/T</v>
          </cell>
        </row>
        <row r="4287">
          <cell r="J4287" t="str">
            <v>42-05-02-01-4279</v>
          </cell>
          <cell r="L4287" t="str">
            <v>42-05-02-01-4279</v>
          </cell>
          <cell r="M4287" t="str">
            <v>Pinza Kelly</v>
          </cell>
          <cell r="O4287" t="str">
            <v>EQUIPOS CLINICOS</v>
          </cell>
          <cell r="P4287">
            <v>2270</v>
          </cell>
          <cell r="T4287" t="str">
            <v>BUENO</v>
          </cell>
          <cell r="U4287" t="str">
            <v>N/T</v>
          </cell>
        </row>
        <row r="4288">
          <cell r="J4288" t="str">
            <v>42-05-02-01-4280</v>
          </cell>
          <cell r="L4288" t="str">
            <v>42-05-02-01-4280</v>
          </cell>
          <cell r="M4288" t="str">
            <v>Bandeja Acero Inoxidable (Caja Equipo De Sutura Nº 3)</v>
          </cell>
          <cell r="O4288" t="str">
            <v>EQUIPOS CLINICOS</v>
          </cell>
          <cell r="P4288">
            <v>8500</v>
          </cell>
          <cell r="T4288" t="str">
            <v>BUENO</v>
          </cell>
          <cell r="U4288" t="str">
            <v>N/T</v>
          </cell>
        </row>
        <row r="4289">
          <cell r="J4289" t="str">
            <v>42-05-02-01-4281</v>
          </cell>
          <cell r="L4289" t="str">
            <v>42-05-02-01-4281</v>
          </cell>
          <cell r="M4289" t="str">
            <v>Pinza Quirurjica</v>
          </cell>
          <cell r="O4289" t="str">
            <v>EQUIPOS CLINICOS</v>
          </cell>
          <cell r="P4289">
            <v>1470</v>
          </cell>
          <cell r="T4289" t="str">
            <v>BUENO</v>
          </cell>
          <cell r="U4289" t="str">
            <v>N/T</v>
          </cell>
        </row>
        <row r="4290">
          <cell r="J4290" t="str">
            <v>42-05-02-01-4282</v>
          </cell>
          <cell r="L4290" t="str">
            <v>42-05-02-01-4282</v>
          </cell>
          <cell r="M4290" t="str">
            <v>Porta Aguja</v>
          </cell>
          <cell r="O4290" t="str">
            <v>EQUIPOS CLINICOS</v>
          </cell>
          <cell r="P4290">
            <v>3500</v>
          </cell>
          <cell r="T4290" t="str">
            <v>BUENO</v>
          </cell>
          <cell r="U4290" t="str">
            <v>N/T</v>
          </cell>
        </row>
        <row r="4291">
          <cell r="J4291" t="str">
            <v>42-05-02-01-4283</v>
          </cell>
          <cell r="L4291" t="str">
            <v>42-05-02-01-4283</v>
          </cell>
          <cell r="M4291" t="str">
            <v>Tijera acero Inoxidable Tipo Pato</v>
          </cell>
          <cell r="O4291" t="str">
            <v>EQUIPOS CLINICOS</v>
          </cell>
          <cell r="P4291">
            <v>1870</v>
          </cell>
          <cell r="T4291" t="str">
            <v>BUENO</v>
          </cell>
          <cell r="U4291" t="str">
            <v>N/T</v>
          </cell>
        </row>
        <row r="4292">
          <cell r="J4292" t="str">
            <v>42-05-02-01-4284</v>
          </cell>
          <cell r="L4292" t="str">
            <v>42-05-02-01-4284</v>
          </cell>
          <cell r="M4292" t="str">
            <v>Pinza Kelly</v>
          </cell>
          <cell r="O4292" t="str">
            <v>EQUIPOS CLINICOS</v>
          </cell>
          <cell r="P4292">
            <v>2270</v>
          </cell>
          <cell r="T4292" t="str">
            <v>BUENO</v>
          </cell>
          <cell r="U4292" t="str">
            <v>N/T</v>
          </cell>
        </row>
        <row r="4293">
          <cell r="J4293" t="str">
            <v>42-05-02-01-4285</v>
          </cell>
          <cell r="L4293" t="str">
            <v>42-05-02-01-4285</v>
          </cell>
          <cell r="M4293" t="str">
            <v>Bandeja Acero Inoxidable (Caja Equipo De Sutura Nº 4)</v>
          </cell>
          <cell r="O4293" t="str">
            <v>EQUIPOS CLINICOS</v>
          </cell>
          <cell r="P4293">
            <v>8500</v>
          </cell>
          <cell r="T4293" t="str">
            <v>BUENO</v>
          </cell>
          <cell r="U4293" t="str">
            <v>N/T</v>
          </cell>
        </row>
        <row r="4294">
          <cell r="J4294" t="str">
            <v>42-05-02-01-4286</v>
          </cell>
          <cell r="L4294" t="str">
            <v>42-05-02-01-4286</v>
          </cell>
          <cell r="M4294" t="str">
            <v>Pinza Quirurjica</v>
          </cell>
          <cell r="O4294" t="str">
            <v>EQUIPOS CLINICOS</v>
          </cell>
          <cell r="P4294">
            <v>1470</v>
          </cell>
          <cell r="T4294" t="str">
            <v>BUENO</v>
          </cell>
          <cell r="U4294" t="str">
            <v>N/T</v>
          </cell>
        </row>
        <row r="4295">
          <cell r="J4295" t="str">
            <v>42-05-02-01-4287</v>
          </cell>
          <cell r="L4295" t="str">
            <v>42-05-02-01-4287</v>
          </cell>
          <cell r="M4295" t="str">
            <v>Porta Aguja</v>
          </cell>
          <cell r="O4295" t="str">
            <v>EQUIPOS CLINICOS</v>
          </cell>
          <cell r="P4295">
            <v>3500</v>
          </cell>
          <cell r="T4295" t="str">
            <v>BUENO</v>
          </cell>
          <cell r="U4295" t="str">
            <v>N/T</v>
          </cell>
        </row>
        <row r="4296">
          <cell r="J4296" t="str">
            <v>42-05-02-01-4288</v>
          </cell>
          <cell r="L4296" t="str">
            <v>42-05-02-01-4288</v>
          </cell>
          <cell r="M4296" t="str">
            <v>Tijera acero Inoxidable Tipo Pato</v>
          </cell>
          <cell r="O4296" t="str">
            <v>EQUIPOS CLINICOS</v>
          </cell>
          <cell r="P4296">
            <v>1870</v>
          </cell>
          <cell r="T4296" t="str">
            <v>BUENO</v>
          </cell>
          <cell r="U4296" t="str">
            <v>N/T</v>
          </cell>
        </row>
        <row r="4297">
          <cell r="J4297" t="str">
            <v>42-05-02-01-4289</v>
          </cell>
          <cell r="L4297" t="str">
            <v>42-05-02-01-4289</v>
          </cell>
          <cell r="M4297" t="str">
            <v>Pinza Kelly</v>
          </cell>
          <cell r="O4297" t="str">
            <v>EQUIPOS CLINICOS</v>
          </cell>
          <cell r="P4297">
            <v>2270</v>
          </cell>
          <cell r="T4297" t="str">
            <v>BUENO</v>
          </cell>
          <cell r="U4297" t="str">
            <v>N/T</v>
          </cell>
        </row>
        <row r="4298">
          <cell r="J4298" t="str">
            <v>42-04-07-00-4290</v>
          </cell>
          <cell r="L4298" t="str">
            <v>42-04-07-00-4290</v>
          </cell>
          <cell r="M4298" t="str">
            <v>Basurero Blanco Plastico (BIN)</v>
          </cell>
          <cell r="O4298" t="str">
            <v>OTROS</v>
          </cell>
          <cell r="P4298">
            <v>4000</v>
          </cell>
          <cell r="T4298" t="str">
            <v>Bueno</v>
          </cell>
          <cell r="U4298" t="str">
            <v>N/T</v>
          </cell>
        </row>
        <row r="4299">
          <cell r="J4299" t="str">
            <v>42-05-02-01-4291</v>
          </cell>
          <cell r="L4299" t="str">
            <v>42-05-02-01-4291</v>
          </cell>
          <cell r="M4299" t="str">
            <v>Colchoneta Camilla Ambulancia Tevinil Naranja</v>
          </cell>
          <cell r="O4299" t="str">
            <v>EQUIPOS CLINICOS</v>
          </cell>
          <cell r="P4299">
            <v>25000</v>
          </cell>
          <cell r="T4299" t="str">
            <v>Bueno</v>
          </cell>
          <cell r="U4299" t="str">
            <v>N/T</v>
          </cell>
        </row>
        <row r="4300">
          <cell r="J4300" t="str">
            <v>42-05-02-01-4292</v>
          </cell>
          <cell r="L4300" t="str">
            <v>42-05-02-01-4292</v>
          </cell>
          <cell r="M4300" t="str">
            <v xml:space="preserve">Jeringa CARPULE C/ Tornillo  DENPHER 1.8 ML </v>
          </cell>
          <cell r="O4300" t="str">
            <v>EQUIPOS CLINICOS</v>
          </cell>
          <cell r="P4300">
            <v>6165</v>
          </cell>
          <cell r="T4300" t="str">
            <v>Bueno</v>
          </cell>
          <cell r="U4300" t="str">
            <v>N/T</v>
          </cell>
        </row>
        <row r="4301">
          <cell r="J4301" t="str">
            <v>42-05-02-06-4293</v>
          </cell>
          <cell r="L4301" t="str">
            <v>42-05-02-06-4293</v>
          </cell>
          <cell r="M4301" t="str">
            <v>Remachador Profesional POP Trupper</v>
          </cell>
          <cell r="O4301" t="str">
            <v>HERRAMIENTAS</v>
          </cell>
          <cell r="P4301">
            <v>6500</v>
          </cell>
          <cell r="T4301" t="str">
            <v>BUENO</v>
          </cell>
          <cell r="U4301" t="str">
            <v>Trupper</v>
          </cell>
        </row>
        <row r="4302">
          <cell r="J4302" t="str">
            <v>42-04-07-00-4294</v>
          </cell>
          <cell r="K4302" t="str">
            <v>42-3331 B</v>
          </cell>
          <cell r="L4302" t="str">
            <v>42-04-07-00-4294</v>
          </cell>
          <cell r="M4302" t="str">
            <v>Mural Marco Madera con Plumavit Blanco</v>
          </cell>
          <cell r="O4302" t="str">
            <v>OTROS</v>
          </cell>
          <cell r="P4302">
            <v>6500</v>
          </cell>
          <cell r="T4302" t="str">
            <v>BUENO</v>
          </cell>
          <cell r="U4302" t="str">
            <v>N/T</v>
          </cell>
        </row>
        <row r="4303">
          <cell r="J4303" t="str">
            <v>42-04-07-00-4295</v>
          </cell>
          <cell r="K4303" t="str">
            <v>42-2290</v>
          </cell>
          <cell r="L4303" t="str">
            <v>42-04-07-00-4295</v>
          </cell>
          <cell r="M4303" t="str">
            <v>Mueble Pared Chico Blanco mTipo Esquinero</v>
          </cell>
          <cell r="O4303" t="str">
            <v>OTROS</v>
          </cell>
          <cell r="P4303">
            <v>4600</v>
          </cell>
          <cell r="T4303" t="str">
            <v>BUENO</v>
          </cell>
          <cell r="U4303" t="str">
            <v>N/T</v>
          </cell>
        </row>
        <row r="4304">
          <cell r="J4304" t="str">
            <v>42-05-02-06-4296</v>
          </cell>
          <cell r="L4304" t="str">
            <v>42-05-02-06-4296</v>
          </cell>
          <cell r="M4304" t="str">
            <v>Cuchara Metalica Albañil</v>
          </cell>
          <cell r="O4304" t="str">
            <v>HERRAMIENTAS</v>
          </cell>
          <cell r="P4304">
            <v>5200</v>
          </cell>
          <cell r="T4304" t="str">
            <v>BUENO</v>
          </cell>
          <cell r="U4304" t="str">
            <v>N/T</v>
          </cell>
        </row>
        <row r="4305">
          <cell r="J4305" t="str">
            <v>42-05-02-06-4297</v>
          </cell>
          <cell r="L4305" t="str">
            <v>42-05-02-06-4297</v>
          </cell>
          <cell r="M4305" t="str">
            <v>Espatula Metalica Albañil</v>
          </cell>
          <cell r="O4305" t="str">
            <v>HERRAMIENTAS</v>
          </cell>
          <cell r="P4305">
            <v>5200</v>
          </cell>
          <cell r="T4305" t="str">
            <v>BUENO</v>
          </cell>
          <cell r="U4305" t="str">
            <v>N/T</v>
          </cell>
        </row>
        <row r="4306">
          <cell r="J4306" t="str">
            <v>NN-06-01-00-4298</v>
          </cell>
          <cell r="L4306" t="str">
            <v>NN-06-01-00-4298</v>
          </cell>
          <cell r="M4306" t="str">
            <v>PC All in One Olidata NºS 014588-000893</v>
          </cell>
          <cell r="O4306" t="str">
            <v>EQUIPOS COMPUTACIONALES Y PERIFÉRICOS EN ARRIENDO</v>
          </cell>
          <cell r="P4306">
            <v>320000</v>
          </cell>
          <cell r="T4306" t="str">
            <v>BUENO</v>
          </cell>
          <cell r="U4306" t="str">
            <v>Olidata</v>
          </cell>
        </row>
        <row r="4307">
          <cell r="J4307" t="str">
            <v>NN-06-01-00-4299</v>
          </cell>
          <cell r="L4307" t="str">
            <v>NN-06-01-00-4299</v>
          </cell>
          <cell r="M4307" t="str">
            <v>Teclado Olidata Modelo K 3100</v>
          </cell>
          <cell r="O4307" t="str">
            <v>EQUIPOS COMPUTACIONALES Y PERIFÉRICOS EN ARRIENDO</v>
          </cell>
          <cell r="P4307">
            <v>3000</v>
          </cell>
          <cell r="T4307" t="str">
            <v>BUENO</v>
          </cell>
          <cell r="U4307" t="str">
            <v>Olidata</v>
          </cell>
        </row>
        <row r="4308">
          <cell r="J4308" t="str">
            <v>NN-06-01-00-4300</v>
          </cell>
          <cell r="L4308" t="str">
            <v>NN-06-01-00-4300</v>
          </cell>
          <cell r="M4308" t="str">
            <v>Mouse Olidata Model 8903</v>
          </cell>
          <cell r="O4308" t="str">
            <v>EQUIPOS COMPUTACIONALES Y PERIFÉRICOS EN ARRIENDO</v>
          </cell>
          <cell r="P4308">
            <v>4000</v>
          </cell>
          <cell r="T4308" t="str">
            <v>BUENO</v>
          </cell>
          <cell r="U4308" t="str">
            <v>Olidata</v>
          </cell>
        </row>
        <row r="4309">
          <cell r="J4309" t="str">
            <v>42-04-07-00-4301</v>
          </cell>
          <cell r="L4309" t="str">
            <v>42-04-07-00-4301</v>
          </cell>
          <cell r="M4309" t="str">
            <v>Mueble Archivador Colgante 2 Compartimientos Color Cefe</v>
          </cell>
          <cell r="O4309" t="str">
            <v>OTROS</v>
          </cell>
          <cell r="P4309">
            <v>32300</v>
          </cell>
          <cell r="T4309" t="str">
            <v>BUENO</v>
          </cell>
          <cell r="U4309" t="str">
            <v>N/T</v>
          </cell>
        </row>
        <row r="4310">
          <cell r="J4310" t="str">
            <v>FN-05-02-05-4302</v>
          </cell>
          <cell r="L4310" t="str">
            <v>FN-05-02-05-4302</v>
          </cell>
          <cell r="M4310" t="str">
            <v>Cascos Protectores Construccion y Faena color Blanco</v>
          </cell>
          <cell r="O4310" t="str">
            <v>EQUIPOS DE SEGURIDAD FUNGIBLE / NOMINABLE</v>
          </cell>
          <cell r="P4310">
            <v>12000</v>
          </cell>
          <cell r="T4310" t="str">
            <v>BUENO</v>
          </cell>
          <cell r="U4310" t="str">
            <v>N/T</v>
          </cell>
        </row>
        <row r="4311">
          <cell r="J4311" t="str">
            <v>42-05-02-01-4303</v>
          </cell>
          <cell r="K4311" t="str">
            <v>42-830</v>
          </cell>
          <cell r="L4311" t="str">
            <v>42-05-02-01-4303</v>
          </cell>
          <cell r="M4311" t="str">
            <v>Pupinel Esterilización Memmet</v>
          </cell>
          <cell r="O4311" t="str">
            <v>EQUIPOS CLINICOS</v>
          </cell>
          <cell r="P4311">
            <v>100000</v>
          </cell>
          <cell r="T4311" t="str">
            <v>Malo</v>
          </cell>
          <cell r="U4311" t="str">
            <v>Memmet</v>
          </cell>
        </row>
        <row r="4312">
          <cell r="J4312" t="str">
            <v>42-05-02-01-4304</v>
          </cell>
          <cell r="K4312" t="str">
            <v>42-1678B</v>
          </cell>
          <cell r="L4312" t="str">
            <v>42-05-02-01-4304</v>
          </cell>
          <cell r="M4312" t="str">
            <v>Pupinel Esterilización Memmet</v>
          </cell>
          <cell r="O4312" t="str">
            <v>EQUIPOS CLINICOS</v>
          </cell>
          <cell r="P4312">
            <v>100000</v>
          </cell>
          <cell r="T4312" t="str">
            <v>Malo</v>
          </cell>
          <cell r="U4312" t="str">
            <v>Memmet</v>
          </cell>
        </row>
        <row r="4313">
          <cell r="J4313" t="str">
            <v>42-05-02-06-4305</v>
          </cell>
          <cell r="K4313" t="str">
            <v>42-393</v>
          </cell>
          <cell r="L4313" t="str">
            <v>42-05-02-06-4305</v>
          </cell>
          <cell r="M4313" t="str">
            <v>Compresor Con Protección Cila Dry</v>
          </cell>
          <cell r="O4313" t="str">
            <v>HERRAMIENTAS</v>
          </cell>
          <cell r="P4313">
            <v>50000</v>
          </cell>
          <cell r="T4313" t="str">
            <v>Malo</v>
          </cell>
          <cell r="U4313" t="str">
            <v>Cila Dry</v>
          </cell>
        </row>
        <row r="4314">
          <cell r="J4314" t="str">
            <v>42-04-01-00-4306</v>
          </cell>
          <cell r="K4314" t="str">
            <v>42-1343</v>
          </cell>
          <cell r="L4314" t="str">
            <v>42-04-01-00-4306</v>
          </cell>
          <cell r="M4314" t="str">
            <v>Meson Madera Celeste Con Compartimiento Inferior</v>
          </cell>
          <cell r="O4314" t="str">
            <v>MESAS</v>
          </cell>
          <cell r="P4314">
            <v>12500</v>
          </cell>
          <cell r="T4314" t="str">
            <v>Malo</v>
          </cell>
          <cell r="U4314" t="str">
            <v>N/T</v>
          </cell>
        </row>
        <row r="4315">
          <cell r="J4315" t="str">
            <v>42-04-02-00-4307</v>
          </cell>
          <cell r="K4315" t="str">
            <v>42-8460</v>
          </cell>
          <cell r="L4315" t="str">
            <v>42-04-02-00-4307</v>
          </cell>
          <cell r="M4315" t="str">
            <v>Silla Madera Mixta Madera Metal Color Barniz Natural</v>
          </cell>
          <cell r="O4315" t="str">
            <v>SILLAS</v>
          </cell>
          <cell r="P4315">
            <v>12500</v>
          </cell>
          <cell r="T4315" t="str">
            <v>Malo</v>
          </cell>
          <cell r="U4315" t="str">
            <v>N/T</v>
          </cell>
        </row>
        <row r="4316">
          <cell r="J4316" t="str">
            <v>42-06-01-00-4308</v>
          </cell>
          <cell r="K4316" t="str">
            <v>42-1871</v>
          </cell>
          <cell r="L4316" t="str">
            <v>42-06-01-00-4308</v>
          </cell>
          <cell r="M4316" t="str">
            <v xml:space="preserve">Impresora T 420 LEXMARK </v>
          </cell>
          <cell r="O4316" t="str">
            <v>EQUIPOS COMPUTACIONALES Y PERIFÉRICOS</v>
          </cell>
          <cell r="P4316">
            <v>30000</v>
          </cell>
          <cell r="T4316" t="str">
            <v>Malo</v>
          </cell>
          <cell r="U4316" t="str">
            <v>LEXMARK</v>
          </cell>
        </row>
        <row r="4317">
          <cell r="J4317" t="str">
            <v>42-06-01-00-4309</v>
          </cell>
          <cell r="K4317" t="str">
            <v>42-1877b</v>
          </cell>
          <cell r="L4317" t="str">
            <v>42-06-01-00-4309</v>
          </cell>
          <cell r="M4317" t="str">
            <v>CPU Pentium INSIDE Horizontal Blanca</v>
          </cell>
          <cell r="O4317" t="str">
            <v>EQUIPOS COMPUTACIONALES Y PERIFÉRICOS</v>
          </cell>
          <cell r="P4317">
            <v>70000</v>
          </cell>
          <cell r="T4317" t="str">
            <v>Malo</v>
          </cell>
          <cell r="U4317" t="str">
            <v>N/T</v>
          </cell>
        </row>
        <row r="4318">
          <cell r="J4318" t="str">
            <v>42-06-01-00-4310</v>
          </cell>
          <cell r="K4318" t="str">
            <v>42-1451</v>
          </cell>
          <cell r="L4318" t="str">
            <v>42-06-01-00-4310</v>
          </cell>
          <cell r="M4318" t="str">
            <v>CPU Intel Inside Horizontal Blanca</v>
          </cell>
          <cell r="O4318" t="str">
            <v>EQUIPOS COMPUTACIONALES Y PERIFÉRICOS</v>
          </cell>
          <cell r="P4318">
            <v>70000</v>
          </cell>
          <cell r="T4318" t="str">
            <v>Malo</v>
          </cell>
          <cell r="U4318" t="str">
            <v>N/T</v>
          </cell>
        </row>
        <row r="4319">
          <cell r="J4319" t="str">
            <v>42-06-01-00-4311</v>
          </cell>
          <cell r="K4319" t="str">
            <v>42-1780</v>
          </cell>
          <cell r="L4319" t="str">
            <v>42-06-01-00-4311</v>
          </cell>
          <cell r="M4319" t="str">
            <v>CPU Intel Inside Horizontal Blanca ()</v>
          </cell>
          <cell r="O4319" t="str">
            <v>EQUIPOS COMPUTACIONALES Y PERIFÉRICOS</v>
          </cell>
          <cell r="P4319">
            <v>70000</v>
          </cell>
          <cell r="T4319" t="str">
            <v>Malo</v>
          </cell>
          <cell r="U4319" t="str">
            <v>N/T</v>
          </cell>
        </row>
        <row r="4320">
          <cell r="J4320" t="str">
            <v>42-06-01-00-4312</v>
          </cell>
          <cell r="K4320" t="str">
            <v>42-2329</v>
          </cell>
          <cell r="L4320" t="str">
            <v>42-06-01-00-4312</v>
          </cell>
          <cell r="M4320" t="str">
            <v>CPU Pentium 4 Horizontal Blanco ()</v>
          </cell>
          <cell r="O4320" t="str">
            <v>EQUIPOS COMPUTACIONALES Y PERIFÉRICOS</v>
          </cell>
          <cell r="P4320">
            <v>70000</v>
          </cell>
          <cell r="T4320" t="str">
            <v>Malo</v>
          </cell>
          <cell r="U4320" t="str">
            <v>N/T</v>
          </cell>
        </row>
        <row r="4321">
          <cell r="J4321" t="str">
            <v>42-05-02-05-4313</v>
          </cell>
          <cell r="K4321" t="str">
            <v>42-142</v>
          </cell>
          <cell r="L4321" t="str">
            <v>42-05-02-05-4313</v>
          </cell>
          <cell r="M4321" t="str">
            <v>Estabilizador de Tension Varias Salidas</v>
          </cell>
          <cell r="O4321" t="str">
            <v>EQUIPOS DE SEGURIDAD</v>
          </cell>
          <cell r="P4321">
            <v>25000</v>
          </cell>
          <cell r="T4321" t="str">
            <v>Malo</v>
          </cell>
          <cell r="U4321" t="str">
            <v>N/T</v>
          </cell>
        </row>
        <row r="4322">
          <cell r="J4322" t="str">
            <v>42-06-01-00-4314</v>
          </cell>
          <cell r="K4322" t="str">
            <v>42-2616b</v>
          </cell>
          <cell r="L4322" t="str">
            <v>42-06-01-00-4314</v>
          </cell>
          <cell r="M4322" t="str">
            <v>CPU Intel Celeron Horizontal Blanca ()</v>
          </cell>
          <cell r="O4322" t="str">
            <v>EQUIPOS COMPUTACIONALES Y PERIFÉRICOS</v>
          </cell>
          <cell r="P4322">
            <v>70000</v>
          </cell>
          <cell r="T4322" t="str">
            <v>Malo</v>
          </cell>
          <cell r="U4322" t="str">
            <v>N/T</v>
          </cell>
        </row>
        <row r="4323">
          <cell r="J4323" t="str">
            <v>42-05-02-01-4315</v>
          </cell>
          <cell r="L4323" t="str">
            <v>42-05-02-01-4315</v>
          </cell>
          <cell r="M4323" t="str">
            <v>Parte de Catre Clinico Mal Estado</v>
          </cell>
          <cell r="O4323" t="str">
            <v>EQUIPOS CLINICOS</v>
          </cell>
          <cell r="P4323">
            <v>50000</v>
          </cell>
          <cell r="T4323" t="str">
            <v>Malo</v>
          </cell>
          <cell r="U4323" t="str">
            <v>N/T</v>
          </cell>
        </row>
        <row r="4324">
          <cell r="J4324" t="str">
            <v>42-04-07-00-4316</v>
          </cell>
          <cell r="L4324" t="str">
            <v>42-04-07-00-4316</v>
          </cell>
          <cell r="M4324" t="str">
            <v>Basurero Metalico con Pedal y Tapa ALUM</v>
          </cell>
          <cell r="O4324" t="str">
            <v>OTROS</v>
          </cell>
          <cell r="P4324">
            <v>8000</v>
          </cell>
          <cell r="T4324" t="str">
            <v>Malo</v>
          </cell>
          <cell r="U4324" t="str">
            <v>N/T</v>
          </cell>
        </row>
        <row r="4325">
          <cell r="J4325" t="str">
            <v>42-05-02-01-4317</v>
          </cell>
          <cell r="L4325" t="str">
            <v>42-05-02-01-4317</v>
          </cell>
          <cell r="M4325" t="str">
            <v>Escabel Mixto 2 Peldaños Blanco</v>
          </cell>
          <cell r="O4325" t="str">
            <v>EQUIPOS CLINICOS</v>
          </cell>
          <cell r="P4325">
            <v>8000</v>
          </cell>
          <cell r="T4325" t="str">
            <v>Malo</v>
          </cell>
          <cell r="U4325" t="str">
            <v>N/T</v>
          </cell>
        </row>
        <row r="4326">
          <cell r="J4326" t="str">
            <v>42-04-02-00-4318</v>
          </cell>
          <cell r="L4326" t="str">
            <v>42-04-02-00-4318</v>
          </cell>
          <cell r="M4326" t="str">
            <v>Silla Madera Ploma</v>
          </cell>
          <cell r="O4326" t="str">
            <v>SILLAS</v>
          </cell>
          <cell r="P4326">
            <v>5000</v>
          </cell>
          <cell r="T4326" t="str">
            <v>Malo</v>
          </cell>
          <cell r="U4326" t="str">
            <v>N/T</v>
          </cell>
        </row>
        <row r="4327">
          <cell r="J4327" t="str">
            <v>42-04-02-00-4319</v>
          </cell>
          <cell r="L4327" t="str">
            <v>42-04-02-00-4319</v>
          </cell>
          <cell r="M4327" t="str">
            <v>Silla Madera Blanca</v>
          </cell>
          <cell r="O4327" t="str">
            <v>SILLAS</v>
          </cell>
          <cell r="P4327">
            <v>5000</v>
          </cell>
          <cell r="T4327" t="str">
            <v>Malo</v>
          </cell>
          <cell r="U4327" t="str">
            <v>N/T</v>
          </cell>
        </row>
        <row r="4328">
          <cell r="J4328" t="str">
            <v>42-04-07-00-4320</v>
          </cell>
          <cell r="L4328" t="str">
            <v>42-04-07-00-4320</v>
          </cell>
          <cell r="M4328" t="str">
            <v>Porta Toallas Tork</v>
          </cell>
          <cell r="O4328" t="str">
            <v>OTROS</v>
          </cell>
          <cell r="P4328">
            <v>5000</v>
          </cell>
          <cell r="T4328" t="str">
            <v>Malo</v>
          </cell>
          <cell r="U4328" t="str">
            <v>N/T</v>
          </cell>
        </row>
        <row r="4329">
          <cell r="J4329" t="str">
            <v>42-05-02-01-4321</v>
          </cell>
          <cell r="L4329" t="str">
            <v>42-05-02-01-4321</v>
          </cell>
          <cell r="M4329" t="str">
            <v xml:space="preserve">Silla De Ruedas Standard Medicina  Negra </v>
          </cell>
          <cell r="O4329" t="str">
            <v>EQUIPOS CLINICOS</v>
          </cell>
          <cell r="P4329">
            <v>20000</v>
          </cell>
          <cell r="T4329" t="str">
            <v>Malo</v>
          </cell>
          <cell r="U4329" t="str">
            <v>N/T</v>
          </cell>
        </row>
        <row r="4330">
          <cell r="J4330" t="str">
            <v>42-04-07-00-4322</v>
          </cell>
          <cell r="L4330" t="str">
            <v>42-04-07-00-4322</v>
          </cell>
          <cell r="M4330" t="str">
            <v>Quemador Petroleo Caldera Nº 2 NS 02085000459</v>
          </cell>
          <cell r="O4330" t="str">
            <v>OTROS</v>
          </cell>
          <cell r="P4330">
            <v>1000000</v>
          </cell>
          <cell r="T4330" t="str">
            <v>Malo</v>
          </cell>
          <cell r="U4330" t="str">
            <v>N/T</v>
          </cell>
        </row>
        <row r="4331">
          <cell r="J4331" t="str">
            <v>42-04-07-00-4323</v>
          </cell>
          <cell r="L4331" t="str">
            <v>42-04-07-00-4323</v>
          </cell>
          <cell r="M4331" t="str">
            <v>Parte Estanque De Agua AUTOCLAVE</v>
          </cell>
          <cell r="O4331" t="str">
            <v>OTROS</v>
          </cell>
          <cell r="P4331">
            <v>6000</v>
          </cell>
          <cell r="T4331" t="str">
            <v>Malo</v>
          </cell>
          <cell r="U4331" t="str">
            <v>N/T</v>
          </cell>
        </row>
        <row r="4332">
          <cell r="J4332" t="str">
            <v>42-04-07-00-4324</v>
          </cell>
          <cell r="L4332" t="str">
            <v>42-04-07-00-4324</v>
          </cell>
          <cell r="M4332" t="str">
            <v>Extractor Aire AEROLIT</v>
          </cell>
          <cell r="O4332" t="str">
            <v>OTROS</v>
          </cell>
          <cell r="P4332">
            <v>25000</v>
          </cell>
          <cell r="T4332" t="str">
            <v>Malo</v>
          </cell>
          <cell r="U4332" t="str">
            <v>N/T</v>
          </cell>
        </row>
        <row r="4333">
          <cell r="J4333" t="str">
            <v>FN-05-02-01-4325</v>
          </cell>
          <cell r="L4333" t="str">
            <v>FN-05-02-01-4325</v>
          </cell>
          <cell r="M4333" t="str">
            <v>CAJAS INSUMOS PARA ENFERMERIA Y MEDICINA</v>
          </cell>
          <cell r="O4333" t="str">
            <v>EQUIPOS CLINICOS FUNGIBLE / NOMINABLE</v>
          </cell>
          <cell r="P4333">
            <v>9900</v>
          </cell>
          <cell r="T4333" t="str">
            <v>Bueno</v>
          </cell>
          <cell r="U4333" t="str">
            <v>N/T</v>
          </cell>
        </row>
        <row r="4334">
          <cell r="J4334" t="str">
            <v>FN-04-07-00-4326</v>
          </cell>
          <cell r="L4334" t="str">
            <v>FN-04-07-00-4326</v>
          </cell>
          <cell r="M4334" t="str">
            <v>Pasta MURO  (BIN) 20 KG Tajamar</v>
          </cell>
          <cell r="O4334" t="str">
            <v>OTROS FUNGIBLE / NOMINABLE</v>
          </cell>
          <cell r="P4334">
            <v>13000</v>
          </cell>
          <cell r="T4334" t="str">
            <v>BUENO</v>
          </cell>
          <cell r="U4334" t="str">
            <v>TAJAMAR</v>
          </cell>
        </row>
        <row r="4335">
          <cell r="J4335" t="str">
            <v>42-04-07-00-4327</v>
          </cell>
          <cell r="L4335" t="str">
            <v>42-04-07-00-4327</v>
          </cell>
          <cell r="M4335" t="str">
            <v>Puerta Terciado Color Crema</v>
          </cell>
          <cell r="O4335" t="str">
            <v>OTROS</v>
          </cell>
          <cell r="P4335">
            <v>15000</v>
          </cell>
          <cell r="T4335" t="str">
            <v>Malo</v>
          </cell>
          <cell r="U4335" t="str">
            <v>N/T</v>
          </cell>
        </row>
        <row r="4336">
          <cell r="J4336" t="str">
            <v>42-04-07-00-4328</v>
          </cell>
          <cell r="L4336" t="str">
            <v>42-04-07-00-4328</v>
          </cell>
          <cell r="M4336" t="str">
            <v>Puerta Madera 3/4 Cuerpo y Vidrio Color Gris</v>
          </cell>
          <cell r="O4336" t="str">
            <v>OTROS</v>
          </cell>
          <cell r="P4336">
            <v>19000</v>
          </cell>
          <cell r="T4336" t="str">
            <v>Malo</v>
          </cell>
          <cell r="U4336" t="str">
            <v>N/T</v>
          </cell>
        </row>
        <row r="4337">
          <cell r="J4337" t="str">
            <v>42-06-01-00-4329</v>
          </cell>
          <cell r="L4337" t="str">
            <v>42-06-01-00-4329</v>
          </cell>
          <cell r="M4337" t="str">
            <v>CPU Optiplex Vertical Color Blanco</v>
          </cell>
          <cell r="O4337" t="str">
            <v>EQUIPOS COMPUTACIONALES Y PERIFÉRICOS</v>
          </cell>
          <cell r="P4337">
            <v>50000</v>
          </cell>
          <cell r="T4337" t="str">
            <v>Malo</v>
          </cell>
          <cell r="U4337" t="str">
            <v>OPTIPLEX</v>
          </cell>
        </row>
        <row r="4338">
          <cell r="J4338" t="str">
            <v>42-06-01-00-4330</v>
          </cell>
          <cell r="L4338" t="str">
            <v>42-06-01-00-4330</v>
          </cell>
          <cell r="M4338" t="str">
            <v>Teclado Convencional Marca DELL</v>
          </cell>
          <cell r="O4338" t="str">
            <v>EQUIPOS COMPUTACIONALES Y PERIFÉRICOS</v>
          </cell>
          <cell r="P4338">
            <v>2000</v>
          </cell>
          <cell r="T4338" t="str">
            <v>Malo</v>
          </cell>
          <cell r="U4338" t="str">
            <v>DELL</v>
          </cell>
        </row>
        <row r="4339">
          <cell r="J4339" t="str">
            <v>42-06-01-00-4331</v>
          </cell>
          <cell r="L4339" t="str">
            <v>42-06-01-00-4331</v>
          </cell>
          <cell r="M4339" t="str">
            <v>CPU Vertical Negro Marca DELL Intel Inside</v>
          </cell>
          <cell r="O4339" t="str">
            <v>EQUIPOS COMPUTACIONALES Y PERIFÉRICOS</v>
          </cell>
          <cell r="P4339">
            <v>70000</v>
          </cell>
          <cell r="T4339" t="str">
            <v>Malo</v>
          </cell>
          <cell r="U4339" t="str">
            <v>DELL</v>
          </cell>
        </row>
        <row r="4340">
          <cell r="J4340" t="str">
            <v>42-06-01-00-4332</v>
          </cell>
          <cell r="L4340" t="str">
            <v>42-06-01-00-4332</v>
          </cell>
          <cell r="M4340" t="str">
            <v>Pantalla Convencional CRT Marca DELL color Negro</v>
          </cell>
          <cell r="O4340" t="str">
            <v>EQUIPOS COMPUTACIONALES Y PERIFÉRICOS</v>
          </cell>
          <cell r="P4340">
            <v>20000</v>
          </cell>
          <cell r="T4340" t="str">
            <v>Malo</v>
          </cell>
          <cell r="U4340" t="str">
            <v>DELL</v>
          </cell>
        </row>
        <row r="4341">
          <cell r="J4341" t="str">
            <v>42-04-07-00-4333</v>
          </cell>
          <cell r="L4341" t="str">
            <v>42-04-07-00-4333</v>
          </cell>
          <cell r="M4341" t="str">
            <v xml:space="preserve">Maquina De Cocer Marca LADA </v>
          </cell>
          <cell r="O4341" t="str">
            <v>OTROS</v>
          </cell>
          <cell r="P4341">
            <v>50000</v>
          </cell>
          <cell r="T4341" t="str">
            <v>Malo</v>
          </cell>
          <cell r="U4341" t="str">
            <v>LADA</v>
          </cell>
        </row>
        <row r="4342">
          <cell r="J4342" t="str">
            <v>42-05-02-01-4334</v>
          </cell>
          <cell r="L4342" t="str">
            <v>42-05-02-01-4334</v>
          </cell>
          <cell r="M4342" t="str">
            <v>Caja Portatil Oxigeno Campanion Auxilio Maltes</v>
          </cell>
          <cell r="O4342" t="str">
            <v>EQUIPOS CLINICOS</v>
          </cell>
          <cell r="P4342">
            <v>32000</v>
          </cell>
          <cell r="T4342" t="str">
            <v>Malo</v>
          </cell>
          <cell r="U4342" t="str">
            <v>N/T</v>
          </cell>
        </row>
        <row r="4343">
          <cell r="J4343" t="str">
            <v>42-04-07-00-4335</v>
          </cell>
          <cell r="L4343" t="str">
            <v>42-04-07-00-4335</v>
          </cell>
          <cell r="M4343" t="str">
            <v>Rollo Intalaciones Sanitarias y Otros Plastico Blanco</v>
          </cell>
          <cell r="O4343" t="str">
            <v>OTROS</v>
          </cell>
          <cell r="P4343">
            <v>35000</v>
          </cell>
          <cell r="T4343" t="str">
            <v>Malo</v>
          </cell>
          <cell r="U4343" t="str">
            <v>N/T</v>
          </cell>
        </row>
        <row r="4344">
          <cell r="J4344" t="str">
            <v>42-04-07-00-4336</v>
          </cell>
          <cell r="L4344" t="str">
            <v>42-04-07-00-4336</v>
          </cell>
          <cell r="M4344" t="str">
            <v>Carro Metalico Porta Oxigenos</v>
          </cell>
          <cell r="O4344" t="str">
            <v>OTROS</v>
          </cell>
          <cell r="P4344">
            <v>15000</v>
          </cell>
          <cell r="T4344" t="str">
            <v>Malo</v>
          </cell>
          <cell r="U4344" t="str">
            <v>N/T</v>
          </cell>
        </row>
        <row r="4345">
          <cell r="J4345" t="str">
            <v>42-04-02-00-4337</v>
          </cell>
          <cell r="L4345" t="str">
            <v>42-04-02-00-4337</v>
          </cell>
          <cell r="M4345" t="str">
            <v>Parte Silla Computación Azul</v>
          </cell>
          <cell r="O4345" t="str">
            <v>SILLAS</v>
          </cell>
          <cell r="P4345">
            <v>4000</v>
          </cell>
          <cell r="T4345" t="str">
            <v>Malo</v>
          </cell>
          <cell r="U4345" t="str">
            <v>N/T</v>
          </cell>
        </row>
        <row r="4346">
          <cell r="J4346" t="str">
            <v>42-04-02-00-4338</v>
          </cell>
          <cell r="L4346" t="str">
            <v>42-04-02-00-4338</v>
          </cell>
          <cell r="M4346" t="str">
            <v>Parte Silla Computación Gris</v>
          </cell>
          <cell r="O4346" t="str">
            <v>SILLAS</v>
          </cell>
          <cell r="P4346">
            <v>4000</v>
          </cell>
          <cell r="T4346" t="str">
            <v>Malo</v>
          </cell>
          <cell r="U4346" t="str">
            <v>N/T</v>
          </cell>
        </row>
        <row r="4347">
          <cell r="J4347" t="str">
            <v>42-04-07-00-4339</v>
          </cell>
          <cell r="L4347" t="str">
            <v>42-04-07-00-4339</v>
          </cell>
          <cell r="M4347" t="str">
            <v>Fuenton Lavamanos Loza (De Instalación)</v>
          </cell>
          <cell r="O4347" t="str">
            <v>OTROS</v>
          </cell>
          <cell r="P4347">
            <v>3500</v>
          </cell>
          <cell r="T4347" t="str">
            <v>Malo</v>
          </cell>
          <cell r="U4347" t="str">
            <v>N/T</v>
          </cell>
        </row>
        <row r="4348">
          <cell r="J4348" t="str">
            <v>42-04-07-00-4340</v>
          </cell>
          <cell r="L4348" t="str">
            <v>42-04-07-00-4340</v>
          </cell>
          <cell r="M4348" t="str">
            <v xml:space="preserve">Puerta Aluminio Medio Cuerpo VIDRIO </v>
          </cell>
          <cell r="O4348" t="str">
            <v>OTROS</v>
          </cell>
          <cell r="P4348">
            <v>20000</v>
          </cell>
          <cell r="T4348" t="str">
            <v>Malo</v>
          </cell>
          <cell r="U4348" t="str">
            <v>N/T</v>
          </cell>
        </row>
        <row r="4349">
          <cell r="J4349" t="str">
            <v>FN-04-07-00-4341</v>
          </cell>
          <cell r="L4349" t="str">
            <v>FN-04-07-00-4341</v>
          </cell>
          <cell r="M4349" t="str">
            <v>Rejilla Metalica De Protección</v>
          </cell>
          <cell r="O4349" t="str">
            <v>OTROS FUNGIBLE / NOMINABLE</v>
          </cell>
          <cell r="P4349">
            <v>9000</v>
          </cell>
          <cell r="T4349" t="str">
            <v>Malo</v>
          </cell>
          <cell r="U4349" t="str">
            <v>N/T</v>
          </cell>
        </row>
        <row r="4350">
          <cell r="J4350" t="str">
            <v>42-05-02-06-4342</v>
          </cell>
          <cell r="L4350" t="str">
            <v>42-05-02-06-4342</v>
          </cell>
          <cell r="M4350" t="str">
            <v xml:space="preserve">Motor Bombas De Caldera </v>
          </cell>
          <cell r="O4350" t="str">
            <v>HERRAMIENTAS</v>
          </cell>
          <cell r="P4350">
            <v>90000</v>
          </cell>
          <cell r="T4350" t="str">
            <v>Malo</v>
          </cell>
          <cell r="U4350" t="str">
            <v>N/T</v>
          </cell>
        </row>
        <row r="4351">
          <cell r="J4351" t="str">
            <v>42-04-07-00-4343</v>
          </cell>
          <cell r="L4351" t="str">
            <v>42-04-07-00-4343</v>
          </cell>
          <cell r="M4351" t="str">
            <v>Juego Marqueza Madera Color Miel</v>
          </cell>
          <cell r="O4351" t="str">
            <v>OTROS</v>
          </cell>
          <cell r="P4351">
            <v>45000</v>
          </cell>
          <cell r="T4351" t="str">
            <v>Malo</v>
          </cell>
          <cell r="U4351" t="str">
            <v>N/T</v>
          </cell>
        </row>
        <row r="4352">
          <cell r="J4352" t="str">
            <v>FN-04-07-00-4344</v>
          </cell>
          <cell r="L4352" t="str">
            <v>FN-04-07-00-4344</v>
          </cell>
          <cell r="M4352" t="str">
            <v>Cajones De Muebles en Melamina Color Blanco</v>
          </cell>
          <cell r="O4352" t="str">
            <v>OTROS FUNGIBLE / NOMINABLE</v>
          </cell>
          <cell r="P4352">
            <v>5000</v>
          </cell>
          <cell r="T4352" t="str">
            <v>Malo</v>
          </cell>
          <cell r="U4352" t="str">
            <v>N/T</v>
          </cell>
        </row>
        <row r="4353">
          <cell r="J4353" t="str">
            <v>42-04-07-00-4345</v>
          </cell>
          <cell r="L4353" t="str">
            <v>42-04-07-00-4345</v>
          </cell>
          <cell r="M4353" t="str">
            <v xml:space="preserve">Colchon Esponja 1 Plaza </v>
          </cell>
          <cell r="O4353" t="str">
            <v>OTROS</v>
          </cell>
          <cell r="P4353">
            <v>8000</v>
          </cell>
          <cell r="T4353" t="str">
            <v>Malo</v>
          </cell>
          <cell r="U4353" t="str">
            <v>N/T</v>
          </cell>
        </row>
        <row r="4354">
          <cell r="J4354" t="str">
            <v>42-05-02-01-4346</v>
          </cell>
          <cell r="L4354" t="str">
            <v>42-05-02-01-4346</v>
          </cell>
          <cell r="M4354" t="str">
            <v>Porta Suero Metalico 3 Ruedas</v>
          </cell>
          <cell r="O4354" t="str">
            <v>EQUIPOS CLINICOS</v>
          </cell>
          <cell r="P4354">
            <v>12000</v>
          </cell>
          <cell r="T4354" t="str">
            <v>Malo</v>
          </cell>
          <cell r="U4354" t="str">
            <v>N/T</v>
          </cell>
        </row>
        <row r="4355">
          <cell r="J4355" t="str">
            <v>42-04-07-00-4347</v>
          </cell>
          <cell r="L4355" t="str">
            <v>42-04-07-00-4347</v>
          </cell>
          <cell r="M4355" t="str">
            <v>Pedestal Lampara mal estado</v>
          </cell>
          <cell r="O4355" t="str">
            <v>OTROS</v>
          </cell>
          <cell r="P4355">
            <v>4000</v>
          </cell>
          <cell r="T4355" t="str">
            <v>Malo</v>
          </cell>
          <cell r="U4355" t="str">
            <v>N/T</v>
          </cell>
        </row>
        <row r="4356">
          <cell r="J4356" t="str">
            <v>42-05-02-05-4348</v>
          </cell>
          <cell r="L4356" t="str">
            <v>42-05-02-05-4348</v>
          </cell>
          <cell r="M4356" t="str">
            <v>Caja Tablero Electrico</v>
          </cell>
          <cell r="O4356" t="str">
            <v>EQUIPOS DE SEGURIDAD</v>
          </cell>
          <cell r="P4356">
            <v>4000</v>
          </cell>
          <cell r="T4356" t="str">
            <v>Malo</v>
          </cell>
          <cell r="U4356" t="str">
            <v>N/T</v>
          </cell>
        </row>
        <row r="4357">
          <cell r="J4357" t="str">
            <v>42-05-02-05-4349</v>
          </cell>
          <cell r="L4357" t="str">
            <v>42-05-02-05-4349</v>
          </cell>
          <cell r="M4357" t="str">
            <v>Regulador De Voltaje Blanco (Laboratorio)</v>
          </cell>
          <cell r="O4357" t="str">
            <v>EQUIPOS DE SEGURIDAD</v>
          </cell>
          <cell r="P4357">
            <v>20000</v>
          </cell>
          <cell r="T4357" t="str">
            <v>Malo</v>
          </cell>
          <cell r="U4357" t="str">
            <v>N/T</v>
          </cell>
        </row>
        <row r="4358">
          <cell r="J4358" t="str">
            <v>42-05-02-05-4350</v>
          </cell>
          <cell r="L4358" t="str">
            <v>42-05-02-05-4350</v>
          </cell>
          <cell r="M4358" t="str">
            <v>Rollo Lana Mineral De Vidrio (Aislación)</v>
          </cell>
          <cell r="O4358" t="str">
            <v>EQUIPOS DE SEGURIDAD</v>
          </cell>
          <cell r="P4358">
            <v>7000</v>
          </cell>
          <cell r="T4358" t="str">
            <v>Malo</v>
          </cell>
          <cell r="U4358" t="str">
            <v>N/T</v>
          </cell>
        </row>
        <row r="4359">
          <cell r="J4359" t="str">
            <v>42-05-02-05-4351</v>
          </cell>
          <cell r="L4359" t="str">
            <v>42-05-02-05-4351</v>
          </cell>
          <cell r="M4359" t="str">
            <v>UPS OptiUps Enhanced Series 1000 CC</v>
          </cell>
          <cell r="O4359" t="str">
            <v>EQUIPOS DE SEGURIDAD</v>
          </cell>
          <cell r="P4359">
            <v>15000</v>
          </cell>
          <cell r="T4359" t="str">
            <v>Malo</v>
          </cell>
          <cell r="U4359" t="str">
            <v>N/T</v>
          </cell>
        </row>
        <row r="4360">
          <cell r="J4360" t="str">
            <v>42-06-01-00-4352</v>
          </cell>
          <cell r="L4360" t="str">
            <v>42-06-01-00-4352</v>
          </cell>
          <cell r="M4360" t="str">
            <v>CPU Intel Inside CRECIC Blanco</v>
          </cell>
          <cell r="O4360" t="str">
            <v>EQUIPOS COMPUTACIONALES Y PERIFÉRICOS</v>
          </cell>
          <cell r="P4360">
            <v>50000</v>
          </cell>
          <cell r="T4360" t="str">
            <v>Malo</v>
          </cell>
          <cell r="U4360" t="str">
            <v>CRECIC</v>
          </cell>
        </row>
        <row r="4361">
          <cell r="J4361" t="str">
            <v>42-06-01-00-4353</v>
          </cell>
          <cell r="L4361" t="str">
            <v>42-06-01-00-4353</v>
          </cell>
          <cell r="M4361" t="str">
            <v>CPU LANIX Genesis Intel Vertical</v>
          </cell>
          <cell r="O4361" t="str">
            <v>EQUIPOS COMPUTACIONALES Y PERIFÉRICOS</v>
          </cell>
          <cell r="P4361">
            <v>50000</v>
          </cell>
          <cell r="T4361" t="str">
            <v>Malo</v>
          </cell>
          <cell r="U4361" t="str">
            <v>LANIX</v>
          </cell>
        </row>
        <row r="4362">
          <cell r="J4362" t="str">
            <v>42-06-01-00-4354</v>
          </cell>
          <cell r="L4362" t="str">
            <v>42-06-01-00-4354</v>
          </cell>
          <cell r="M4362" t="str">
            <v>CPU Blanca 52X Max No Marca</v>
          </cell>
          <cell r="O4362" t="str">
            <v>EQUIPOS COMPUTACIONALES Y PERIFÉRICOS</v>
          </cell>
          <cell r="P4362">
            <v>50000</v>
          </cell>
          <cell r="T4362" t="str">
            <v>Malo</v>
          </cell>
          <cell r="U4362" t="str">
            <v>N/T</v>
          </cell>
        </row>
        <row r="4363">
          <cell r="J4363" t="str">
            <v>42-06-01-00-4355</v>
          </cell>
          <cell r="L4363" t="str">
            <v>42-06-01-00-4355</v>
          </cell>
          <cell r="M4363" t="str">
            <v>CPU CP Componente Pro Blanco</v>
          </cell>
          <cell r="O4363" t="str">
            <v>EQUIPOS COMPUTACIONALES Y PERIFÉRICOS</v>
          </cell>
          <cell r="P4363">
            <v>50000</v>
          </cell>
          <cell r="T4363" t="str">
            <v>Malo</v>
          </cell>
          <cell r="U4363" t="str">
            <v>CP</v>
          </cell>
        </row>
        <row r="4364">
          <cell r="J4364" t="str">
            <v>42-05-02-02-4356</v>
          </cell>
          <cell r="L4364" t="str">
            <v>42-05-02-02-4356</v>
          </cell>
          <cell r="M4364" t="str">
            <v>Tetera Aluminio Grande</v>
          </cell>
          <cell r="O4364" t="str">
            <v>EQUIPOS DE COCINA</v>
          </cell>
          <cell r="P4364">
            <v>3000</v>
          </cell>
          <cell r="T4364" t="str">
            <v>Malo</v>
          </cell>
          <cell r="U4364" t="str">
            <v>N/T</v>
          </cell>
        </row>
        <row r="4365">
          <cell r="J4365" t="str">
            <v>42-05-02-02-4357</v>
          </cell>
          <cell r="L4365" t="str">
            <v>42-05-02-02-4357</v>
          </cell>
          <cell r="M4365" t="str">
            <v>Olla Aluminio Grande</v>
          </cell>
          <cell r="O4365" t="str">
            <v>EQUIPOS DE COCINA</v>
          </cell>
          <cell r="P4365">
            <v>3000</v>
          </cell>
          <cell r="T4365" t="str">
            <v>Malo</v>
          </cell>
          <cell r="U4365" t="str">
            <v>N/T</v>
          </cell>
        </row>
        <row r="4366">
          <cell r="J4366" t="str">
            <v>42-05-02-02-4358</v>
          </cell>
          <cell r="L4366" t="str">
            <v>42-05-02-02-4358</v>
          </cell>
          <cell r="M4366" t="str">
            <v>Kit Licuadora y jarro En Mal Estado</v>
          </cell>
          <cell r="O4366" t="str">
            <v>EQUIPOS DE COCINA</v>
          </cell>
          <cell r="P4366">
            <v>3000</v>
          </cell>
          <cell r="T4366" t="str">
            <v>Malo</v>
          </cell>
          <cell r="U4366" t="str">
            <v>N/T</v>
          </cell>
        </row>
        <row r="4367">
          <cell r="J4367" t="str">
            <v>42-04-07-00-4359</v>
          </cell>
          <cell r="L4367" t="str">
            <v>42-04-07-00-4359</v>
          </cell>
          <cell r="M4367" t="str">
            <v>Estanque Agua Caliente 5000 Litros Caldera</v>
          </cell>
          <cell r="O4367" t="str">
            <v>OTROS</v>
          </cell>
          <cell r="P4367">
            <v>400000</v>
          </cell>
          <cell r="T4367" t="str">
            <v>Malo</v>
          </cell>
          <cell r="U4367" t="str">
            <v>N/T</v>
          </cell>
        </row>
        <row r="4368">
          <cell r="J4368" t="str">
            <v>42-04-07-00-4360</v>
          </cell>
          <cell r="L4368" t="str">
            <v>42-04-07-00-4360</v>
          </cell>
          <cell r="M4368" t="str">
            <v>Estanque Agua Fria Color Verde Aprox 3000 LTS Caldera</v>
          </cell>
          <cell r="O4368" t="str">
            <v>OTROS</v>
          </cell>
          <cell r="P4368">
            <v>200000</v>
          </cell>
          <cell r="T4368" t="str">
            <v>Malo</v>
          </cell>
          <cell r="U4368" t="str">
            <v>N/T</v>
          </cell>
        </row>
        <row r="4369">
          <cell r="J4369" t="str">
            <v>42-04-07-00-4361</v>
          </cell>
          <cell r="L4369" t="str">
            <v>42-04-07-00-4361</v>
          </cell>
          <cell r="M4369" t="str">
            <v>Estanque Agua Caliente Verde Aprox 3000 LTS Caldera</v>
          </cell>
          <cell r="O4369" t="str">
            <v>OTROS</v>
          </cell>
          <cell r="P4369">
            <v>200000</v>
          </cell>
          <cell r="T4369" t="str">
            <v>Malo</v>
          </cell>
          <cell r="U4369" t="str">
            <v>N/T</v>
          </cell>
        </row>
        <row r="4370">
          <cell r="J4370" t="str">
            <v>42-04-07-00-4362</v>
          </cell>
          <cell r="L4370" t="str">
            <v>42-04-07-00-4362</v>
          </cell>
          <cell r="M4370" t="str">
            <v>Cerpentin Metalico Estanque Agua Caldera</v>
          </cell>
          <cell r="O4370" t="str">
            <v>OTROS</v>
          </cell>
          <cell r="P4370">
            <v>50000</v>
          </cell>
          <cell r="T4370" t="str">
            <v>Malo</v>
          </cell>
          <cell r="U4370" t="str">
            <v>N/T</v>
          </cell>
        </row>
        <row r="4371">
          <cell r="J4371" t="str">
            <v>42-04-07-00-4363</v>
          </cell>
          <cell r="L4371" t="str">
            <v>42-04-07-00-4363</v>
          </cell>
          <cell r="M4371" t="str">
            <v>Caldera A Leña Color Amarillo (Excaldera)</v>
          </cell>
          <cell r="O4371" t="str">
            <v>OTROS</v>
          </cell>
          <cell r="P4371">
            <v>900000</v>
          </cell>
          <cell r="T4371" t="str">
            <v>Malo</v>
          </cell>
          <cell r="U4371" t="str">
            <v>N/T</v>
          </cell>
        </row>
        <row r="4372">
          <cell r="J4372" t="str">
            <v>42-04-07-00-4364</v>
          </cell>
          <cell r="L4372" t="str">
            <v>42-04-07-00-4364</v>
          </cell>
          <cell r="M4372" t="str">
            <v>Quemador De Petroleo Caldera con Soportes</v>
          </cell>
          <cell r="O4372" t="str">
            <v>OTROS</v>
          </cell>
          <cell r="P4372">
            <v>500000</v>
          </cell>
          <cell r="T4372" t="str">
            <v>Malo</v>
          </cell>
          <cell r="U4372" t="str">
            <v>N/T</v>
          </cell>
        </row>
        <row r="4373">
          <cell r="J4373" t="str">
            <v>42-04-07-00-4365</v>
          </cell>
          <cell r="L4373" t="str">
            <v>42-04-07-00-4365</v>
          </cell>
          <cell r="M4373" t="str">
            <v>Radiador Angosto Instalación Antigua Calefacción</v>
          </cell>
          <cell r="O4373" t="str">
            <v>OTROS</v>
          </cell>
          <cell r="P4373">
            <v>5000</v>
          </cell>
          <cell r="T4373" t="str">
            <v>Malo</v>
          </cell>
          <cell r="U4373" t="str">
            <v>N/T</v>
          </cell>
        </row>
        <row r="4374">
          <cell r="J4374" t="str">
            <v>FN-04-07-00-4366</v>
          </cell>
          <cell r="L4374" t="str">
            <v>FN-04-07-00-4366</v>
          </cell>
          <cell r="M4374" t="str">
            <v>Radiador Ancho Instalación Antigua Calefacción Color Blanco</v>
          </cell>
          <cell r="O4374" t="str">
            <v>OTROS FUNGIBLE / NOMINABLE</v>
          </cell>
          <cell r="P4374">
            <v>8000</v>
          </cell>
          <cell r="T4374" t="str">
            <v>Malo</v>
          </cell>
          <cell r="U4374" t="str">
            <v>N/T</v>
          </cell>
        </row>
        <row r="4375">
          <cell r="J4375" t="str">
            <v>42-05-02-02-4367</v>
          </cell>
          <cell r="L4375" t="str">
            <v>42-05-02-02-4367</v>
          </cell>
          <cell r="M4375" t="str">
            <v>Lavaplatos Aluminio Doble en Mal Estado</v>
          </cell>
          <cell r="O4375" t="str">
            <v>EQUIPOS DE COCINA</v>
          </cell>
          <cell r="P4375">
            <v>12000</v>
          </cell>
          <cell r="T4375" t="str">
            <v>Malo</v>
          </cell>
          <cell r="U4375" t="str">
            <v>N/T</v>
          </cell>
        </row>
        <row r="4376">
          <cell r="J4376" t="str">
            <v>42-05-02-01-4368</v>
          </cell>
          <cell r="L4376" t="str">
            <v>42-05-02-01-4368</v>
          </cell>
          <cell r="M4376" t="str">
            <v>Camilla Metalica Con Soporte lateral de Madera Color Blanco</v>
          </cell>
          <cell r="O4376" t="str">
            <v>EQUIPOS CLINICOS</v>
          </cell>
          <cell r="P4376">
            <v>10000</v>
          </cell>
          <cell r="T4376" t="str">
            <v>Malo</v>
          </cell>
          <cell r="U4376" t="str">
            <v>N/T</v>
          </cell>
        </row>
        <row r="4377">
          <cell r="J4377" t="str">
            <v>42-05-02-06-4369</v>
          </cell>
          <cell r="L4377" t="str">
            <v>42-05-02-06-4369</v>
          </cell>
          <cell r="M4377" t="str">
            <v>Carro Para Transporte Color Plomo 2 Ruedas Carretilla (Hechizo - Dos Porta Oxigeno)</v>
          </cell>
          <cell r="N4377" t="str">
            <v>Bodega Farmacia</v>
          </cell>
          <cell r="O4377" t="str">
            <v>HERRAMIENTAS</v>
          </cell>
          <cell r="P4377">
            <v>25000</v>
          </cell>
          <cell r="T4377" t="str">
            <v>Bueno</v>
          </cell>
          <cell r="U4377" t="str">
            <v>N/T</v>
          </cell>
        </row>
        <row r="4378">
          <cell r="J4378" t="str">
            <v>42-05-01-01-4370</v>
          </cell>
          <cell r="L4378" t="str">
            <v>42-05-01-01-4370</v>
          </cell>
          <cell r="M4378" t="str">
            <v>Citòfono/ telefono marca Nortel Network, Modelo 7000</v>
          </cell>
          <cell r="O4378" t="str">
            <v>EQUIPO DE OFICINA</v>
          </cell>
          <cell r="P4378">
            <v>36200</v>
          </cell>
          <cell r="T4378" t="str">
            <v>Bueno</v>
          </cell>
          <cell r="U4378" t="str">
            <v>Nortel Network</v>
          </cell>
        </row>
        <row r="4379">
          <cell r="J4379" t="str">
            <v>42-05-02-01-4371</v>
          </cell>
          <cell r="L4379" t="str">
            <v>42-05-02-01-4371</v>
          </cell>
          <cell r="M4379" t="str">
            <v>Esfingomanometro de Mercurio Portatil con Caja Gris</v>
          </cell>
          <cell r="O4379" t="str">
            <v>EQUIPOS CLINICOS</v>
          </cell>
          <cell r="P4379">
            <v>16500</v>
          </cell>
          <cell r="T4379" t="str">
            <v>Bueno</v>
          </cell>
          <cell r="U4379" t="str">
            <v>N/T</v>
          </cell>
        </row>
        <row r="4380">
          <cell r="J4380" t="str">
            <v>42-05-02-01-4372</v>
          </cell>
          <cell r="L4380" t="str">
            <v>42-05-02-01-4372</v>
          </cell>
          <cell r="M4380" t="str">
            <v>Esfingomanometro de Mercurio Portatil con Caja Azul</v>
          </cell>
          <cell r="O4380" t="str">
            <v>EQUIPOS CLINICOS</v>
          </cell>
          <cell r="P4380">
            <v>16500</v>
          </cell>
          <cell r="T4380" t="str">
            <v>Bueno</v>
          </cell>
          <cell r="U4380" t="str">
            <v>N/T</v>
          </cell>
        </row>
        <row r="4381">
          <cell r="J4381" t="str">
            <v>42-04-07-00-4373</v>
          </cell>
          <cell r="L4381" t="str">
            <v>42-04-07-00-4373</v>
          </cell>
          <cell r="M4381" t="str">
            <v>Velador Clinico con Mesa Desplegable / Color Crema y Verde</v>
          </cell>
          <cell r="O4381" t="str">
            <v>OTROS</v>
          </cell>
          <cell r="P4381">
            <v>16000</v>
          </cell>
          <cell r="T4381" t="str">
            <v>Bueno</v>
          </cell>
          <cell r="U4381" t="str">
            <v>N/T</v>
          </cell>
        </row>
        <row r="4382">
          <cell r="J4382" t="str">
            <v>NN-06-01-00-4374</v>
          </cell>
          <cell r="L4382" t="str">
            <v>NN-06-01-00-4374</v>
          </cell>
          <cell r="M4382" t="str">
            <v>Impresora KYOCERA FS - 1320DN SERIE Q5V2203844</v>
          </cell>
          <cell r="N4382" t="str">
            <v>EQ. EN ARRIENDO</v>
          </cell>
          <cell r="O4382" t="str">
            <v>EQUIPOS COMPUTACIONALES Y PERIFÉRICOS EN ARRIENDO</v>
          </cell>
          <cell r="P4382">
            <v>291550</v>
          </cell>
          <cell r="T4382" t="str">
            <v>Bueno</v>
          </cell>
          <cell r="U4382" t="str">
            <v>KYOCERA</v>
          </cell>
        </row>
        <row r="4383">
          <cell r="J4383" t="str">
            <v>NN-06-01-00-4375</v>
          </cell>
          <cell r="L4383" t="str">
            <v>NN-06-01-00-4375</v>
          </cell>
          <cell r="M4383" t="str">
            <v>Impresora KYOCERA FS - 1320DN SERIE Q5V2203861</v>
          </cell>
          <cell r="N4383" t="str">
            <v>EQ. EN ARRIENDO</v>
          </cell>
          <cell r="O4383" t="str">
            <v>EQUIPOS COMPUTACIONALES Y PERIFÉRICOS EN ARRIENDO</v>
          </cell>
          <cell r="P4383">
            <v>291550</v>
          </cell>
          <cell r="T4383" t="str">
            <v>Bueno</v>
          </cell>
          <cell r="U4383" t="str">
            <v>KYOCERA</v>
          </cell>
        </row>
        <row r="4384">
          <cell r="J4384" t="str">
            <v>NN-06-01-00-4376</v>
          </cell>
          <cell r="L4384" t="str">
            <v>NN-06-01-00-4376</v>
          </cell>
          <cell r="M4384" t="str">
            <v>Impresora KYOCERA FS - 1320DN SERIE Q5V2203852</v>
          </cell>
          <cell r="N4384" t="str">
            <v>EQ. EN ARRIENDO</v>
          </cell>
          <cell r="O4384" t="str">
            <v>EQUIPOS COMPUTACIONALES Y PERIFÉRICOS EN ARRIENDO</v>
          </cell>
          <cell r="P4384">
            <v>291550</v>
          </cell>
          <cell r="T4384" t="str">
            <v>Bueno</v>
          </cell>
          <cell r="U4384" t="str">
            <v>KYOCERA</v>
          </cell>
        </row>
        <row r="4385">
          <cell r="J4385" t="str">
            <v>NN-06-01-00-4377</v>
          </cell>
          <cell r="L4385" t="str">
            <v>NN-06-01-00-4377</v>
          </cell>
          <cell r="M4385" t="str">
            <v>Impresora KYOCERA FS - 1320DN SERIE Q5V2203791</v>
          </cell>
          <cell r="N4385" t="str">
            <v>EQ. EN ARRIENDO</v>
          </cell>
          <cell r="O4385" t="str">
            <v>EQUIPOS COMPUTACIONALES Y PERIFÉRICOS EN ARRIENDO</v>
          </cell>
          <cell r="P4385">
            <v>291550</v>
          </cell>
          <cell r="T4385" t="str">
            <v>Bueno</v>
          </cell>
          <cell r="U4385" t="str">
            <v>KYOCERA</v>
          </cell>
        </row>
        <row r="4386">
          <cell r="J4386" t="str">
            <v>NN-06-01-00-4378</v>
          </cell>
          <cell r="L4386" t="str">
            <v>NN-06-01-00-4378</v>
          </cell>
          <cell r="M4386" t="str">
            <v>Impresora KYOCERA FS - 1320DN SERIE Q5V2203992</v>
          </cell>
          <cell r="N4386" t="str">
            <v>EQ. EN ARRIENDO</v>
          </cell>
          <cell r="O4386" t="str">
            <v>EQUIPOS COMPUTACIONALES Y PERIFÉRICOS EN ARRIENDO</v>
          </cell>
          <cell r="P4386">
            <v>291550</v>
          </cell>
          <cell r="T4386" t="str">
            <v>Bueno</v>
          </cell>
          <cell r="U4386" t="str">
            <v>KYOCERA</v>
          </cell>
        </row>
        <row r="4387">
          <cell r="J4387" t="str">
            <v>NN-06-01-00-4379</v>
          </cell>
          <cell r="L4387" t="str">
            <v>NN-06-01-00-4379</v>
          </cell>
          <cell r="M4387" t="str">
            <v>Impresora KYOCERA FS - 1320DN SERIE Q5V2203906</v>
          </cell>
          <cell r="N4387" t="str">
            <v>EQ. EN ARRIENDO</v>
          </cell>
          <cell r="O4387" t="str">
            <v>EQUIPOS COMPUTACIONALES Y PERIFÉRICOS EN ARRIENDO</v>
          </cell>
          <cell r="P4387">
            <v>291550</v>
          </cell>
          <cell r="T4387" t="str">
            <v>Bueno</v>
          </cell>
          <cell r="U4387" t="str">
            <v>KYOCERA</v>
          </cell>
        </row>
        <row r="4388">
          <cell r="J4388" t="str">
            <v>42-05-02-02-4380</v>
          </cell>
          <cell r="K4388" t="str">
            <v>42-840</v>
          </cell>
          <cell r="L4388" t="str">
            <v>42-05-02-02-4380</v>
          </cell>
          <cell r="M4388" t="str">
            <v>Cocina a Gas 4 Platos Mademsa</v>
          </cell>
          <cell r="N4388" t="str">
            <v>COCINA</v>
          </cell>
          <cell r="O4388" t="str">
            <v>EQUIPOS DE COCINA</v>
          </cell>
          <cell r="P4388">
            <v>75000</v>
          </cell>
          <cell r="T4388" t="str">
            <v>Bueno</v>
          </cell>
          <cell r="U4388" t="str">
            <v>Mademsa</v>
          </cell>
        </row>
        <row r="4389">
          <cell r="J4389" t="str">
            <v>42-05-02-02-4381</v>
          </cell>
          <cell r="K4389" t="str">
            <v>42-845b</v>
          </cell>
          <cell r="L4389" t="str">
            <v>42-05-02-02-4381</v>
          </cell>
          <cell r="M4389" t="str">
            <v>Calefont Mademsa Cap. 10 Lts</v>
          </cell>
          <cell r="N4389" t="str">
            <v>COCINA</v>
          </cell>
          <cell r="O4389" t="str">
            <v>EQUIPOS DE COCINA</v>
          </cell>
          <cell r="P4389">
            <v>10000</v>
          </cell>
          <cell r="T4389" t="str">
            <v>Bueno</v>
          </cell>
          <cell r="U4389" t="str">
            <v>Mademsa</v>
          </cell>
        </row>
        <row r="4390">
          <cell r="J4390" t="str">
            <v>42-04-04-00-4382</v>
          </cell>
          <cell r="K4390" t="str">
            <v>42-843</v>
          </cell>
          <cell r="L4390" t="str">
            <v>42-04-04-00-4382</v>
          </cell>
          <cell r="M4390" t="str">
            <v>Lavaplatos de Acero Inoxidable Marca Fensa con 2 Fuentones y 1 Secador y llave combinacion con mueble de masisa enchapado en formalita claro con 3 Puertas</v>
          </cell>
          <cell r="N4390" t="str">
            <v>COCINA</v>
          </cell>
          <cell r="O4390" t="str">
            <v>MUEBLES DE COCINA</v>
          </cell>
          <cell r="P4390">
            <v>260000</v>
          </cell>
          <cell r="T4390" t="str">
            <v>Bueno</v>
          </cell>
          <cell r="U4390" t="str">
            <v>Fensa</v>
          </cell>
        </row>
        <row r="4391">
          <cell r="J4391" t="str">
            <v>42-04-07-00-4383</v>
          </cell>
          <cell r="K4391" t="str">
            <v>42-843b</v>
          </cell>
          <cell r="L4391" t="str">
            <v>42-04-07-00-4383</v>
          </cell>
          <cell r="M4391" t="str">
            <v>Mueble De Madera Barniz Café con cubierta de ceramica 4 puertas 4 cajones</v>
          </cell>
          <cell r="N4391" t="str">
            <v>COCINA</v>
          </cell>
          <cell r="O4391" t="str">
            <v>OTROS</v>
          </cell>
          <cell r="P4391">
            <v>125000</v>
          </cell>
          <cell r="T4391" t="str">
            <v>Bueno</v>
          </cell>
          <cell r="U4391" t="str">
            <v>N/T</v>
          </cell>
        </row>
        <row r="4392">
          <cell r="J4392" t="str">
            <v>42-04-07-00-4384</v>
          </cell>
          <cell r="K4392" t="str">
            <v>42-844</v>
          </cell>
          <cell r="L4392" t="str">
            <v>42-04-07-00-4384</v>
          </cell>
          <cell r="M4392" t="str">
            <v>Mueble De Madera Barniz Café con cubierta de ceramica 3 puertas 3 cajones</v>
          </cell>
          <cell r="N4392" t="str">
            <v>COCINA</v>
          </cell>
          <cell r="O4392" t="str">
            <v>OTROS</v>
          </cell>
          <cell r="P4392">
            <v>120000</v>
          </cell>
          <cell r="T4392" t="str">
            <v>Bueno</v>
          </cell>
          <cell r="U4392" t="str">
            <v>N/T</v>
          </cell>
        </row>
        <row r="4393">
          <cell r="J4393" t="str">
            <v>42-04-01-00-4385</v>
          </cell>
          <cell r="K4393" t="str">
            <v>42-844b</v>
          </cell>
          <cell r="L4393" t="str">
            <v>42-04-01-00-4385</v>
          </cell>
          <cell r="M4393" t="str">
            <v>Mesa Mixta de 80x80x70 cms. Con cubierta de formalita color Beige</v>
          </cell>
          <cell r="N4393" t="str">
            <v>COCINA</v>
          </cell>
          <cell r="O4393" t="str">
            <v>MESAS</v>
          </cell>
          <cell r="P4393">
            <v>40000</v>
          </cell>
          <cell r="T4393" t="str">
            <v>Bueno</v>
          </cell>
          <cell r="U4393" t="str">
            <v>N/T</v>
          </cell>
        </row>
        <row r="4394">
          <cell r="J4394" t="str">
            <v>42-04-02-00-4386</v>
          </cell>
          <cell r="K4394" t="str">
            <v>42-846b</v>
          </cell>
          <cell r="L4394" t="str">
            <v>42-04-02-00-4386</v>
          </cell>
          <cell r="M4394" t="str">
            <v>Silla Mixta Barniz Natural</v>
          </cell>
          <cell r="N4394" t="str">
            <v>COCINA</v>
          </cell>
          <cell r="O4394" t="str">
            <v>SILLAS</v>
          </cell>
          <cell r="P4394">
            <v>6900</v>
          </cell>
          <cell r="T4394" t="str">
            <v>BUENO</v>
          </cell>
          <cell r="U4394" t="str">
            <v>N/T</v>
          </cell>
        </row>
        <row r="4395">
          <cell r="J4395" t="str">
            <v>42-04-02-00-4387</v>
          </cell>
          <cell r="K4395" t="str">
            <v>42-1535</v>
          </cell>
          <cell r="L4395" t="str">
            <v>42-04-02-00-4387</v>
          </cell>
          <cell r="M4395" t="str">
            <v>Silla Metalica, Asiento y Respaldo en Formalita</v>
          </cell>
          <cell r="N4395" t="str">
            <v>COCINA</v>
          </cell>
          <cell r="O4395" t="str">
            <v>SILLAS</v>
          </cell>
          <cell r="P4395">
            <v>12100</v>
          </cell>
          <cell r="T4395" t="str">
            <v>Bueno</v>
          </cell>
          <cell r="U4395" t="str">
            <v>N/T</v>
          </cell>
        </row>
        <row r="4396">
          <cell r="J4396" t="str">
            <v>42-04-02-00-4388</v>
          </cell>
          <cell r="K4396" t="str">
            <v>42-1536</v>
          </cell>
          <cell r="L4396" t="str">
            <v>42-04-02-00-4388</v>
          </cell>
          <cell r="M4396" t="str">
            <v>Silla Metalica, Asiento y Respaldo en Formalita</v>
          </cell>
          <cell r="N4396" t="str">
            <v>COCINA</v>
          </cell>
          <cell r="O4396" t="str">
            <v>SILLAS</v>
          </cell>
          <cell r="P4396">
            <v>12100</v>
          </cell>
          <cell r="T4396" t="str">
            <v>Bueno</v>
          </cell>
          <cell r="U4396" t="str">
            <v>N/T</v>
          </cell>
        </row>
        <row r="4397">
          <cell r="J4397" t="str">
            <v>42-04-02-00-4389</v>
          </cell>
          <cell r="K4397" t="str">
            <v>42-1537</v>
          </cell>
          <cell r="L4397" t="str">
            <v>42-04-02-00-4389</v>
          </cell>
          <cell r="M4397" t="str">
            <v>Silla Metalica, Asiento y Respaldo en Formalita</v>
          </cell>
          <cell r="N4397" t="str">
            <v>COCINA</v>
          </cell>
          <cell r="O4397" t="str">
            <v>SILLAS</v>
          </cell>
          <cell r="P4397">
            <v>12100</v>
          </cell>
          <cell r="T4397" t="str">
            <v>Bueno</v>
          </cell>
          <cell r="U4397" t="str">
            <v>N/T</v>
          </cell>
        </row>
        <row r="4398">
          <cell r="J4398" t="str">
            <v>42-04-07-00-4390</v>
          </cell>
          <cell r="L4398" t="str">
            <v>42-04-07-00-4390</v>
          </cell>
          <cell r="M4398" t="str">
            <v>Porta Toalla Plástico</v>
          </cell>
          <cell r="N4398" t="str">
            <v>COCINA</v>
          </cell>
          <cell r="O4398" t="str">
            <v>OTROS</v>
          </cell>
          <cell r="P4398">
            <v>2500</v>
          </cell>
          <cell r="T4398" t="str">
            <v>Bueno</v>
          </cell>
          <cell r="U4398" t="str">
            <v>N/T</v>
          </cell>
        </row>
        <row r="4399">
          <cell r="J4399" t="str">
            <v>42-05-02-05-4391</v>
          </cell>
          <cell r="L4399" t="str">
            <v>42-05-02-05-4391</v>
          </cell>
          <cell r="M4399" t="str">
            <v>Extintor</v>
          </cell>
          <cell r="N4399" t="str">
            <v>COCINA</v>
          </cell>
          <cell r="O4399" t="str">
            <v>EQUIPOS DE SEGURIDAD</v>
          </cell>
          <cell r="P4399">
            <v>26900</v>
          </cell>
          <cell r="T4399" t="str">
            <v>Bueno</v>
          </cell>
          <cell r="U4399" t="str">
            <v>N/T</v>
          </cell>
        </row>
        <row r="4400">
          <cell r="J4400" t="str">
            <v>42-04-07-00-4392</v>
          </cell>
          <cell r="L4400" t="str">
            <v>42-04-07-00-4392</v>
          </cell>
          <cell r="M4400" t="str">
            <v>Basurero Plastico con tapa color Blanco</v>
          </cell>
          <cell r="N4400" t="str">
            <v>COCINA</v>
          </cell>
          <cell r="O4400" t="str">
            <v>OTROS</v>
          </cell>
          <cell r="P4400">
            <v>4000</v>
          </cell>
          <cell r="T4400" t="str">
            <v>Bueno</v>
          </cell>
          <cell r="U4400" t="str">
            <v>N/T</v>
          </cell>
        </row>
        <row r="4401">
          <cell r="J4401" t="str">
            <v>42-04-07-00-4393</v>
          </cell>
          <cell r="L4401" t="str">
            <v>42-04-07-00-4393</v>
          </cell>
          <cell r="M4401" t="str">
            <v>Pala Plastica</v>
          </cell>
          <cell r="N4401" t="str">
            <v>COCINA</v>
          </cell>
          <cell r="O4401" t="str">
            <v>OTROS</v>
          </cell>
          <cell r="P4401">
            <v>3500</v>
          </cell>
          <cell r="T4401" t="str">
            <v>Bueno</v>
          </cell>
          <cell r="U4401" t="str">
            <v>N/T</v>
          </cell>
        </row>
        <row r="4402">
          <cell r="J4402" t="str">
            <v>42-04-07-00-4394</v>
          </cell>
          <cell r="L4402" t="str">
            <v>42-04-07-00-4394</v>
          </cell>
          <cell r="M4402" t="str">
            <v>Escobillón</v>
          </cell>
          <cell r="N4402" t="str">
            <v>COCINA</v>
          </cell>
          <cell r="O4402" t="str">
            <v>OTROS</v>
          </cell>
          <cell r="P4402">
            <v>3500</v>
          </cell>
          <cell r="T4402" t="str">
            <v>Bueno</v>
          </cell>
          <cell r="U4402" t="str">
            <v>N/T</v>
          </cell>
        </row>
        <row r="4403">
          <cell r="J4403" t="str">
            <v>42-04-07-00-4395</v>
          </cell>
          <cell r="L4403" t="str">
            <v>42-04-07-00-4395</v>
          </cell>
          <cell r="M4403" t="str">
            <v>Porta Cortinas metálico</v>
          </cell>
          <cell r="N4403" t="str">
            <v>COCINA</v>
          </cell>
          <cell r="O4403" t="str">
            <v>OTROS</v>
          </cell>
          <cell r="P4403">
            <v>2500</v>
          </cell>
          <cell r="T4403" t="str">
            <v>Bueno</v>
          </cell>
          <cell r="U4403" t="str">
            <v>N/T</v>
          </cell>
        </row>
        <row r="4404">
          <cell r="J4404" t="str">
            <v>FN-04-07-00-4396</v>
          </cell>
          <cell r="L4404" t="str">
            <v>FN-04-07-00-4396</v>
          </cell>
          <cell r="M4404" t="str">
            <v>Cortinas Con Motivos Infantiles Color Celeste</v>
          </cell>
          <cell r="N4404" t="str">
            <v>COCINA</v>
          </cell>
          <cell r="O4404" t="str">
            <v>OTROS FUNGIBLE / NOMINABLE</v>
          </cell>
          <cell r="P4404">
            <v>12500</v>
          </cell>
          <cell r="T4404" t="str">
            <v>Bueno</v>
          </cell>
          <cell r="U4404" t="str">
            <v>N/T</v>
          </cell>
        </row>
        <row r="4405">
          <cell r="J4405" t="str">
            <v>42-05-02-02-4397</v>
          </cell>
          <cell r="L4405" t="str">
            <v>42-05-02-02-4397</v>
          </cell>
          <cell r="M4405" t="str">
            <v>Olla Aluminio 4 Lts</v>
          </cell>
          <cell r="N4405" t="str">
            <v>COCINA</v>
          </cell>
          <cell r="O4405" t="str">
            <v>EQUIPOS DE COCINA</v>
          </cell>
          <cell r="P4405">
            <v>4000</v>
          </cell>
          <cell r="T4405" t="str">
            <v>Bueno</v>
          </cell>
          <cell r="U4405" t="str">
            <v>NT</v>
          </cell>
        </row>
        <row r="4406">
          <cell r="J4406" t="str">
            <v>42-05-02-02-4398</v>
          </cell>
          <cell r="L4406" t="str">
            <v>42-05-02-02-4398</v>
          </cell>
          <cell r="M4406" t="str">
            <v>Olla Aluminio 2 Lts</v>
          </cell>
          <cell r="N4406" t="str">
            <v>COCINA</v>
          </cell>
          <cell r="O4406" t="str">
            <v>EQUIPOS DE COCINA</v>
          </cell>
          <cell r="P4406">
            <v>3500</v>
          </cell>
          <cell r="T4406" t="str">
            <v>Bueno</v>
          </cell>
          <cell r="U4406" t="str">
            <v>N/T</v>
          </cell>
        </row>
        <row r="4407">
          <cell r="J4407" t="str">
            <v>42-05-02-02-4399</v>
          </cell>
          <cell r="L4407" t="str">
            <v>42-05-02-02-4399</v>
          </cell>
          <cell r="M4407" t="str">
            <v>Lechero De Loza 2 Lts</v>
          </cell>
          <cell r="N4407" t="str">
            <v>COCINA</v>
          </cell>
          <cell r="O4407" t="str">
            <v>EQUIPOS DE COCINA</v>
          </cell>
          <cell r="P4407">
            <v>5000</v>
          </cell>
          <cell r="T4407" t="str">
            <v>Bueno</v>
          </cell>
          <cell r="U4407" t="str">
            <v>N/T</v>
          </cell>
        </row>
        <row r="4408">
          <cell r="J4408" t="str">
            <v>42-05-02-02-4400</v>
          </cell>
          <cell r="L4408" t="str">
            <v>42-05-02-02-4400</v>
          </cell>
          <cell r="M4408" t="str">
            <v>Sárten de Aluminio Nº 26</v>
          </cell>
          <cell r="N4408" t="str">
            <v>COCINA</v>
          </cell>
          <cell r="O4408" t="str">
            <v>EQUIPOS DE COCINA</v>
          </cell>
          <cell r="P4408">
            <v>4800</v>
          </cell>
          <cell r="T4408" t="str">
            <v>Bueno</v>
          </cell>
          <cell r="U4408" t="str">
            <v>N/T</v>
          </cell>
        </row>
        <row r="4409">
          <cell r="J4409" t="str">
            <v>42-05-02-02-4401</v>
          </cell>
          <cell r="L4409" t="str">
            <v>42-05-02-02-4401</v>
          </cell>
          <cell r="M4409" t="str">
            <v>Secador de Loza Acero Inoxidable</v>
          </cell>
          <cell r="N4409" t="str">
            <v>COCINA</v>
          </cell>
          <cell r="O4409" t="str">
            <v>EQUIPOS DE COCINA</v>
          </cell>
          <cell r="P4409">
            <v>6000</v>
          </cell>
          <cell r="T4409" t="str">
            <v>Bueno</v>
          </cell>
          <cell r="U4409" t="str">
            <v>N/T</v>
          </cell>
        </row>
        <row r="4410">
          <cell r="J4410" t="str">
            <v>42-05-02-02-4402</v>
          </cell>
          <cell r="L4410" t="str">
            <v>42-05-02-02-4402</v>
          </cell>
          <cell r="M4410" t="str">
            <v>Porta Servicio Plastico color Azul</v>
          </cell>
          <cell r="N4410" t="str">
            <v>COCINA</v>
          </cell>
          <cell r="O4410" t="str">
            <v>EQUIPOS DE COCINA</v>
          </cell>
          <cell r="P4410">
            <v>3500</v>
          </cell>
          <cell r="T4410" t="str">
            <v>Bueno</v>
          </cell>
          <cell r="U4410" t="str">
            <v>N/T</v>
          </cell>
        </row>
        <row r="4411">
          <cell r="J4411" t="str">
            <v>42-05-02-02-4403</v>
          </cell>
          <cell r="L4411" t="str">
            <v>42-05-02-02-4403</v>
          </cell>
          <cell r="M4411" t="str">
            <v>Paila Enlozada Color Azul</v>
          </cell>
          <cell r="N4411" t="str">
            <v>COCINA</v>
          </cell>
          <cell r="O4411" t="str">
            <v>EQUIPOS DE COCINA</v>
          </cell>
          <cell r="P4411">
            <v>5000</v>
          </cell>
          <cell r="T4411" t="str">
            <v>Bueno</v>
          </cell>
          <cell r="U4411" t="str">
            <v>N/T</v>
          </cell>
        </row>
        <row r="4412">
          <cell r="J4412" t="str">
            <v>42-05-02-02-4404</v>
          </cell>
          <cell r="L4412" t="str">
            <v>42-05-02-02-4404</v>
          </cell>
          <cell r="M4412" t="str">
            <v>Platos Hondos</v>
          </cell>
          <cell r="N4412" t="str">
            <v>COCINA</v>
          </cell>
          <cell r="O4412" t="str">
            <v>EQUIPOS DE COCINA</v>
          </cell>
          <cell r="P4412">
            <v>250</v>
          </cell>
          <cell r="T4412" t="str">
            <v>Bueno</v>
          </cell>
          <cell r="U4412" t="str">
            <v>N/T</v>
          </cell>
        </row>
        <row r="4413">
          <cell r="J4413" t="str">
            <v>42-05-02-02-4405</v>
          </cell>
          <cell r="L4413" t="str">
            <v>42-05-02-02-4405</v>
          </cell>
          <cell r="M4413" t="str">
            <v>Platos Bajos</v>
          </cell>
          <cell r="N4413" t="str">
            <v>COCINA</v>
          </cell>
          <cell r="O4413" t="str">
            <v>EQUIPOS DE COCINA</v>
          </cell>
          <cell r="P4413">
            <v>250</v>
          </cell>
          <cell r="T4413" t="str">
            <v>Bueno</v>
          </cell>
          <cell r="U4413" t="str">
            <v>N/T</v>
          </cell>
        </row>
        <row r="4414">
          <cell r="J4414" t="str">
            <v>42-05-02-02-4406</v>
          </cell>
          <cell r="L4414" t="str">
            <v>42-05-02-02-4406</v>
          </cell>
          <cell r="M4414" t="str">
            <v>Platos De Servilletas</v>
          </cell>
          <cell r="N4414" t="str">
            <v>COCINA</v>
          </cell>
          <cell r="O4414" t="str">
            <v>EQUIPOS DE COCINA</v>
          </cell>
          <cell r="P4414">
            <v>300</v>
          </cell>
          <cell r="T4414" t="str">
            <v>Bueno</v>
          </cell>
          <cell r="U4414" t="str">
            <v>N/T</v>
          </cell>
        </row>
        <row r="4415">
          <cell r="J4415" t="str">
            <v>42-05-02-02-4407</v>
          </cell>
          <cell r="L4415" t="str">
            <v>42-05-02-02-4407</v>
          </cell>
          <cell r="M4415" t="str">
            <v>Tazas De Te</v>
          </cell>
          <cell r="N4415" t="str">
            <v>COCINA</v>
          </cell>
          <cell r="O4415" t="str">
            <v>EQUIPOS DE COCINA</v>
          </cell>
          <cell r="P4415">
            <v>300</v>
          </cell>
          <cell r="T4415" t="str">
            <v>Bueno</v>
          </cell>
          <cell r="U4415" t="str">
            <v>N/T</v>
          </cell>
        </row>
        <row r="4416">
          <cell r="J4416" t="str">
            <v>42-05-02-02-4408</v>
          </cell>
          <cell r="L4416" t="str">
            <v>42-05-02-02-4408</v>
          </cell>
          <cell r="M4416" t="str">
            <v>Platos De Taza</v>
          </cell>
          <cell r="N4416" t="str">
            <v>COCINA</v>
          </cell>
          <cell r="O4416" t="str">
            <v>EQUIPOS DE COCINA</v>
          </cell>
          <cell r="P4416">
            <v>300</v>
          </cell>
          <cell r="T4416" t="str">
            <v>Bueno</v>
          </cell>
          <cell r="U4416" t="str">
            <v>N/T</v>
          </cell>
        </row>
        <row r="4417">
          <cell r="J4417" t="str">
            <v>42-05-02-02-4409</v>
          </cell>
          <cell r="L4417" t="str">
            <v>42-05-02-02-4409</v>
          </cell>
          <cell r="M4417" t="str">
            <v>Espumador Enlozado</v>
          </cell>
          <cell r="N4417" t="str">
            <v>COCINA</v>
          </cell>
          <cell r="O4417" t="str">
            <v>EQUIPOS DE COCINA</v>
          </cell>
          <cell r="P4417">
            <v>4000</v>
          </cell>
          <cell r="T4417" t="str">
            <v>Bueno</v>
          </cell>
          <cell r="U4417" t="str">
            <v>N/T</v>
          </cell>
        </row>
        <row r="4418">
          <cell r="J4418" t="str">
            <v>42-05-02-02-4410</v>
          </cell>
          <cell r="L4418" t="str">
            <v>42-05-02-02-4410</v>
          </cell>
          <cell r="M4418" t="str">
            <v>Cucharon Enlozado</v>
          </cell>
          <cell r="N4418" t="str">
            <v>COCINA</v>
          </cell>
          <cell r="O4418" t="str">
            <v>EQUIPOS DE COCINA</v>
          </cell>
          <cell r="P4418">
            <v>4000</v>
          </cell>
          <cell r="T4418" t="str">
            <v>Bueno</v>
          </cell>
          <cell r="U4418" t="str">
            <v>N/T</v>
          </cell>
        </row>
        <row r="4419">
          <cell r="J4419" t="str">
            <v>FN-05-02-02-4411</v>
          </cell>
          <cell r="L4419" t="str">
            <v>FN-05-02-02-4411</v>
          </cell>
          <cell r="M4419" t="str">
            <v>Tenedores</v>
          </cell>
          <cell r="N4419" t="str">
            <v>COCINA</v>
          </cell>
          <cell r="O4419" t="str">
            <v>EQUIPOS DE COCINA FUNGIBLE / NOMINABLE</v>
          </cell>
          <cell r="P4419">
            <v>120</v>
          </cell>
          <cell r="T4419" t="str">
            <v>Bueno</v>
          </cell>
          <cell r="U4419" t="str">
            <v>N/T</v>
          </cell>
        </row>
        <row r="4420">
          <cell r="J4420" t="str">
            <v>FN-05-02-02-4412</v>
          </cell>
          <cell r="L4420" t="str">
            <v>FN-05-02-02-4412</v>
          </cell>
          <cell r="M4420" t="str">
            <v>Cucharas De Sopa</v>
          </cell>
          <cell r="N4420" t="str">
            <v>COCINA</v>
          </cell>
          <cell r="O4420" t="str">
            <v>EQUIPOS DE COCINA FUNGIBLE / NOMINABLE</v>
          </cell>
          <cell r="P4420">
            <v>200</v>
          </cell>
          <cell r="T4420" t="str">
            <v>BUENO</v>
          </cell>
          <cell r="U4420" t="str">
            <v>N/T</v>
          </cell>
        </row>
        <row r="4421">
          <cell r="J4421" t="str">
            <v>FN-05-02-02-4413</v>
          </cell>
          <cell r="L4421" t="str">
            <v>FN-05-02-02-4413</v>
          </cell>
          <cell r="M4421" t="str">
            <v>Cucharas De Postre</v>
          </cell>
          <cell r="N4421" t="str">
            <v>COCINA</v>
          </cell>
          <cell r="O4421" t="str">
            <v>EQUIPOS DE COCINA FUNGIBLE / NOMINABLE</v>
          </cell>
          <cell r="P4421">
            <v>150</v>
          </cell>
          <cell r="T4421" t="str">
            <v>BUENO</v>
          </cell>
          <cell r="U4421" t="str">
            <v>N/T</v>
          </cell>
        </row>
        <row r="4422">
          <cell r="J4422" t="str">
            <v>FN-05-02-02-4414</v>
          </cell>
          <cell r="L4422" t="str">
            <v>FN-05-02-02-4414</v>
          </cell>
          <cell r="M4422" t="str">
            <v>Cucharas De Te</v>
          </cell>
          <cell r="N4422" t="str">
            <v>COCINA</v>
          </cell>
          <cell r="O4422" t="str">
            <v>EQUIPOS DE COCINA FUNGIBLE / NOMINABLE</v>
          </cell>
          <cell r="P4422">
            <v>120</v>
          </cell>
          <cell r="T4422" t="str">
            <v>BUENO</v>
          </cell>
          <cell r="U4422" t="str">
            <v>N/T</v>
          </cell>
        </row>
        <row r="4423">
          <cell r="J4423" t="str">
            <v>42-05-02-02-4415</v>
          </cell>
          <cell r="L4423" t="str">
            <v>42-05-02-02-4415</v>
          </cell>
          <cell r="M4423" t="str">
            <v>Fuentón plastico Azul, Cuadrado</v>
          </cell>
          <cell r="N4423" t="str">
            <v>COCINA</v>
          </cell>
          <cell r="O4423" t="str">
            <v>EQUIPOS DE COCINA</v>
          </cell>
          <cell r="P4423">
            <v>5000</v>
          </cell>
          <cell r="T4423" t="str">
            <v>Bueno</v>
          </cell>
          <cell r="U4423" t="str">
            <v>N/T</v>
          </cell>
        </row>
        <row r="4424">
          <cell r="J4424" t="str">
            <v>42-05-02-02-4416</v>
          </cell>
          <cell r="L4424" t="str">
            <v>42-05-02-02-4416</v>
          </cell>
          <cell r="M4424" t="str">
            <v>Posillos de Postre Plasticos</v>
          </cell>
          <cell r="N4424" t="str">
            <v>COCINA</v>
          </cell>
          <cell r="O4424" t="str">
            <v>EQUIPOS DE COCINA</v>
          </cell>
          <cell r="P4424">
            <v>450</v>
          </cell>
          <cell r="T4424" t="str">
            <v>Bueno</v>
          </cell>
          <cell r="U4424" t="str">
            <v>N/T</v>
          </cell>
        </row>
        <row r="4425">
          <cell r="J4425" t="str">
            <v>42-05-02-02-4417</v>
          </cell>
          <cell r="L4425" t="str">
            <v>42-05-02-02-4417</v>
          </cell>
          <cell r="M4425" t="str">
            <v>Tenazas Metalicas</v>
          </cell>
          <cell r="N4425" t="str">
            <v>COCINA</v>
          </cell>
          <cell r="O4425" t="str">
            <v>EQUIPOS DE COCINA</v>
          </cell>
          <cell r="P4425">
            <v>2500</v>
          </cell>
          <cell r="T4425" t="str">
            <v>Bueno</v>
          </cell>
          <cell r="U4425" t="str">
            <v>N/T</v>
          </cell>
        </row>
        <row r="4426">
          <cell r="J4426" t="str">
            <v>FN-05-02-02-4418</v>
          </cell>
          <cell r="L4426" t="str">
            <v>FN-05-02-02-4418</v>
          </cell>
          <cell r="M4426" t="str">
            <v>Cuchillos</v>
          </cell>
          <cell r="N4426" t="str">
            <v>COCINA</v>
          </cell>
          <cell r="O4426" t="str">
            <v>EQUIPOS DE COCINA FUNGIBLE / NOMINABLE</v>
          </cell>
          <cell r="P4426">
            <v>192</v>
          </cell>
          <cell r="T4426" t="str">
            <v>Bueno</v>
          </cell>
          <cell r="U4426" t="str">
            <v>N/T</v>
          </cell>
        </row>
        <row r="4427">
          <cell r="J4427" t="str">
            <v>42-04-06-00-4419</v>
          </cell>
          <cell r="L4427" t="str">
            <v>42-04-06-00-4419</v>
          </cell>
          <cell r="M4427" t="str">
            <v>Repisa Melamina Blanca Colgante 3 Compartimientos</v>
          </cell>
          <cell r="N4427" t="str">
            <v>COCINA</v>
          </cell>
          <cell r="O4427" t="str">
            <v>REPISA</v>
          </cell>
          <cell r="P4427">
            <v>56000</v>
          </cell>
          <cell r="T4427" t="str">
            <v>Bueno</v>
          </cell>
          <cell r="U4427" t="str">
            <v>N/T</v>
          </cell>
        </row>
        <row r="4428">
          <cell r="J4428" t="str">
            <v>42-04-07-00-4420</v>
          </cell>
          <cell r="L4428" t="str">
            <v>42-04-07-00-4420</v>
          </cell>
          <cell r="M4428" t="str">
            <v>Porta Toalla TORK</v>
          </cell>
          <cell r="N4428" t="str">
            <v>COCINA</v>
          </cell>
          <cell r="O4428" t="str">
            <v>OTROS</v>
          </cell>
          <cell r="P4428">
            <v>17000</v>
          </cell>
          <cell r="T4428" t="str">
            <v>Bueno</v>
          </cell>
          <cell r="U4428" t="str">
            <v>N/T</v>
          </cell>
        </row>
        <row r="4429">
          <cell r="J4429" t="str">
            <v>42-04-06-00-4421</v>
          </cell>
          <cell r="K4429" t="str">
            <v>42-3130</v>
          </cell>
          <cell r="L4429" t="str">
            <v>42-04-06-00-4421</v>
          </cell>
          <cell r="M4429" t="str">
            <v>Repisa Cod - 42-3130 Masisa</v>
          </cell>
          <cell r="N4429" t="str">
            <v>COCINA</v>
          </cell>
          <cell r="O4429" t="str">
            <v>REPISA</v>
          </cell>
          <cell r="P4429">
            <v>40000</v>
          </cell>
          <cell r="T4429" t="str">
            <v>Bueno</v>
          </cell>
          <cell r="U4429" t="str">
            <v>N/T</v>
          </cell>
        </row>
        <row r="4430">
          <cell r="J4430" t="str">
            <v>42-04-06-00-4422</v>
          </cell>
          <cell r="K4430" t="str">
            <v>42-3365</v>
          </cell>
          <cell r="L4430" t="str">
            <v>42-04-06-00-4422</v>
          </cell>
          <cell r="M4430" t="str">
            <v>Mueble Repisa Enchapado 6 Compartimientos</v>
          </cell>
          <cell r="N4430" t="str">
            <v>COCINA</v>
          </cell>
          <cell r="O4430" t="str">
            <v>REPISA</v>
          </cell>
          <cell r="P4430">
            <v>65000</v>
          </cell>
          <cell r="T4430" t="str">
            <v>Bueno</v>
          </cell>
          <cell r="U4430" t="str">
            <v>N/T</v>
          </cell>
        </row>
        <row r="4431">
          <cell r="J4431" t="str">
            <v>42-04-07-00-4423</v>
          </cell>
          <cell r="L4431" t="str">
            <v>42-04-07-00-4423</v>
          </cell>
          <cell r="M4431" t="str">
            <v>Bergere Negro Ecocuero Sillon Descanso</v>
          </cell>
          <cell r="N4431" t="str">
            <v>COCINA</v>
          </cell>
          <cell r="O4431" t="str">
            <v>OTROS</v>
          </cell>
          <cell r="P4431">
            <v>916300</v>
          </cell>
          <cell r="T4431" t="str">
            <v>Bueno</v>
          </cell>
          <cell r="U4431" t="str">
            <v>N/T</v>
          </cell>
        </row>
        <row r="4432">
          <cell r="J4432" t="str">
            <v>42-04-07-00-4424</v>
          </cell>
          <cell r="L4432" t="str">
            <v>42-04-07-00-4424</v>
          </cell>
          <cell r="M4432" t="str">
            <v>Bergere Negro Ecocuero Sillon Descanso</v>
          </cell>
          <cell r="N4432" t="str">
            <v>COCINA</v>
          </cell>
          <cell r="O4432" t="str">
            <v>OTROS</v>
          </cell>
          <cell r="P4432">
            <v>916300</v>
          </cell>
          <cell r="T4432" t="str">
            <v>Bueno</v>
          </cell>
          <cell r="U4432" t="str">
            <v>N/T</v>
          </cell>
        </row>
        <row r="4433">
          <cell r="J4433" t="str">
            <v>42-04-07-00-4425</v>
          </cell>
          <cell r="L4433" t="str">
            <v>42-04-07-00-4425</v>
          </cell>
          <cell r="M4433" t="str">
            <v>Sillon Descanso Simple Color Verde</v>
          </cell>
          <cell r="N4433" t="str">
            <v>COCINA</v>
          </cell>
          <cell r="O4433" t="str">
            <v>OTROS</v>
          </cell>
          <cell r="P4433">
            <v>60000</v>
          </cell>
          <cell r="T4433" t="str">
            <v>Bueno</v>
          </cell>
          <cell r="U4433" t="str">
            <v>N/T</v>
          </cell>
        </row>
        <row r="4434">
          <cell r="J4434" t="str">
            <v>42-04-06-00-4426</v>
          </cell>
          <cell r="L4434" t="str">
            <v>42-04-06-00-4426</v>
          </cell>
          <cell r="M4434" t="str">
            <v>Mueble Blanco Invierno 2 Puertas Con Llave</v>
          </cell>
          <cell r="N4434" t="str">
            <v>COCINA</v>
          </cell>
          <cell r="O4434" t="str">
            <v>REPISA</v>
          </cell>
          <cell r="P4434">
            <v>55800</v>
          </cell>
          <cell r="T4434" t="str">
            <v>Bueno</v>
          </cell>
          <cell r="U4434" t="str">
            <v>N/T</v>
          </cell>
        </row>
        <row r="4435">
          <cell r="J4435" t="str">
            <v>42-04-07-00-4427</v>
          </cell>
          <cell r="K4435" t="str">
            <v>42-874</v>
          </cell>
          <cell r="L4435" t="str">
            <v>42-04-07-00-4427</v>
          </cell>
          <cell r="M4435" t="str">
            <v>Catre cuna 57x108x110 cms. metálico color crema</v>
          </cell>
          <cell r="N4435" t="str">
            <v>SALA CUNA</v>
          </cell>
          <cell r="O4435" t="str">
            <v>OTROS</v>
          </cell>
          <cell r="P4435">
            <v>62900</v>
          </cell>
          <cell r="T4435" t="str">
            <v>Bueno</v>
          </cell>
          <cell r="U4435" t="str">
            <v>N/T</v>
          </cell>
        </row>
        <row r="4436">
          <cell r="J4436" t="str">
            <v>42-04-07-00-4428</v>
          </cell>
          <cell r="K4436" t="str">
            <v>42-875</v>
          </cell>
          <cell r="L4436" t="str">
            <v>42-04-07-00-4428</v>
          </cell>
          <cell r="M4436" t="str">
            <v>Catre cuna 57x108x110 cms. metálico color crema</v>
          </cell>
          <cell r="N4436" t="str">
            <v>SALA CUNA</v>
          </cell>
          <cell r="O4436" t="str">
            <v>OTROS</v>
          </cell>
          <cell r="P4436">
            <v>62900</v>
          </cell>
          <cell r="T4436" t="str">
            <v>Bueno</v>
          </cell>
          <cell r="U4436" t="str">
            <v>N/T</v>
          </cell>
        </row>
        <row r="4437">
          <cell r="J4437" t="str">
            <v>42-04-07-00-4429</v>
          </cell>
          <cell r="K4437" t="str">
            <v>42-876</v>
          </cell>
          <cell r="L4437" t="str">
            <v>42-04-07-00-4429</v>
          </cell>
          <cell r="M4437" t="str">
            <v>Catre cuna 57x108x110 cms. metálico color crema</v>
          </cell>
          <cell r="N4437" t="str">
            <v>SALA CUNA</v>
          </cell>
          <cell r="O4437" t="str">
            <v>OTROS</v>
          </cell>
          <cell r="P4437">
            <v>62900</v>
          </cell>
          <cell r="T4437" t="str">
            <v>Bueno</v>
          </cell>
          <cell r="U4437" t="str">
            <v>N/T</v>
          </cell>
        </row>
        <row r="4438">
          <cell r="J4438" t="str">
            <v>42-04-07-00-4430</v>
          </cell>
          <cell r="K4438" t="str">
            <v>42-877</v>
          </cell>
          <cell r="L4438" t="str">
            <v>42-04-07-00-4430</v>
          </cell>
          <cell r="M4438" t="str">
            <v>Catre cuna 57x108x110 cms. metálico color crema</v>
          </cell>
          <cell r="N4438" t="str">
            <v>SALA CUNA</v>
          </cell>
          <cell r="O4438" t="str">
            <v>OTROS</v>
          </cell>
          <cell r="P4438">
            <v>62900</v>
          </cell>
          <cell r="T4438" t="str">
            <v>Bueno</v>
          </cell>
          <cell r="U4438" t="str">
            <v>N/T</v>
          </cell>
        </row>
        <row r="4439">
          <cell r="J4439" t="str">
            <v>42-04-07-00-4431</v>
          </cell>
          <cell r="K4439" t="str">
            <v>42-882</v>
          </cell>
          <cell r="L4439" t="str">
            <v>42-04-07-00-4431</v>
          </cell>
          <cell r="M4439" t="str">
            <v>Mudador de madera cubierta de formalita 4 puertas colores 180x84x60 cms., lavamanos 1 fuentón con llave de combinación, 1 colchoneta</v>
          </cell>
          <cell r="N4439" t="str">
            <v>SALA CUNA</v>
          </cell>
          <cell r="O4439" t="str">
            <v>OTROS</v>
          </cell>
          <cell r="P4439">
            <v>75600</v>
          </cell>
          <cell r="T4439" t="str">
            <v>Bueno</v>
          </cell>
          <cell r="U4439" t="str">
            <v>N/T</v>
          </cell>
        </row>
        <row r="4440">
          <cell r="J4440" t="str">
            <v>42-04-03-00-4432</v>
          </cell>
          <cell r="K4440" t="str">
            <v>42-883</v>
          </cell>
          <cell r="L4440" t="str">
            <v>42-04-03-00-4432</v>
          </cell>
          <cell r="M4440" t="str">
            <v>Escritorio de madera barniz natural 60x100x80 cms.</v>
          </cell>
          <cell r="N4440" t="str">
            <v>SALA CUNA</v>
          </cell>
          <cell r="O4440" t="str">
            <v>ESCRITORIOS</v>
          </cell>
          <cell r="P4440">
            <v>70000</v>
          </cell>
          <cell r="T4440" t="str">
            <v>Bueno</v>
          </cell>
          <cell r="U4440" t="str">
            <v>N/T</v>
          </cell>
        </row>
        <row r="4441">
          <cell r="J4441" t="str">
            <v>42-04-06-00-4433</v>
          </cell>
          <cell r="K4441" t="str">
            <v>42-884</v>
          </cell>
          <cell r="L4441" t="str">
            <v>42-04-06-00-4433</v>
          </cell>
          <cell r="M4441" t="str">
            <v>Repisa metálica superficie de vidrio 50x13 cms.</v>
          </cell>
          <cell r="N4441" t="str">
            <v>SALA CUNA</v>
          </cell>
          <cell r="O4441" t="str">
            <v>REPISA</v>
          </cell>
          <cell r="P4441">
            <v>25000</v>
          </cell>
          <cell r="T4441" t="str">
            <v>Bueno</v>
          </cell>
          <cell r="U4441" t="str">
            <v>N/T</v>
          </cell>
        </row>
        <row r="4442">
          <cell r="J4442" t="str">
            <v>42-04-06-00-4434</v>
          </cell>
          <cell r="K4442" t="str">
            <v>42-885</v>
          </cell>
          <cell r="L4442" t="str">
            <v>42-04-06-00-4434</v>
          </cell>
          <cell r="M4442" t="str">
            <v>Repisa mixta 2 divisiones de 72x80 cms.</v>
          </cell>
          <cell r="N4442" t="str">
            <v>SALA CUNA</v>
          </cell>
          <cell r="O4442" t="str">
            <v>REPISA</v>
          </cell>
          <cell r="P4442">
            <v>22500</v>
          </cell>
          <cell r="T4442" t="str">
            <v>Bueno</v>
          </cell>
          <cell r="U4442" t="str">
            <v>N/T</v>
          </cell>
        </row>
        <row r="4443">
          <cell r="J4443" t="str">
            <v>42-04-06-00-4435</v>
          </cell>
          <cell r="K4443" t="str">
            <v>42-886</v>
          </cell>
          <cell r="L4443" t="str">
            <v>42-04-06-00-4435</v>
          </cell>
          <cell r="M4443" t="str">
            <v>Repisa mixta 2 divisiones de 72x80 cms.</v>
          </cell>
          <cell r="N4443" t="str">
            <v>SALA CUNA</v>
          </cell>
          <cell r="O4443" t="str">
            <v>REPISA</v>
          </cell>
          <cell r="P4443">
            <v>22500</v>
          </cell>
          <cell r="T4443" t="str">
            <v>Bueno</v>
          </cell>
          <cell r="U4443" t="str">
            <v>N/T</v>
          </cell>
        </row>
        <row r="4444">
          <cell r="J4444" t="str">
            <v>42-04-02-00-4436</v>
          </cell>
          <cell r="K4444" t="str">
            <v>42-1223</v>
          </cell>
          <cell r="L4444" t="str">
            <v>42-04-02-00-4436</v>
          </cell>
          <cell r="M4444" t="str">
            <v>Silla Commet Tapi color negro</v>
          </cell>
          <cell r="N4444" t="str">
            <v>SALA CUNA</v>
          </cell>
          <cell r="O4444" t="str">
            <v>SILLAS</v>
          </cell>
          <cell r="P4444">
            <v>12600</v>
          </cell>
          <cell r="T4444" t="str">
            <v>BUENO</v>
          </cell>
          <cell r="U4444" t="str">
            <v>N/T</v>
          </cell>
        </row>
        <row r="4445">
          <cell r="J4445" t="str">
            <v>FN-04-07-00-4437</v>
          </cell>
          <cell r="L4445" t="str">
            <v>FN-04-07-00-4437</v>
          </cell>
          <cell r="M4445" t="str">
            <v>Colchones de esponja de cuna</v>
          </cell>
          <cell r="N4445" t="str">
            <v>SALA CUNA</v>
          </cell>
          <cell r="O4445" t="str">
            <v>OTROS FUNGIBLE / NOMINABLE</v>
          </cell>
          <cell r="P4445">
            <v>22300</v>
          </cell>
          <cell r="T4445" t="str">
            <v>Bueno</v>
          </cell>
          <cell r="U4445" t="str">
            <v>N/T</v>
          </cell>
        </row>
        <row r="4446">
          <cell r="J4446" t="str">
            <v>FN-04-07-00-4438</v>
          </cell>
          <cell r="L4446" t="str">
            <v>FN-04-07-00-4438</v>
          </cell>
          <cell r="M4446" t="str">
            <v>Cubre camas con motivos infantiles</v>
          </cell>
          <cell r="N4446" t="str">
            <v>SALA CUNA</v>
          </cell>
          <cell r="O4446" t="str">
            <v>OTROS FUNGIBLE / NOMINABLE</v>
          </cell>
          <cell r="P4446">
            <v>12000</v>
          </cell>
          <cell r="T4446" t="str">
            <v>Bueno</v>
          </cell>
          <cell r="U4446" t="str">
            <v>N/T</v>
          </cell>
        </row>
        <row r="4447">
          <cell r="J4447" t="str">
            <v>FN-04-07-00-4439</v>
          </cell>
          <cell r="L4447" t="str">
            <v>FN-04-07-00-4439</v>
          </cell>
          <cell r="M4447" t="str">
            <v>Cortinas con motivos infantiles</v>
          </cell>
          <cell r="N4447" t="str">
            <v>SALA CUNA</v>
          </cell>
          <cell r="O4447" t="str">
            <v>OTROS FUNGIBLE / NOMINABLE</v>
          </cell>
          <cell r="P4447">
            <v>12500</v>
          </cell>
          <cell r="T4447" t="str">
            <v>Bueno</v>
          </cell>
          <cell r="U4447" t="str">
            <v>N/T</v>
          </cell>
        </row>
        <row r="4448">
          <cell r="J4448" t="str">
            <v>42-04-07-00-4440</v>
          </cell>
          <cell r="L4448" t="str">
            <v>42-04-07-00-4440</v>
          </cell>
          <cell r="M4448" t="str">
            <v>Espejo de 49x33 cms. marco de cuero</v>
          </cell>
          <cell r="N4448" t="str">
            <v>SALA CUNA</v>
          </cell>
          <cell r="O4448" t="str">
            <v>OTROS</v>
          </cell>
          <cell r="P4448">
            <v>9900</v>
          </cell>
          <cell r="T4448" t="str">
            <v>Bueno</v>
          </cell>
          <cell r="U4448" t="str">
            <v>N/T</v>
          </cell>
        </row>
        <row r="4449">
          <cell r="J4449" t="str">
            <v>FN-04-07-00-4441</v>
          </cell>
          <cell r="L4449" t="str">
            <v>FN-04-07-00-4441</v>
          </cell>
          <cell r="M4449" t="str">
            <v>Perchas metálicas con 6 ganchos</v>
          </cell>
          <cell r="N4449" t="str">
            <v>SALA CUNA</v>
          </cell>
          <cell r="O4449" t="str">
            <v>OTROS FUNGIBLE / NOMINABLE</v>
          </cell>
          <cell r="P4449">
            <v>2000</v>
          </cell>
          <cell r="T4449" t="str">
            <v>Bueno</v>
          </cell>
          <cell r="U4449" t="str">
            <v>N/T</v>
          </cell>
        </row>
        <row r="4450">
          <cell r="J4450" t="str">
            <v>FN-04-07-00-4442</v>
          </cell>
          <cell r="L4450" t="str">
            <v>FN-04-07-00-4442</v>
          </cell>
          <cell r="M4450" t="str">
            <v xml:space="preserve">Porta cortina </v>
          </cell>
          <cell r="N4450" t="str">
            <v>SALA CUNA</v>
          </cell>
          <cell r="O4450" t="str">
            <v>OTROS FUNGIBLE / NOMINABLE</v>
          </cell>
          <cell r="P4450">
            <v>2500</v>
          </cell>
          <cell r="T4450" t="str">
            <v>Bueno</v>
          </cell>
          <cell r="U4450" t="str">
            <v>N/T</v>
          </cell>
        </row>
        <row r="4451">
          <cell r="J4451" t="str">
            <v>42-04-07-00-4443</v>
          </cell>
          <cell r="L4451" t="str">
            <v>42-04-07-00-4443</v>
          </cell>
          <cell r="M4451" t="str">
            <v>Pantalla de vidrio para tubo fluorescente</v>
          </cell>
          <cell r="N4451" t="str">
            <v>SALA CUNA</v>
          </cell>
          <cell r="O4451" t="str">
            <v>OTROS</v>
          </cell>
          <cell r="P4451">
            <v>4600</v>
          </cell>
          <cell r="T4451" t="str">
            <v>Bueno</v>
          </cell>
          <cell r="U4451" t="str">
            <v>N/T</v>
          </cell>
        </row>
        <row r="4452">
          <cell r="J4452" t="str">
            <v>FN-04-07-00-4444</v>
          </cell>
          <cell r="L4452" t="str">
            <v>FN-04-07-00-4444</v>
          </cell>
          <cell r="M4452" t="str">
            <v>Repisas de alambre con madera</v>
          </cell>
          <cell r="N4452" t="str">
            <v>SALA CUNA</v>
          </cell>
          <cell r="O4452" t="str">
            <v>OTROS FUNGIBLE / NOMINABLE</v>
          </cell>
          <cell r="P4452">
            <v>5600</v>
          </cell>
          <cell r="T4452" t="str">
            <v>Bueno</v>
          </cell>
          <cell r="U4452" t="str">
            <v>N/T</v>
          </cell>
        </row>
        <row r="4453">
          <cell r="J4453" t="str">
            <v>42-04-02-00-4445</v>
          </cell>
          <cell r="L4453" t="str">
            <v>42-04-02-00-4445</v>
          </cell>
          <cell r="M4453" t="str">
            <v>Silla nido</v>
          </cell>
          <cell r="N4453" t="str">
            <v>SALA CUNA</v>
          </cell>
          <cell r="O4453" t="str">
            <v>SILLAS</v>
          </cell>
          <cell r="P4453">
            <v>12600</v>
          </cell>
          <cell r="T4453" t="str">
            <v>Bueno</v>
          </cell>
          <cell r="U4453" t="str">
            <v>N/T</v>
          </cell>
        </row>
        <row r="4454">
          <cell r="J4454" t="str">
            <v>42-04-07-00-4446</v>
          </cell>
          <cell r="L4454" t="str">
            <v>42-04-07-00-4446</v>
          </cell>
          <cell r="M4454" t="str">
            <v>Cojines de esponja</v>
          </cell>
          <cell r="N4454" t="str">
            <v>SALA CUNA</v>
          </cell>
          <cell r="O4454" t="str">
            <v>OTROS</v>
          </cell>
          <cell r="P4454">
            <v>2600</v>
          </cell>
          <cell r="T4454" t="str">
            <v>Bueno</v>
          </cell>
          <cell r="U4454" t="str">
            <v>N/T</v>
          </cell>
        </row>
        <row r="4455">
          <cell r="J4455" t="str">
            <v>42-04-07-00-4447</v>
          </cell>
          <cell r="L4455" t="str">
            <v>42-04-07-00-4447</v>
          </cell>
          <cell r="M4455" t="str">
            <v>Pantalla de vidrio para tubo fluorescente</v>
          </cell>
          <cell r="N4455" t="str">
            <v>SALA CUNA</v>
          </cell>
          <cell r="O4455" t="str">
            <v>OTROS</v>
          </cell>
          <cell r="P4455">
            <v>3500</v>
          </cell>
          <cell r="T4455" t="str">
            <v>Bueno</v>
          </cell>
          <cell r="U4455" t="str">
            <v>N/T</v>
          </cell>
        </row>
        <row r="4456">
          <cell r="J4456" t="str">
            <v>42-04-07-00-4448</v>
          </cell>
          <cell r="L4456" t="str">
            <v>42-04-07-00-4448</v>
          </cell>
          <cell r="M4456" t="str">
            <v>Cortina de baño</v>
          </cell>
          <cell r="N4456" t="str">
            <v>SALA CUNA</v>
          </cell>
          <cell r="O4456" t="str">
            <v>OTROS</v>
          </cell>
          <cell r="P4456">
            <v>3200</v>
          </cell>
          <cell r="T4456" t="str">
            <v>Bueno</v>
          </cell>
          <cell r="U4456" t="str">
            <v>N/T</v>
          </cell>
        </row>
        <row r="4457">
          <cell r="J4457" t="str">
            <v>FN-04-06-00-4449</v>
          </cell>
          <cell r="L4457" t="str">
            <v>FN-04-06-00-4449</v>
          </cell>
          <cell r="M4457" t="str">
            <v>Repisa de 55x20 cms. con base metálica</v>
          </cell>
          <cell r="N4457" t="str">
            <v>SALA CUNA</v>
          </cell>
          <cell r="O4457" t="str">
            <v>REPISA FUNGIBLE / NOMINABLE</v>
          </cell>
          <cell r="P4457">
            <v>4800</v>
          </cell>
          <cell r="T4457" t="str">
            <v>Bueno</v>
          </cell>
          <cell r="U4457" t="str">
            <v>N/T</v>
          </cell>
        </row>
        <row r="4458">
          <cell r="J4458" t="str">
            <v>FN-04-07-00-4450</v>
          </cell>
          <cell r="L4458" t="str">
            <v>FN-04-07-00-4450</v>
          </cell>
          <cell r="M4458" t="str">
            <v>Cojines de apoyo en cuadrillé celestes</v>
          </cell>
          <cell r="N4458" t="str">
            <v>SALA CUNA</v>
          </cell>
          <cell r="O4458" t="str">
            <v>OTROS FUNGIBLE / NOMINABLE</v>
          </cell>
          <cell r="P4458">
            <v>3500</v>
          </cell>
          <cell r="T4458" t="str">
            <v>Bueno</v>
          </cell>
          <cell r="U4458" t="str">
            <v>N/T</v>
          </cell>
        </row>
        <row r="4459">
          <cell r="J4459" t="str">
            <v>42-04-07-00-4451</v>
          </cell>
          <cell r="K4459" t="str">
            <v>42-2301</v>
          </cell>
          <cell r="L4459" t="str">
            <v>42-04-07-00-4451</v>
          </cell>
          <cell r="M4459" t="str">
            <v>Dispensador de jabón marca Johnson</v>
          </cell>
          <cell r="N4459" t="str">
            <v>SALA CUNA</v>
          </cell>
          <cell r="O4459" t="str">
            <v>OTROS</v>
          </cell>
          <cell r="P4459">
            <v>4700</v>
          </cell>
          <cell r="T4459" t="str">
            <v>Bueno</v>
          </cell>
          <cell r="U4459" t="str">
            <v>N/T</v>
          </cell>
        </row>
        <row r="4460">
          <cell r="J4460" t="str">
            <v>42-04-07-00-4452</v>
          </cell>
          <cell r="L4460" t="str">
            <v>42-04-07-00-4452</v>
          </cell>
          <cell r="M4460" t="str">
            <v>Chales diferentes colores</v>
          </cell>
          <cell r="N4460" t="str">
            <v>SALA CUNA</v>
          </cell>
          <cell r="O4460" t="str">
            <v>OTROS</v>
          </cell>
          <cell r="P4460">
            <v>3500</v>
          </cell>
          <cell r="T4460" t="str">
            <v>Bueno</v>
          </cell>
          <cell r="U4460" t="str">
            <v>N/T</v>
          </cell>
        </row>
        <row r="4461">
          <cell r="J4461" t="str">
            <v>FN-04-07-00-4453</v>
          </cell>
          <cell r="L4461" t="str">
            <v>FN-04-07-00-4453</v>
          </cell>
          <cell r="M4461" t="str">
            <v>Cubrecamas celestes c / motivos infantiles</v>
          </cell>
          <cell r="N4461" t="str">
            <v>SALA CUNA</v>
          </cell>
          <cell r="O4461" t="str">
            <v>OTROS FUNGIBLE / NOMINABLE</v>
          </cell>
          <cell r="P4461">
            <v>12000</v>
          </cell>
          <cell r="T4461" t="str">
            <v>Bueno</v>
          </cell>
          <cell r="U4461" t="str">
            <v>N/T</v>
          </cell>
        </row>
        <row r="4462">
          <cell r="J4462" t="str">
            <v>FN-04-07-00-4454</v>
          </cell>
          <cell r="L4462" t="str">
            <v>FN-04-07-00-4454</v>
          </cell>
          <cell r="M4462" t="str">
            <v>Cortinas color celeste c / motivos infantiles</v>
          </cell>
          <cell r="N4462" t="str">
            <v>SALA CUNA</v>
          </cell>
          <cell r="O4462" t="str">
            <v>OTROS FUNGIBLE / NOMINABLE</v>
          </cell>
          <cell r="P4462">
            <v>12500</v>
          </cell>
          <cell r="T4462" t="str">
            <v>Bueno</v>
          </cell>
          <cell r="U4462" t="str">
            <v>N/T</v>
          </cell>
        </row>
        <row r="4463">
          <cell r="J4463" t="str">
            <v>FN-04-07-00-4455</v>
          </cell>
          <cell r="L4463" t="str">
            <v>FN-04-07-00-4455</v>
          </cell>
          <cell r="M4463" t="str">
            <v>Pantalla Vidrio Tubo Fluorescente Simple</v>
          </cell>
          <cell r="N4463" t="str">
            <v>SALA CUNA</v>
          </cell>
          <cell r="O4463" t="str">
            <v>OTROS FUNGIBLE / NOMINABLE</v>
          </cell>
          <cell r="P4463">
            <v>3500</v>
          </cell>
          <cell r="T4463" t="str">
            <v>Bueno</v>
          </cell>
          <cell r="U4463" t="str">
            <v>N/T</v>
          </cell>
        </row>
        <row r="4464">
          <cell r="J4464" t="str">
            <v>42-04-07-00-4456</v>
          </cell>
          <cell r="L4464" t="str">
            <v>42-04-07-00-4456</v>
          </cell>
          <cell r="M4464" t="str">
            <v>Pantalla Tubo VKB Simple</v>
          </cell>
          <cell r="N4464" t="str">
            <v>SALA CUNA</v>
          </cell>
          <cell r="O4464" t="str">
            <v>OTROS</v>
          </cell>
          <cell r="P4464">
            <v>3000</v>
          </cell>
          <cell r="T4464" t="str">
            <v>Bueno</v>
          </cell>
          <cell r="U4464" t="str">
            <v>N/T</v>
          </cell>
        </row>
        <row r="4465">
          <cell r="J4465" t="str">
            <v>42-04-07-00-4457</v>
          </cell>
          <cell r="L4465" t="str">
            <v>42-04-07-00-4457</v>
          </cell>
          <cell r="M4465" t="str">
            <v>Porta Toalla TORK</v>
          </cell>
          <cell r="N4465" t="str">
            <v>SALA CUNA</v>
          </cell>
          <cell r="O4465" t="str">
            <v>OTROS</v>
          </cell>
          <cell r="P4465">
            <v>17000</v>
          </cell>
          <cell r="T4465" t="str">
            <v>Bueno</v>
          </cell>
          <cell r="U4465" t="str">
            <v>Tork</v>
          </cell>
        </row>
        <row r="4466">
          <cell r="J4466" t="str">
            <v>42-04-07-00-4458</v>
          </cell>
          <cell r="L4466" t="str">
            <v>42-04-07-00-4458</v>
          </cell>
          <cell r="M4466" t="str">
            <v>Porta Toalla TORK</v>
          </cell>
          <cell r="N4466" t="str">
            <v>SALA CUNA</v>
          </cell>
          <cell r="O4466" t="str">
            <v>OTROS</v>
          </cell>
          <cell r="P4466">
            <v>17000</v>
          </cell>
          <cell r="T4466" t="str">
            <v>Bueno</v>
          </cell>
          <cell r="U4466" t="str">
            <v>Tork</v>
          </cell>
        </row>
        <row r="4467">
          <cell r="J4467" t="str">
            <v>42-04-07-00-4459</v>
          </cell>
          <cell r="L4467" t="str">
            <v>42-04-07-00-4459</v>
          </cell>
          <cell r="M4467" t="str">
            <v>Porta Toalla de Baño Metalico</v>
          </cell>
          <cell r="N4467" t="str">
            <v>SALA CUNA</v>
          </cell>
          <cell r="O4467" t="str">
            <v>OTROS</v>
          </cell>
          <cell r="P4467">
            <v>2500</v>
          </cell>
          <cell r="T4467" t="str">
            <v>Bueno</v>
          </cell>
          <cell r="U4467" t="str">
            <v>Tork</v>
          </cell>
        </row>
        <row r="4468">
          <cell r="J4468" t="str">
            <v>42-04-07-00-4460</v>
          </cell>
          <cell r="K4468" t="str">
            <v>42-2296</v>
          </cell>
          <cell r="L4468" t="str">
            <v>42-04-07-00-4460</v>
          </cell>
          <cell r="M4468" t="str">
            <v>Escalador de fierro amarillo y azúl</v>
          </cell>
          <cell r="N4468" t="str">
            <v>PATIO Y BAÑO</v>
          </cell>
          <cell r="O4468" t="str">
            <v>OTROS</v>
          </cell>
          <cell r="P4468">
            <v>25600</v>
          </cell>
          <cell r="T4468" t="str">
            <v>Bueno</v>
          </cell>
          <cell r="U4468" t="str">
            <v>N/T</v>
          </cell>
        </row>
        <row r="4469">
          <cell r="J4469" t="str">
            <v>42-04-07-00-4461</v>
          </cell>
          <cell r="K4469" t="str">
            <v>42-2299</v>
          </cell>
          <cell r="L4469" t="str">
            <v>42-04-07-00-4461</v>
          </cell>
          <cell r="M4469" t="str">
            <v>Toldo color blanco 300 x 300 cms</v>
          </cell>
          <cell r="N4469" t="str">
            <v>PATIO Y BAÑO</v>
          </cell>
          <cell r="O4469" t="str">
            <v>OTROS</v>
          </cell>
          <cell r="P4469">
            <v>12500</v>
          </cell>
          <cell r="T4469" t="str">
            <v>Bueno</v>
          </cell>
          <cell r="U4469" t="str">
            <v>N/T</v>
          </cell>
        </row>
        <row r="4470">
          <cell r="J4470" t="str">
            <v>42-04-01-00-4462</v>
          </cell>
          <cell r="K4470" t="str">
            <v>42-2297</v>
          </cell>
          <cell r="L4470" t="str">
            <v>42-04-01-00-4462</v>
          </cell>
          <cell r="M4470" t="str">
            <v>Mesa Picnic chica madera natural</v>
          </cell>
          <cell r="N4470" t="str">
            <v>PATIO Y BAÑO</v>
          </cell>
          <cell r="O4470" t="str">
            <v>MESAS</v>
          </cell>
          <cell r="P4470">
            <v>18000</v>
          </cell>
          <cell r="T4470" t="str">
            <v>BUENO</v>
          </cell>
          <cell r="U4470" t="str">
            <v>N/T</v>
          </cell>
        </row>
        <row r="4471">
          <cell r="J4471" t="str">
            <v>42-04-01-00-4463</v>
          </cell>
          <cell r="K4471" t="str">
            <v>42-2298</v>
          </cell>
          <cell r="L4471" t="str">
            <v>42-04-01-00-4463</v>
          </cell>
          <cell r="M4471" t="str">
            <v>Mesa Picnic chica madera natural</v>
          </cell>
          <cell r="N4471" t="str">
            <v>PATIO Y BAÑO</v>
          </cell>
          <cell r="O4471" t="str">
            <v>MESAS</v>
          </cell>
          <cell r="P4471">
            <v>18000</v>
          </cell>
          <cell r="T4471" t="str">
            <v>BUENO</v>
          </cell>
          <cell r="U4471" t="str">
            <v>N/T</v>
          </cell>
        </row>
        <row r="4472">
          <cell r="J4472" t="str">
            <v>42-04-07-00-4464</v>
          </cell>
          <cell r="L4472" t="str">
            <v>42-04-07-00-4464</v>
          </cell>
          <cell r="M4472" t="str">
            <v>Papelero plástico con tapa color blanco</v>
          </cell>
          <cell r="N4472" t="str">
            <v>PATIO Y BAÑO</v>
          </cell>
          <cell r="O4472" t="str">
            <v>OTROS</v>
          </cell>
          <cell r="P4472">
            <v>4000</v>
          </cell>
          <cell r="T4472" t="str">
            <v>BUENO</v>
          </cell>
          <cell r="U4472" t="str">
            <v>N/T</v>
          </cell>
        </row>
        <row r="4473">
          <cell r="J4473" t="str">
            <v>42-04-07-00-4465</v>
          </cell>
          <cell r="L4473" t="str">
            <v>42-04-07-00-4465</v>
          </cell>
          <cell r="M4473" t="str">
            <v>Porta confort</v>
          </cell>
          <cell r="N4473" t="str">
            <v>PATIO Y BAÑO</v>
          </cell>
          <cell r="O4473" t="str">
            <v>OTROS</v>
          </cell>
          <cell r="P4473">
            <v>3500</v>
          </cell>
          <cell r="T4473" t="str">
            <v>Bueno</v>
          </cell>
          <cell r="U4473" t="str">
            <v>N/T</v>
          </cell>
        </row>
        <row r="4474">
          <cell r="J4474" t="str">
            <v>FN-04-07-00-4466</v>
          </cell>
          <cell r="L4474" t="str">
            <v>FN-04-07-00-4466</v>
          </cell>
          <cell r="M4474" t="str">
            <v>Perchas de alambre blanco 4 ganchos</v>
          </cell>
          <cell r="N4474" t="str">
            <v>PATIO Y BAÑO</v>
          </cell>
          <cell r="O4474" t="str">
            <v>OTROS FUNGIBLE / NOMINABLE</v>
          </cell>
          <cell r="P4474">
            <v>3600</v>
          </cell>
          <cell r="T4474" t="str">
            <v>Bueno</v>
          </cell>
          <cell r="U4474" t="str">
            <v>N/T</v>
          </cell>
        </row>
        <row r="4475">
          <cell r="J4475" t="str">
            <v>FN-04-07-00-4467</v>
          </cell>
          <cell r="L4475" t="str">
            <v>FN-04-07-00-4467</v>
          </cell>
          <cell r="M4475" t="str">
            <v>Perchas metálicas con 2 ganchos c/u</v>
          </cell>
          <cell r="N4475" t="str">
            <v>PATIO Y BAÑO</v>
          </cell>
          <cell r="O4475" t="str">
            <v>OTROS FUNGIBLE / NOMINABLE</v>
          </cell>
          <cell r="P4475">
            <v>3600</v>
          </cell>
          <cell r="T4475" t="str">
            <v>Bueno</v>
          </cell>
          <cell r="U4475" t="str">
            <v>N/T</v>
          </cell>
        </row>
        <row r="4476">
          <cell r="J4476" t="str">
            <v>FN-04-07-00-4468</v>
          </cell>
          <cell r="L4476" t="str">
            <v>FN-04-07-00-4468</v>
          </cell>
          <cell r="M4476" t="str">
            <v>Espejos 50x50 cms. marco madera café</v>
          </cell>
          <cell r="N4476" t="str">
            <v>PATIO Y BAÑO</v>
          </cell>
          <cell r="O4476" t="str">
            <v>OTROS FUNGIBLE / NOMINABLE</v>
          </cell>
          <cell r="P4476">
            <v>7500</v>
          </cell>
          <cell r="T4476" t="str">
            <v>Bueno</v>
          </cell>
          <cell r="U4476" t="str">
            <v>N/T</v>
          </cell>
        </row>
        <row r="4477">
          <cell r="J4477" t="str">
            <v>42-04-06-00-4469</v>
          </cell>
          <cell r="K4477" t="str">
            <v>42-2300</v>
          </cell>
          <cell r="L4477" t="str">
            <v>42-04-06-00-4469</v>
          </cell>
          <cell r="M4477" t="str">
            <v>Repisa de 70x20 cms. con soportes metálicos color rojo</v>
          </cell>
          <cell r="N4477" t="str">
            <v>PATIO Y BAÑO</v>
          </cell>
          <cell r="O4477" t="str">
            <v>REPISA</v>
          </cell>
          <cell r="P4477">
            <v>14600</v>
          </cell>
          <cell r="T4477" t="str">
            <v>Bueno</v>
          </cell>
          <cell r="U4477" t="str">
            <v>N/T</v>
          </cell>
        </row>
        <row r="4478">
          <cell r="J4478" t="str">
            <v>FN-04-07-00-4470</v>
          </cell>
          <cell r="L4478" t="str">
            <v>FN-04-07-00-4470</v>
          </cell>
          <cell r="M4478" t="str">
            <v>Bacenicas  plásticas</v>
          </cell>
          <cell r="N4478" t="str">
            <v>PATIO Y BAÑO</v>
          </cell>
          <cell r="O4478" t="str">
            <v>OTROS FUNGIBLE / NOMINABLE</v>
          </cell>
          <cell r="P4478">
            <v>3500</v>
          </cell>
          <cell r="T4478" t="str">
            <v>Bueno</v>
          </cell>
          <cell r="U4478" t="str">
            <v>N/T</v>
          </cell>
        </row>
        <row r="4479">
          <cell r="J4479" t="str">
            <v>42-05-01-01-4471</v>
          </cell>
          <cell r="K4479" t="str">
            <v>42-1601</v>
          </cell>
          <cell r="L4479" t="str">
            <v>42-05-01-01-4471</v>
          </cell>
          <cell r="M4479" t="str">
            <v>Televisor a color marca LG de 14 pulgadas</v>
          </cell>
          <cell r="N4479" t="str">
            <v>SALA ACTIV</v>
          </cell>
          <cell r="O4479" t="str">
            <v>EQUIPO DE OFICINA</v>
          </cell>
          <cell r="P4479">
            <v>64500</v>
          </cell>
          <cell r="T4479" t="str">
            <v>Bueno</v>
          </cell>
          <cell r="U4479" t="str">
            <v>N/T</v>
          </cell>
        </row>
        <row r="4480">
          <cell r="J4480" t="str">
            <v>42-05-01-01-4472</v>
          </cell>
          <cell r="K4480" t="str">
            <v>42-1602</v>
          </cell>
          <cell r="L4480" t="str">
            <v>42-05-01-01-4472</v>
          </cell>
          <cell r="M4480" t="str">
            <v>Video grabador  LG</v>
          </cell>
          <cell r="N4480" t="str">
            <v>SALA ACTIV</v>
          </cell>
          <cell r="O4480" t="str">
            <v>EQUIPO DE OFICINA</v>
          </cell>
          <cell r="P4480">
            <v>56500</v>
          </cell>
          <cell r="T4480" t="str">
            <v>Bueno</v>
          </cell>
          <cell r="U4480" t="str">
            <v>N/T</v>
          </cell>
        </row>
        <row r="4481">
          <cell r="J4481" t="str">
            <v>42-05-01-01-4473</v>
          </cell>
          <cell r="K4481" t="str">
            <v>42-1603</v>
          </cell>
          <cell r="L4481" t="str">
            <v>42-05-01-01-4473</v>
          </cell>
          <cell r="M4481" t="str">
            <v>Minicomponente marca Phillips</v>
          </cell>
          <cell r="N4481" t="str">
            <v>SALA ACTIV</v>
          </cell>
          <cell r="O4481" t="str">
            <v>EQUIPO DE OFICINA</v>
          </cell>
          <cell r="P4481">
            <v>65900</v>
          </cell>
          <cell r="T4481" t="str">
            <v>Bueno</v>
          </cell>
          <cell r="U4481" t="str">
            <v>N/T</v>
          </cell>
        </row>
        <row r="4482">
          <cell r="J4482" t="str">
            <v>42-05-01-01-4474</v>
          </cell>
          <cell r="K4482" t="str">
            <v>42-847</v>
          </cell>
          <cell r="L4482" t="str">
            <v>42-05-01-01-4474</v>
          </cell>
          <cell r="M4482" t="str">
            <v>Estufa a gas marca CIMET</v>
          </cell>
          <cell r="N4482" t="str">
            <v>SALA ACTIV</v>
          </cell>
          <cell r="O4482" t="str">
            <v>EQUIPO DE OFICINA</v>
          </cell>
          <cell r="P4482">
            <v>60000</v>
          </cell>
          <cell r="T4482" t="str">
            <v>Bueno</v>
          </cell>
          <cell r="U4482" t="str">
            <v>N/T</v>
          </cell>
        </row>
        <row r="4483">
          <cell r="J4483" t="str">
            <v>42-05-01-01-4475</v>
          </cell>
          <cell r="K4483" t="str">
            <v>42-848</v>
          </cell>
          <cell r="L4483" t="str">
            <v>42-05-01-01-4475</v>
          </cell>
          <cell r="M4483" t="str">
            <v>Regulador de gas</v>
          </cell>
          <cell r="N4483" t="str">
            <v>SALA ACTIV</v>
          </cell>
          <cell r="O4483" t="str">
            <v>EQUIPO DE OFICINA</v>
          </cell>
          <cell r="P4483">
            <v>12500</v>
          </cell>
          <cell r="T4483" t="str">
            <v>Bueno</v>
          </cell>
          <cell r="U4483" t="str">
            <v>N/T</v>
          </cell>
        </row>
        <row r="4484">
          <cell r="J4484" t="str">
            <v>42-05-01-01-4476</v>
          </cell>
          <cell r="L4484" t="str">
            <v>42-05-01-01-4476</v>
          </cell>
          <cell r="M4484" t="str">
            <v>Cilindros de gas</v>
          </cell>
          <cell r="N4484" t="str">
            <v>SALA ACTIV</v>
          </cell>
          <cell r="O4484" t="str">
            <v>EQUIPO DE OFICINA</v>
          </cell>
          <cell r="P4484">
            <v>12000</v>
          </cell>
          <cell r="T4484" t="str">
            <v>Bueno</v>
          </cell>
          <cell r="U4484" t="str">
            <v>N/T</v>
          </cell>
        </row>
        <row r="4485">
          <cell r="J4485" t="str">
            <v>42-05-01-01-4477</v>
          </cell>
          <cell r="K4485" t="str">
            <v>42-1961</v>
          </cell>
          <cell r="L4485" t="str">
            <v>42-05-01-01-4477</v>
          </cell>
          <cell r="M4485" t="str">
            <v>Citófono/ teléfono marca Nortel Network, Modelo 7000</v>
          </cell>
          <cell r="N4485" t="str">
            <v>SALA ACTIV</v>
          </cell>
          <cell r="O4485" t="str">
            <v>EQUIPO DE OFICINA</v>
          </cell>
          <cell r="P4485">
            <v>36000</v>
          </cell>
          <cell r="T4485" t="str">
            <v>Bueno</v>
          </cell>
          <cell r="U4485" t="str">
            <v>N/T</v>
          </cell>
        </row>
        <row r="4486">
          <cell r="J4486" t="str">
            <v>42-04-01-00-4478</v>
          </cell>
          <cell r="K4486" t="str">
            <v>42-849</v>
          </cell>
          <cell r="L4486" t="str">
            <v>42-04-01-00-4478</v>
          </cell>
          <cell r="M4486" t="str">
            <v>Mesa mixta párvulo formalita café claro</v>
          </cell>
          <cell r="N4486" t="str">
            <v>SALA ACTIV</v>
          </cell>
          <cell r="O4486" t="str">
            <v>MESAS</v>
          </cell>
          <cell r="P4486">
            <v>25000</v>
          </cell>
          <cell r="T4486" t="str">
            <v>Bueno</v>
          </cell>
          <cell r="U4486" t="str">
            <v>N/T</v>
          </cell>
        </row>
        <row r="4487">
          <cell r="J4487" t="str">
            <v>42-04-01-00-4479</v>
          </cell>
          <cell r="K4487" t="str">
            <v>42-850</v>
          </cell>
          <cell r="L4487" t="str">
            <v>42-04-01-00-4479</v>
          </cell>
          <cell r="M4487" t="str">
            <v>Mesa mixta párvulo formalita café claro</v>
          </cell>
          <cell r="N4487" t="str">
            <v>SALA ACTIV</v>
          </cell>
          <cell r="O4487" t="str">
            <v>MESAS</v>
          </cell>
          <cell r="P4487">
            <v>25000</v>
          </cell>
          <cell r="T4487" t="str">
            <v>Bueno</v>
          </cell>
          <cell r="U4487" t="str">
            <v>N/T</v>
          </cell>
        </row>
        <row r="4488">
          <cell r="J4488" t="str">
            <v>42-04-01-00-4480</v>
          </cell>
          <cell r="K4488" t="str">
            <v>42-851</v>
          </cell>
          <cell r="L4488" t="str">
            <v>42-04-01-00-4480</v>
          </cell>
          <cell r="M4488" t="str">
            <v>Mesa mixta párvulo formalita café claro</v>
          </cell>
          <cell r="N4488" t="str">
            <v>SALA ACTIV</v>
          </cell>
          <cell r="O4488" t="str">
            <v>MESAS</v>
          </cell>
          <cell r="P4488">
            <v>25000</v>
          </cell>
          <cell r="T4488" t="str">
            <v>Bueno</v>
          </cell>
          <cell r="U4488" t="str">
            <v>N/T</v>
          </cell>
        </row>
        <row r="4489">
          <cell r="J4489" t="str">
            <v>42-04-01-00-4481</v>
          </cell>
          <cell r="K4489" t="str">
            <v>42-852</v>
          </cell>
          <cell r="L4489" t="str">
            <v>42-04-01-00-4481</v>
          </cell>
          <cell r="M4489" t="str">
            <v>Mesa mixta párvulo formalita café claro</v>
          </cell>
          <cell r="N4489" t="str">
            <v>SALA ACTIV</v>
          </cell>
          <cell r="O4489" t="str">
            <v>MESAS</v>
          </cell>
          <cell r="P4489">
            <v>25000</v>
          </cell>
          <cell r="T4489" t="str">
            <v>Bueno</v>
          </cell>
          <cell r="U4489" t="str">
            <v>N/T</v>
          </cell>
        </row>
        <row r="4490">
          <cell r="J4490" t="str">
            <v>42-04-02-00-4482</v>
          </cell>
          <cell r="K4490" t="str">
            <v>42-852b</v>
          </cell>
          <cell r="L4490" t="str">
            <v>42-04-02-00-4482</v>
          </cell>
          <cell r="M4490" t="str">
            <v>Silla mixta párvulo formalita café claro</v>
          </cell>
          <cell r="N4490" t="str">
            <v>SALA ACTIV</v>
          </cell>
          <cell r="O4490" t="str">
            <v>SILLAS</v>
          </cell>
          <cell r="P4490">
            <v>6900</v>
          </cell>
          <cell r="T4490" t="str">
            <v>BUENO</v>
          </cell>
          <cell r="U4490" t="str">
            <v>N/T</v>
          </cell>
        </row>
        <row r="4491">
          <cell r="J4491" t="str">
            <v>42-04-02-00-4483</v>
          </cell>
          <cell r="K4491" t="str">
            <v>42-853</v>
          </cell>
          <cell r="L4491" t="str">
            <v>42-04-02-00-4483</v>
          </cell>
          <cell r="M4491" t="str">
            <v>Silla mixta párvulo formalita café claro</v>
          </cell>
          <cell r="N4491" t="str">
            <v>SALA ACTIV</v>
          </cell>
          <cell r="O4491" t="str">
            <v>SILLAS</v>
          </cell>
          <cell r="P4491">
            <v>6900</v>
          </cell>
          <cell r="T4491" t="str">
            <v>BUENO</v>
          </cell>
          <cell r="U4491" t="str">
            <v>N/T</v>
          </cell>
        </row>
        <row r="4492">
          <cell r="J4492" t="str">
            <v>42-04-02-00-4484</v>
          </cell>
          <cell r="K4492" t="str">
            <v>42-854</v>
          </cell>
          <cell r="L4492" t="str">
            <v>42-04-02-00-4484</v>
          </cell>
          <cell r="M4492" t="str">
            <v>Silla mixta párvulo formalita café claro</v>
          </cell>
          <cell r="N4492" t="str">
            <v>SALA ACTIV</v>
          </cell>
          <cell r="O4492" t="str">
            <v>SILLAS</v>
          </cell>
          <cell r="P4492">
            <v>6900</v>
          </cell>
          <cell r="T4492" t="str">
            <v>BUENO</v>
          </cell>
          <cell r="U4492" t="str">
            <v>N/T</v>
          </cell>
        </row>
        <row r="4493">
          <cell r="J4493" t="str">
            <v>42-04-02-00-4485</v>
          </cell>
          <cell r="K4493" t="str">
            <v>42-855</v>
          </cell>
          <cell r="L4493" t="str">
            <v>42-04-02-00-4485</v>
          </cell>
          <cell r="M4493" t="str">
            <v>Silla mixta párvulo formalita café claro</v>
          </cell>
          <cell r="N4493" t="str">
            <v>SALA ACTIV</v>
          </cell>
          <cell r="O4493" t="str">
            <v>SILLAS</v>
          </cell>
          <cell r="P4493">
            <v>6900</v>
          </cell>
          <cell r="T4493" t="str">
            <v>BUENO</v>
          </cell>
          <cell r="U4493" t="str">
            <v>N/T</v>
          </cell>
        </row>
        <row r="4494">
          <cell r="J4494" t="str">
            <v>42-04-02-00-4486</v>
          </cell>
          <cell r="K4494" t="str">
            <v>42-856</v>
          </cell>
          <cell r="L4494" t="str">
            <v>42-04-02-00-4486</v>
          </cell>
          <cell r="M4494" t="str">
            <v>Silla mixta párvulo formalita café claro</v>
          </cell>
          <cell r="N4494" t="str">
            <v>SALA ACTIV</v>
          </cell>
          <cell r="O4494" t="str">
            <v>SILLAS</v>
          </cell>
          <cell r="P4494">
            <v>6900</v>
          </cell>
          <cell r="T4494" t="str">
            <v>BUENO</v>
          </cell>
          <cell r="U4494" t="str">
            <v>N/T</v>
          </cell>
        </row>
        <row r="4495">
          <cell r="J4495" t="str">
            <v>42-04-02-00-4487</v>
          </cell>
          <cell r="K4495" t="str">
            <v>42-857</v>
          </cell>
          <cell r="L4495" t="str">
            <v>42-04-02-00-4487</v>
          </cell>
          <cell r="M4495" t="str">
            <v>Silla mixta párvulo formalita café claro</v>
          </cell>
          <cell r="N4495" t="str">
            <v>SALA ACTIV</v>
          </cell>
          <cell r="O4495" t="str">
            <v>SILLAS</v>
          </cell>
          <cell r="P4495">
            <v>6900</v>
          </cell>
          <cell r="T4495" t="str">
            <v>BUENO</v>
          </cell>
          <cell r="U4495" t="str">
            <v>N/T</v>
          </cell>
        </row>
        <row r="4496">
          <cell r="J4496" t="str">
            <v>42-04-02-00-4488</v>
          </cell>
          <cell r="K4496" t="str">
            <v>42-857b</v>
          </cell>
          <cell r="L4496" t="str">
            <v>42-04-02-00-4488</v>
          </cell>
          <cell r="M4496" t="str">
            <v>Silla mixta párvulo formalita café claro</v>
          </cell>
          <cell r="N4496" t="str">
            <v>SALA ACTIV</v>
          </cell>
          <cell r="O4496" t="str">
            <v>SILLAS</v>
          </cell>
          <cell r="P4496">
            <v>6900</v>
          </cell>
          <cell r="T4496" t="str">
            <v>BUENO</v>
          </cell>
          <cell r="U4496" t="str">
            <v>N/T</v>
          </cell>
        </row>
        <row r="4497">
          <cell r="J4497" t="str">
            <v>42-04-02-00-4489</v>
          </cell>
          <cell r="K4497" t="str">
            <v>42-858</v>
          </cell>
          <cell r="L4497" t="str">
            <v>42-04-02-00-4489</v>
          </cell>
          <cell r="M4497" t="str">
            <v>Silla mixta párvulo formalita café claro</v>
          </cell>
          <cell r="N4497" t="str">
            <v>SALA ACTIV</v>
          </cell>
          <cell r="O4497" t="str">
            <v>SILLAS</v>
          </cell>
          <cell r="P4497">
            <v>6900</v>
          </cell>
          <cell r="T4497" t="str">
            <v>BUENO</v>
          </cell>
          <cell r="U4497" t="str">
            <v>N/T</v>
          </cell>
        </row>
        <row r="4498">
          <cell r="J4498" t="str">
            <v>42-04-02-00-4490</v>
          </cell>
          <cell r="K4498" t="str">
            <v>42-859</v>
          </cell>
          <cell r="L4498" t="str">
            <v>42-04-02-00-4490</v>
          </cell>
          <cell r="M4498" t="str">
            <v>Silla mixta párvulo formalita café claro</v>
          </cell>
          <cell r="N4498" t="str">
            <v>SALA ACTIV</v>
          </cell>
          <cell r="O4498" t="str">
            <v>SILLAS</v>
          </cell>
          <cell r="P4498">
            <v>6900</v>
          </cell>
          <cell r="T4498" t="str">
            <v>BUENO</v>
          </cell>
          <cell r="U4498" t="str">
            <v>N/T</v>
          </cell>
        </row>
        <row r="4499">
          <cell r="J4499" t="str">
            <v>42-04-02-00-4491</v>
          </cell>
          <cell r="K4499" t="str">
            <v>42-860</v>
          </cell>
          <cell r="L4499" t="str">
            <v>42-04-02-00-4491</v>
          </cell>
          <cell r="M4499" t="str">
            <v>Silla mixta párvulo formalita café claro</v>
          </cell>
          <cell r="N4499" t="str">
            <v>SALA ACTIV</v>
          </cell>
          <cell r="O4499" t="str">
            <v>SILLAS</v>
          </cell>
          <cell r="P4499">
            <v>6900</v>
          </cell>
          <cell r="T4499" t="str">
            <v>BUENO</v>
          </cell>
          <cell r="U4499" t="str">
            <v>N/T</v>
          </cell>
        </row>
        <row r="4500">
          <cell r="J4500" t="str">
            <v>42-04-02-00-4492</v>
          </cell>
          <cell r="K4500" t="str">
            <v>42-860b</v>
          </cell>
          <cell r="L4500" t="str">
            <v>42-04-02-00-4492</v>
          </cell>
          <cell r="M4500" t="str">
            <v>Silla mixta párvulo formalita café claro</v>
          </cell>
          <cell r="N4500" t="str">
            <v>SALA ACTIV</v>
          </cell>
          <cell r="O4500" t="str">
            <v>SILLAS</v>
          </cell>
          <cell r="P4500">
            <v>6900</v>
          </cell>
          <cell r="T4500" t="str">
            <v>BUENO</v>
          </cell>
          <cell r="U4500" t="str">
            <v>N/T</v>
          </cell>
        </row>
        <row r="4501">
          <cell r="J4501" t="str">
            <v>42-04-02-00-4493</v>
          </cell>
          <cell r="K4501" t="str">
            <v>42-861</v>
          </cell>
          <cell r="L4501" t="str">
            <v>42-04-02-00-4493</v>
          </cell>
          <cell r="M4501" t="str">
            <v>Silla mixta párvulo formalita café claro</v>
          </cell>
          <cell r="N4501" t="str">
            <v>SALA ACTIV</v>
          </cell>
          <cell r="O4501" t="str">
            <v>SILLAS</v>
          </cell>
          <cell r="P4501">
            <v>6900</v>
          </cell>
          <cell r="T4501" t="str">
            <v>BUENO</v>
          </cell>
          <cell r="U4501" t="str">
            <v>N/T</v>
          </cell>
        </row>
        <row r="4502">
          <cell r="J4502" t="str">
            <v>42-04-02-00-4494</v>
          </cell>
          <cell r="K4502" t="str">
            <v>42-861b</v>
          </cell>
          <cell r="L4502" t="str">
            <v>42-04-02-00-4494</v>
          </cell>
          <cell r="M4502" t="str">
            <v>Silla mixta párvulo formalita café claro</v>
          </cell>
          <cell r="N4502" t="str">
            <v>SALA ACTIV</v>
          </cell>
          <cell r="O4502" t="str">
            <v>SILLAS</v>
          </cell>
          <cell r="P4502">
            <v>6900</v>
          </cell>
          <cell r="T4502" t="str">
            <v>BUENO</v>
          </cell>
          <cell r="U4502" t="str">
            <v>N/T</v>
          </cell>
        </row>
        <row r="4503">
          <cell r="J4503" t="str">
            <v>42-04-02-00-4495</v>
          </cell>
          <cell r="K4503" t="str">
            <v>42-862</v>
          </cell>
          <cell r="L4503" t="str">
            <v>42-04-02-00-4495</v>
          </cell>
          <cell r="M4503" t="str">
            <v>Silla mixta párvulo formalita café claro</v>
          </cell>
          <cell r="N4503" t="str">
            <v>SALA ACTIV</v>
          </cell>
          <cell r="O4503" t="str">
            <v>SILLAS</v>
          </cell>
          <cell r="P4503">
            <v>6900</v>
          </cell>
          <cell r="T4503" t="str">
            <v>BUENO</v>
          </cell>
          <cell r="U4503" t="str">
            <v>N/T</v>
          </cell>
        </row>
        <row r="4504">
          <cell r="J4504" t="str">
            <v>42-04-07-00-4496</v>
          </cell>
          <cell r="K4504" t="str">
            <v>42-869</v>
          </cell>
          <cell r="L4504" t="str">
            <v>42-04-07-00-4496</v>
          </cell>
          <cell r="M4504" t="str">
            <v>Mueble de macisa y formalita blanco, 6 puertas de 58x300x106 cms.</v>
          </cell>
          <cell r="N4504" t="str">
            <v>SALA ACTIV</v>
          </cell>
          <cell r="O4504" t="str">
            <v>OTROS</v>
          </cell>
          <cell r="P4504">
            <v>76500</v>
          </cell>
          <cell r="T4504" t="str">
            <v>Bueno</v>
          </cell>
          <cell r="U4504" t="str">
            <v>N/T</v>
          </cell>
        </row>
        <row r="4505">
          <cell r="J4505" t="str">
            <v>42-04-07-00-4497</v>
          </cell>
          <cell r="K4505" t="str">
            <v>42-870</v>
          </cell>
          <cell r="L4505" t="str">
            <v>42-04-07-00-4497</v>
          </cell>
          <cell r="M4505" t="str">
            <v>Mueble de madera azúl 11 divisiones de 110x24x111 cms.</v>
          </cell>
          <cell r="N4505" t="str">
            <v>SALA ACTIV</v>
          </cell>
          <cell r="O4505" t="str">
            <v>OTROS</v>
          </cell>
          <cell r="P4505">
            <v>56900</v>
          </cell>
          <cell r="T4505" t="str">
            <v>Bueno</v>
          </cell>
          <cell r="U4505" t="str">
            <v>N/T</v>
          </cell>
        </row>
        <row r="4506">
          <cell r="J4506" t="str">
            <v>42-04-07-00-4498</v>
          </cell>
          <cell r="K4506" t="str">
            <v>42-871</v>
          </cell>
          <cell r="L4506" t="str">
            <v>42-04-07-00-4498</v>
          </cell>
          <cell r="M4506" t="str">
            <v>Mueble de madera naranjo con 11 divisiones  110x24x111 cms.</v>
          </cell>
          <cell r="N4506" t="str">
            <v>SALA ACTIV</v>
          </cell>
          <cell r="O4506" t="str">
            <v>OTROS</v>
          </cell>
          <cell r="P4506">
            <v>66500</v>
          </cell>
          <cell r="T4506" t="str">
            <v>Bueno</v>
          </cell>
          <cell r="U4506" t="str">
            <v>N/T</v>
          </cell>
        </row>
        <row r="4507">
          <cell r="J4507" t="str">
            <v>42-04-07-00-4499</v>
          </cell>
          <cell r="K4507" t="str">
            <v>42-872</v>
          </cell>
          <cell r="L4507" t="str">
            <v>42-04-07-00-4499</v>
          </cell>
          <cell r="M4507" t="str">
            <v>Mueble de madera blanco 2 puertas 100x70x90 cms.</v>
          </cell>
          <cell r="N4507" t="str">
            <v>SALA ACTIV</v>
          </cell>
          <cell r="O4507" t="str">
            <v>OTROS</v>
          </cell>
          <cell r="P4507">
            <v>55900</v>
          </cell>
          <cell r="T4507" t="str">
            <v>Bueno</v>
          </cell>
          <cell r="U4507" t="str">
            <v>N/T</v>
          </cell>
        </row>
        <row r="4508">
          <cell r="J4508" t="str">
            <v>42-04-07-00-4500</v>
          </cell>
          <cell r="K4508" t="str">
            <v>42-866</v>
          </cell>
          <cell r="L4508" t="str">
            <v>42-04-07-00-4500</v>
          </cell>
          <cell r="M4508" t="str">
            <v>Caja de instrumentos musicales con 25 instrumentos</v>
          </cell>
          <cell r="N4508" t="str">
            <v>SALA ACTIV</v>
          </cell>
          <cell r="O4508" t="str">
            <v>OTROS</v>
          </cell>
          <cell r="P4508">
            <v>20000</v>
          </cell>
          <cell r="T4508" t="str">
            <v>Bueno</v>
          </cell>
          <cell r="U4508" t="str">
            <v>N/T</v>
          </cell>
        </row>
        <row r="4509">
          <cell r="J4509" t="str">
            <v>FN-04-07-00-4501</v>
          </cell>
          <cell r="L4509" t="str">
            <v>FN-04-07-00-4501</v>
          </cell>
          <cell r="M4509" t="str">
            <v>Colchones de espuma</v>
          </cell>
          <cell r="N4509" t="str">
            <v>SALA ACTIV</v>
          </cell>
          <cell r="O4509" t="str">
            <v>OTROS FUNGIBLE / NOMINABLE</v>
          </cell>
          <cell r="P4509">
            <v>22300</v>
          </cell>
          <cell r="T4509" t="str">
            <v>Bueno</v>
          </cell>
          <cell r="U4509" t="str">
            <v>N/T</v>
          </cell>
        </row>
        <row r="4510">
          <cell r="J4510" t="str">
            <v>42-04-07-00-4502</v>
          </cell>
          <cell r="L4510" t="str">
            <v>42-04-07-00-4502</v>
          </cell>
          <cell r="M4510" t="str">
            <v>Pizarrón</v>
          </cell>
          <cell r="N4510" t="str">
            <v>SALA ACTIV</v>
          </cell>
          <cell r="O4510" t="str">
            <v>OTROS</v>
          </cell>
          <cell r="P4510">
            <v>12600</v>
          </cell>
          <cell r="T4510" t="str">
            <v>Bueno</v>
          </cell>
          <cell r="U4510" t="str">
            <v>N/T</v>
          </cell>
        </row>
        <row r="4511">
          <cell r="J4511" t="str">
            <v>42-04-07-00-4503</v>
          </cell>
          <cell r="L4511" t="str">
            <v>42-04-07-00-4503</v>
          </cell>
          <cell r="M4511" t="str">
            <v>Timbre musical</v>
          </cell>
          <cell r="N4511" t="str">
            <v>SALA ACTIV</v>
          </cell>
          <cell r="O4511" t="str">
            <v>OTROS</v>
          </cell>
          <cell r="P4511">
            <v>12500</v>
          </cell>
          <cell r="T4511" t="str">
            <v>Bueno</v>
          </cell>
          <cell r="U4511" t="str">
            <v>N/T</v>
          </cell>
        </row>
        <row r="4512">
          <cell r="J4512" t="str">
            <v>42-04-07-00-4504</v>
          </cell>
          <cell r="L4512" t="str">
            <v>42-04-07-00-4504</v>
          </cell>
          <cell r="M4512" t="str">
            <v>Perchas de bronce</v>
          </cell>
          <cell r="N4512" t="str">
            <v>SALA ACTIV</v>
          </cell>
          <cell r="O4512" t="str">
            <v>OTROS</v>
          </cell>
          <cell r="P4512">
            <v>2600</v>
          </cell>
          <cell r="T4512" t="str">
            <v>Bueno</v>
          </cell>
          <cell r="U4512" t="str">
            <v>N/T</v>
          </cell>
        </row>
        <row r="4513">
          <cell r="J4513" t="str">
            <v>42-04-07-00-4505</v>
          </cell>
          <cell r="L4513" t="str">
            <v>42-04-07-00-4505</v>
          </cell>
          <cell r="M4513" t="str">
            <v>Cortinas de chinz azul</v>
          </cell>
          <cell r="N4513" t="str">
            <v>SALA ACTIV</v>
          </cell>
          <cell r="O4513" t="str">
            <v>OTROS</v>
          </cell>
          <cell r="P4513">
            <v>12500</v>
          </cell>
          <cell r="T4513" t="str">
            <v>Bueno</v>
          </cell>
          <cell r="U4513" t="str">
            <v>N/T</v>
          </cell>
        </row>
        <row r="4514">
          <cell r="J4514" t="str">
            <v>FN-04-07-00-4506</v>
          </cell>
          <cell r="L4514" t="str">
            <v>FN-04-07-00-4506</v>
          </cell>
          <cell r="M4514" t="str">
            <v>Porta cortinas metálicos</v>
          </cell>
          <cell r="N4514" t="str">
            <v>SALA ACTIV</v>
          </cell>
          <cell r="O4514" t="str">
            <v>OTROS FUNGIBLE / NOMINABLE</v>
          </cell>
          <cell r="P4514">
            <v>2500</v>
          </cell>
          <cell r="T4514" t="str">
            <v>Bueno</v>
          </cell>
          <cell r="U4514" t="str">
            <v>N/T</v>
          </cell>
        </row>
        <row r="4515">
          <cell r="J4515" t="str">
            <v>42-04-07-00-4507</v>
          </cell>
          <cell r="K4515" t="str">
            <v>42-2302</v>
          </cell>
          <cell r="L4515" t="str">
            <v>42-04-07-00-4507</v>
          </cell>
          <cell r="M4515" t="str">
            <v>Casa cubo de colores para juegos, rojo, amarillo, verde, azul, blanco de cuadrado</v>
          </cell>
          <cell r="N4515" t="str">
            <v>SALA ACTIV</v>
          </cell>
          <cell r="O4515" t="str">
            <v>OTROS</v>
          </cell>
          <cell r="P4515">
            <v>20000</v>
          </cell>
          <cell r="T4515" t="str">
            <v>Bueno</v>
          </cell>
          <cell r="U4515" t="str">
            <v>N/T</v>
          </cell>
        </row>
        <row r="4516">
          <cell r="J4516" t="str">
            <v>FN-04-07-00-4508</v>
          </cell>
          <cell r="L4516" t="str">
            <v>FN-04-07-00-4508</v>
          </cell>
          <cell r="M4516" t="str">
            <v>Cortinas c / flores color rojo</v>
          </cell>
          <cell r="N4516" t="str">
            <v>SALA ACTIV</v>
          </cell>
          <cell r="O4516" t="str">
            <v>OTROS FUNGIBLE / NOMINABLE</v>
          </cell>
          <cell r="P4516">
            <v>12500</v>
          </cell>
          <cell r="T4516" t="str">
            <v>Bueno</v>
          </cell>
          <cell r="U4516" t="str">
            <v>N/T</v>
          </cell>
        </row>
        <row r="4517">
          <cell r="J4517" t="str">
            <v>FN-04-07-00-4509</v>
          </cell>
          <cell r="L4517" t="str">
            <v>FN-04-07-00-4509</v>
          </cell>
          <cell r="M4517" t="str">
            <v>Cortinas c / osos color azul</v>
          </cell>
          <cell r="N4517" t="str">
            <v>SALA ACTIV</v>
          </cell>
          <cell r="O4517" t="str">
            <v>OTROS FUNGIBLE / NOMINABLE</v>
          </cell>
          <cell r="P4517">
            <v>12500</v>
          </cell>
          <cell r="T4517" t="str">
            <v>Bueno</v>
          </cell>
          <cell r="U4517" t="str">
            <v>N/T</v>
          </cell>
        </row>
        <row r="4518">
          <cell r="J4518" t="str">
            <v>42-04-01-00-4510</v>
          </cell>
          <cell r="K4518" t="str">
            <v>42-2303</v>
          </cell>
          <cell r="L4518" t="str">
            <v>42-04-01-00-4510</v>
          </cell>
          <cell r="M4518" t="str">
            <v>Mesa plástica chica marca Wenco color roja, 4 sillas plásticas marca Wenco color azul</v>
          </cell>
          <cell r="N4518" t="str">
            <v>SALA ACTIV</v>
          </cell>
          <cell r="O4518" t="str">
            <v>MESAS</v>
          </cell>
          <cell r="P4518">
            <v>25600</v>
          </cell>
          <cell r="T4518" t="str">
            <v>Bueno</v>
          </cell>
          <cell r="U4518" t="str">
            <v>N/T</v>
          </cell>
        </row>
        <row r="4519">
          <cell r="J4519" t="str">
            <v>42-04-01-00-4511</v>
          </cell>
          <cell r="K4519" t="str">
            <v>42-2304</v>
          </cell>
          <cell r="L4519" t="str">
            <v>42-04-01-00-4511</v>
          </cell>
          <cell r="M4519" t="str">
            <v>Mesa madera natural chica, 4 sillas madera natural chicas</v>
          </cell>
          <cell r="N4519" t="str">
            <v>SALA ACTIV</v>
          </cell>
          <cell r="O4519" t="str">
            <v>MESAS</v>
          </cell>
          <cell r="P4519">
            <v>32900</v>
          </cell>
          <cell r="T4519" t="str">
            <v>Bueno</v>
          </cell>
          <cell r="U4519" t="str">
            <v>N/T</v>
          </cell>
        </row>
        <row r="4520">
          <cell r="J4520" t="str">
            <v>42-04-07-00-4512</v>
          </cell>
          <cell r="L4520" t="str">
            <v>42-04-07-00-4512</v>
          </cell>
          <cell r="M4520" t="str">
            <v>Estufa Gas Mademsa Vittale 15</v>
          </cell>
          <cell r="N4520" t="str">
            <v>SALA ACTIV</v>
          </cell>
          <cell r="O4520" t="str">
            <v>OTROS</v>
          </cell>
          <cell r="P4520">
            <v>68900</v>
          </cell>
          <cell r="T4520" t="str">
            <v>Bueno</v>
          </cell>
          <cell r="U4520" t="str">
            <v>N/T</v>
          </cell>
        </row>
        <row r="4521">
          <cell r="J4521" t="str">
            <v>42-04-07-00-4513</v>
          </cell>
          <cell r="K4521" t="str">
            <v>42-3364</v>
          </cell>
          <cell r="L4521" t="str">
            <v>42-04-07-00-4513</v>
          </cell>
          <cell r="M4521" t="str">
            <v xml:space="preserve">Mueble Masisa Enchapado 2 Puertas Correderas </v>
          </cell>
          <cell r="N4521" t="str">
            <v>SALA ACTIV</v>
          </cell>
          <cell r="O4521" t="str">
            <v>OTROS</v>
          </cell>
          <cell r="P4521">
            <v>46900</v>
          </cell>
          <cell r="T4521" t="str">
            <v>Bueno</v>
          </cell>
          <cell r="U4521" t="str">
            <v>N/T</v>
          </cell>
        </row>
        <row r="4522">
          <cell r="J4522" t="str">
            <v>FN-04-07-00-4514</v>
          </cell>
          <cell r="L4522" t="str">
            <v>FN-04-07-00-4514</v>
          </cell>
          <cell r="M4522" t="str">
            <v>Colgador Metalico Doble Tipo Gancho</v>
          </cell>
          <cell r="N4522" t="str">
            <v>SALA ACTIV</v>
          </cell>
          <cell r="O4522" t="str">
            <v>OTROS FUNGIBLE / NOMINABLE</v>
          </cell>
          <cell r="P4522">
            <v>3500</v>
          </cell>
          <cell r="T4522" t="str">
            <v>Bueno</v>
          </cell>
          <cell r="U4522" t="str">
            <v>N/T</v>
          </cell>
        </row>
        <row r="4523">
          <cell r="J4523" t="str">
            <v>42-05-01-01-4515</v>
          </cell>
          <cell r="K4523" t="str">
            <v>42-2643</v>
          </cell>
          <cell r="L4523" t="str">
            <v>42-05-01-01-4515</v>
          </cell>
          <cell r="M4523" t="str">
            <v xml:space="preserve">Televisor 21" Color Gris </v>
          </cell>
          <cell r="N4523" t="str">
            <v>SALA ACTIV</v>
          </cell>
          <cell r="O4523" t="str">
            <v>EQUIPO DE OFICINA</v>
          </cell>
          <cell r="P4523">
            <v>76500</v>
          </cell>
          <cell r="T4523" t="str">
            <v>Bueno</v>
          </cell>
          <cell r="U4523" t="str">
            <v>N/T</v>
          </cell>
        </row>
        <row r="4524">
          <cell r="J4524" t="str">
            <v>42-05-01-01-4516</v>
          </cell>
          <cell r="K4524" t="str">
            <v>42-2641</v>
          </cell>
          <cell r="L4524" t="str">
            <v>42-05-01-01-4516</v>
          </cell>
          <cell r="M4524" t="str">
            <v>DVD Phillips Color Gris DIV X</v>
          </cell>
          <cell r="N4524" t="str">
            <v>SALA ACTIV</v>
          </cell>
          <cell r="O4524" t="str">
            <v>EQUIPO DE OFICINA</v>
          </cell>
          <cell r="P4524">
            <v>27600</v>
          </cell>
          <cell r="T4524" t="str">
            <v>Bueno</v>
          </cell>
          <cell r="U4524" t="str">
            <v>N/T</v>
          </cell>
        </row>
        <row r="4525">
          <cell r="J4525" t="str">
            <v>42-05-01-01-4517</v>
          </cell>
          <cell r="L4525" t="str">
            <v>42-05-01-01-4517</v>
          </cell>
          <cell r="M4525" t="str">
            <v>SubWoofer GROVEN Technologies 2 X 1</v>
          </cell>
          <cell r="N4525" t="str">
            <v>SALA ACTIV</v>
          </cell>
          <cell r="O4525" t="str">
            <v>EQUIPO DE OFICINA</v>
          </cell>
          <cell r="P4525">
            <v>22600</v>
          </cell>
          <cell r="T4525" t="str">
            <v>Bueno</v>
          </cell>
          <cell r="U4525" t="str">
            <v>N/T</v>
          </cell>
        </row>
        <row r="4526">
          <cell r="J4526" t="str">
            <v>42-04-07-00-4518</v>
          </cell>
          <cell r="L4526" t="str">
            <v>42-04-07-00-4518</v>
          </cell>
          <cell r="M4526" t="str">
            <v>Balancines Chicos Para Niños</v>
          </cell>
          <cell r="N4526" t="str">
            <v>PATIO Y BAÑO</v>
          </cell>
          <cell r="O4526" t="str">
            <v>OTROS</v>
          </cell>
          <cell r="P4526">
            <v>15600</v>
          </cell>
          <cell r="T4526" t="str">
            <v>Bueno</v>
          </cell>
          <cell r="U4526" t="str">
            <v>N/T</v>
          </cell>
        </row>
        <row r="4527">
          <cell r="J4527" t="str">
            <v>42-06-01-00-4519</v>
          </cell>
          <cell r="L4527" t="str">
            <v>42-06-01-00-4519</v>
          </cell>
          <cell r="M4527" t="str">
            <v>Porta Toalla Tork Mediano</v>
          </cell>
          <cell r="O4527" t="str">
            <v>EQUIPOS COMPUTACIONALES Y PERIFÉRICOS</v>
          </cell>
          <cell r="P4527">
            <v>15600</v>
          </cell>
          <cell r="T4527" t="str">
            <v>Bueno</v>
          </cell>
          <cell r="U4527" t="str">
            <v>N/T</v>
          </cell>
        </row>
        <row r="4528">
          <cell r="J4528" t="str">
            <v>NN-06-01-00-4520</v>
          </cell>
          <cell r="L4528" t="str">
            <v>NN-06-01-00-4520</v>
          </cell>
          <cell r="M4528" t="str">
            <v>Monitor 17"  TFT Olidatra Negro Nº 7009S - 95D2588 - 000916</v>
          </cell>
          <cell r="O4528" t="str">
            <v>EQUIPOS COMPUTACIONALES Y PERIFÉRICOS EN ARRIENDO</v>
          </cell>
          <cell r="P4528">
            <v>65000</v>
          </cell>
          <cell r="T4528" t="str">
            <v>Bueno</v>
          </cell>
          <cell r="U4528" t="str">
            <v>Olidata</v>
          </cell>
        </row>
        <row r="4529">
          <cell r="J4529" t="str">
            <v>NN-06-01-00-4521</v>
          </cell>
          <cell r="L4529" t="str">
            <v>NN-06-01-00-4521</v>
          </cell>
          <cell r="M4529" t="str">
            <v>CPU Olidata Negro / Gris Nº 013433-000062-OL 6 - 395</v>
          </cell>
          <cell r="O4529" t="str">
            <v>EQUIPOS COMPUTACIONALES Y PERIFÉRICOS EN ARRIENDO</v>
          </cell>
          <cell r="P4529">
            <v>240000</v>
          </cell>
          <cell r="T4529" t="str">
            <v>Bueno</v>
          </cell>
          <cell r="U4529" t="str">
            <v>Olidata</v>
          </cell>
        </row>
        <row r="4530">
          <cell r="J4530" t="str">
            <v>NN-06-01-00-4522</v>
          </cell>
          <cell r="L4530" t="str">
            <v>NN-06-01-00-4522</v>
          </cell>
          <cell r="M4530" t="str">
            <v>Teclado Olidata Model K - 3100</v>
          </cell>
          <cell r="O4530" t="str">
            <v>EQUIPOS COMPUTACIONALES Y PERIFÉRICOS EN ARRIENDO</v>
          </cell>
          <cell r="P4530">
            <v>3000</v>
          </cell>
          <cell r="T4530" t="str">
            <v>Bueno</v>
          </cell>
          <cell r="U4530" t="str">
            <v>Olidata</v>
          </cell>
        </row>
        <row r="4531">
          <cell r="J4531" t="str">
            <v>NN-06-01-00-4523</v>
          </cell>
          <cell r="L4531" t="str">
            <v>NN-06-01-00-4523</v>
          </cell>
          <cell r="M4531" t="str">
            <v>Mouse Olidata KM - 8920</v>
          </cell>
          <cell r="O4531" t="str">
            <v>EQUIPOS COMPUTACIONALES Y PERIFÉRICOS EN ARRIENDO</v>
          </cell>
          <cell r="P4531">
            <v>4000</v>
          </cell>
          <cell r="T4531" t="str">
            <v>Bueno</v>
          </cell>
          <cell r="U4531" t="str">
            <v>Olidata</v>
          </cell>
        </row>
        <row r="4532">
          <cell r="J4532" t="str">
            <v>NN-06-01-00-4524</v>
          </cell>
          <cell r="L4532" t="str">
            <v>NN-06-01-00-4524</v>
          </cell>
          <cell r="M4532" t="str">
            <v>Monitor 17"  TFT Olidatra Negro Nº 7009S - 95D2588 - 000611</v>
          </cell>
          <cell r="O4532" t="str">
            <v>EQUIPOS COMPUTACIONALES Y PERIFÉRICOS EN ARRIENDO</v>
          </cell>
          <cell r="P4532">
            <v>65000</v>
          </cell>
          <cell r="T4532" t="str">
            <v>Bueno</v>
          </cell>
          <cell r="U4532" t="str">
            <v>Olidata</v>
          </cell>
        </row>
        <row r="4533">
          <cell r="J4533" t="str">
            <v>NN-06-01-00-4525</v>
          </cell>
          <cell r="L4533" t="str">
            <v>NN-06-01-00-4525</v>
          </cell>
          <cell r="M4533" t="str">
            <v>CPU Olidata Negro / Gris Nº 013433-000045-OL 6 - 395</v>
          </cell>
          <cell r="O4533" t="str">
            <v>EQUIPOS COMPUTACIONALES Y PERIFÉRICOS EN ARRIENDO</v>
          </cell>
          <cell r="P4533">
            <v>240000</v>
          </cell>
          <cell r="T4533" t="str">
            <v>Bueno</v>
          </cell>
          <cell r="U4533" t="str">
            <v>Olidata</v>
          </cell>
        </row>
        <row r="4534">
          <cell r="J4534" t="str">
            <v>NN-06-01-00-4526</v>
          </cell>
          <cell r="L4534" t="str">
            <v>NN-06-01-00-4526</v>
          </cell>
          <cell r="M4534" t="str">
            <v>Teclado Olidata Model K - 3100</v>
          </cell>
          <cell r="O4534" t="str">
            <v>EQUIPOS COMPUTACIONALES Y PERIFÉRICOS EN ARRIENDO</v>
          </cell>
          <cell r="P4534">
            <v>3000</v>
          </cell>
          <cell r="T4534" t="str">
            <v>Bueno</v>
          </cell>
          <cell r="U4534" t="str">
            <v>Olidata</v>
          </cell>
        </row>
        <row r="4535">
          <cell r="J4535" t="str">
            <v>NN-06-01-00-4527</v>
          </cell>
          <cell r="L4535" t="str">
            <v>NN-06-01-00-4527</v>
          </cell>
          <cell r="M4535" t="str">
            <v>Mouse Olidata KM - 8920</v>
          </cell>
          <cell r="O4535" t="str">
            <v>EQUIPOS COMPUTACIONALES Y PERIFÉRICOS EN ARRIENDO</v>
          </cell>
          <cell r="P4535">
            <v>4000</v>
          </cell>
          <cell r="T4535" t="str">
            <v>Bueno</v>
          </cell>
          <cell r="U4535" t="str">
            <v>Olidata</v>
          </cell>
        </row>
        <row r="4536">
          <cell r="J4536" t="str">
            <v>FN-04-07-00-4528</v>
          </cell>
          <cell r="L4536" t="str">
            <v>FN-04-07-00-4528</v>
          </cell>
          <cell r="M4536" t="str">
            <v>Papelero Gris Plastico Con Tapa y Pedal</v>
          </cell>
          <cell r="O4536" t="str">
            <v>OTROS FUNGIBLE / NOMINABLE</v>
          </cell>
          <cell r="P4536">
            <v>4000</v>
          </cell>
          <cell r="T4536" t="str">
            <v>Bueno</v>
          </cell>
          <cell r="U4536" t="str">
            <v>N/T</v>
          </cell>
        </row>
        <row r="4537">
          <cell r="J4537" t="str">
            <v>42-05-02-06-4529</v>
          </cell>
          <cell r="L4537" t="str">
            <v>42-05-02-06-4529</v>
          </cell>
          <cell r="M4537" t="str">
            <v>Atornillador Inalambrico Black &amp; Decker A12 - E</v>
          </cell>
          <cell r="O4537" t="str">
            <v>HERRAMIENTAS</v>
          </cell>
          <cell r="P4537">
            <v>33280</v>
          </cell>
          <cell r="T4537" t="str">
            <v>Bueno</v>
          </cell>
          <cell r="U4537" t="str">
            <v>Black &amp; Decker</v>
          </cell>
        </row>
        <row r="4538">
          <cell r="J4538" t="str">
            <v>42-05-02-01-4530</v>
          </cell>
          <cell r="L4538" t="str">
            <v>42-05-02-01-4530</v>
          </cell>
          <cell r="M4538" t="str">
            <v>Fonendoscopio Neonatal RIESTER QUALITY</v>
          </cell>
          <cell r="O4538" t="str">
            <v>EQUIPOS CLINICOS</v>
          </cell>
          <cell r="P4538">
            <v>47576</v>
          </cell>
          <cell r="T4538" t="str">
            <v>Bueno</v>
          </cell>
          <cell r="U4538" t="str">
            <v>RIESTER</v>
          </cell>
        </row>
        <row r="4539">
          <cell r="J4539" t="str">
            <v>42-05-02-01-4531</v>
          </cell>
          <cell r="L4539" t="str">
            <v>42-05-02-01-4531</v>
          </cell>
          <cell r="M4539" t="str">
            <v>Fonendoscopio Neonatal RIESTER QUALITY</v>
          </cell>
          <cell r="O4539" t="str">
            <v>EQUIPOS CLINICOS</v>
          </cell>
          <cell r="P4539">
            <v>47576</v>
          </cell>
          <cell r="T4539" t="str">
            <v>Bueno</v>
          </cell>
          <cell r="U4539" t="str">
            <v>RIESTER</v>
          </cell>
        </row>
        <row r="4540">
          <cell r="J4540" t="str">
            <v>42-05-02-01-4532</v>
          </cell>
          <cell r="K4540" t="str">
            <v>42-2391</v>
          </cell>
          <cell r="L4540" t="str">
            <v>42-05-02-01-4532</v>
          </cell>
          <cell r="M4540" t="str">
            <v>Fotómetro BTS - 10 (Nº 42-2391)</v>
          </cell>
          <cell r="O4540" t="str">
            <v>EQUIPOS CLINICOS</v>
          </cell>
          <cell r="P4540">
            <v>40000</v>
          </cell>
          <cell r="T4540" t="str">
            <v>Malo</v>
          </cell>
          <cell r="U4540" t="str">
            <v>BTS</v>
          </cell>
        </row>
        <row r="4541">
          <cell r="J4541" t="str">
            <v>42-05-02-01-4533</v>
          </cell>
          <cell r="L4541" t="str">
            <v>42-05-02-01-4533</v>
          </cell>
          <cell r="M4541" t="str">
            <v>Lector De Tiras De Orina Combi Scan 100 (Com. Olsis)</v>
          </cell>
          <cell r="O4541" t="str">
            <v>EQUIPOS CLINICOS</v>
          </cell>
          <cell r="P4541">
            <v>350000</v>
          </cell>
          <cell r="T4541" t="str">
            <v>Malo</v>
          </cell>
          <cell r="U4541" t="str">
            <v>Combi</v>
          </cell>
        </row>
        <row r="4542">
          <cell r="J4542" t="str">
            <v>42-04-06-00-4534</v>
          </cell>
          <cell r="L4542" t="str">
            <v>42-04-06-00-4534</v>
          </cell>
          <cell r="M4542" t="str">
            <v>Mueble Melamina 4 Puertas C/Llave Blanco Invierno Tipo Casilleros</v>
          </cell>
          <cell r="O4542" t="str">
            <v>REPISA</v>
          </cell>
          <cell r="P4542">
            <v>120000</v>
          </cell>
          <cell r="T4542" t="str">
            <v>BUENO</v>
          </cell>
          <cell r="U4542" t="str">
            <v>N/T</v>
          </cell>
        </row>
        <row r="4543">
          <cell r="J4543" t="str">
            <v>42-04-06-00-4535</v>
          </cell>
          <cell r="L4543" t="str">
            <v>42-04-06-00-4535</v>
          </cell>
          <cell r="M4543" t="str">
            <v>Mueble Melamina Tipo Repisa 1 Puerta C/Llave Blanco Invierno 180 x 60 2 Compartimientos</v>
          </cell>
          <cell r="O4543" t="str">
            <v>REPISA</v>
          </cell>
          <cell r="P4543">
            <v>80000</v>
          </cell>
          <cell r="T4543" t="str">
            <v>BUENO</v>
          </cell>
          <cell r="U4543" t="str">
            <v>N/T</v>
          </cell>
        </row>
        <row r="4544">
          <cell r="J4544" t="str">
            <v>42-05-01-01-4536</v>
          </cell>
          <cell r="K4544" t="str">
            <v>42-3550</v>
          </cell>
          <cell r="L4544" t="str">
            <v>42-05-01-01-4536</v>
          </cell>
          <cell r="M4544" t="str">
            <v>Refrigerador MADEMSA ALTUS MR-740 G/220/50 (NUM ANTIGUO 42-3550)</v>
          </cell>
          <cell r="O4544" t="str">
            <v>EQUIPO DE OFICINA</v>
          </cell>
          <cell r="P4544">
            <v>244480</v>
          </cell>
          <cell r="T4544" t="str">
            <v>BUENO</v>
          </cell>
          <cell r="U4544" t="str">
            <v>Mademsa</v>
          </cell>
        </row>
        <row r="4545">
          <cell r="J4545" t="str">
            <v>42-04-07-00-4537</v>
          </cell>
          <cell r="L4545" t="str">
            <v>42-04-07-00-4537</v>
          </cell>
          <cell r="M4545" t="str">
            <v>Gabinete LB Intergroupe Sintesis 90x46x143</v>
          </cell>
          <cell r="O4545" t="str">
            <v>OTROS</v>
          </cell>
          <cell r="P4545">
            <v>169105</v>
          </cell>
          <cell r="T4545" t="str">
            <v>BUENO</v>
          </cell>
          <cell r="U4545" t="str">
            <v>Intergroupe</v>
          </cell>
        </row>
        <row r="4546">
          <cell r="J4546" t="str">
            <v>42-04-07-00-4538</v>
          </cell>
          <cell r="L4546" t="str">
            <v>42-04-07-00-4538</v>
          </cell>
          <cell r="M4546" t="str">
            <v>Gabinete LB Intergroupe Sintesis 90x46x143</v>
          </cell>
          <cell r="O4546" t="str">
            <v>OTROS</v>
          </cell>
          <cell r="P4546">
            <v>169105</v>
          </cell>
          <cell r="T4546" t="str">
            <v>BUENO</v>
          </cell>
          <cell r="U4546" t="str">
            <v>Intergroupe</v>
          </cell>
        </row>
        <row r="4547">
          <cell r="J4547" t="str">
            <v>42-04-07-00-4539</v>
          </cell>
          <cell r="L4547" t="str">
            <v>42-04-07-00-4539</v>
          </cell>
          <cell r="M4547" t="str">
            <v>Gabinete LB Intergroupe Sintesis 90x46x143</v>
          </cell>
          <cell r="O4547" t="str">
            <v>OTROS</v>
          </cell>
          <cell r="P4547">
            <v>169105</v>
          </cell>
          <cell r="T4547" t="str">
            <v>BUENO</v>
          </cell>
          <cell r="U4547" t="str">
            <v>Intergroupe</v>
          </cell>
        </row>
        <row r="4548">
          <cell r="J4548" t="str">
            <v>42-04-07-00-4540</v>
          </cell>
          <cell r="L4548" t="str">
            <v>42-04-07-00-4540</v>
          </cell>
          <cell r="M4548" t="str">
            <v>Gabinete LB Intergroupe Sintesis 90x46x143</v>
          </cell>
          <cell r="O4548" t="str">
            <v>OTROS</v>
          </cell>
          <cell r="P4548">
            <v>169105</v>
          </cell>
          <cell r="T4548" t="str">
            <v>BUENO</v>
          </cell>
          <cell r="U4548" t="str">
            <v>Intergroupe</v>
          </cell>
        </row>
        <row r="4549">
          <cell r="J4549" t="str">
            <v>42-06-01-00-4541</v>
          </cell>
          <cell r="L4549" t="str">
            <v>42-06-01-00-4541</v>
          </cell>
          <cell r="M4549" t="str">
            <v>Impresora Termica BROTHER PT-2730 803898</v>
          </cell>
          <cell r="N4549">
            <v>803898</v>
          </cell>
          <cell r="O4549" t="str">
            <v>EQUIPOS COMPUTACIONALES Y PERIFÉRICOS</v>
          </cell>
          <cell r="P4549">
            <v>91924</v>
          </cell>
          <cell r="T4549" t="str">
            <v>BUENO</v>
          </cell>
          <cell r="U4549" t="str">
            <v>BROTHER</v>
          </cell>
        </row>
        <row r="4550">
          <cell r="J4550" t="str">
            <v>42-04-07-00-4542</v>
          </cell>
          <cell r="L4550" t="str">
            <v>42-04-07-00-4542</v>
          </cell>
          <cell r="M4550" t="str">
            <v xml:space="preserve">Caja Almacenaje Plastica C/ Ruedas 50 LTS Rojo / Azul </v>
          </cell>
          <cell r="O4550" t="str">
            <v>OTROS</v>
          </cell>
          <cell r="P4550">
            <v>99900</v>
          </cell>
          <cell r="T4550" t="str">
            <v>BUENO</v>
          </cell>
          <cell r="U4550" t="str">
            <v>N/T</v>
          </cell>
        </row>
        <row r="4551">
          <cell r="J4551" t="str">
            <v>FN-04-07-00-4543</v>
          </cell>
          <cell r="L4551" t="str">
            <v>FN-04-07-00-4543</v>
          </cell>
          <cell r="M4551" t="str">
            <v xml:space="preserve">Cortinas Verde Pistaccio </v>
          </cell>
          <cell r="O4551" t="str">
            <v>OTROS FUNGIBLE / NOMINABLE</v>
          </cell>
          <cell r="P4551">
            <v>12500</v>
          </cell>
          <cell r="T4551" t="str">
            <v>BUENO</v>
          </cell>
          <cell r="U4551" t="str">
            <v>N/T</v>
          </cell>
        </row>
        <row r="4552">
          <cell r="J4552" t="str">
            <v>42-04-07-00-4544</v>
          </cell>
          <cell r="L4552" t="str">
            <v>42-04-07-00-4544</v>
          </cell>
          <cell r="M4552" t="str">
            <v>Espejo 150 x 120 Marco Madera Café</v>
          </cell>
          <cell r="O4552" t="str">
            <v>OTROS</v>
          </cell>
          <cell r="P4552">
            <v>25000</v>
          </cell>
          <cell r="T4552" t="str">
            <v>BUENO</v>
          </cell>
          <cell r="U4552" t="str">
            <v>N/T</v>
          </cell>
        </row>
        <row r="4553">
          <cell r="J4553" t="str">
            <v>42-05-02-03-4545</v>
          </cell>
          <cell r="L4553" t="str">
            <v>42-05-02-03-4545</v>
          </cell>
          <cell r="M4553" t="str">
            <v>Radio Comunicador Motorola DGP 6150 Impress S/N 037TMLD833 Model LAH55JDH9JA1AN</v>
          </cell>
          <cell r="O4553" t="str">
            <v>EQUIPOS DE COMUNICACIÓN</v>
          </cell>
          <cell r="P4553">
            <v>214000</v>
          </cell>
          <cell r="T4553" t="str">
            <v>BUENO</v>
          </cell>
          <cell r="U4553" t="str">
            <v>MOTOROLA</v>
          </cell>
        </row>
        <row r="4554">
          <cell r="J4554" t="str">
            <v>42-05-02-03-4546</v>
          </cell>
          <cell r="L4554" t="str">
            <v>42-05-02-03-4546</v>
          </cell>
          <cell r="M4554" t="str">
            <v>Antena VHF Motorola</v>
          </cell>
          <cell r="O4554" t="str">
            <v>EQUIPOS DE COMUNICACIÓN</v>
          </cell>
          <cell r="P4554">
            <v>12000</v>
          </cell>
          <cell r="T4554" t="str">
            <v>Bueno</v>
          </cell>
          <cell r="U4554" t="str">
            <v>MOTOROLA</v>
          </cell>
        </row>
        <row r="4555">
          <cell r="J4555" t="str">
            <v>42-05-02-03-4547</v>
          </cell>
          <cell r="L4555" t="str">
            <v>42-05-02-03-4547</v>
          </cell>
          <cell r="M4555" t="str">
            <v>Bateria Litio Motorola 11.1WH PMNN4066A 1220 ANT4 IMPRESS C/Porta Cinturon</v>
          </cell>
          <cell r="O4555" t="str">
            <v>EQUIPOS DE COMUNICACIÓN</v>
          </cell>
          <cell r="P4555">
            <v>30000</v>
          </cell>
          <cell r="T4555" t="str">
            <v>Bueno</v>
          </cell>
          <cell r="U4555" t="str">
            <v>MOTOROLA</v>
          </cell>
        </row>
        <row r="4556">
          <cell r="J4556" t="str">
            <v>42-05-02-03-4548</v>
          </cell>
          <cell r="L4556" t="str">
            <v>42-05-02-03-4548</v>
          </cell>
          <cell r="M4556" t="str">
            <v>Microfono REMOTE SPEAKER IMPRES PMMN4025A C/ Tapa Cobertor Polvo  UC DUST</v>
          </cell>
          <cell r="O4556" t="str">
            <v>EQUIPOS DE COMUNICACIÓN</v>
          </cell>
          <cell r="P4556">
            <v>30000</v>
          </cell>
          <cell r="T4556" t="str">
            <v>Bueno</v>
          </cell>
          <cell r="U4556" t="str">
            <v>MOTOROLA</v>
          </cell>
        </row>
        <row r="4557">
          <cell r="J4557" t="str">
            <v>42-05-02-03-4549</v>
          </cell>
          <cell r="L4557" t="str">
            <v>42-05-02-03-4549</v>
          </cell>
          <cell r="M4557" t="str">
            <v>Cargador Motorola PART Nº 2571586S07 Model 48180090 C5 18 V</v>
          </cell>
          <cell r="O4557" t="str">
            <v>EQUIPOS DE COMUNICACIÓN</v>
          </cell>
          <cell r="P4557">
            <v>22000</v>
          </cell>
          <cell r="T4557" t="str">
            <v>Bueno</v>
          </cell>
          <cell r="U4557" t="str">
            <v>MOTOROLA</v>
          </cell>
        </row>
        <row r="4558">
          <cell r="J4558" t="str">
            <v>42-05-02-03-4550</v>
          </cell>
          <cell r="L4558" t="str">
            <v>42-05-02-03-4550</v>
          </cell>
          <cell r="M4558" t="str">
            <v>Pedestal Cargador Motorola WPLN4223A V3.90  -  1215 ML 21</v>
          </cell>
          <cell r="O4558" t="str">
            <v>EQUIPOS DE COMUNICACIÓN</v>
          </cell>
          <cell r="P4558">
            <v>12000</v>
          </cell>
          <cell r="T4558" t="str">
            <v>Bueno</v>
          </cell>
          <cell r="U4558" t="str">
            <v>MOTOROLA</v>
          </cell>
        </row>
        <row r="4559">
          <cell r="J4559" t="str">
            <v>42-05-02-03-4551</v>
          </cell>
          <cell r="L4559" t="str">
            <v>42-05-02-03-4551</v>
          </cell>
          <cell r="M4559" t="str">
            <v xml:space="preserve">Bateria Litio Motorola 15.9WH PMNN4077C 1222 ANT2D IMPRESS </v>
          </cell>
          <cell r="O4559" t="str">
            <v>EQUIPOS DE COMUNICACIÓN</v>
          </cell>
          <cell r="P4559">
            <v>30000</v>
          </cell>
          <cell r="T4559" t="str">
            <v>Bueno</v>
          </cell>
          <cell r="U4559" t="str">
            <v>MOTOROLA</v>
          </cell>
        </row>
        <row r="4560">
          <cell r="J4560" t="str">
            <v>42-05-02-03-4552</v>
          </cell>
          <cell r="L4560" t="str">
            <v>42-05-02-03-4552</v>
          </cell>
          <cell r="M4560" t="str">
            <v>Radio Comunicador Motorola DGP 6150 Impress S/N 037TMLD829 Model LAH55JDH9JA1AN</v>
          </cell>
          <cell r="O4560" t="str">
            <v>EQUIPOS DE COMUNICACIÓN</v>
          </cell>
          <cell r="P4560">
            <v>214000</v>
          </cell>
          <cell r="T4560" t="str">
            <v>BUENO</v>
          </cell>
          <cell r="U4560" t="str">
            <v>MOTOROLA</v>
          </cell>
        </row>
        <row r="4561">
          <cell r="J4561" t="str">
            <v>42-05-02-03-4553</v>
          </cell>
          <cell r="L4561" t="str">
            <v>42-05-02-03-4553</v>
          </cell>
          <cell r="M4561" t="str">
            <v>Antena VHF Motorola</v>
          </cell>
          <cell r="O4561" t="str">
            <v>EQUIPOS DE COMUNICACIÓN</v>
          </cell>
          <cell r="P4561">
            <v>12000</v>
          </cell>
          <cell r="T4561" t="str">
            <v>Bueno</v>
          </cell>
          <cell r="U4561" t="str">
            <v>MOTOROLA</v>
          </cell>
        </row>
        <row r="4562">
          <cell r="J4562" t="str">
            <v>42-05-02-03-4554</v>
          </cell>
          <cell r="L4562" t="str">
            <v>42-05-02-03-4554</v>
          </cell>
          <cell r="M4562" t="str">
            <v>Bateria Litio Motorola 11.1WH PMNN4066A 1220 ANT4 IMPRESS C/Porta Cinturon</v>
          </cell>
          <cell r="O4562" t="str">
            <v>EQUIPOS DE COMUNICACIÓN</v>
          </cell>
          <cell r="P4562">
            <v>30000</v>
          </cell>
          <cell r="T4562" t="str">
            <v>Bueno</v>
          </cell>
          <cell r="U4562" t="str">
            <v>MOTOROLA</v>
          </cell>
        </row>
        <row r="4563">
          <cell r="J4563" t="str">
            <v>42-05-02-03-4555</v>
          </cell>
          <cell r="L4563" t="str">
            <v>42-05-02-03-4555</v>
          </cell>
          <cell r="M4563" t="str">
            <v>Microfono REMOTE SPEAKER IMPRES PMMN4025A C/ Tapa Cobertor Polvo  UC DUST</v>
          </cell>
          <cell r="O4563" t="str">
            <v>EQUIPOS DE COMUNICACIÓN</v>
          </cell>
          <cell r="P4563">
            <v>30000</v>
          </cell>
          <cell r="T4563" t="str">
            <v>Bueno</v>
          </cell>
          <cell r="U4563" t="str">
            <v>MOTOROLA</v>
          </cell>
        </row>
        <row r="4564">
          <cell r="J4564" t="str">
            <v>42-05-02-03-4556</v>
          </cell>
          <cell r="L4564" t="str">
            <v>42-05-02-03-4556</v>
          </cell>
          <cell r="M4564" t="str">
            <v>Cargador Motorola PART Nº 2571586S07 Model 48180090 C5 18 V</v>
          </cell>
          <cell r="O4564" t="str">
            <v>EQUIPOS DE COMUNICACIÓN</v>
          </cell>
          <cell r="P4564">
            <v>22000</v>
          </cell>
          <cell r="T4564" t="str">
            <v>Bueno</v>
          </cell>
          <cell r="U4564" t="str">
            <v>MOTOROLA</v>
          </cell>
        </row>
        <row r="4565">
          <cell r="J4565" t="str">
            <v>42-05-02-03-4557</v>
          </cell>
          <cell r="L4565" t="str">
            <v>42-05-02-03-4557</v>
          </cell>
          <cell r="M4565" t="str">
            <v>Pedestal Cargador Motorola WPLN4243A V3.90  -  1215 ML 21</v>
          </cell>
          <cell r="O4565" t="str">
            <v>EQUIPOS DE COMUNICACIÓN</v>
          </cell>
          <cell r="P4565">
            <v>12000</v>
          </cell>
          <cell r="T4565" t="str">
            <v>Bueno</v>
          </cell>
          <cell r="U4565" t="str">
            <v>MOTOROLA</v>
          </cell>
        </row>
        <row r="4566">
          <cell r="J4566" t="str">
            <v>42-05-02-03-4558</v>
          </cell>
          <cell r="L4566" t="str">
            <v>42-05-02-03-4558</v>
          </cell>
          <cell r="M4566" t="str">
            <v xml:space="preserve">Bateria Litio Motorola 15.9WH PMNN4077C 1222 ANT2D IMPRESS </v>
          </cell>
          <cell r="O4566" t="str">
            <v>EQUIPOS DE COMUNICACIÓN</v>
          </cell>
          <cell r="P4566">
            <v>30000</v>
          </cell>
          <cell r="T4566" t="str">
            <v>Bueno</v>
          </cell>
          <cell r="U4566" t="str">
            <v>MOTOROLA</v>
          </cell>
        </row>
        <row r="4567">
          <cell r="J4567" t="str">
            <v>42-05-02-01-4559</v>
          </cell>
          <cell r="L4567" t="str">
            <v>42-05-02-01-4559</v>
          </cell>
          <cell r="M4567" t="str">
            <v>Monitor APNEA S/N BAM 2509 SNUDA</v>
          </cell>
          <cell r="O4567" t="str">
            <v>EQUIPOS CLINICOS</v>
          </cell>
          <cell r="P4567">
            <v>113050</v>
          </cell>
          <cell r="T4567" t="str">
            <v>Bueno</v>
          </cell>
          <cell r="U4567" t="str">
            <v>SNUDA</v>
          </cell>
        </row>
        <row r="4568">
          <cell r="J4568" t="str">
            <v>42-05-02-02-4560</v>
          </cell>
          <cell r="L4568" t="str">
            <v>42-05-02-02-4560</v>
          </cell>
          <cell r="M4568" t="str">
            <v>Bandeja Plastica Colación Tipo Escolar Verde</v>
          </cell>
          <cell r="O4568" t="str">
            <v>EQUIPOS DE COCINA</v>
          </cell>
          <cell r="P4568">
            <v>3000</v>
          </cell>
          <cell r="T4568" t="str">
            <v>Bueno</v>
          </cell>
          <cell r="U4568" t="str">
            <v>N/T</v>
          </cell>
        </row>
        <row r="4569">
          <cell r="J4569" t="str">
            <v>42-05-02-02-4561</v>
          </cell>
          <cell r="L4569" t="str">
            <v>42-05-02-02-4561</v>
          </cell>
          <cell r="M4569" t="str">
            <v xml:space="preserve">Bandeja Aluminio Tipo Plato 20X10 </v>
          </cell>
          <cell r="O4569" t="str">
            <v>EQUIPOS DE COCINA</v>
          </cell>
          <cell r="P4569">
            <v>4000</v>
          </cell>
          <cell r="T4569" t="str">
            <v>Bueno</v>
          </cell>
          <cell r="U4569" t="str">
            <v>N/T</v>
          </cell>
        </row>
        <row r="4570">
          <cell r="J4570" t="str">
            <v>42-05-02-02-4562</v>
          </cell>
          <cell r="L4570" t="str">
            <v>42-05-02-02-4562</v>
          </cell>
          <cell r="M4570" t="str">
            <v xml:space="preserve">Posillo Aluminio Postre </v>
          </cell>
          <cell r="O4570" t="str">
            <v>EQUIPOS DE COCINA</v>
          </cell>
          <cell r="P4570">
            <v>3500</v>
          </cell>
          <cell r="T4570" t="str">
            <v>Bueno</v>
          </cell>
          <cell r="U4570" t="str">
            <v>N/T</v>
          </cell>
        </row>
        <row r="4571">
          <cell r="J4571" t="str">
            <v>42-04-07-00-4563</v>
          </cell>
          <cell r="L4571" t="str">
            <v>42-04-07-00-4563</v>
          </cell>
          <cell r="M4571" t="str">
            <v>Fichero Mural Marco Melamina Enchapada Color Miel 150x150 Fondo Azul Poliuretano; Paritario (Hall Central)</v>
          </cell>
          <cell r="O4571" t="str">
            <v>OTROS</v>
          </cell>
          <cell r="P4571">
            <v>35105</v>
          </cell>
          <cell r="T4571" t="str">
            <v>Bueno</v>
          </cell>
          <cell r="U4571" t="str">
            <v>N/T</v>
          </cell>
        </row>
        <row r="4572">
          <cell r="J4572" t="str">
            <v>42-04-07-00-4564</v>
          </cell>
          <cell r="L4572" t="str">
            <v>42-04-07-00-4564</v>
          </cell>
          <cell r="M4572" t="str">
            <v>Fichero Mural Marco Melamina Enchapada Color Miel 150x150 Fondo Azul Poliuretano; Comunicación (Hall Central)</v>
          </cell>
          <cell r="O4572" t="str">
            <v>OTROS</v>
          </cell>
          <cell r="P4572">
            <v>35105</v>
          </cell>
          <cell r="T4572" t="str">
            <v>Bueno</v>
          </cell>
          <cell r="U4572" t="str">
            <v>N/T</v>
          </cell>
        </row>
        <row r="4573">
          <cell r="J4573" t="str">
            <v>42-04-07-00-4565</v>
          </cell>
          <cell r="L4573" t="str">
            <v>42-04-07-00-4565</v>
          </cell>
          <cell r="M4573" t="str">
            <v>Fichero Mural Marco Melamina Enchapada Color Miel 150x150 Fondo Azul Poliuretano; Capacitación (Hall Central)</v>
          </cell>
          <cell r="O4573" t="str">
            <v>OTROS</v>
          </cell>
          <cell r="P4573">
            <v>35105</v>
          </cell>
          <cell r="T4573" t="str">
            <v>Bueno</v>
          </cell>
          <cell r="U4573" t="str">
            <v>N/T</v>
          </cell>
        </row>
        <row r="4574">
          <cell r="J4574" t="str">
            <v>42-04-07-00-4566</v>
          </cell>
          <cell r="L4574" t="str">
            <v>42-04-07-00-4566</v>
          </cell>
          <cell r="M4574" t="str">
            <v xml:space="preserve">Fichero Mural Marco Melamina Enchapada Color Miel 150x150 Fondo Azul Poliuretano; Informaciones y SOME </v>
          </cell>
          <cell r="O4574" t="str">
            <v>OTROS</v>
          </cell>
          <cell r="P4574">
            <v>35105</v>
          </cell>
          <cell r="T4574" t="str">
            <v>Bueno</v>
          </cell>
          <cell r="U4574" t="str">
            <v>N/T</v>
          </cell>
        </row>
        <row r="4575">
          <cell r="J4575" t="str">
            <v>42-04-07-00-4567</v>
          </cell>
          <cell r="L4575" t="str">
            <v>42-04-07-00-4567</v>
          </cell>
          <cell r="M4575" t="str">
            <v>Fichero Mural Marco Melamina Enchapada Color Miel 150x150 Fondo Azul Poliuretano; Sector Azul</v>
          </cell>
          <cell r="O4575" t="str">
            <v>OTROS</v>
          </cell>
          <cell r="P4575">
            <v>35105</v>
          </cell>
          <cell r="T4575" t="str">
            <v>Bueno</v>
          </cell>
          <cell r="U4575" t="str">
            <v>N/T</v>
          </cell>
        </row>
        <row r="4576">
          <cell r="J4576" t="str">
            <v>42-04-07-00-4568</v>
          </cell>
          <cell r="L4576" t="str">
            <v>42-04-07-00-4568</v>
          </cell>
          <cell r="M4576" t="str">
            <v>Fichero Mural Marco Melamina Enchapada Color Miel 150x150 Fondo Azul Poliuretano; Sector Amarillo</v>
          </cell>
          <cell r="O4576" t="str">
            <v>OTROS</v>
          </cell>
          <cell r="P4576">
            <v>35105</v>
          </cell>
          <cell r="T4576" t="str">
            <v>Bueno</v>
          </cell>
          <cell r="U4576" t="str">
            <v>N/T</v>
          </cell>
        </row>
        <row r="4577">
          <cell r="J4577" t="str">
            <v>42-04-07-00-4569</v>
          </cell>
          <cell r="L4577" t="str">
            <v>42-04-07-00-4569</v>
          </cell>
          <cell r="M4577" t="str">
            <v>Fichero Mural Marco Melamina Enchapada Color Miel 150x150 Fondo Azul Poliuretano; Sector Verde</v>
          </cell>
          <cell r="O4577" t="str">
            <v>OTROS</v>
          </cell>
          <cell r="P4577">
            <v>35105</v>
          </cell>
          <cell r="T4577" t="str">
            <v>Bueno</v>
          </cell>
          <cell r="U4577" t="str">
            <v>N/T</v>
          </cell>
        </row>
        <row r="4578">
          <cell r="J4578" t="str">
            <v>42-04-07-00-4570</v>
          </cell>
          <cell r="L4578" t="str">
            <v>42-04-07-00-4570</v>
          </cell>
          <cell r="M4578" t="str">
            <v>Fichero Mural Marco Melamina Enchapada Color Miel 150x150 Fondo Azul Poliuretano; Laboratorio</v>
          </cell>
          <cell r="O4578" t="str">
            <v>OTROS</v>
          </cell>
          <cell r="P4578">
            <v>35105</v>
          </cell>
          <cell r="T4578" t="str">
            <v>Bueno</v>
          </cell>
          <cell r="U4578" t="str">
            <v>N/T</v>
          </cell>
        </row>
        <row r="4579">
          <cell r="J4579" t="str">
            <v>42-04-07-00-4571</v>
          </cell>
          <cell r="L4579" t="str">
            <v>42-04-07-00-4571</v>
          </cell>
          <cell r="M4579" t="str">
            <v>Fichero Mural Marco Melamina Enchapada Color Miel 150x150 Fondo Azul Poliuretano; Sala Estimulación</v>
          </cell>
          <cell r="O4579" t="str">
            <v>OTROS</v>
          </cell>
          <cell r="P4579">
            <v>35105</v>
          </cell>
          <cell r="T4579" t="str">
            <v>Bueno</v>
          </cell>
          <cell r="U4579" t="str">
            <v>N/T</v>
          </cell>
        </row>
        <row r="4580">
          <cell r="J4580" t="str">
            <v>42-04-07-00-4572</v>
          </cell>
          <cell r="L4580" t="str">
            <v>42-04-07-00-4572</v>
          </cell>
          <cell r="M4580" t="str">
            <v>Fichero Mural Marco Melamina Enchapada Color Miel 150x150 Fondo Azul Poliuretano; FENATS / FENPRUS (Hall Central)</v>
          </cell>
          <cell r="O4580" t="str">
            <v>OTROS</v>
          </cell>
          <cell r="P4580">
            <v>35105</v>
          </cell>
          <cell r="T4580" t="str">
            <v>Bueno</v>
          </cell>
          <cell r="U4580" t="str">
            <v>N/T</v>
          </cell>
        </row>
        <row r="4581">
          <cell r="J4581" t="str">
            <v>42-04-07-00-4573</v>
          </cell>
          <cell r="L4581" t="str">
            <v>42-04-07-00-4573</v>
          </cell>
          <cell r="M4581" t="str">
            <v>Fichero Mural Marco Melamina Enchapada Color Miel 150x150 Fondo Azul Poliuretano; Servicio Social</v>
          </cell>
          <cell r="O4581" t="str">
            <v>OTROS</v>
          </cell>
          <cell r="P4581">
            <v>35105</v>
          </cell>
          <cell r="T4581" t="str">
            <v>Bueno</v>
          </cell>
          <cell r="U4581" t="str">
            <v>N/T</v>
          </cell>
        </row>
        <row r="4582">
          <cell r="J4582" t="str">
            <v>42-04-07-00-4574</v>
          </cell>
          <cell r="L4582" t="str">
            <v>42-04-07-00-4574</v>
          </cell>
          <cell r="M4582" t="str">
            <v>Fichero Mural Marco Melamina Enchapada Color Miel 150x150 Fondo Azul Poliuretano; Urgencia</v>
          </cell>
          <cell r="O4582" t="str">
            <v>OTROS</v>
          </cell>
          <cell r="P4582">
            <v>35105</v>
          </cell>
          <cell r="T4582" t="str">
            <v>Bueno</v>
          </cell>
          <cell r="U4582" t="str">
            <v>N/T</v>
          </cell>
        </row>
        <row r="4583">
          <cell r="J4583" t="str">
            <v>42-05-01-02-4575</v>
          </cell>
          <cell r="L4583" t="str">
            <v>42-05-01-02-4575</v>
          </cell>
          <cell r="M4583" t="str">
            <v>Historias De Hospital - Autor: Guadalupe Becerra - Ejemplar 01 / Ed. Arttegrama</v>
          </cell>
          <cell r="O4583" t="str">
            <v>LITERATURA</v>
          </cell>
          <cell r="P4583">
            <v>15000</v>
          </cell>
          <cell r="T4583" t="str">
            <v>Bueno</v>
          </cell>
          <cell r="U4583" t="str">
            <v>N/T</v>
          </cell>
        </row>
        <row r="4584">
          <cell r="J4584" t="str">
            <v>42-05-01-02-4576</v>
          </cell>
          <cell r="L4584" t="str">
            <v>42-05-01-02-4576</v>
          </cell>
          <cell r="M4584" t="str">
            <v>Historias De Hospital - Autor: Guadalupe Becerra - Ejemplar 02/ Ed. Arttegrama</v>
          </cell>
          <cell r="O4584" t="str">
            <v>LITERATURA</v>
          </cell>
          <cell r="P4584">
            <v>15000</v>
          </cell>
          <cell r="T4584" t="str">
            <v>Bueno</v>
          </cell>
          <cell r="U4584" t="str">
            <v>N/T</v>
          </cell>
        </row>
        <row r="4585">
          <cell r="J4585" t="str">
            <v>42-05-02-01-4577</v>
          </cell>
          <cell r="L4585" t="str">
            <v>42-05-02-01-4577</v>
          </cell>
          <cell r="M4585" t="str">
            <v>Oximetro De Pulso MEDKE MOD P-100 Serie 60120540372</v>
          </cell>
          <cell r="O4585" t="str">
            <v>EQUIPOS CLINICOS</v>
          </cell>
          <cell r="P4585">
            <v>38080</v>
          </cell>
          <cell r="T4585" t="str">
            <v>Bueno</v>
          </cell>
          <cell r="U4585" t="str">
            <v>MEDKE</v>
          </cell>
        </row>
        <row r="4586">
          <cell r="J4586" t="str">
            <v>42-05-02-01-4578</v>
          </cell>
          <cell r="L4586" t="str">
            <v>42-05-02-01-4578</v>
          </cell>
          <cell r="M4586" t="str">
            <v>Oximetro De Pulso MEDKE MOD P-100 Serie 601203400003</v>
          </cell>
          <cell r="O4586" t="str">
            <v>EQUIPOS CLINICOS</v>
          </cell>
          <cell r="P4586">
            <v>38080</v>
          </cell>
          <cell r="T4586" t="str">
            <v>Bueno</v>
          </cell>
          <cell r="U4586" t="str">
            <v>MEDKE</v>
          </cell>
        </row>
        <row r="4587">
          <cell r="J4587" t="str">
            <v>42-05-02-01-4579</v>
          </cell>
          <cell r="L4587" t="str">
            <v>42-05-02-01-4579</v>
          </cell>
          <cell r="M4587" t="str">
            <v>Oximetro De Pulso MEDKE MOD P-100 Serie 60120540369</v>
          </cell>
          <cell r="O4587" t="str">
            <v>EQUIPOS CLINICOS</v>
          </cell>
          <cell r="P4587">
            <v>38080</v>
          </cell>
          <cell r="T4587" t="str">
            <v>Bueno</v>
          </cell>
          <cell r="U4587" t="str">
            <v>MEDKE</v>
          </cell>
        </row>
        <row r="4588">
          <cell r="J4588" t="str">
            <v>42-05-01-01-4580</v>
          </cell>
          <cell r="L4588" t="str">
            <v>42-05-01-01-4580</v>
          </cell>
          <cell r="M4588" t="str">
            <v>Impresora EPSON Multifuncional STYLUS Tx235W</v>
          </cell>
          <cell r="O4588" t="str">
            <v>EQUIPO DE OFICINA</v>
          </cell>
          <cell r="P4588">
            <v>43295</v>
          </cell>
          <cell r="T4588" t="str">
            <v>Bueno</v>
          </cell>
          <cell r="U4588" t="str">
            <v>EPSON</v>
          </cell>
        </row>
        <row r="4589">
          <cell r="J4589" t="str">
            <v>42-05-01-01-4581</v>
          </cell>
          <cell r="L4589" t="str">
            <v>42-05-01-01-4581</v>
          </cell>
          <cell r="M4589" t="str">
            <v>Scanner HP 2410 NV 43949 HP2186</v>
          </cell>
          <cell r="O4589" t="str">
            <v>EQUIPO DE OFICINA</v>
          </cell>
          <cell r="P4589">
            <v>36391</v>
          </cell>
          <cell r="T4589" t="str">
            <v>Bueno</v>
          </cell>
          <cell r="U4589" t="str">
            <v>HP</v>
          </cell>
        </row>
        <row r="4590">
          <cell r="J4590" t="str">
            <v>42-05-02-01-4582</v>
          </cell>
          <cell r="L4590" t="str">
            <v>42-05-02-01-4582</v>
          </cell>
          <cell r="M4590" t="str">
            <v>Terminal de Videoconferencia Polycom Kit; Monitor 21" Lenovo; Videocam Smart SDC 336; Box Gob. Chile; CPU Lenovo; Teclado Convencional Lenovo Black</v>
          </cell>
          <cell r="O4590" t="str">
            <v>EQUIPOS CLINICOS</v>
          </cell>
          <cell r="P4590">
            <v>7378930</v>
          </cell>
          <cell r="T4590" t="str">
            <v>Bueno</v>
          </cell>
          <cell r="U4590" t="str">
            <v>N/T</v>
          </cell>
        </row>
        <row r="4591">
          <cell r="J4591" t="str">
            <v>42-05-02-01-4583</v>
          </cell>
          <cell r="L4591" t="str">
            <v>42-05-02-01-4583</v>
          </cell>
          <cell r="M4591" t="str">
            <v>CARRO PARO Marca CAPSA SOLUTIONS MOD AVALO KIT PORTA SUERO, TABLA ACRYLITE, CILINDRO TC 3ALM139 LUXFER, 4 Ruedas color Plomo / Rojo</v>
          </cell>
          <cell r="O4591" t="str">
            <v>EQUIPOS CLINICOS</v>
          </cell>
          <cell r="P4591">
            <v>1059100</v>
          </cell>
          <cell r="T4591" t="str">
            <v>BUENO</v>
          </cell>
          <cell r="U4591" t="str">
            <v>CAPSA SOLUTIONS</v>
          </cell>
        </row>
        <row r="4592">
          <cell r="J4592" t="str">
            <v>42-05-01-01-4584</v>
          </cell>
          <cell r="L4592" t="str">
            <v>42-05-01-01-4584</v>
          </cell>
          <cell r="M4592" t="str">
            <v>Radio Con CD Portatil Marca RCA Mod. RCD002 SNº 0636</v>
          </cell>
          <cell r="O4592" t="str">
            <v>EQUIPO DE OFICINA</v>
          </cell>
          <cell r="P4592">
            <v>34900</v>
          </cell>
          <cell r="T4592" t="str">
            <v>BUENO</v>
          </cell>
          <cell r="U4592" t="str">
            <v>RCA</v>
          </cell>
        </row>
        <row r="4593">
          <cell r="J4593" t="str">
            <v>42-05-01-01-4585</v>
          </cell>
          <cell r="L4593" t="str">
            <v>42-05-01-01-4585</v>
          </cell>
          <cell r="M4593" t="str">
            <v>TV LCD IRT 24" Full HD 1080 P HDMI</v>
          </cell>
          <cell r="O4593" t="str">
            <v>EQUIPO DE OFICINA</v>
          </cell>
          <cell r="P4593">
            <v>149940</v>
          </cell>
          <cell r="T4593" t="str">
            <v>BUENO</v>
          </cell>
          <cell r="U4593" t="str">
            <v>IRT</v>
          </cell>
        </row>
        <row r="4594">
          <cell r="J4594" t="str">
            <v>42-05-02-01-4586</v>
          </cell>
          <cell r="K4594">
            <v>10747</v>
          </cell>
          <cell r="L4594" t="str">
            <v>42-05-02-01-4586</v>
          </cell>
          <cell r="M4594" t="str">
            <v>Amalgamador DENTSPLY DENTOMAT Compact N/S 9726363 100-120/200-240 V 50/60 HZ</v>
          </cell>
          <cell r="O4594" t="str">
            <v>EQUIPOS CLINICOS</v>
          </cell>
          <cell r="P4594">
            <v>200000</v>
          </cell>
          <cell r="T4594" t="str">
            <v>BUENO</v>
          </cell>
          <cell r="U4594" t="str">
            <v>DENTSPLY</v>
          </cell>
        </row>
        <row r="4595">
          <cell r="J4595" t="str">
            <v>42-05-01-01-4587</v>
          </cell>
          <cell r="L4595" t="str">
            <v>42-05-01-01-4587</v>
          </cell>
          <cell r="M4595" t="str">
            <v xml:space="preserve">Freezer Whirpool WVE28B1 Vertical </v>
          </cell>
          <cell r="O4595" t="str">
            <v>EQUIPO DE OFICINA</v>
          </cell>
          <cell r="P4595">
            <v>499986</v>
          </cell>
          <cell r="T4595" t="str">
            <v>BUENO</v>
          </cell>
          <cell r="U4595" t="str">
            <v xml:space="preserve">WHIRPOOL </v>
          </cell>
        </row>
        <row r="4596">
          <cell r="J4596" t="str">
            <v>42-05-02-01-4588</v>
          </cell>
          <cell r="L4596" t="str">
            <v>42-05-02-01-4588</v>
          </cell>
          <cell r="M4596" t="str">
            <v>Carro Metalico con Cajonera Blanco; Pedestal y Carro</v>
          </cell>
          <cell r="N4596" t="str">
            <v>Equipo Terlemedicina</v>
          </cell>
          <cell r="O4596" t="str">
            <v>EQUIPOS CLINICOS</v>
          </cell>
          <cell r="P4596">
            <v>100000</v>
          </cell>
          <cell r="T4596" t="str">
            <v>BUENO</v>
          </cell>
          <cell r="U4596" t="str">
            <v>N/T</v>
          </cell>
        </row>
        <row r="4597">
          <cell r="J4597" t="str">
            <v>42-05-02-01-4589</v>
          </cell>
          <cell r="L4597" t="str">
            <v>42-05-02-01-4589</v>
          </cell>
          <cell r="M4597" t="str">
            <v>Kit Cables De Red 10 Mts, Estensión USB 5 Mts, Cable De Poder, Amarras, Fijaciones y Llaves</v>
          </cell>
          <cell r="N4597" t="str">
            <v>Equipo Terlemedicina</v>
          </cell>
          <cell r="O4597" t="str">
            <v>EQUIPOS CLINICOS</v>
          </cell>
          <cell r="P4597">
            <v>60000</v>
          </cell>
          <cell r="T4597" t="str">
            <v>BUENO</v>
          </cell>
          <cell r="U4597" t="str">
            <v>N/T</v>
          </cell>
        </row>
        <row r="4598">
          <cell r="J4598" t="str">
            <v>42-05-02-01-4590</v>
          </cell>
          <cell r="L4598" t="str">
            <v>42-05-02-01-4590</v>
          </cell>
          <cell r="M4598" t="str">
            <v>UPS Modelo SMART - UPOS XL 2200 VA</v>
          </cell>
          <cell r="N4598" t="str">
            <v>Equipo Terlemedicina</v>
          </cell>
          <cell r="O4598" t="str">
            <v>EQUIPOS CLINICOS</v>
          </cell>
          <cell r="P4598">
            <v>120000</v>
          </cell>
          <cell r="T4598" t="str">
            <v>BUENO</v>
          </cell>
          <cell r="U4598" t="str">
            <v>SMART UPS</v>
          </cell>
        </row>
        <row r="4599">
          <cell r="J4599" t="str">
            <v>42-05-02-01-4591</v>
          </cell>
          <cell r="L4599" t="str">
            <v>42-05-02-01-4591</v>
          </cell>
          <cell r="M4599" t="str">
            <v>Camara HD Modelo Life CAM HD 6000</v>
          </cell>
          <cell r="N4599" t="str">
            <v>Equipo Terlemedicina</v>
          </cell>
          <cell r="O4599" t="str">
            <v>EQUIPOS CLINICOS</v>
          </cell>
          <cell r="P4599">
            <v>360000</v>
          </cell>
          <cell r="T4599" t="str">
            <v>BUENO</v>
          </cell>
          <cell r="U4599" t="str">
            <v>LIFE CAM</v>
          </cell>
        </row>
        <row r="4600">
          <cell r="J4600" t="str">
            <v>42-05-02-01-4592</v>
          </cell>
          <cell r="L4600" t="str">
            <v>42-05-02-01-4592</v>
          </cell>
          <cell r="M4600" t="str">
            <v>Camara de Documento Modelo SMART Document Camera SDC 330</v>
          </cell>
          <cell r="N4600" t="str">
            <v>Equipo Terlemedicina</v>
          </cell>
          <cell r="O4600" t="str">
            <v>EQUIPOS CLINICOS</v>
          </cell>
          <cell r="P4600">
            <v>250000</v>
          </cell>
          <cell r="T4600" t="str">
            <v>BUENO</v>
          </cell>
          <cell r="U4600" t="str">
            <v>SMART</v>
          </cell>
        </row>
        <row r="4601">
          <cell r="J4601" t="str">
            <v>42-06-01-00-4593</v>
          </cell>
          <cell r="L4601" t="str">
            <v>42-06-01-00-4593</v>
          </cell>
          <cell r="M4601" t="str">
            <v>PC All in One Lenovo Negro SNº VS50056633</v>
          </cell>
          <cell r="N4601" t="str">
            <v>Equipo Terlemedicina</v>
          </cell>
          <cell r="O4601" t="str">
            <v>EQUIPOS COMPUTACIONALES Y PERIFÉRICOS</v>
          </cell>
          <cell r="P4601">
            <v>320000</v>
          </cell>
          <cell r="T4601" t="str">
            <v>BUENO</v>
          </cell>
          <cell r="U4601" t="str">
            <v>LENOVO</v>
          </cell>
        </row>
        <row r="4602">
          <cell r="J4602" t="str">
            <v>42-06-01-00-4594</v>
          </cell>
          <cell r="L4602" t="str">
            <v>42-06-01-00-4594</v>
          </cell>
          <cell r="M4602" t="str">
            <v>Mouse Convencional LENOVO</v>
          </cell>
          <cell r="N4602" t="str">
            <v>Equipo Terlemedicina</v>
          </cell>
          <cell r="O4602" t="str">
            <v>EQUIPOS COMPUTACIONALES Y PERIFÉRICOS</v>
          </cell>
          <cell r="P4602">
            <v>4000</v>
          </cell>
          <cell r="T4602" t="str">
            <v>BUENO</v>
          </cell>
          <cell r="U4602" t="str">
            <v>LENOVO</v>
          </cell>
        </row>
        <row r="4603">
          <cell r="J4603" t="str">
            <v>42-06-01-00-4595</v>
          </cell>
          <cell r="L4603" t="str">
            <v>42-06-01-00-4595</v>
          </cell>
          <cell r="M4603" t="str">
            <v>Teclado Convencional Negro Convencional</v>
          </cell>
          <cell r="N4603" t="str">
            <v>Equipo Terlemedicina</v>
          </cell>
          <cell r="O4603" t="str">
            <v>EQUIPOS COMPUTACIONALES Y PERIFÉRICOS</v>
          </cell>
          <cell r="P4603">
            <v>4000</v>
          </cell>
          <cell r="T4603" t="str">
            <v>BUENO</v>
          </cell>
          <cell r="U4603" t="str">
            <v>LENOVO</v>
          </cell>
        </row>
        <row r="4604">
          <cell r="J4604" t="str">
            <v>42-04-07-00-4596</v>
          </cell>
          <cell r="L4604" t="str">
            <v>42-04-07-00-4596</v>
          </cell>
          <cell r="M4604" t="str">
            <v>Estanque Boiller 1200 Litros Calefaccion</v>
          </cell>
          <cell r="O4604" t="str">
            <v>OTROS</v>
          </cell>
          <cell r="P4604">
            <v>200000</v>
          </cell>
          <cell r="T4604" t="str">
            <v>DESUSO</v>
          </cell>
          <cell r="U4604" t="str">
            <v>N/T</v>
          </cell>
        </row>
        <row r="4605">
          <cell r="J4605" t="str">
            <v>42-04-07-00-4597</v>
          </cell>
          <cell r="L4605" t="str">
            <v>42-04-07-00-4597</v>
          </cell>
          <cell r="M4605" t="str">
            <v>Cañones Chimenea Caldera Metal Aprox 5 Mts</v>
          </cell>
          <cell r="O4605" t="str">
            <v>OTROS</v>
          </cell>
          <cell r="P4605">
            <v>60000</v>
          </cell>
          <cell r="T4605" t="str">
            <v>DESUSO</v>
          </cell>
          <cell r="U4605" t="str">
            <v>N/T</v>
          </cell>
        </row>
        <row r="4606">
          <cell r="J4606" t="str">
            <v>42-04-07-00-4598</v>
          </cell>
          <cell r="L4606" t="str">
            <v>42-04-07-00-4598</v>
          </cell>
          <cell r="M4606" t="str">
            <v>Estanque HidroPack Maxi Varent Serie L09000941 Vol 200 LT</v>
          </cell>
          <cell r="O4606" t="str">
            <v>OTROS</v>
          </cell>
          <cell r="P4606">
            <v>300000</v>
          </cell>
          <cell r="T4606" t="str">
            <v>DESUSO</v>
          </cell>
          <cell r="U4606" t="str">
            <v>VAREN</v>
          </cell>
        </row>
        <row r="4607">
          <cell r="J4607" t="str">
            <v>42-05-01-01-4599</v>
          </cell>
          <cell r="K4607" t="str">
            <v>42-3196</v>
          </cell>
          <cell r="L4607" t="str">
            <v>42-05-01-01-4599</v>
          </cell>
          <cell r="M4607" t="str">
            <v>Calculadora a pila marca Casio Modelo MS-20TV</v>
          </cell>
          <cell r="O4607" t="str">
            <v>EQUIPO DE OFICINA</v>
          </cell>
          <cell r="P4607">
            <v>7000</v>
          </cell>
          <cell r="T4607" t="str">
            <v>Bueno</v>
          </cell>
          <cell r="U4607" t="str">
            <v>Casio</v>
          </cell>
        </row>
        <row r="4608">
          <cell r="J4608" t="str">
            <v>42-04-07-00-4600</v>
          </cell>
          <cell r="L4608" t="str">
            <v>42-04-07-00-4600</v>
          </cell>
          <cell r="M4608" t="str">
            <v>Pesa Mancuerna 5 KG. Amarilla</v>
          </cell>
          <cell r="O4608" t="str">
            <v>OTROS</v>
          </cell>
          <cell r="P4608">
            <v>11990</v>
          </cell>
          <cell r="T4608" t="str">
            <v>Bueno</v>
          </cell>
          <cell r="U4608" t="str">
            <v>N/T</v>
          </cell>
        </row>
        <row r="4609">
          <cell r="J4609" t="str">
            <v>42-04-07-00-4601</v>
          </cell>
          <cell r="L4609" t="str">
            <v>42-04-07-00-4601</v>
          </cell>
          <cell r="M4609" t="str">
            <v>Pesa Mancuerna 3 KG. Negra</v>
          </cell>
          <cell r="O4609" t="str">
            <v>OTROS</v>
          </cell>
          <cell r="P4609">
            <v>6990</v>
          </cell>
          <cell r="T4609" t="str">
            <v>Bueno</v>
          </cell>
          <cell r="U4609" t="str">
            <v>N/T</v>
          </cell>
        </row>
        <row r="4610">
          <cell r="J4610" t="str">
            <v>42-04-07-00-4602</v>
          </cell>
          <cell r="L4610" t="str">
            <v>42-04-07-00-4602</v>
          </cell>
          <cell r="M4610" t="str">
            <v>Pesa Mancuerna 4 KG. Gris</v>
          </cell>
          <cell r="O4610" t="str">
            <v>OTROS</v>
          </cell>
          <cell r="P4610">
            <v>7990</v>
          </cell>
          <cell r="T4610" t="str">
            <v>BUENO</v>
          </cell>
          <cell r="U4610" t="str">
            <v>N/T</v>
          </cell>
        </row>
        <row r="4611">
          <cell r="J4611" t="str">
            <v>42-04-07-00-4603</v>
          </cell>
          <cell r="L4611" t="str">
            <v>42-04-07-00-4603</v>
          </cell>
          <cell r="M4611" t="str">
            <v>Pesa Mancuerna 2 KG. Azul Marino</v>
          </cell>
          <cell r="O4611" t="str">
            <v>OTROS</v>
          </cell>
          <cell r="P4611">
            <v>5490</v>
          </cell>
          <cell r="T4611" t="str">
            <v>Bueno</v>
          </cell>
          <cell r="U4611" t="str">
            <v>N/T</v>
          </cell>
        </row>
        <row r="4612">
          <cell r="J4612" t="str">
            <v>42-04-07-00-4604</v>
          </cell>
          <cell r="L4612" t="str">
            <v>42-04-07-00-4604</v>
          </cell>
          <cell r="M4612" t="str">
            <v>Pesa Mancuerna 1 KG. Verde</v>
          </cell>
          <cell r="O4612" t="str">
            <v>OTROS</v>
          </cell>
          <cell r="P4612">
            <v>4990</v>
          </cell>
          <cell r="T4612" t="str">
            <v>Bueno</v>
          </cell>
          <cell r="U4612" t="str">
            <v>N/T</v>
          </cell>
        </row>
        <row r="4613">
          <cell r="J4613" t="str">
            <v>42-04-07-00-4605</v>
          </cell>
          <cell r="L4613" t="str">
            <v>42-04-07-00-4605</v>
          </cell>
          <cell r="M4613" t="str">
            <v>Pesa Mancuerna 0.5 KG. Roja</v>
          </cell>
          <cell r="O4613" t="str">
            <v>OTROS</v>
          </cell>
          <cell r="P4613">
            <v>3490</v>
          </cell>
          <cell r="T4613" t="str">
            <v>Bueno</v>
          </cell>
          <cell r="U4613" t="str">
            <v>N/T</v>
          </cell>
        </row>
        <row r="4614">
          <cell r="J4614" t="str">
            <v>42-04-07-00-4606</v>
          </cell>
          <cell r="L4614" t="str">
            <v>42-04-07-00-4606</v>
          </cell>
          <cell r="M4614" t="str">
            <v>Set Atril Pesas Con sistema de anclaje a pared</v>
          </cell>
          <cell r="O4614" t="str">
            <v>OTROS</v>
          </cell>
          <cell r="P4614">
            <v>6990</v>
          </cell>
          <cell r="T4614" t="str">
            <v>Bueno</v>
          </cell>
          <cell r="U4614" t="str">
            <v>N/T</v>
          </cell>
        </row>
        <row r="4615">
          <cell r="J4615" t="str">
            <v>FN-04-07-00-4607</v>
          </cell>
          <cell r="L4615" t="str">
            <v>FN-04-07-00-4607</v>
          </cell>
          <cell r="M4615" t="str">
            <v>Bandas Elasticas de Goma para ejercicios Diferentes Colores.</v>
          </cell>
          <cell r="O4615" t="str">
            <v>OTROS FUNGIBLE / NOMINABLE</v>
          </cell>
          <cell r="P4615">
            <v>4500</v>
          </cell>
          <cell r="T4615" t="str">
            <v>Bueno</v>
          </cell>
          <cell r="U4615" t="str">
            <v>N/T</v>
          </cell>
        </row>
        <row r="4616">
          <cell r="J4616" t="str">
            <v>42-05-02-06-4608</v>
          </cell>
          <cell r="L4616" t="str">
            <v>42-05-02-06-4608</v>
          </cell>
          <cell r="M4616" t="str">
            <v>Desbrozadora Husquarna 236 (133-R) - Cortadora De Pasto</v>
          </cell>
          <cell r="O4616" t="str">
            <v>HERRAMIENTAS</v>
          </cell>
          <cell r="P4616">
            <v>353365</v>
          </cell>
          <cell r="T4616" t="str">
            <v>Bueno</v>
          </cell>
          <cell r="U4616" t="str">
            <v xml:space="preserve">Hisquarna </v>
          </cell>
        </row>
        <row r="4617">
          <cell r="J4617" t="str">
            <v>42-05-02-01-4609</v>
          </cell>
          <cell r="L4617" t="str">
            <v>42-05-02-01-4609</v>
          </cell>
          <cell r="M4617" t="str">
            <v>Oximetro de Pulso Modelo CmS50A Marca Contec LT/QTY: NOLOTE: 000001</v>
          </cell>
          <cell r="O4617" t="str">
            <v>EQUIPOS CLINICOS</v>
          </cell>
          <cell r="P4617">
            <v>32130</v>
          </cell>
          <cell r="T4617" t="str">
            <v>Bueno</v>
          </cell>
          <cell r="U4617" t="str">
            <v>Contec</v>
          </cell>
        </row>
        <row r="4618">
          <cell r="J4618" t="str">
            <v>42-05-02-01-4610</v>
          </cell>
          <cell r="L4618" t="str">
            <v>42-05-02-01-4610</v>
          </cell>
          <cell r="M4618" t="str">
            <v>Microscopio Biologico LABOMED LX400 Trinocular Plano Acromatico Sistema Optico al Infinito y Cubierta contra hongos.</v>
          </cell>
          <cell r="N4618" t="str">
            <v>DONACION</v>
          </cell>
          <cell r="O4618" t="str">
            <v>EQUIPOS CLINICOS</v>
          </cell>
          <cell r="P4618">
            <v>1487500</v>
          </cell>
          <cell r="T4618" t="str">
            <v>Bueno</v>
          </cell>
          <cell r="U4618" t="str">
            <v>LABOMED</v>
          </cell>
        </row>
        <row r="4619">
          <cell r="J4619" t="str">
            <v>42-05-02-03-4611</v>
          </cell>
          <cell r="L4619" t="str">
            <v>42-05-02-03-4611</v>
          </cell>
          <cell r="M4619" t="str">
            <v>Radio Comunicador Motorola DGP 6150 Impress S/N 037TMLD Model LAH55JDH9JA1AN</v>
          </cell>
          <cell r="O4619" t="str">
            <v>EQUIPOS DE COMUNICACIÓN</v>
          </cell>
          <cell r="P4619">
            <v>214000</v>
          </cell>
          <cell r="T4619" t="str">
            <v>BUENO</v>
          </cell>
          <cell r="U4619" t="str">
            <v>MOTOROLA</v>
          </cell>
        </row>
        <row r="4620">
          <cell r="J4620" t="str">
            <v>42-05-02-03-4612</v>
          </cell>
          <cell r="L4620" t="str">
            <v>42-05-02-03-4612</v>
          </cell>
          <cell r="M4620" t="str">
            <v>Antena VHF Motorola</v>
          </cell>
          <cell r="O4620" t="str">
            <v>EQUIPOS DE COMUNICACIÓN</v>
          </cell>
          <cell r="P4620">
            <v>12000</v>
          </cell>
          <cell r="T4620" t="str">
            <v>Bueno</v>
          </cell>
          <cell r="U4620" t="str">
            <v>MOTOROLA</v>
          </cell>
        </row>
        <row r="4621">
          <cell r="J4621" t="str">
            <v>42-05-02-03-4613</v>
          </cell>
          <cell r="L4621" t="str">
            <v>42-05-02-03-4613</v>
          </cell>
          <cell r="M4621" t="str">
            <v>Bateria Litio Motorola 11.1WH PMNN4066A 1220 ANT4 IMPRESS C/Porta Cinturon</v>
          </cell>
          <cell r="O4621" t="str">
            <v>EQUIPOS DE COMUNICACIÓN</v>
          </cell>
          <cell r="P4621">
            <v>30000</v>
          </cell>
          <cell r="T4621" t="str">
            <v>Bueno</v>
          </cell>
          <cell r="U4621" t="str">
            <v>MOTOROLA</v>
          </cell>
        </row>
        <row r="4622">
          <cell r="J4622" t="str">
            <v>42-05-02-03-4614</v>
          </cell>
          <cell r="L4622" t="str">
            <v>42-05-02-03-4614</v>
          </cell>
          <cell r="M4622" t="str">
            <v>Microfono REMOTE SPEAKER IMPRES PMMN4025A C/ Tapa Cobertor Polvo  UC DUST</v>
          </cell>
          <cell r="O4622" t="str">
            <v>EQUIPOS DE COMUNICACIÓN</v>
          </cell>
          <cell r="P4622">
            <v>30000</v>
          </cell>
          <cell r="T4622" t="str">
            <v>Bueno</v>
          </cell>
          <cell r="U4622" t="str">
            <v>MOTOROLA</v>
          </cell>
        </row>
        <row r="4623">
          <cell r="J4623" t="str">
            <v>42-05-02-03-4615</v>
          </cell>
          <cell r="L4623" t="str">
            <v>42-05-02-03-4615</v>
          </cell>
          <cell r="M4623" t="str">
            <v>Cargador Motorola PART Nº 2571586S07 Model 48180090 C5 18 V</v>
          </cell>
          <cell r="O4623" t="str">
            <v>EQUIPOS DE COMUNICACIÓN</v>
          </cell>
          <cell r="P4623">
            <v>22000</v>
          </cell>
          <cell r="T4623" t="str">
            <v>Bueno</v>
          </cell>
          <cell r="U4623" t="str">
            <v>MOTOROLA</v>
          </cell>
        </row>
        <row r="4624">
          <cell r="J4624" t="str">
            <v>42-05-02-03-4616</v>
          </cell>
          <cell r="L4624" t="str">
            <v>42-05-02-03-4616</v>
          </cell>
          <cell r="M4624" t="str">
            <v>Pedestal Cargador Motorola WPLN4223A V3.90  -  1215 ML 21</v>
          </cell>
          <cell r="O4624" t="str">
            <v>EQUIPOS DE COMUNICACIÓN</v>
          </cell>
          <cell r="P4624">
            <v>12000</v>
          </cell>
          <cell r="T4624" t="str">
            <v>Bueno</v>
          </cell>
          <cell r="U4624" t="str">
            <v>MOTOROLA</v>
          </cell>
        </row>
        <row r="4625">
          <cell r="J4625" t="str">
            <v>42-05-02-03-4617</v>
          </cell>
          <cell r="L4625" t="str">
            <v>42-05-02-03-4617</v>
          </cell>
          <cell r="M4625" t="str">
            <v xml:space="preserve">Bateria Litio Motorola 15.9WH PMNN4077C 1222 ANT2D IMPRESS </v>
          </cell>
          <cell r="O4625" t="str">
            <v>EQUIPOS DE COMUNICACIÓN</v>
          </cell>
          <cell r="P4625">
            <v>30000</v>
          </cell>
          <cell r="T4625" t="str">
            <v>Bueno</v>
          </cell>
          <cell r="U4625" t="str">
            <v>MOTOROLA</v>
          </cell>
        </row>
        <row r="4626">
          <cell r="J4626" t="str">
            <v>42-04-07-00-4618</v>
          </cell>
          <cell r="L4626" t="str">
            <v>42-04-07-00-4618</v>
          </cell>
          <cell r="M4626" t="str">
            <v>Juego Camiseta y Short Basquetbol Damas (7 Juegos Completos)</v>
          </cell>
          <cell r="O4626" t="str">
            <v>OTROS</v>
          </cell>
          <cell r="P4626">
            <v>65743</v>
          </cell>
          <cell r="T4626" t="str">
            <v>Bueno</v>
          </cell>
          <cell r="U4626" t="str">
            <v>N/T</v>
          </cell>
        </row>
        <row r="4627">
          <cell r="J4627" t="str">
            <v>42-04-07-00-4619</v>
          </cell>
          <cell r="L4627" t="str">
            <v>42-04-07-00-4619</v>
          </cell>
          <cell r="M4627" t="str">
            <v>Juego Camiseta y Short Basquetbol Varones (6 Juegos Completos)</v>
          </cell>
          <cell r="O4627" t="str">
            <v>OTROS</v>
          </cell>
          <cell r="P4627">
            <v>65742</v>
          </cell>
          <cell r="T4627" t="str">
            <v>Bueno</v>
          </cell>
          <cell r="U4627" t="str">
            <v>N/T</v>
          </cell>
        </row>
        <row r="4628">
          <cell r="J4628" t="str">
            <v>42-05-02-01-4620</v>
          </cell>
          <cell r="L4628" t="str">
            <v>42-05-02-01-4620</v>
          </cell>
          <cell r="M4628" t="str">
            <v>Set Maniqui para RCP set 5 Adultos 2 Infantiles</v>
          </cell>
          <cell r="O4628" t="str">
            <v>EQUIPOS CLINICOS</v>
          </cell>
          <cell r="P4628">
            <v>511688</v>
          </cell>
          <cell r="T4628" t="str">
            <v>Bueno</v>
          </cell>
          <cell r="U4628" t="str">
            <v>NASCO</v>
          </cell>
        </row>
        <row r="4629">
          <cell r="J4629" t="str">
            <v>42-05-02-01-4621</v>
          </cell>
          <cell r="L4629" t="str">
            <v>42-05-02-01-4621</v>
          </cell>
          <cell r="M4629" t="str">
            <v>Kit Triage Sistema Emergencia Con Bolso</v>
          </cell>
          <cell r="O4629" t="str">
            <v>EQUIPOS CLINICOS</v>
          </cell>
          <cell r="P4629">
            <v>77350</v>
          </cell>
          <cell r="T4629" t="str">
            <v>Bueno</v>
          </cell>
          <cell r="U4629" t="str">
            <v>N/T</v>
          </cell>
        </row>
        <row r="4630">
          <cell r="J4630" t="str">
            <v>FN-05-02-01-4622</v>
          </cell>
          <cell r="L4630" t="str">
            <v>FN-05-02-01-4622</v>
          </cell>
          <cell r="M4630" t="str">
            <v>Mascara para RCP (Pocket) Unidireccional + Filtro (Silicona) Lavable</v>
          </cell>
          <cell r="O4630" t="str">
            <v>EQUIPOS CLINICOS FUNGIBLE / NOMINABLE</v>
          </cell>
          <cell r="P4630">
            <v>6545</v>
          </cell>
          <cell r="T4630" t="str">
            <v>Bueno</v>
          </cell>
          <cell r="U4630" t="str">
            <v>N/T</v>
          </cell>
        </row>
        <row r="4631">
          <cell r="J4631" t="str">
            <v>FN-05-02-01-4623</v>
          </cell>
          <cell r="L4631" t="str">
            <v>FN-05-02-01-4623</v>
          </cell>
          <cell r="M4631" t="str">
            <v>Tijeras de Extricación 7.5 " Empuñadura Reforzada, Alta Densidad</v>
          </cell>
          <cell r="O4631" t="str">
            <v>EQUIPOS CLINICOS FUNGIBLE / NOMINABLE</v>
          </cell>
          <cell r="P4631">
            <v>2261</v>
          </cell>
          <cell r="T4631" t="str">
            <v>Bueno</v>
          </cell>
          <cell r="U4631" t="str">
            <v>N/T</v>
          </cell>
        </row>
        <row r="4632">
          <cell r="J4632" t="str">
            <v>NN-06-01-00-4624</v>
          </cell>
          <cell r="K4632">
            <v>1</v>
          </cell>
          <cell r="L4632" t="str">
            <v>NN-06-01-00-4624</v>
          </cell>
          <cell r="M4632" t="str">
            <v xml:space="preserve">PC All in One Intel ® core ™ I3 2100 CPU 3.10GHZ N/S: 15202-012237 (ol) </v>
          </cell>
          <cell r="N4632" t="str">
            <v>EQ. EN ARRIENDO</v>
          </cell>
          <cell r="O4632" t="str">
            <v>EQUIPOS COMPUTACIONALES Y PERIFÉRICOS EN ARRIENDO</v>
          </cell>
          <cell r="P4632">
            <v>350000</v>
          </cell>
          <cell r="Q4632" t="str">
            <v>Black 22 "</v>
          </cell>
          <cell r="T4632" t="str">
            <v>Bueno</v>
          </cell>
          <cell r="U4632" t="str">
            <v>Olidata</v>
          </cell>
        </row>
        <row r="4633">
          <cell r="J4633" t="str">
            <v>NN-06-01-00-4625</v>
          </cell>
          <cell r="K4633">
            <v>1</v>
          </cell>
          <cell r="L4633" t="str">
            <v>NN-06-01-00-4625</v>
          </cell>
          <cell r="M4633" t="str">
            <v>Mouse Olidata Model KM 8903 Negro/Gris</v>
          </cell>
          <cell r="N4633" t="str">
            <v>EQ. EN ARRIENDO</v>
          </cell>
          <cell r="O4633" t="str">
            <v>EQUIPOS COMPUTACIONALES Y PERIFÉRICOS EN ARRIENDO</v>
          </cell>
          <cell r="P4633">
            <v>4000</v>
          </cell>
          <cell r="T4633" t="str">
            <v>Bueno</v>
          </cell>
          <cell r="U4633" t="str">
            <v>Olidata</v>
          </cell>
        </row>
        <row r="4634">
          <cell r="J4634" t="str">
            <v>NN-06-01-00-4626</v>
          </cell>
          <cell r="K4634">
            <v>1</v>
          </cell>
          <cell r="L4634" t="str">
            <v>NN-06-01-00-4626</v>
          </cell>
          <cell r="M4634" t="str">
            <v>Teclado Olidata Modelo K 5015 Negro/Gris Teclas Accesos Rapidos</v>
          </cell>
          <cell r="N4634" t="str">
            <v>EQ. EN ARRIENDO</v>
          </cell>
          <cell r="O4634" t="str">
            <v>EQUIPOS COMPUTACIONALES Y PERIFÉRICOS EN ARRIENDO</v>
          </cell>
          <cell r="P4634">
            <v>10000</v>
          </cell>
          <cell r="T4634" t="str">
            <v>Bueno</v>
          </cell>
          <cell r="U4634" t="str">
            <v>Olidata</v>
          </cell>
        </row>
        <row r="4635">
          <cell r="J4635" t="str">
            <v>42-04-07-00-4627</v>
          </cell>
          <cell r="L4635" t="str">
            <v>42-04-07-00-4627</v>
          </cell>
          <cell r="M4635" t="str">
            <v xml:space="preserve">Mesa Juego De Taca Taca Standard </v>
          </cell>
          <cell r="N4635" t="str">
            <v>DONACION</v>
          </cell>
          <cell r="O4635" t="str">
            <v>OTROS</v>
          </cell>
          <cell r="P4635">
            <v>149990</v>
          </cell>
          <cell r="T4635" t="str">
            <v>Bueno</v>
          </cell>
          <cell r="U4635" t="str">
            <v>N/T</v>
          </cell>
        </row>
        <row r="4636">
          <cell r="J4636" t="str">
            <v>NN-06-01-00-4628</v>
          </cell>
          <cell r="L4636" t="str">
            <v>NN-06-01-00-4628</v>
          </cell>
          <cell r="M4636" t="str">
            <v>Impresora Copiadora Laser Industrial Multifuncional Konica Minolta BIZHUB 350</v>
          </cell>
          <cell r="N4636" t="str">
            <v>EQ. EN ARRIENDO</v>
          </cell>
          <cell r="O4636" t="str">
            <v>EQUIPOS COMPUTACIONALES Y PERIFÉRICOS EN ARRIENDO</v>
          </cell>
          <cell r="P4636">
            <v>850000</v>
          </cell>
          <cell r="T4636" t="str">
            <v>Bueno</v>
          </cell>
          <cell r="U4636" t="str">
            <v>Konica Minolta</v>
          </cell>
        </row>
        <row r="4637">
          <cell r="J4637" t="str">
            <v>42-05-01-01-4629</v>
          </cell>
          <cell r="L4637" t="str">
            <v>42-05-01-01-4629</v>
          </cell>
          <cell r="M4637" t="str">
            <v xml:space="preserve">Televisor 21 Pulgadas TCR 2164 IRT Color Gris </v>
          </cell>
          <cell r="N4637" t="str">
            <v>Donacion</v>
          </cell>
          <cell r="O4637" t="str">
            <v>EQUIPO DE OFICINA</v>
          </cell>
          <cell r="P4637">
            <v>65000</v>
          </cell>
          <cell r="T4637" t="str">
            <v>Bueno</v>
          </cell>
          <cell r="U4637" t="str">
            <v>IRT</v>
          </cell>
        </row>
        <row r="4638">
          <cell r="J4638" t="str">
            <v>NN-06-01-00-4630</v>
          </cell>
          <cell r="K4638">
            <v>2</v>
          </cell>
          <cell r="L4638" t="str">
            <v>NN-06-01-00-4630</v>
          </cell>
          <cell r="M4638" t="str">
            <v xml:space="preserve">PC All in One Intel ® core ™ I3 2100 CPU 3.10GHZ N/S: 15202-012226 (ol) </v>
          </cell>
          <cell r="N4638" t="str">
            <v>EQ. EN ARRIENDO</v>
          </cell>
          <cell r="O4638" t="str">
            <v>EQUIPOS COMPUTACIONALES Y PERIFÉRICOS EN ARRIENDO</v>
          </cell>
          <cell r="P4638">
            <v>350000</v>
          </cell>
          <cell r="Q4638" t="str">
            <v>Black 22 "</v>
          </cell>
          <cell r="T4638" t="str">
            <v>Bueno</v>
          </cell>
          <cell r="U4638" t="str">
            <v>Olidata</v>
          </cell>
        </row>
        <row r="4639">
          <cell r="J4639" t="str">
            <v>NN-06-01-00-4631</v>
          </cell>
          <cell r="K4639">
            <v>2</v>
          </cell>
          <cell r="L4639" t="str">
            <v>NN-06-01-00-4631</v>
          </cell>
          <cell r="M4639" t="str">
            <v>Mouse Convencional Olidata Model KM - 8903</v>
          </cell>
          <cell r="N4639" t="str">
            <v>EQ. EN ARRIENDO</v>
          </cell>
          <cell r="O4639" t="str">
            <v>EQUIPOS COMPUTACIONALES Y PERIFÉRICOS EN ARRIENDO</v>
          </cell>
          <cell r="P4639">
            <v>4000</v>
          </cell>
          <cell r="T4639" t="str">
            <v>Bueno</v>
          </cell>
          <cell r="U4639" t="str">
            <v>Olidata</v>
          </cell>
        </row>
        <row r="4640">
          <cell r="J4640" t="str">
            <v>NN-06-01-00-4632</v>
          </cell>
          <cell r="K4640">
            <v>2</v>
          </cell>
          <cell r="L4640" t="str">
            <v>NN-06-01-00-4632</v>
          </cell>
          <cell r="M4640" t="str">
            <v>Teclado Olidata Internet Model K 5051 S/N: K50151206003679</v>
          </cell>
          <cell r="N4640" t="str">
            <v>EQ. EN ARRIENDO</v>
          </cell>
          <cell r="O4640" t="str">
            <v>EQUIPOS COMPUTACIONALES Y PERIFÉRICOS EN ARRIENDO</v>
          </cell>
          <cell r="P4640">
            <v>10000</v>
          </cell>
          <cell r="T4640" t="str">
            <v>Bueno</v>
          </cell>
          <cell r="U4640" t="str">
            <v>Olidata</v>
          </cell>
        </row>
        <row r="4641">
          <cell r="J4641" t="str">
            <v>NN-06-01-00-4633</v>
          </cell>
          <cell r="K4641">
            <v>3</v>
          </cell>
          <cell r="L4641" t="str">
            <v>NN-06-01-00-4633</v>
          </cell>
          <cell r="M4641" t="str">
            <v xml:space="preserve">PC All in One Intel ® core ™ I3 2100 CPU 3.10GHZ N/S: 15202-012236 (ol) </v>
          </cell>
          <cell r="N4641" t="str">
            <v>EQ. EN ARRIENDO</v>
          </cell>
          <cell r="O4641" t="str">
            <v>EQUIPOS COMPUTACIONALES Y PERIFÉRICOS EN ARRIENDO</v>
          </cell>
          <cell r="P4641">
            <v>350000</v>
          </cell>
          <cell r="Q4641" t="str">
            <v>Black 22 "</v>
          </cell>
          <cell r="T4641" t="str">
            <v>Bueno</v>
          </cell>
          <cell r="U4641" t="str">
            <v>Olidata</v>
          </cell>
        </row>
        <row r="4642">
          <cell r="J4642" t="str">
            <v>NN-06-01-00-4634</v>
          </cell>
          <cell r="K4642">
            <v>3</v>
          </cell>
          <cell r="L4642" t="str">
            <v>NN-06-01-00-4634</v>
          </cell>
          <cell r="M4642" t="str">
            <v>Mouse Convencional Olidata Model KM - 8903</v>
          </cell>
          <cell r="N4642" t="str">
            <v>EQ. EN ARRIENDO</v>
          </cell>
          <cell r="O4642" t="str">
            <v>EQUIPOS COMPUTACIONALES Y PERIFÉRICOS EN ARRIENDO</v>
          </cell>
          <cell r="P4642">
            <v>4000</v>
          </cell>
          <cell r="T4642" t="str">
            <v>Bueno</v>
          </cell>
          <cell r="U4642" t="str">
            <v>Olidata</v>
          </cell>
        </row>
        <row r="4643">
          <cell r="J4643" t="str">
            <v>NN-06-01-00-4635</v>
          </cell>
          <cell r="K4643">
            <v>3</v>
          </cell>
          <cell r="L4643" t="str">
            <v>NN-06-01-00-4635</v>
          </cell>
          <cell r="M4643" t="str">
            <v>Teclado Olidata Internet Model K 5051 S/N: K50151206003681</v>
          </cell>
          <cell r="N4643" t="str">
            <v>EQ. EN ARRIENDO</v>
          </cell>
          <cell r="O4643" t="str">
            <v>EQUIPOS COMPUTACIONALES Y PERIFÉRICOS EN ARRIENDO</v>
          </cell>
          <cell r="P4643">
            <v>10000</v>
          </cell>
          <cell r="T4643" t="str">
            <v>Bueno</v>
          </cell>
          <cell r="U4643" t="str">
            <v>Olidata</v>
          </cell>
        </row>
        <row r="4644">
          <cell r="J4644" t="str">
            <v>NN-06-01-00-4636</v>
          </cell>
          <cell r="K4644">
            <v>4</v>
          </cell>
          <cell r="L4644" t="str">
            <v>NN-06-01-00-4636</v>
          </cell>
          <cell r="M4644" t="str">
            <v xml:space="preserve">PC All in One Intel ® core ™ I3 2100 CPU 3.10GHZ N/S: 15202-012225 (ol) </v>
          </cell>
          <cell r="N4644" t="str">
            <v>EQ. EN ARRIENDO</v>
          </cell>
          <cell r="O4644" t="str">
            <v>EQUIPOS COMPUTACIONALES Y PERIFÉRICOS EN ARRIENDO</v>
          </cell>
          <cell r="P4644">
            <v>350000</v>
          </cell>
          <cell r="Q4644" t="str">
            <v>Black 22 "</v>
          </cell>
          <cell r="T4644" t="str">
            <v>Bueno</v>
          </cell>
          <cell r="U4644" t="str">
            <v>Olidata</v>
          </cell>
        </row>
        <row r="4645">
          <cell r="J4645" t="str">
            <v>NN-06-01-00-4637</v>
          </cell>
          <cell r="K4645">
            <v>4</v>
          </cell>
          <cell r="L4645" t="str">
            <v>NN-06-01-00-4637</v>
          </cell>
          <cell r="M4645" t="str">
            <v>Mouse Convencional Olidata Model KM - 8903</v>
          </cell>
          <cell r="N4645" t="str">
            <v>EQ. EN ARRIENDO</v>
          </cell>
          <cell r="O4645" t="str">
            <v>EQUIPOS COMPUTACIONALES Y PERIFÉRICOS EN ARRIENDO</v>
          </cell>
          <cell r="P4645">
            <v>4000</v>
          </cell>
          <cell r="T4645" t="str">
            <v>Bueno</v>
          </cell>
          <cell r="U4645" t="str">
            <v>Olidata</v>
          </cell>
        </row>
        <row r="4646">
          <cell r="J4646" t="str">
            <v>NN-06-01-00-4638</v>
          </cell>
          <cell r="K4646">
            <v>4</v>
          </cell>
          <cell r="L4646" t="str">
            <v>NN-06-01-00-4638</v>
          </cell>
          <cell r="M4646" t="str">
            <v>Teclado Olidata Internet Model K 5051 S/N: K50151206012475</v>
          </cell>
          <cell r="N4646" t="str">
            <v>EQ. EN ARRIENDO</v>
          </cell>
          <cell r="O4646" t="str">
            <v>EQUIPOS COMPUTACIONALES Y PERIFÉRICOS EN ARRIENDO</v>
          </cell>
          <cell r="P4646">
            <v>10000</v>
          </cell>
          <cell r="T4646" t="str">
            <v>Bueno</v>
          </cell>
          <cell r="U4646" t="str">
            <v>Olidata</v>
          </cell>
        </row>
        <row r="4647">
          <cell r="J4647" t="str">
            <v>NN-06-01-00-4639</v>
          </cell>
          <cell r="K4647">
            <v>5</v>
          </cell>
          <cell r="L4647" t="str">
            <v>NN-06-01-00-4639</v>
          </cell>
          <cell r="M4647" t="str">
            <v xml:space="preserve">PC All in One Intel ® core ™ I3 2100 CPU 3.10GHZ N/S: 15202-012216 (ol) </v>
          </cell>
          <cell r="N4647" t="str">
            <v>EQ. EN ARRIENDO</v>
          </cell>
          <cell r="O4647" t="str">
            <v>EQUIPOS COMPUTACIONALES Y PERIFÉRICOS EN ARRIENDO</v>
          </cell>
          <cell r="P4647">
            <v>350000</v>
          </cell>
          <cell r="Q4647" t="str">
            <v>Black 22 "</v>
          </cell>
          <cell r="T4647" t="str">
            <v>Bueno</v>
          </cell>
          <cell r="U4647" t="str">
            <v>Olidata</v>
          </cell>
        </row>
        <row r="4648">
          <cell r="J4648" t="str">
            <v>NN-06-01-00-4640</v>
          </cell>
          <cell r="K4648">
            <v>5</v>
          </cell>
          <cell r="L4648" t="str">
            <v>NN-06-01-00-4640</v>
          </cell>
          <cell r="M4648" t="str">
            <v>Mouse Convencional Olidata Model KM - 8903</v>
          </cell>
          <cell r="N4648" t="str">
            <v>EQ. EN ARRIENDO</v>
          </cell>
          <cell r="O4648" t="str">
            <v>EQUIPOS COMPUTACIONALES Y PERIFÉRICOS EN ARRIENDO</v>
          </cell>
          <cell r="P4648">
            <v>4000</v>
          </cell>
          <cell r="T4648" t="str">
            <v>Bueno</v>
          </cell>
          <cell r="U4648" t="str">
            <v>Olidata</v>
          </cell>
        </row>
        <row r="4649">
          <cell r="J4649" t="str">
            <v>NN-06-01-00-4641</v>
          </cell>
          <cell r="K4649">
            <v>5</v>
          </cell>
          <cell r="L4649" t="str">
            <v>NN-06-01-00-4641</v>
          </cell>
          <cell r="M4649" t="str">
            <v>Teclado Olidata Internet Model K 5051 S/N: K50151206063683</v>
          </cell>
          <cell r="N4649" t="str">
            <v>EQ. EN ARRIENDO</v>
          </cell>
          <cell r="O4649" t="str">
            <v>EQUIPOS COMPUTACIONALES Y PERIFÉRICOS EN ARRIENDO</v>
          </cell>
          <cell r="P4649">
            <v>10000</v>
          </cell>
          <cell r="T4649" t="str">
            <v>Bueno</v>
          </cell>
          <cell r="U4649" t="str">
            <v>Olidata</v>
          </cell>
        </row>
        <row r="4650">
          <cell r="J4650" t="str">
            <v>NN-06-01-00-4642</v>
          </cell>
          <cell r="K4650">
            <v>6</v>
          </cell>
          <cell r="L4650" t="str">
            <v>NN-06-01-00-4642</v>
          </cell>
          <cell r="M4650" t="str">
            <v xml:space="preserve">PC All in One Intel ® core ™ I3 2100 CPU 3.10GHZ N/S: 15202-012238 (ol) </v>
          </cell>
          <cell r="N4650" t="str">
            <v>EQ. EN ARRIENDO</v>
          </cell>
          <cell r="O4650" t="str">
            <v>EQUIPOS COMPUTACIONALES Y PERIFÉRICOS EN ARRIENDO</v>
          </cell>
          <cell r="P4650">
            <v>350000</v>
          </cell>
          <cell r="Q4650" t="str">
            <v>Black 22 "</v>
          </cell>
          <cell r="T4650" t="str">
            <v>Bueno</v>
          </cell>
          <cell r="U4650" t="str">
            <v>Olidata</v>
          </cell>
        </row>
        <row r="4651">
          <cell r="J4651" t="str">
            <v>NN-06-01-00-4643</v>
          </cell>
          <cell r="K4651">
            <v>6</v>
          </cell>
          <cell r="L4651" t="str">
            <v>NN-06-01-00-4643</v>
          </cell>
          <cell r="M4651" t="str">
            <v>Mouse Convencional Olidata Model KM - 8903</v>
          </cell>
          <cell r="N4651" t="str">
            <v>EQ. EN ARRIENDO</v>
          </cell>
          <cell r="O4651" t="str">
            <v>EQUIPOS COMPUTACIONALES Y PERIFÉRICOS EN ARRIENDO</v>
          </cell>
          <cell r="P4651">
            <v>4000</v>
          </cell>
          <cell r="T4651" t="str">
            <v>Bueno</v>
          </cell>
          <cell r="U4651" t="str">
            <v>Olidata</v>
          </cell>
        </row>
        <row r="4652">
          <cell r="J4652" t="str">
            <v>NN-06-01-00-4644</v>
          </cell>
          <cell r="K4652">
            <v>6</v>
          </cell>
          <cell r="L4652" t="str">
            <v>NN-06-01-00-4644</v>
          </cell>
          <cell r="M4652" t="str">
            <v>Teclado Olidata Internet Model K 5051 S/N: K5015120612498</v>
          </cell>
          <cell r="N4652" t="str">
            <v>EQ. EN ARRIENDO</v>
          </cell>
          <cell r="O4652" t="str">
            <v>EQUIPOS COMPUTACIONALES Y PERIFÉRICOS EN ARRIENDO</v>
          </cell>
          <cell r="P4652">
            <v>10000</v>
          </cell>
          <cell r="T4652" t="str">
            <v>Bueno</v>
          </cell>
          <cell r="U4652" t="str">
            <v>Olidata</v>
          </cell>
        </row>
        <row r="4653">
          <cell r="J4653" t="str">
            <v>NN-06-01-00-4645</v>
          </cell>
          <cell r="K4653">
            <v>7</v>
          </cell>
          <cell r="L4653" t="str">
            <v>NN-06-01-00-4645</v>
          </cell>
          <cell r="M4653" t="str">
            <v xml:space="preserve">PC All in One Intel ® core ™ I3 2100 CPU 3.10GHZ N/S: 15202-012 (ol) </v>
          </cell>
          <cell r="N4653" t="str">
            <v>EQ. EN ARRIENDO</v>
          </cell>
          <cell r="O4653" t="str">
            <v>EQUIPOS COMPUTACIONALES Y PERIFÉRICOS EN ARRIENDO</v>
          </cell>
          <cell r="P4653">
            <v>350000</v>
          </cell>
          <cell r="Q4653" t="str">
            <v>Black 22 "</v>
          </cell>
          <cell r="T4653" t="str">
            <v>Bueno</v>
          </cell>
          <cell r="U4653" t="str">
            <v>Olidata</v>
          </cell>
        </row>
        <row r="4654">
          <cell r="J4654" t="str">
            <v>NN-06-01-00-4646</v>
          </cell>
          <cell r="K4654">
            <v>7</v>
          </cell>
          <cell r="L4654" t="str">
            <v>NN-06-01-00-4646</v>
          </cell>
          <cell r="M4654" t="str">
            <v>Mouse Convencional Olidata Model KM - 8903</v>
          </cell>
          <cell r="N4654" t="str">
            <v>EQ. EN ARRIENDO</v>
          </cell>
          <cell r="O4654" t="str">
            <v>EQUIPOS COMPUTACIONALES Y PERIFÉRICOS EN ARRIENDO</v>
          </cell>
          <cell r="P4654">
            <v>4000</v>
          </cell>
          <cell r="T4654" t="str">
            <v>Bueno</v>
          </cell>
          <cell r="U4654" t="str">
            <v>Olidata</v>
          </cell>
        </row>
        <row r="4655">
          <cell r="J4655" t="str">
            <v>NN-06-01-00-4647</v>
          </cell>
          <cell r="K4655">
            <v>7</v>
          </cell>
          <cell r="L4655" t="str">
            <v>NN-06-01-00-4647</v>
          </cell>
          <cell r="M4655" t="str">
            <v>Teclado Olidata Internet Model K 5051 S/N: K501512</v>
          </cell>
          <cell r="N4655" t="str">
            <v>EQ. EN ARRIENDO</v>
          </cell>
          <cell r="O4655" t="str">
            <v>EQUIPOS COMPUTACIONALES Y PERIFÉRICOS EN ARRIENDO</v>
          </cell>
          <cell r="P4655">
            <v>10000</v>
          </cell>
          <cell r="T4655" t="str">
            <v>Bueno</v>
          </cell>
          <cell r="U4655" t="str">
            <v>Olidata</v>
          </cell>
        </row>
        <row r="4656">
          <cell r="J4656" t="str">
            <v>NN-06-01-00-4648</v>
          </cell>
          <cell r="K4656">
            <v>8</v>
          </cell>
          <cell r="L4656" t="str">
            <v>NN-06-01-00-4648</v>
          </cell>
          <cell r="M4656" t="str">
            <v xml:space="preserve">PC All in One Intel ® core ™ I3 2100 CPU 3.10GHZ N/S: 15202-012 (ol) </v>
          </cell>
          <cell r="N4656" t="str">
            <v>EQ. EN ARRIENDO</v>
          </cell>
          <cell r="O4656" t="str">
            <v>EQUIPOS COMPUTACIONALES Y PERIFÉRICOS EN ARRIENDO</v>
          </cell>
          <cell r="P4656">
            <v>350000</v>
          </cell>
          <cell r="Q4656" t="str">
            <v>Black 22 "</v>
          </cell>
          <cell r="T4656" t="str">
            <v>Bueno</v>
          </cell>
          <cell r="U4656" t="str">
            <v>Olidata</v>
          </cell>
        </row>
        <row r="4657">
          <cell r="J4657" t="str">
            <v>NN-06-01-00-4649</v>
          </cell>
          <cell r="K4657">
            <v>8</v>
          </cell>
          <cell r="L4657" t="str">
            <v>NN-06-01-00-4649</v>
          </cell>
          <cell r="M4657" t="str">
            <v>Mouse Convencional Olidata Model KM - 8903</v>
          </cell>
          <cell r="N4657" t="str">
            <v>EQ. EN ARRIENDO</v>
          </cell>
          <cell r="O4657" t="str">
            <v>EQUIPOS COMPUTACIONALES Y PERIFÉRICOS EN ARRIENDO</v>
          </cell>
          <cell r="P4657">
            <v>4000</v>
          </cell>
          <cell r="T4657" t="str">
            <v>Bueno</v>
          </cell>
          <cell r="U4657" t="str">
            <v>Olidata</v>
          </cell>
        </row>
        <row r="4658">
          <cell r="J4658" t="str">
            <v>NN-06-01-00-4650</v>
          </cell>
          <cell r="K4658">
            <v>8</v>
          </cell>
          <cell r="L4658" t="str">
            <v>NN-06-01-00-4650</v>
          </cell>
          <cell r="M4658" t="str">
            <v>Teclado Olidata Internet Model K 5051 S/N: K501512</v>
          </cell>
          <cell r="N4658" t="str">
            <v>EQ. EN ARRIENDO</v>
          </cell>
          <cell r="O4658" t="str">
            <v>EQUIPOS COMPUTACIONALES Y PERIFÉRICOS EN ARRIENDO</v>
          </cell>
          <cell r="P4658">
            <v>10000</v>
          </cell>
          <cell r="T4658" t="str">
            <v>Bueno</v>
          </cell>
          <cell r="U4658" t="str">
            <v>Olidata</v>
          </cell>
        </row>
        <row r="4659">
          <cell r="J4659" t="str">
            <v>NN-06-01-00-4651</v>
          </cell>
          <cell r="K4659">
            <v>9</v>
          </cell>
          <cell r="L4659" t="str">
            <v>NN-06-01-00-4651</v>
          </cell>
          <cell r="M4659" t="str">
            <v xml:space="preserve">PC All in One Intel ® core ™ I3 2100 CPU 3.10GHZ N/S: 15202-012 (ol) </v>
          </cell>
          <cell r="N4659" t="str">
            <v>EQ. EN ARRIENDO</v>
          </cell>
          <cell r="O4659" t="str">
            <v>EQUIPOS COMPUTACIONALES Y PERIFÉRICOS EN ARRIENDO</v>
          </cell>
          <cell r="P4659">
            <v>350000</v>
          </cell>
          <cell r="Q4659" t="str">
            <v>Black 22 "</v>
          </cell>
          <cell r="T4659" t="str">
            <v>Bueno</v>
          </cell>
          <cell r="U4659" t="str">
            <v>Olidata</v>
          </cell>
        </row>
        <row r="4660">
          <cell r="J4660" t="str">
            <v>NN-06-01-00-4652</v>
          </cell>
          <cell r="K4660">
            <v>9</v>
          </cell>
          <cell r="L4660" t="str">
            <v>NN-06-01-00-4652</v>
          </cell>
          <cell r="M4660" t="str">
            <v>Mouse Convencional Olidata Model KM - 8903</v>
          </cell>
          <cell r="N4660" t="str">
            <v>EQ. EN ARRIENDO</v>
          </cell>
          <cell r="O4660" t="str">
            <v>EQUIPOS COMPUTACIONALES Y PERIFÉRICOS EN ARRIENDO</v>
          </cell>
          <cell r="P4660">
            <v>4000</v>
          </cell>
          <cell r="T4660" t="str">
            <v>Bueno</v>
          </cell>
          <cell r="U4660" t="str">
            <v>Olidata</v>
          </cell>
        </row>
        <row r="4661">
          <cell r="J4661" t="str">
            <v>NN-06-01-00-4653</v>
          </cell>
          <cell r="K4661">
            <v>9</v>
          </cell>
          <cell r="L4661" t="str">
            <v>NN-06-01-00-4653</v>
          </cell>
          <cell r="M4661" t="str">
            <v>Teclado Olidata Internet Model K 5051 S/N: K501512</v>
          </cell>
          <cell r="N4661" t="str">
            <v>EQ. EN ARRIENDO</v>
          </cell>
          <cell r="O4661" t="str">
            <v>EQUIPOS COMPUTACIONALES Y PERIFÉRICOS EN ARRIENDO</v>
          </cell>
          <cell r="P4661">
            <v>10000</v>
          </cell>
          <cell r="T4661" t="str">
            <v>Bueno</v>
          </cell>
          <cell r="U4661" t="str">
            <v>Olidata</v>
          </cell>
        </row>
        <row r="4662">
          <cell r="J4662" t="str">
            <v>NN-06-01-00-4654</v>
          </cell>
          <cell r="K4662">
            <v>10</v>
          </cell>
          <cell r="L4662" t="str">
            <v>NN-06-01-00-4654</v>
          </cell>
          <cell r="M4662" t="str">
            <v xml:space="preserve">PC All in One Intel ® core ™ I3 2100 CPU 3.10GHZ N/S: 15202-012 (ol) </v>
          </cell>
          <cell r="N4662" t="str">
            <v>EQ. EN ARRIENDO</v>
          </cell>
          <cell r="O4662" t="str">
            <v>EQUIPOS COMPUTACIONALES Y PERIFÉRICOS EN ARRIENDO</v>
          </cell>
          <cell r="P4662">
            <v>350000</v>
          </cell>
          <cell r="Q4662" t="str">
            <v>Black 22 "</v>
          </cell>
          <cell r="T4662" t="str">
            <v>Bueno</v>
          </cell>
          <cell r="U4662" t="str">
            <v>Olidata</v>
          </cell>
        </row>
        <row r="4663">
          <cell r="J4663" t="str">
            <v>NN-06-01-00-4655</v>
          </cell>
          <cell r="K4663">
            <v>10</v>
          </cell>
          <cell r="L4663" t="str">
            <v>NN-06-01-00-4655</v>
          </cell>
          <cell r="M4663" t="str">
            <v>Mouse Convencional Olidata Model KM - 8903</v>
          </cell>
          <cell r="N4663" t="str">
            <v>EQ. EN ARRIENDO</v>
          </cell>
          <cell r="O4663" t="str">
            <v>EQUIPOS COMPUTACIONALES Y PERIFÉRICOS EN ARRIENDO</v>
          </cell>
          <cell r="P4663">
            <v>4000</v>
          </cell>
          <cell r="T4663" t="str">
            <v>Bueno</v>
          </cell>
          <cell r="U4663" t="str">
            <v>Olidata</v>
          </cell>
        </row>
        <row r="4664">
          <cell r="J4664" t="str">
            <v>NN-06-01-00-4656</v>
          </cell>
          <cell r="K4664">
            <v>10</v>
          </cell>
          <cell r="L4664" t="str">
            <v>NN-06-01-00-4656</v>
          </cell>
          <cell r="M4664" t="str">
            <v>Teclado Olidata Internet Model K 5051 S/N: K501512</v>
          </cell>
          <cell r="N4664" t="str">
            <v>EQ. EN ARRIENDO</v>
          </cell>
          <cell r="O4664" t="str">
            <v>EQUIPOS COMPUTACIONALES Y PERIFÉRICOS EN ARRIENDO</v>
          </cell>
          <cell r="P4664">
            <v>10000</v>
          </cell>
          <cell r="T4664" t="str">
            <v>Bueno</v>
          </cell>
          <cell r="U4664" t="str">
            <v>Olidata</v>
          </cell>
        </row>
        <row r="4665">
          <cell r="J4665" t="str">
            <v>NN-06-01-00-4657</v>
          </cell>
          <cell r="K4665">
            <v>11</v>
          </cell>
          <cell r="L4665" t="str">
            <v>NN-06-01-00-4657</v>
          </cell>
          <cell r="M4665" t="str">
            <v xml:space="preserve">PC All in One Intel ® core ™ I3 2100 CPU 3.10GHZ N/S: 15202-012 (ol) </v>
          </cell>
          <cell r="N4665" t="str">
            <v>EQ. EN ARRIENDO</v>
          </cell>
          <cell r="O4665" t="str">
            <v>EQUIPOS COMPUTACIONALES Y PERIFÉRICOS EN ARRIENDO</v>
          </cell>
          <cell r="P4665">
            <v>350000</v>
          </cell>
          <cell r="Q4665" t="str">
            <v>Black 22 "</v>
          </cell>
          <cell r="T4665" t="str">
            <v>Bueno</v>
          </cell>
          <cell r="U4665" t="str">
            <v>Olidata</v>
          </cell>
        </row>
        <row r="4666">
          <cell r="J4666" t="str">
            <v>NN-06-01-00-4658</v>
          </cell>
          <cell r="K4666">
            <v>11</v>
          </cell>
          <cell r="L4666" t="str">
            <v>NN-06-01-00-4658</v>
          </cell>
          <cell r="M4666" t="str">
            <v>Mouse Convencional Olidata Model KM - 8903</v>
          </cell>
          <cell r="N4666" t="str">
            <v>EQ. EN ARRIENDO</v>
          </cell>
          <cell r="O4666" t="str">
            <v>EQUIPOS COMPUTACIONALES Y PERIFÉRICOS EN ARRIENDO</v>
          </cell>
          <cell r="P4666">
            <v>4000</v>
          </cell>
          <cell r="T4666" t="str">
            <v>Bueno</v>
          </cell>
          <cell r="U4666" t="str">
            <v>Olidata</v>
          </cell>
        </row>
        <row r="4667">
          <cell r="J4667" t="str">
            <v>NN-06-01-00-4659</v>
          </cell>
          <cell r="K4667">
            <v>11</v>
          </cell>
          <cell r="L4667" t="str">
            <v>NN-06-01-00-4659</v>
          </cell>
          <cell r="M4667" t="str">
            <v>Teclado Olidata Internet Model K 5051 S/N: K501512</v>
          </cell>
          <cell r="N4667" t="str">
            <v>EQ. EN ARRIENDO</v>
          </cell>
          <cell r="O4667" t="str">
            <v>EQUIPOS COMPUTACIONALES Y PERIFÉRICOS EN ARRIENDO</v>
          </cell>
          <cell r="P4667">
            <v>10000</v>
          </cell>
          <cell r="T4667" t="str">
            <v>Bueno</v>
          </cell>
          <cell r="U4667" t="str">
            <v>Olidata</v>
          </cell>
        </row>
        <row r="4668">
          <cell r="J4668" t="str">
            <v>NN-06-01-00-4660</v>
          </cell>
          <cell r="K4668">
            <v>12</v>
          </cell>
          <cell r="L4668" t="str">
            <v>NN-06-01-00-4660</v>
          </cell>
          <cell r="M4668" t="str">
            <v xml:space="preserve">PC All in One Intel ® core ™ I3 2100 CPU 3.10GHZ N/S: 15202-012 (ol) </v>
          </cell>
          <cell r="N4668" t="str">
            <v>EQ. EN ARRIENDO</v>
          </cell>
          <cell r="O4668" t="str">
            <v>EQUIPOS COMPUTACIONALES Y PERIFÉRICOS EN ARRIENDO</v>
          </cell>
          <cell r="P4668">
            <v>350000</v>
          </cell>
          <cell r="Q4668" t="str">
            <v>Black 22 "</v>
          </cell>
          <cell r="T4668" t="str">
            <v>Bueno</v>
          </cell>
          <cell r="U4668" t="str">
            <v>Olidata</v>
          </cell>
        </row>
        <row r="4669">
          <cell r="J4669" t="str">
            <v>NN-06-01-00-4661</v>
          </cell>
          <cell r="K4669">
            <v>12</v>
          </cell>
          <cell r="L4669" t="str">
            <v>NN-06-01-00-4661</v>
          </cell>
          <cell r="M4669" t="str">
            <v>Mouse Convencional Olidata Model KM - 8903</v>
          </cell>
          <cell r="N4669" t="str">
            <v>EQ. EN ARRIENDO</v>
          </cell>
          <cell r="O4669" t="str">
            <v>EQUIPOS COMPUTACIONALES Y PERIFÉRICOS EN ARRIENDO</v>
          </cell>
          <cell r="P4669">
            <v>4000</v>
          </cell>
          <cell r="T4669" t="str">
            <v>Bueno</v>
          </cell>
          <cell r="U4669" t="str">
            <v>Olidata</v>
          </cell>
        </row>
        <row r="4670">
          <cell r="J4670" t="str">
            <v>NN-06-01-00-4662</v>
          </cell>
          <cell r="K4670">
            <v>12</v>
          </cell>
          <cell r="L4670" t="str">
            <v>NN-06-01-00-4662</v>
          </cell>
          <cell r="M4670" t="str">
            <v>Teclado Olidata Internet Model K 5051 S/N: K501512</v>
          </cell>
          <cell r="N4670" t="str">
            <v>EQ. EN ARRIENDO</v>
          </cell>
          <cell r="O4670" t="str">
            <v>EQUIPOS COMPUTACIONALES Y PERIFÉRICOS EN ARRIENDO</v>
          </cell>
          <cell r="P4670">
            <v>10000</v>
          </cell>
          <cell r="T4670" t="str">
            <v>Bueno</v>
          </cell>
          <cell r="U4670" t="str">
            <v>Olidata</v>
          </cell>
        </row>
        <row r="4671">
          <cell r="J4671" t="str">
            <v>NN-06-01-00-4663</v>
          </cell>
          <cell r="K4671">
            <v>13</v>
          </cell>
          <cell r="L4671" t="str">
            <v>NN-06-01-00-4663</v>
          </cell>
          <cell r="M4671" t="str">
            <v xml:space="preserve">PC All in One Intel ® core ™ I3 2100 CPU 3.10GHZ N/S: 15202-012 (ol) </v>
          </cell>
          <cell r="N4671" t="str">
            <v>EQ. EN ARRIENDO</v>
          </cell>
          <cell r="O4671" t="str">
            <v>EQUIPOS COMPUTACIONALES Y PERIFÉRICOS EN ARRIENDO</v>
          </cell>
          <cell r="P4671">
            <v>350000</v>
          </cell>
          <cell r="Q4671" t="str">
            <v>Black 22 "</v>
          </cell>
          <cell r="T4671" t="str">
            <v>Bueno</v>
          </cell>
          <cell r="U4671" t="str">
            <v>Olidata</v>
          </cell>
        </row>
        <row r="4672">
          <cell r="J4672" t="str">
            <v>NN-06-01-00-4664</v>
          </cell>
          <cell r="K4672">
            <v>13</v>
          </cell>
          <cell r="L4672" t="str">
            <v>NN-06-01-00-4664</v>
          </cell>
          <cell r="M4672" t="str">
            <v>Mouse Convencional Olidata Model KM - 8903</v>
          </cell>
          <cell r="N4672" t="str">
            <v>EQ. EN ARRIENDO</v>
          </cell>
          <cell r="O4672" t="str">
            <v>EQUIPOS COMPUTACIONALES Y PERIFÉRICOS EN ARRIENDO</v>
          </cell>
          <cell r="P4672">
            <v>4000</v>
          </cell>
          <cell r="T4672" t="str">
            <v>Bueno</v>
          </cell>
          <cell r="U4672" t="str">
            <v>Olidata</v>
          </cell>
        </row>
        <row r="4673">
          <cell r="J4673" t="str">
            <v>NN-06-01-00-4665</v>
          </cell>
          <cell r="K4673">
            <v>13</v>
          </cell>
          <cell r="L4673" t="str">
            <v>NN-06-01-00-4665</v>
          </cell>
          <cell r="M4673" t="str">
            <v>Teclado Olidata Internet Model K 5051 S/N: K501512</v>
          </cell>
          <cell r="N4673" t="str">
            <v>EQ. EN ARRIENDO</v>
          </cell>
          <cell r="O4673" t="str">
            <v>EQUIPOS COMPUTACIONALES Y PERIFÉRICOS EN ARRIENDO</v>
          </cell>
          <cell r="P4673">
            <v>10000</v>
          </cell>
          <cell r="T4673" t="str">
            <v>Bueno</v>
          </cell>
          <cell r="U4673" t="str">
            <v>Olidata</v>
          </cell>
        </row>
        <row r="4674">
          <cell r="J4674" t="str">
            <v>NN-06-01-00-4666</v>
          </cell>
          <cell r="K4674">
            <v>14</v>
          </cell>
          <cell r="L4674" t="str">
            <v>NN-06-01-00-4666</v>
          </cell>
          <cell r="M4674" t="str">
            <v xml:space="preserve">PC All in One Intel ® core ™ I3 2100 CPU 3.10GHZ N/S: 15202-012 (ol) </v>
          </cell>
          <cell r="N4674" t="str">
            <v>EQ. EN ARRIENDO</v>
          </cell>
          <cell r="O4674" t="str">
            <v>EQUIPOS COMPUTACIONALES Y PERIFÉRICOS EN ARRIENDO</v>
          </cell>
          <cell r="P4674">
            <v>350000</v>
          </cell>
          <cell r="Q4674" t="str">
            <v>Black 22 "</v>
          </cell>
          <cell r="T4674" t="str">
            <v>Bueno</v>
          </cell>
          <cell r="U4674" t="str">
            <v>Olidata</v>
          </cell>
        </row>
        <row r="4675">
          <cell r="J4675" t="str">
            <v>NN-06-01-00-4667</v>
          </cell>
          <cell r="K4675">
            <v>14</v>
          </cell>
          <cell r="L4675" t="str">
            <v>NN-06-01-00-4667</v>
          </cell>
          <cell r="M4675" t="str">
            <v>Mouse Convencional Olidata Model KM - 8903</v>
          </cell>
          <cell r="N4675" t="str">
            <v>EQ. EN ARRIENDO</v>
          </cell>
          <cell r="O4675" t="str">
            <v>EQUIPOS COMPUTACIONALES Y PERIFÉRICOS EN ARRIENDO</v>
          </cell>
          <cell r="P4675">
            <v>4000</v>
          </cell>
          <cell r="T4675" t="str">
            <v>Bueno</v>
          </cell>
          <cell r="U4675" t="str">
            <v>Olidata</v>
          </cell>
        </row>
        <row r="4676">
          <cell r="J4676" t="str">
            <v>NN-06-01-00-4668</v>
          </cell>
          <cell r="K4676">
            <v>14</v>
          </cell>
          <cell r="L4676" t="str">
            <v>NN-06-01-00-4668</v>
          </cell>
          <cell r="M4676" t="str">
            <v>Teclado Olidata Internet Model K 5051 S/N: K501512</v>
          </cell>
          <cell r="N4676" t="str">
            <v>EQ. EN ARRIENDO</v>
          </cell>
          <cell r="O4676" t="str">
            <v>EQUIPOS COMPUTACIONALES Y PERIFÉRICOS EN ARRIENDO</v>
          </cell>
          <cell r="P4676">
            <v>10000</v>
          </cell>
          <cell r="T4676" t="str">
            <v>Bueno</v>
          </cell>
          <cell r="U4676" t="str">
            <v>Olidata</v>
          </cell>
        </row>
        <row r="4677">
          <cell r="J4677" t="str">
            <v>NN-06-01-00-4669</v>
          </cell>
          <cell r="K4677">
            <v>15</v>
          </cell>
          <cell r="L4677" t="str">
            <v>NN-06-01-00-4669</v>
          </cell>
          <cell r="M4677" t="str">
            <v xml:space="preserve">PC All in One Intel ® core ™ I3 2100 CPU 3.10GHZ N/S: 15202-012 (ol) </v>
          </cell>
          <cell r="N4677" t="str">
            <v>EQ. EN ARRIENDO</v>
          </cell>
          <cell r="O4677" t="str">
            <v>EQUIPOS COMPUTACIONALES Y PERIFÉRICOS EN ARRIENDO</v>
          </cell>
          <cell r="P4677">
            <v>350000</v>
          </cell>
          <cell r="Q4677" t="str">
            <v>Black 22 "</v>
          </cell>
          <cell r="T4677" t="str">
            <v>Bueno</v>
          </cell>
          <cell r="U4677" t="str">
            <v>Olidata</v>
          </cell>
        </row>
        <row r="4678">
          <cell r="J4678" t="str">
            <v>NN-06-01-00-4670</v>
          </cell>
          <cell r="K4678">
            <v>15</v>
          </cell>
          <cell r="L4678" t="str">
            <v>NN-06-01-00-4670</v>
          </cell>
          <cell r="M4678" t="str">
            <v>Mouse Convencional Olidata Model KM - 8903</v>
          </cell>
          <cell r="N4678" t="str">
            <v>EQ. EN ARRIENDO</v>
          </cell>
          <cell r="O4678" t="str">
            <v>EQUIPOS COMPUTACIONALES Y PERIFÉRICOS EN ARRIENDO</v>
          </cell>
          <cell r="P4678">
            <v>4000</v>
          </cell>
          <cell r="T4678" t="str">
            <v>Bueno</v>
          </cell>
          <cell r="U4678" t="str">
            <v>Olidata</v>
          </cell>
        </row>
        <row r="4679">
          <cell r="J4679" t="str">
            <v>NN-06-01-00-4671</v>
          </cell>
          <cell r="K4679">
            <v>15</v>
          </cell>
          <cell r="L4679" t="str">
            <v>NN-06-01-00-4671</v>
          </cell>
          <cell r="M4679" t="str">
            <v>Teclado Olidata Internet Model K 5051 S/N: K501512</v>
          </cell>
          <cell r="N4679" t="str">
            <v>EQ. EN ARRIENDO</v>
          </cell>
          <cell r="O4679" t="str">
            <v>EQUIPOS COMPUTACIONALES Y PERIFÉRICOS EN ARRIENDO</v>
          </cell>
          <cell r="P4679">
            <v>10000</v>
          </cell>
          <cell r="T4679" t="str">
            <v>Bueno</v>
          </cell>
          <cell r="U4679" t="str">
            <v>Olidata</v>
          </cell>
        </row>
        <row r="4680">
          <cell r="J4680" t="str">
            <v>FN-04-07-00-4672</v>
          </cell>
          <cell r="L4680" t="str">
            <v>FN-04-07-00-4672</v>
          </cell>
          <cell r="M4680" t="str">
            <v>Frazadas Simples de Camilla Ambulancia</v>
          </cell>
          <cell r="N4680">
            <v>801</v>
          </cell>
          <cell r="O4680" t="str">
            <v>OTROS FUNGIBLE / NOMINABLE</v>
          </cell>
          <cell r="P4680">
            <v>6000</v>
          </cell>
          <cell r="T4680" t="str">
            <v>Bueno</v>
          </cell>
          <cell r="U4680" t="str">
            <v>N/T</v>
          </cell>
        </row>
        <row r="4681">
          <cell r="J4681" t="str">
            <v>FN-04-07-00-4673</v>
          </cell>
          <cell r="L4681" t="str">
            <v>FN-04-07-00-4673</v>
          </cell>
          <cell r="M4681" t="str">
            <v>Frazadas Simples de Camilla Ambulancia</v>
          </cell>
          <cell r="N4681">
            <v>802</v>
          </cell>
          <cell r="O4681" t="str">
            <v>OTROS FUNGIBLE / NOMINABLE</v>
          </cell>
          <cell r="P4681">
            <v>6000</v>
          </cell>
          <cell r="T4681" t="str">
            <v>Bueno</v>
          </cell>
          <cell r="U4681" t="str">
            <v>N/T</v>
          </cell>
        </row>
        <row r="4682">
          <cell r="J4682" t="str">
            <v>FN-04-07-00-4674</v>
          </cell>
          <cell r="L4682" t="str">
            <v>FN-04-07-00-4674</v>
          </cell>
          <cell r="M4682" t="str">
            <v>Frazadas Simples de Camilla Ambulancia</v>
          </cell>
          <cell r="N4682">
            <v>803</v>
          </cell>
          <cell r="O4682" t="str">
            <v>OTROS FUNGIBLE / NOMINABLE</v>
          </cell>
          <cell r="P4682">
            <v>6000</v>
          </cell>
          <cell r="T4682" t="str">
            <v>Bueno</v>
          </cell>
          <cell r="U4682" t="str">
            <v>N/T</v>
          </cell>
        </row>
        <row r="4683">
          <cell r="J4683" t="str">
            <v>FN-04-07-00-4675</v>
          </cell>
          <cell r="L4683" t="str">
            <v>FN-04-07-00-4675</v>
          </cell>
          <cell r="M4683" t="str">
            <v>Sabanillas Simples de Camilla Ambulancia</v>
          </cell>
          <cell r="N4683">
            <v>801</v>
          </cell>
          <cell r="O4683" t="str">
            <v>OTROS FUNGIBLE / NOMINABLE</v>
          </cell>
          <cell r="P4683">
            <v>4000</v>
          </cell>
          <cell r="T4683" t="str">
            <v>Bueno</v>
          </cell>
          <cell r="U4683" t="str">
            <v>N/T</v>
          </cell>
        </row>
        <row r="4684">
          <cell r="J4684" t="str">
            <v>FN-04-07-00-4676</v>
          </cell>
          <cell r="L4684" t="str">
            <v>FN-04-07-00-4676</v>
          </cell>
          <cell r="M4684" t="str">
            <v>Sabanillas Simples de Camilla Ambulancia</v>
          </cell>
          <cell r="N4684">
            <v>802</v>
          </cell>
          <cell r="O4684" t="str">
            <v>OTROS FUNGIBLE / NOMINABLE</v>
          </cell>
          <cell r="P4684">
            <v>4000</v>
          </cell>
          <cell r="T4684" t="str">
            <v>Bueno</v>
          </cell>
          <cell r="U4684" t="str">
            <v>N/T</v>
          </cell>
        </row>
        <row r="4685">
          <cell r="J4685" t="str">
            <v>FN-04-07-00-4677</v>
          </cell>
          <cell r="L4685" t="str">
            <v>FN-04-07-00-4677</v>
          </cell>
          <cell r="M4685" t="str">
            <v>Sabanillas Simples de Camilla Ambulancia</v>
          </cell>
          <cell r="N4685">
            <v>803</v>
          </cell>
          <cell r="O4685" t="str">
            <v>OTROS FUNGIBLE / NOMINABLE</v>
          </cell>
          <cell r="P4685">
            <v>4000</v>
          </cell>
          <cell r="T4685" t="str">
            <v>Bueno</v>
          </cell>
          <cell r="U4685" t="str">
            <v>N/T</v>
          </cell>
        </row>
        <row r="4686">
          <cell r="J4686" t="str">
            <v>NN-05-02-01-4678</v>
          </cell>
          <cell r="L4686" t="str">
            <v>NN-05-02-01-4678</v>
          </cell>
          <cell r="M4686" t="str">
            <v>Bomba Infusion Continua GEMCO 1 CANAL DAIWHA SNºEXP1301055</v>
          </cell>
          <cell r="N4686" t="str">
            <v>SAMU</v>
          </cell>
          <cell r="O4686" t="str">
            <v>EQUIPOS CLINICOS EN ARRIENDO</v>
          </cell>
          <cell r="P4686">
            <v>800000</v>
          </cell>
          <cell r="T4686" t="str">
            <v>Bueno</v>
          </cell>
          <cell r="U4686" t="str">
            <v>GEMCO</v>
          </cell>
        </row>
        <row r="4687">
          <cell r="J4687" t="str">
            <v>NN-05-02-01-4679</v>
          </cell>
          <cell r="L4687" t="str">
            <v>NN-05-02-01-4679</v>
          </cell>
          <cell r="M4687" t="str">
            <v>Bomba Infusion Continua GEMCO 1 CANAL DAIWHA SNºEXP1301056</v>
          </cell>
          <cell r="N4687" t="str">
            <v>MEDICINA</v>
          </cell>
          <cell r="O4687" t="str">
            <v>EQUIPOS CLINICOS EN ARRIENDO</v>
          </cell>
          <cell r="P4687">
            <v>800000</v>
          </cell>
          <cell r="T4687" t="str">
            <v>Bueno</v>
          </cell>
          <cell r="U4687" t="str">
            <v>GEMCO</v>
          </cell>
        </row>
        <row r="4688">
          <cell r="J4688" t="str">
            <v>NN-05-02-01-4680</v>
          </cell>
          <cell r="L4688" t="str">
            <v>NN-05-02-01-4680</v>
          </cell>
          <cell r="M4688" t="str">
            <v>Bomba Infusion Continua GEMCO 1 CANAL DAIWHA SNºEXP1301057</v>
          </cell>
          <cell r="N4688" t="str">
            <v>URGENCIA</v>
          </cell>
          <cell r="O4688" t="str">
            <v>EQUIPOS CLINICOS EN ARRIENDO</v>
          </cell>
          <cell r="P4688">
            <v>800000</v>
          </cell>
          <cell r="T4688" t="str">
            <v>Bueno</v>
          </cell>
          <cell r="U4688" t="str">
            <v>GEMCO</v>
          </cell>
        </row>
        <row r="4689">
          <cell r="J4689" t="str">
            <v>42-04-02-00-4681</v>
          </cell>
          <cell r="L4689" t="str">
            <v>42-04-02-00-4681</v>
          </cell>
          <cell r="M4689" t="str">
            <v>Silla Ergonometrica Con Brazo Fijo Cod Interno Bodega 7003270010</v>
          </cell>
          <cell r="N4689" t="str">
            <v>FENATS</v>
          </cell>
          <cell r="O4689" t="str">
            <v>SILLAS</v>
          </cell>
          <cell r="P4689">
            <v>39865</v>
          </cell>
          <cell r="T4689" t="str">
            <v>Bueno</v>
          </cell>
          <cell r="U4689" t="str">
            <v>N/T</v>
          </cell>
        </row>
        <row r="4690">
          <cell r="J4690" t="str">
            <v>42-04-03-00-4682</v>
          </cell>
          <cell r="L4690" t="str">
            <v>42-04-03-00-4682</v>
          </cell>
          <cell r="M4690" t="str">
            <v>Escritorio Melamina 120x70x75 CM band P/Teclado Int. Bodega 7003270101</v>
          </cell>
          <cell r="N4690" t="str">
            <v>FENATS</v>
          </cell>
          <cell r="O4690" t="str">
            <v>ESCRITORIOS</v>
          </cell>
          <cell r="P4690">
            <v>68000</v>
          </cell>
          <cell r="T4690" t="str">
            <v>Bueno</v>
          </cell>
          <cell r="U4690" t="str">
            <v>N/T</v>
          </cell>
        </row>
        <row r="4691">
          <cell r="J4691" t="str">
            <v>42-04-06-00-4683</v>
          </cell>
          <cell r="L4691" t="str">
            <v>42-04-06-00-4683</v>
          </cell>
          <cell r="M4691" t="str">
            <v>Repisa Melamina Color Chocolate 8 Divisiones</v>
          </cell>
          <cell r="O4691" t="str">
            <v>REPISA</v>
          </cell>
          <cell r="P4691">
            <v>80000</v>
          </cell>
          <cell r="S4691" t="str">
            <v>Hechizo</v>
          </cell>
          <cell r="T4691" t="str">
            <v>Bueno</v>
          </cell>
          <cell r="U4691" t="str">
            <v>N/T</v>
          </cell>
        </row>
        <row r="4692">
          <cell r="J4692" t="str">
            <v>42-05-01-01-4684</v>
          </cell>
          <cell r="L4692" t="str">
            <v>42-05-01-01-4684</v>
          </cell>
          <cell r="M4692" t="str">
            <v>Porta Scotch Chico EAGLE Gris</v>
          </cell>
          <cell r="O4692" t="str">
            <v>EQUIPO DE OFICINA</v>
          </cell>
          <cell r="P4692">
            <v>2500</v>
          </cell>
          <cell r="T4692" t="str">
            <v>Bueno</v>
          </cell>
          <cell r="U4692" t="str">
            <v>EAGLE</v>
          </cell>
        </row>
        <row r="4693">
          <cell r="J4693" t="str">
            <v>42-05-01-01-4685</v>
          </cell>
          <cell r="L4693" t="str">
            <v>42-05-01-01-4685</v>
          </cell>
          <cell r="M4693" t="str">
            <v>Timbre Automatico Rojo Marca Trodat Printy 46040 "Contador"</v>
          </cell>
          <cell r="O4693" t="str">
            <v>EQUIPO DE OFICINA</v>
          </cell>
          <cell r="P4693">
            <v>14500</v>
          </cell>
          <cell r="S4693" t="str">
            <v>TRODAT</v>
          </cell>
          <cell r="T4693" t="str">
            <v>Bueno</v>
          </cell>
          <cell r="U4693" t="str">
            <v>TRODAT</v>
          </cell>
        </row>
        <row r="4694">
          <cell r="J4694" t="str">
            <v>42-05-01-01-4686</v>
          </cell>
          <cell r="L4694" t="str">
            <v>42-05-01-01-4686</v>
          </cell>
          <cell r="M4694" t="str">
            <v>Timbre Automatico Rojo Marca Trodat Printy 46040 "CAJA"</v>
          </cell>
          <cell r="O4694" t="str">
            <v>EQUIPO DE OFICINA</v>
          </cell>
          <cell r="P4694">
            <v>14500</v>
          </cell>
          <cell r="S4694" t="str">
            <v>TRODAT</v>
          </cell>
          <cell r="T4694" t="str">
            <v>Bueno</v>
          </cell>
          <cell r="U4694" t="str">
            <v>TRODAT</v>
          </cell>
        </row>
        <row r="4695">
          <cell r="J4695" t="str">
            <v>42-05-01-01-4687</v>
          </cell>
          <cell r="L4695" t="str">
            <v>42-05-01-01-4687</v>
          </cell>
          <cell r="M4695" t="str">
            <v>Timbre Automatico Rojo Marca Trodat Printy 46040 "SUBDIRECTOR ADMINISTRATIVO"</v>
          </cell>
          <cell r="O4695" t="str">
            <v>EQUIPO DE OFICINA</v>
          </cell>
          <cell r="P4695">
            <v>14500</v>
          </cell>
          <cell r="S4695" t="str">
            <v>TRODAT</v>
          </cell>
          <cell r="T4695" t="str">
            <v>Bueno</v>
          </cell>
          <cell r="U4695" t="str">
            <v>TRODAT</v>
          </cell>
        </row>
        <row r="4696">
          <cell r="J4696" t="str">
            <v>42-04-06-00-4688</v>
          </cell>
          <cell r="L4696" t="str">
            <v>42-04-06-00-4688</v>
          </cell>
          <cell r="M4696" t="str">
            <v>Repisa Melamina Color Chocolate 4 Divisiones</v>
          </cell>
          <cell r="O4696" t="str">
            <v>REPISA</v>
          </cell>
          <cell r="P4696">
            <v>50000</v>
          </cell>
          <cell r="S4696" t="str">
            <v>Hechizo</v>
          </cell>
          <cell r="T4696" t="str">
            <v>Bueno</v>
          </cell>
          <cell r="U4696" t="str">
            <v>N/T</v>
          </cell>
        </row>
        <row r="4697">
          <cell r="J4697" t="str">
            <v>42-05-02-05-4689</v>
          </cell>
          <cell r="L4697" t="str">
            <v>42-05-02-05-4689</v>
          </cell>
          <cell r="M4697" t="str">
            <v>Extintor 4 KG Tipo ABC Rojo</v>
          </cell>
          <cell r="O4697" t="str">
            <v>EQUIPOS DE SEGURIDAD</v>
          </cell>
          <cell r="P4697">
            <v>27000</v>
          </cell>
          <cell r="T4697" t="str">
            <v>Bueno</v>
          </cell>
          <cell r="U4697" t="str">
            <v>Fire Master</v>
          </cell>
        </row>
        <row r="4698">
          <cell r="J4698" t="str">
            <v>42-06-01-00-4690</v>
          </cell>
          <cell r="L4698" t="str">
            <v>42-06-01-00-4690</v>
          </cell>
          <cell r="M4698" t="str">
            <v>Impresora HP Laser Jet Pro P1102W + Kit Instalación</v>
          </cell>
          <cell r="O4698" t="str">
            <v>EQUIPOS COMPUTACIONALES Y PERIFÉRICOS</v>
          </cell>
          <cell r="P4698">
            <v>25000</v>
          </cell>
          <cell r="T4698" t="str">
            <v>Bueno</v>
          </cell>
          <cell r="U4698" t="str">
            <v>HP</v>
          </cell>
        </row>
        <row r="4699">
          <cell r="J4699" t="str">
            <v>NN-06-01-00-4691</v>
          </cell>
          <cell r="L4699" t="str">
            <v>NN-06-01-00-4691</v>
          </cell>
          <cell r="M4699" t="str">
            <v>Impresora KYOCERA FS - 1320DN Ecosys SERIE Q5V</v>
          </cell>
          <cell r="N4699" t="str">
            <v>EQ. EN ARRIENDO</v>
          </cell>
          <cell r="O4699" t="str">
            <v>EQUIPOS COMPUTACIONALES Y PERIFÉRICOS EN ARRIENDO</v>
          </cell>
          <cell r="P4699">
            <v>291550</v>
          </cell>
          <cell r="T4699" t="str">
            <v>Bueno</v>
          </cell>
          <cell r="U4699" t="str">
            <v>KYOCERA</v>
          </cell>
        </row>
        <row r="4700">
          <cell r="J4700" t="str">
            <v>42-04-02-00-4692</v>
          </cell>
          <cell r="L4700" t="str">
            <v>42-04-02-00-4692</v>
          </cell>
          <cell r="M4700" t="str">
            <v>Silla Mixta Formalita Metal Color Crema</v>
          </cell>
          <cell r="O4700" t="str">
            <v>SILLAS</v>
          </cell>
          <cell r="P4700">
            <v>15000</v>
          </cell>
          <cell r="T4700" t="str">
            <v>Bueno</v>
          </cell>
          <cell r="U4700" t="str">
            <v>N/T</v>
          </cell>
        </row>
        <row r="4701">
          <cell r="J4701" t="str">
            <v>42-04-02-00-4693</v>
          </cell>
          <cell r="L4701" t="str">
            <v>42-04-02-00-4693</v>
          </cell>
          <cell r="M4701" t="str">
            <v>Silla Mixta Blanco Invierno Metal Formalita</v>
          </cell>
          <cell r="O4701" t="str">
            <v>SILLAS</v>
          </cell>
          <cell r="P4701">
            <v>15000</v>
          </cell>
          <cell r="T4701" t="str">
            <v>Bueno</v>
          </cell>
          <cell r="U4701" t="str">
            <v>N/T</v>
          </cell>
        </row>
        <row r="4702">
          <cell r="J4702" t="str">
            <v>42-04-07-00-4694</v>
          </cell>
          <cell r="L4702" t="str">
            <v>42-04-07-00-4694</v>
          </cell>
          <cell r="M4702" t="str">
            <v>Portatoallas TORK Blanco Gris</v>
          </cell>
          <cell r="O4702" t="str">
            <v>OTROS</v>
          </cell>
          <cell r="P4702">
            <v>17000</v>
          </cell>
          <cell r="T4702" t="str">
            <v>Bueno</v>
          </cell>
          <cell r="U4702" t="str">
            <v>TORK</v>
          </cell>
        </row>
        <row r="4703">
          <cell r="J4703" t="str">
            <v>42-04-07-00-4695</v>
          </cell>
          <cell r="L4703" t="str">
            <v>42-04-07-00-4695</v>
          </cell>
          <cell r="M4703" t="str">
            <v>Lavamanos con Pedestal Loza Blanco C/Llave Monomando</v>
          </cell>
          <cell r="O4703" t="str">
            <v>OTROS</v>
          </cell>
          <cell r="P4703">
            <v>11000</v>
          </cell>
          <cell r="T4703" t="str">
            <v>Bueno</v>
          </cell>
          <cell r="U4703" t="str">
            <v>N/T</v>
          </cell>
        </row>
        <row r="4704">
          <cell r="J4704" t="str">
            <v>FN-04-07-00-4696</v>
          </cell>
          <cell r="L4704" t="str">
            <v>FN-04-07-00-4696</v>
          </cell>
          <cell r="M4704" t="str">
            <v>Cortinas Verde Claro</v>
          </cell>
          <cell r="O4704" t="str">
            <v>OTROS FUNGIBLE / NOMINABLE</v>
          </cell>
          <cell r="P4704">
            <v>12000</v>
          </cell>
          <cell r="T4704" t="str">
            <v>Bueno</v>
          </cell>
          <cell r="U4704" t="str">
            <v>N/T</v>
          </cell>
        </row>
        <row r="4705">
          <cell r="J4705" t="str">
            <v>42-04-07-00-4697</v>
          </cell>
          <cell r="L4705" t="str">
            <v>42-04-07-00-4697</v>
          </cell>
          <cell r="M4705" t="str">
            <v>Porta Cortinas Metalico</v>
          </cell>
          <cell r="O4705" t="str">
            <v>OTROS</v>
          </cell>
          <cell r="P4705">
            <v>6000</v>
          </cell>
          <cell r="T4705" t="str">
            <v>Bueno</v>
          </cell>
          <cell r="U4705" t="str">
            <v>N/T</v>
          </cell>
        </row>
        <row r="4706">
          <cell r="J4706" t="str">
            <v>42-04-02-00-4698</v>
          </cell>
          <cell r="L4706" t="str">
            <v>42-04-02-00-4698</v>
          </cell>
          <cell r="M4706" t="str">
            <v>Silla Mixta Metalica Respaldo Ecocuero Azul + Tapiz asiento Gris</v>
          </cell>
          <cell r="O4706" t="str">
            <v>SILLAS</v>
          </cell>
          <cell r="P4706">
            <v>10000</v>
          </cell>
          <cell r="T4706" t="str">
            <v>Regular</v>
          </cell>
          <cell r="U4706" t="str">
            <v>N/T</v>
          </cell>
        </row>
        <row r="4707">
          <cell r="J4707" t="str">
            <v>42-04-07-00-4699</v>
          </cell>
          <cell r="L4707" t="str">
            <v>42-04-07-00-4699</v>
          </cell>
          <cell r="M4707" t="str">
            <v>Pizarra Melamina Blanca 90x100 cm</v>
          </cell>
          <cell r="O4707" t="str">
            <v>OTROS</v>
          </cell>
          <cell r="P4707">
            <v>19000</v>
          </cell>
          <cell r="T4707" t="str">
            <v>Bueno</v>
          </cell>
          <cell r="U4707" t="str">
            <v>N/T</v>
          </cell>
        </row>
        <row r="4708">
          <cell r="J4708" t="str">
            <v>42-04-03-00-4700</v>
          </cell>
          <cell r="L4708" t="str">
            <v>42-04-03-00-4700</v>
          </cell>
          <cell r="M4708" t="str">
            <v>Mueble Escritorio Computador Color Cereza porta Teclado 1 Cajon + 1 Archivador 80x150x80</v>
          </cell>
          <cell r="O4708" t="str">
            <v>ESCRITORIOS</v>
          </cell>
          <cell r="P4708">
            <v>85000</v>
          </cell>
          <cell r="T4708" t="str">
            <v>Bueno</v>
          </cell>
          <cell r="U4708" t="str">
            <v>N/T</v>
          </cell>
        </row>
        <row r="4709">
          <cell r="J4709" t="str">
            <v>42-04-07-00-4701</v>
          </cell>
          <cell r="L4709" t="str">
            <v>42-04-07-00-4701</v>
          </cell>
          <cell r="M4709" t="str">
            <v>Corchetera Negra / Rojo Torre Chica</v>
          </cell>
          <cell r="O4709" t="str">
            <v>OTROS</v>
          </cell>
          <cell r="P4709">
            <v>2500</v>
          </cell>
          <cell r="T4709" t="str">
            <v>Bueno</v>
          </cell>
          <cell r="U4709" t="str">
            <v>N/T</v>
          </cell>
        </row>
        <row r="4710">
          <cell r="J4710" t="str">
            <v>42-04-01-00-4702</v>
          </cell>
          <cell r="L4710" t="str">
            <v>42-04-01-00-4702</v>
          </cell>
          <cell r="M4710" t="str">
            <v>Mesa color cerezo circular melamina mixta pie central y patas gris</v>
          </cell>
          <cell r="O4710" t="str">
            <v>MESAS</v>
          </cell>
          <cell r="P4710">
            <v>20000</v>
          </cell>
          <cell r="T4710" t="str">
            <v>Bueno</v>
          </cell>
          <cell r="U4710" t="str">
            <v>N/T</v>
          </cell>
        </row>
        <row r="4711">
          <cell r="J4711" t="str">
            <v>42-04-07-00-4703</v>
          </cell>
          <cell r="L4711" t="str">
            <v>42-04-07-00-4703</v>
          </cell>
          <cell r="M4711" t="str">
            <v>Papelero Plastico Chico Gris</v>
          </cell>
          <cell r="O4711" t="str">
            <v>OTROS</v>
          </cell>
          <cell r="P4711">
            <v>4000</v>
          </cell>
          <cell r="T4711" t="str">
            <v>Bueno</v>
          </cell>
          <cell r="U4711" t="str">
            <v>N/T</v>
          </cell>
        </row>
        <row r="4712">
          <cell r="J4712" t="str">
            <v>42-04-07-00-4704</v>
          </cell>
          <cell r="L4712" t="str">
            <v>42-04-07-00-4704</v>
          </cell>
          <cell r="M4712" t="str">
            <v>Papelero Tipo Reja Sintetico Chico Blanco</v>
          </cell>
          <cell r="O4712" t="str">
            <v>OTROS</v>
          </cell>
          <cell r="P4712">
            <v>4000</v>
          </cell>
          <cell r="T4712" t="str">
            <v>Bueno</v>
          </cell>
          <cell r="U4712" t="str">
            <v>N/T</v>
          </cell>
        </row>
        <row r="4713">
          <cell r="J4713" t="str">
            <v>42-05-02-01-4705</v>
          </cell>
          <cell r="L4713" t="str">
            <v>42-05-02-01-4705</v>
          </cell>
          <cell r="M4713" t="str">
            <v>Medidor Grasa Corporal + Kit + Maleta (Descontinuado)</v>
          </cell>
          <cell r="O4713" t="str">
            <v>EQUIPOS CLINICOS</v>
          </cell>
          <cell r="P4713">
            <v>30000</v>
          </cell>
          <cell r="T4713" t="str">
            <v>Bueno</v>
          </cell>
          <cell r="U4713" t="str">
            <v>N/T</v>
          </cell>
        </row>
        <row r="4714">
          <cell r="J4714" t="str">
            <v>NN-06-01-00-4706</v>
          </cell>
          <cell r="L4714" t="str">
            <v>NN-06-01-00-4706</v>
          </cell>
          <cell r="M4714" t="str">
            <v>CPU Olidata Negro Grabador DVD (Olidata)</v>
          </cell>
          <cell r="O4714" t="str">
            <v>EQUIPOS COMPUTACIONALES Y PERIFÉRICOS EN ARRIENDO</v>
          </cell>
          <cell r="P4714">
            <v>250000</v>
          </cell>
          <cell r="T4714" t="str">
            <v>Bueno</v>
          </cell>
          <cell r="U4714" t="str">
            <v>Olidata</v>
          </cell>
        </row>
        <row r="4715">
          <cell r="J4715" t="str">
            <v>NN-06-01-00-4707</v>
          </cell>
          <cell r="L4715" t="str">
            <v>NN-06-01-00-4707</v>
          </cell>
          <cell r="M4715" t="str">
            <v>Monitor Olidata 17" Plano TFT</v>
          </cell>
          <cell r="O4715" t="str">
            <v>EQUIPOS COMPUTACIONALES Y PERIFÉRICOS EN ARRIENDO</v>
          </cell>
          <cell r="P4715">
            <v>80000</v>
          </cell>
          <cell r="T4715" t="str">
            <v>Bueno</v>
          </cell>
          <cell r="U4715" t="str">
            <v>Olidata</v>
          </cell>
        </row>
        <row r="4716">
          <cell r="J4716" t="str">
            <v>NN-06-01-00-4708</v>
          </cell>
          <cell r="L4716" t="str">
            <v>NN-06-01-00-4708</v>
          </cell>
          <cell r="M4716" t="str">
            <v>Mouse Olidata Negro Model KM 8942</v>
          </cell>
          <cell r="O4716" t="str">
            <v>EQUIPOS COMPUTACIONALES Y PERIFÉRICOS EN ARRIENDO</v>
          </cell>
          <cell r="P4716">
            <v>4000</v>
          </cell>
          <cell r="T4716" t="str">
            <v>Bueno</v>
          </cell>
          <cell r="U4716" t="str">
            <v>Olidata</v>
          </cell>
        </row>
        <row r="4717">
          <cell r="J4717" t="str">
            <v>NN-06-01-00-4709</v>
          </cell>
          <cell r="L4717" t="str">
            <v>NN-06-01-00-4709</v>
          </cell>
          <cell r="M4717" t="str">
            <v>Teclado Olidata Model K5 108 Negro</v>
          </cell>
          <cell r="O4717" t="str">
            <v>EQUIPOS COMPUTACIONALES Y PERIFÉRICOS EN ARRIENDO</v>
          </cell>
          <cell r="P4717">
            <v>3000</v>
          </cell>
          <cell r="T4717" t="str">
            <v>Bueno</v>
          </cell>
          <cell r="U4717" t="str">
            <v>Olidata</v>
          </cell>
        </row>
        <row r="4718">
          <cell r="J4718" t="str">
            <v>42-03-00-00-4710</v>
          </cell>
          <cell r="L4718" t="str">
            <v>42-03-00-00-4710</v>
          </cell>
          <cell r="M4718" t="str">
            <v>Ambulancia Mercedes Benz Sprinter 315 CDI; CHASIS WD3YE7A97DS721625 4x2 BLANCO AÑO 2013, MECANICA, 5 VELOCIDADES  2.143 CC MOTOR 65195531275310; PATENTE FLJW 90-8; INYECCION TURBO INTERCOLER, HIDRAULICA, DIESEL</v>
          </cell>
          <cell r="O4718" t="str">
            <v>VEHICULOS</v>
          </cell>
          <cell r="P4718">
            <v>37877700</v>
          </cell>
          <cell r="T4718" t="str">
            <v>Bueno</v>
          </cell>
          <cell r="U4718" t="str">
            <v>Mercedes Benz</v>
          </cell>
        </row>
        <row r="4719">
          <cell r="J4719" t="str">
            <v>FN-03-02-00-4711</v>
          </cell>
          <cell r="L4719" t="str">
            <v>FN-03-02-00-4711</v>
          </cell>
          <cell r="M4719" t="str">
            <v>Espejo Retrovisor Exterior</v>
          </cell>
          <cell r="O4719" t="str">
            <v>EQUIPOS DE VEHICULO FUNGIBLE / NOMINABLE</v>
          </cell>
          <cell r="P4719">
            <v>150000</v>
          </cell>
          <cell r="T4719" t="str">
            <v>Bueno</v>
          </cell>
          <cell r="U4719" t="str">
            <v>N/T</v>
          </cell>
        </row>
        <row r="4720">
          <cell r="J4720" t="str">
            <v>42-03-02-00-4712</v>
          </cell>
          <cell r="L4720" t="str">
            <v>42-03-02-00-4712</v>
          </cell>
          <cell r="M4720" t="str">
            <v>Gata Hidraulica</v>
          </cell>
          <cell r="O4720" t="str">
            <v>EQUIPOS DE VEHICULO</v>
          </cell>
          <cell r="P4720">
            <v>20000</v>
          </cell>
          <cell r="T4720" t="str">
            <v>Bueno</v>
          </cell>
          <cell r="U4720" t="str">
            <v>N/T</v>
          </cell>
        </row>
        <row r="4721">
          <cell r="J4721" t="str">
            <v>42-03-02-00-4713</v>
          </cell>
          <cell r="L4721" t="str">
            <v>42-03-02-00-4713</v>
          </cell>
          <cell r="M4721" t="str">
            <v>Extintor 2 KG</v>
          </cell>
          <cell r="O4721" t="str">
            <v>EQUIPOS DE VEHICULO</v>
          </cell>
          <cell r="P4721">
            <v>20000</v>
          </cell>
          <cell r="T4721" t="str">
            <v>Bueno</v>
          </cell>
          <cell r="U4721" t="str">
            <v>N/T</v>
          </cell>
        </row>
        <row r="4722">
          <cell r="J4722" t="str">
            <v>FN-03-02-00-4714</v>
          </cell>
          <cell r="L4722" t="str">
            <v>FN-03-02-00-4714</v>
          </cell>
          <cell r="M4722" t="str">
            <v>Llaves Contacto</v>
          </cell>
          <cell r="O4722" t="str">
            <v>EQUIPOS DE VEHICULO FUNGIBLE / NOMINABLE</v>
          </cell>
          <cell r="P4722">
            <v>500000</v>
          </cell>
          <cell r="T4722" t="str">
            <v>Bueno</v>
          </cell>
          <cell r="U4722" t="str">
            <v>N/T</v>
          </cell>
        </row>
        <row r="4723">
          <cell r="J4723" t="str">
            <v>42-03-02-00-4715</v>
          </cell>
          <cell r="L4723" t="str">
            <v>42-03-02-00-4715</v>
          </cell>
          <cell r="M4723" t="str">
            <v>Juego Triangulo</v>
          </cell>
          <cell r="O4723" t="str">
            <v>EQUIPOS DE VEHICULO</v>
          </cell>
          <cell r="P4723">
            <v>5000</v>
          </cell>
          <cell r="T4723" t="str">
            <v>Bueno</v>
          </cell>
          <cell r="U4723" t="str">
            <v>N/T</v>
          </cell>
        </row>
        <row r="4724">
          <cell r="J4724" t="str">
            <v>42-03-02-00-4716</v>
          </cell>
          <cell r="L4724" t="str">
            <v>42-03-02-00-4716</v>
          </cell>
          <cell r="M4724" t="str">
            <v>Tercera Luz Freno</v>
          </cell>
          <cell r="O4724" t="str">
            <v>EQUIPOS DE VEHICULO</v>
          </cell>
          <cell r="P4724">
            <v>30000</v>
          </cell>
          <cell r="T4724" t="str">
            <v>Bueno</v>
          </cell>
          <cell r="U4724" t="str">
            <v>N/T</v>
          </cell>
        </row>
        <row r="4725">
          <cell r="J4725" t="str">
            <v>42-03-02-00-4717</v>
          </cell>
          <cell r="L4725" t="str">
            <v>42-03-02-00-4717</v>
          </cell>
          <cell r="M4725" t="str">
            <v>Llave Rueda</v>
          </cell>
          <cell r="O4725" t="str">
            <v>EQUIPOS DE VEHICULO</v>
          </cell>
          <cell r="P4725">
            <v>10000</v>
          </cell>
          <cell r="T4725" t="str">
            <v>Bueno</v>
          </cell>
          <cell r="U4725" t="str">
            <v>N/T</v>
          </cell>
        </row>
        <row r="4726">
          <cell r="J4726" t="str">
            <v>42-03-02-00-4718</v>
          </cell>
          <cell r="L4726" t="str">
            <v>42-03-02-00-4718</v>
          </cell>
          <cell r="M4726" t="str">
            <v>Botiquin Simple</v>
          </cell>
          <cell r="O4726" t="str">
            <v>EQUIPOS DE VEHICULO</v>
          </cell>
          <cell r="P4726">
            <v>5000</v>
          </cell>
          <cell r="T4726" t="str">
            <v>Bueno</v>
          </cell>
          <cell r="U4726" t="str">
            <v>N/T</v>
          </cell>
        </row>
        <row r="4727">
          <cell r="J4727" t="str">
            <v>42-03-02-00-4719</v>
          </cell>
          <cell r="L4727" t="str">
            <v>42-03-02-00-4719</v>
          </cell>
          <cell r="M4727" t="str">
            <v>Barrote Gata</v>
          </cell>
          <cell r="O4727" t="str">
            <v>EQUIPOS DE VEHICULO</v>
          </cell>
          <cell r="P4727">
            <v>2000</v>
          </cell>
          <cell r="T4727" t="str">
            <v>Bueno</v>
          </cell>
          <cell r="U4727" t="str">
            <v>N/T</v>
          </cell>
        </row>
        <row r="4728">
          <cell r="J4728" t="str">
            <v>42-03-01-00-4720</v>
          </cell>
          <cell r="L4728" t="str">
            <v>42-03-01-00-4720</v>
          </cell>
          <cell r="M4728" t="str">
            <v>Neumatico de Repuesto</v>
          </cell>
          <cell r="O4728" t="str">
            <v>Repuestos</v>
          </cell>
          <cell r="P4728">
            <v>150000</v>
          </cell>
          <cell r="T4728" t="str">
            <v>Bueno</v>
          </cell>
          <cell r="U4728" t="str">
            <v>N/T</v>
          </cell>
        </row>
        <row r="4729">
          <cell r="J4729" t="str">
            <v>42-03-02-00-4721</v>
          </cell>
          <cell r="L4729" t="str">
            <v>42-03-02-00-4721</v>
          </cell>
          <cell r="M4729" t="str">
            <v>Espejo Retrovisor Interior</v>
          </cell>
          <cell r="O4729" t="str">
            <v>EQUIPOS DE VEHICULO</v>
          </cell>
          <cell r="P4729">
            <v>40000</v>
          </cell>
          <cell r="T4729" t="str">
            <v>Bueno</v>
          </cell>
          <cell r="U4729" t="str">
            <v>N/T</v>
          </cell>
        </row>
        <row r="4730">
          <cell r="J4730" t="str">
            <v>FN-03-02-00-4722</v>
          </cell>
          <cell r="L4730" t="str">
            <v>FN-03-02-00-4722</v>
          </cell>
          <cell r="M4730" t="str">
            <v>Llaves Punta</v>
          </cell>
          <cell r="O4730" t="str">
            <v>EQUIPOS DE VEHICULO FUNGIBLE / NOMINABLE</v>
          </cell>
          <cell r="P4730">
            <v>5000</v>
          </cell>
          <cell r="T4730" t="str">
            <v>Bueno</v>
          </cell>
          <cell r="U4730" t="str">
            <v>N/T</v>
          </cell>
        </row>
        <row r="4731">
          <cell r="J4731" t="str">
            <v>FN-03-02-00-4723</v>
          </cell>
          <cell r="L4731" t="str">
            <v>FN-03-02-00-4723</v>
          </cell>
          <cell r="M4731" t="str">
            <v>Llaves Hallen 12 y 14 mm</v>
          </cell>
          <cell r="O4731" t="str">
            <v>EQUIPOS DE VEHICULO FUNGIBLE / NOMINABLE</v>
          </cell>
          <cell r="P4731">
            <v>5000</v>
          </cell>
          <cell r="T4731" t="str">
            <v>Bueno</v>
          </cell>
          <cell r="U4731" t="str">
            <v>N/T</v>
          </cell>
        </row>
        <row r="4732">
          <cell r="J4732" t="str">
            <v>42-03-02-00-4724</v>
          </cell>
          <cell r="L4732" t="str">
            <v>42-03-02-00-4724</v>
          </cell>
          <cell r="M4732" t="str">
            <v>Martillo</v>
          </cell>
          <cell r="O4732" t="str">
            <v>EQUIPOS DE VEHICULO</v>
          </cell>
          <cell r="P4732">
            <v>5000</v>
          </cell>
          <cell r="T4732" t="str">
            <v>Bueno</v>
          </cell>
          <cell r="U4732" t="str">
            <v>N/T</v>
          </cell>
        </row>
        <row r="4733">
          <cell r="J4733" t="str">
            <v>42-03-02-00-4725</v>
          </cell>
          <cell r="L4733" t="str">
            <v>42-03-02-00-4725</v>
          </cell>
          <cell r="M4733" t="str">
            <v>Alicate</v>
          </cell>
          <cell r="O4733" t="str">
            <v>EQUIPOS DE VEHICULO</v>
          </cell>
          <cell r="P4733">
            <v>15000</v>
          </cell>
          <cell r="T4733" t="str">
            <v>Bueno</v>
          </cell>
          <cell r="U4733" t="str">
            <v>N/T</v>
          </cell>
        </row>
        <row r="4734">
          <cell r="J4734" t="str">
            <v>FN-03-02-00-4726</v>
          </cell>
          <cell r="L4734" t="str">
            <v>FN-03-02-00-4726</v>
          </cell>
          <cell r="M4734" t="str">
            <v>Destornilladores</v>
          </cell>
          <cell r="O4734" t="str">
            <v>EQUIPOS DE VEHICULO FUNGIBLE / NOMINABLE</v>
          </cell>
          <cell r="P4734">
            <v>5000</v>
          </cell>
          <cell r="T4734" t="str">
            <v>Bueno</v>
          </cell>
          <cell r="U4734" t="str">
            <v>N/T</v>
          </cell>
        </row>
        <row r="4735">
          <cell r="J4735" t="str">
            <v>42-03-02-00-4727</v>
          </cell>
          <cell r="L4735" t="str">
            <v>42-03-02-00-4727</v>
          </cell>
          <cell r="M4735" t="str">
            <v>Manual Mantención</v>
          </cell>
          <cell r="O4735" t="str">
            <v>EQUIPOS DE VEHICULO</v>
          </cell>
          <cell r="P4735">
            <v>5000</v>
          </cell>
          <cell r="T4735" t="str">
            <v>Bueno</v>
          </cell>
          <cell r="U4735" t="str">
            <v>N/T</v>
          </cell>
        </row>
        <row r="4736">
          <cell r="J4736" t="str">
            <v>42-03-02-00-4728</v>
          </cell>
          <cell r="L4736" t="str">
            <v>42-03-02-00-4728</v>
          </cell>
          <cell r="M4736" t="str">
            <v>Manual Propietario</v>
          </cell>
          <cell r="O4736" t="str">
            <v>EQUIPOS DE VEHICULO</v>
          </cell>
          <cell r="P4736">
            <v>5000</v>
          </cell>
          <cell r="T4736" t="str">
            <v>Bueno</v>
          </cell>
          <cell r="U4736" t="str">
            <v>N/T</v>
          </cell>
        </row>
        <row r="4737">
          <cell r="J4737" t="str">
            <v>42-03-02-00-4729</v>
          </cell>
          <cell r="L4737" t="str">
            <v>42-03-02-00-4729</v>
          </cell>
          <cell r="M4737" t="str">
            <v>Poliza Garantia Vehiculo</v>
          </cell>
          <cell r="O4737" t="str">
            <v>EQUIPOS DE VEHICULO</v>
          </cell>
          <cell r="P4737">
            <v>5000</v>
          </cell>
          <cell r="T4737" t="str">
            <v>Bueno</v>
          </cell>
          <cell r="U4737" t="str">
            <v>N/T</v>
          </cell>
        </row>
        <row r="4738">
          <cell r="J4738" t="str">
            <v>42-03-02-00-4730</v>
          </cell>
          <cell r="L4738" t="str">
            <v>42-03-02-00-4730</v>
          </cell>
          <cell r="M4738" t="str">
            <v>Poliza Garantia Habilitacion Ambulancia</v>
          </cell>
          <cell r="O4738" t="str">
            <v>EQUIPOS DE VEHICULO</v>
          </cell>
          <cell r="P4738">
            <v>5000</v>
          </cell>
          <cell r="T4738" t="str">
            <v>Bueno</v>
          </cell>
          <cell r="U4738" t="str">
            <v>N/T</v>
          </cell>
        </row>
        <row r="4739">
          <cell r="J4739" t="str">
            <v>42-03-02-00-4731</v>
          </cell>
          <cell r="L4739" t="str">
            <v>42-03-02-00-4731</v>
          </cell>
          <cell r="M4739" t="str">
            <v>Inscripcion de Vehiculos Motorizados</v>
          </cell>
          <cell r="O4739" t="str">
            <v>EQUIPOS DE VEHICULO</v>
          </cell>
          <cell r="P4739">
            <v>10000</v>
          </cell>
          <cell r="T4739" t="str">
            <v>Bueno</v>
          </cell>
          <cell r="U4739" t="str">
            <v>N/T</v>
          </cell>
        </row>
        <row r="4740">
          <cell r="J4740" t="str">
            <v>42-03-02-00-4732</v>
          </cell>
          <cell r="L4740" t="str">
            <v>42-03-02-00-4732</v>
          </cell>
          <cell r="M4740" t="str">
            <v>Permiso de Circulacion</v>
          </cell>
          <cell r="O4740" t="str">
            <v>EQUIPOS DE VEHICULO</v>
          </cell>
          <cell r="P4740">
            <v>10000</v>
          </cell>
          <cell r="T4740" t="str">
            <v>Bueno</v>
          </cell>
          <cell r="U4740" t="str">
            <v>N/T</v>
          </cell>
        </row>
        <row r="4741">
          <cell r="J4741" t="str">
            <v>42-03-02-00-4733</v>
          </cell>
          <cell r="L4741" t="str">
            <v>42-03-02-00-4733</v>
          </cell>
          <cell r="M4741" t="str">
            <v>Revision Tecnica</v>
          </cell>
          <cell r="O4741" t="str">
            <v>EQUIPOS DE VEHICULO</v>
          </cell>
          <cell r="P4741">
            <v>12000</v>
          </cell>
          <cell r="T4741" t="str">
            <v>Bueno</v>
          </cell>
          <cell r="U4741" t="str">
            <v>N/T</v>
          </cell>
        </row>
        <row r="4742">
          <cell r="J4742" t="str">
            <v>42-03-02-00-4734</v>
          </cell>
          <cell r="L4742" t="str">
            <v>42-03-02-00-4734</v>
          </cell>
          <cell r="M4742" t="str">
            <v>Copia Certificado de Emision de Gases</v>
          </cell>
          <cell r="O4742" t="str">
            <v>EQUIPOS DE VEHICULO</v>
          </cell>
          <cell r="P4742">
            <v>10000</v>
          </cell>
          <cell r="T4742" t="str">
            <v>Bueno</v>
          </cell>
          <cell r="U4742" t="str">
            <v>N/T</v>
          </cell>
        </row>
        <row r="4743">
          <cell r="J4743" t="str">
            <v>42-03-02-00-4735</v>
          </cell>
          <cell r="L4743" t="str">
            <v>42-03-02-00-4735</v>
          </cell>
          <cell r="M4743" t="str">
            <v>Seguro Obligatorio (SOAP)</v>
          </cell>
          <cell r="O4743" t="str">
            <v>EQUIPOS DE VEHICULO</v>
          </cell>
          <cell r="P4743">
            <v>3000</v>
          </cell>
          <cell r="T4743" t="str">
            <v>Bueno</v>
          </cell>
          <cell r="U4743" t="str">
            <v>N/T</v>
          </cell>
        </row>
        <row r="4744">
          <cell r="J4744" t="str">
            <v>42-03-02-00-4736</v>
          </cell>
          <cell r="L4744" t="str">
            <v>42-03-02-00-4736</v>
          </cell>
          <cell r="M4744" t="str">
            <v>Manual Radio AM-FM</v>
          </cell>
          <cell r="O4744" t="str">
            <v>EQUIPOS DE VEHICULO</v>
          </cell>
          <cell r="P4744">
            <v>2000</v>
          </cell>
          <cell r="T4744" t="str">
            <v>Bueno</v>
          </cell>
          <cell r="U4744" t="str">
            <v>N/T</v>
          </cell>
        </row>
        <row r="4745">
          <cell r="J4745" t="str">
            <v>42-03-02-00-4737</v>
          </cell>
          <cell r="L4745" t="str">
            <v>42-03-02-00-4737</v>
          </cell>
          <cell r="M4745" t="str">
            <v>Manual Radio Motorola</v>
          </cell>
          <cell r="O4745" t="str">
            <v>EQUIPOS DE VEHICULO</v>
          </cell>
          <cell r="P4745">
            <v>2000</v>
          </cell>
          <cell r="T4745" t="str">
            <v>Bueno</v>
          </cell>
          <cell r="U4745" t="str">
            <v>N/T</v>
          </cell>
        </row>
        <row r="4746">
          <cell r="J4746" t="str">
            <v>42-03-02-00-4738</v>
          </cell>
          <cell r="L4746" t="str">
            <v>42-03-02-00-4738</v>
          </cell>
          <cell r="M4746" t="str">
            <v>Compartimiento Sanitario estructura y envolventes resistentes homogeneos monobloque adosado a Chasis Dim. Ancho 1.700mm; Alto 1.800mm; Largo 3.200mm</v>
          </cell>
          <cell r="O4746" t="str">
            <v>EQUIPOS DE VEHICULO</v>
          </cell>
          <cell r="P4746">
            <v>1500000</v>
          </cell>
          <cell r="T4746" t="str">
            <v>Bueno</v>
          </cell>
          <cell r="U4746" t="str">
            <v>N/T</v>
          </cell>
        </row>
        <row r="4747">
          <cell r="J4747" t="str">
            <v>42-03-02-00-4739</v>
          </cell>
          <cell r="L4747" t="str">
            <v>42-03-02-00-4739</v>
          </cell>
          <cell r="M4747" t="str">
            <v>Compartimiento Resistente a corrosion y con aislacion termoacustica en sus costados, cielos, puertas</v>
          </cell>
          <cell r="O4747" t="str">
            <v>EQUIPOS DE VEHICULO</v>
          </cell>
          <cell r="P4747">
            <v>250000</v>
          </cell>
          <cell r="T4747" t="str">
            <v>Bueno</v>
          </cell>
          <cell r="U4747" t="str">
            <v>N/T</v>
          </cell>
        </row>
        <row r="4748">
          <cell r="J4748" t="str">
            <v>42-03-02-00-4740</v>
          </cell>
          <cell r="L4748" t="str">
            <v>42-03-02-00-4740</v>
          </cell>
          <cell r="M4748" t="str">
            <v xml:space="preserve">Recubrimiento final de piso, una sola pieza </v>
          </cell>
          <cell r="O4748" t="str">
            <v>EQUIPOS DE VEHICULO</v>
          </cell>
          <cell r="P4748">
            <v>100000</v>
          </cell>
          <cell r="T4748" t="str">
            <v>Bueno</v>
          </cell>
          <cell r="U4748" t="str">
            <v>N/T</v>
          </cell>
        </row>
        <row r="4749">
          <cell r="J4749" t="str">
            <v>42-03-02-00-4741</v>
          </cell>
          <cell r="L4749" t="str">
            <v>42-03-02-00-4741</v>
          </cell>
          <cell r="M4749" t="str">
            <v>Division Cabina y Modulo Sanitario con ventanilla corredera amplia para intercomunicacion</v>
          </cell>
          <cell r="O4749" t="str">
            <v>EQUIPOS DE VEHICULO</v>
          </cell>
          <cell r="P4749">
            <v>75000</v>
          </cell>
          <cell r="T4749" t="str">
            <v>Bueno</v>
          </cell>
          <cell r="U4749" t="str">
            <v>N/T</v>
          </cell>
        </row>
        <row r="4750">
          <cell r="J4750" t="str">
            <v>42-03-02-00-4742</v>
          </cell>
          <cell r="L4750" t="str">
            <v>42-03-02-00-4742</v>
          </cell>
          <cell r="M4750" t="str">
            <v>Butaca con respaldo con apoya cabeza, auxiliar instalada detrás de camilla con cinturon de seguridad tres puntas</v>
          </cell>
          <cell r="O4750" t="str">
            <v>EQUIPOS DE VEHICULO</v>
          </cell>
          <cell r="P4750">
            <v>100000</v>
          </cell>
          <cell r="T4750" t="str">
            <v>Bueno</v>
          </cell>
          <cell r="U4750" t="str">
            <v>N/T</v>
          </cell>
        </row>
        <row r="4751">
          <cell r="J4751" t="str">
            <v>42-03-02-00-4743</v>
          </cell>
          <cell r="L4751" t="str">
            <v>42-03-02-00-4743</v>
          </cell>
          <cell r="M4751" t="str">
            <v>Ventana Lateral de Puerta Corredera de modulo Sanitario</v>
          </cell>
          <cell r="O4751" t="str">
            <v>EQUIPOS DE VEHICULO</v>
          </cell>
          <cell r="P4751">
            <v>150000</v>
          </cell>
          <cell r="T4751" t="str">
            <v>Bueno</v>
          </cell>
          <cell r="U4751" t="str">
            <v>N/T</v>
          </cell>
        </row>
        <row r="4752">
          <cell r="J4752" t="str">
            <v>42-03-02-00-4744</v>
          </cell>
          <cell r="L4752" t="str">
            <v>42-03-02-00-4744</v>
          </cell>
          <cell r="M4752" t="str">
            <v>Asiento Lateral Derecho Longitudinal con tapa abatible y espacios para guardar articulos capacidad tres personas, provisto de cinturones de seguridad de tres puntas retractiles y acondicionado para acoplar paciente adicional</v>
          </cell>
          <cell r="O4752" t="str">
            <v>EQUIPOS DE VEHICULO</v>
          </cell>
          <cell r="P4752">
            <v>200000</v>
          </cell>
          <cell r="T4752" t="str">
            <v>Bueno</v>
          </cell>
          <cell r="U4752" t="str">
            <v>N/T</v>
          </cell>
        </row>
        <row r="4753">
          <cell r="J4753" t="str">
            <v>42-03-02-00-4745</v>
          </cell>
          <cell r="L4753" t="str">
            <v>42-03-02-00-4745</v>
          </cell>
          <cell r="M4753" t="str">
            <v>Mueble Anaquel en pared lateral Izquierda de cabina sanitaria para insumos medicos. Material liviano, resistente a impactos , Aseptico, ergonomico, lavable, fijado y adosado a estructura interna.</v>
          </cell>
          <cell r="O4753" t="str">
            <v>EQUIPOS DE VEHICULO</v>
          </cell>
          <cell r="P4753">
            <v>300000</v>
          </cell>
          <cell r="T4753" t="str">
            <v>Bueno</v>
          </cell>
          <cell r="U4753" t="str">
            <v>N/T</v>
          </cell>
        </row>
        <row r="4754">
          <cell r="J4754" t="str">
            <v>42-03-02-00-4746</v>
          </cell>
          <cell r="L4754" t="str">
            <v>42-03-02-00-4746</v>
          </cell>
          <cell r="M4754" t="str">
            <v>Mueble con Cubierta y tres cajones para almacenar medicamentos a un lado del asiento de la butaca auxiliar</v>
          </cell>
          <cell r="O4754" t="str">
            <v>EQUIPOS DE VEHICULO</v>
          </cell>
          <cell r="P4754">
            <v>80000</v>
          </cell>
          <cell r="T4754" t="str">
            <v>Bueno</v>
          </cell>
          <cell r="U4754" t="str">
            <v>N/T</v>
          </cell>
        </row>
        <row r="4755">
          <cell r="J4755" t="str">
            <v>42-05-02-01-4747</v>
          </cell>
          <cell r="L4755" t="str">
            <v>42-05-02-01-4747</v>
          </cell>
          <cell r="M4755" t="str">
            <v>Cooler Electrico conectado a suministro electrico de gabinete sanitario (12 Volt y 220 Red Domiciliaria) de una capacidad minima de 3 Litros y no superior a 6 Litros</v>
          </cell>
          <cell r="O4755" t="str">
            <v>EQUIPOS CLINICOS</v>
          </cell>
          <cell r="P4755">
            <v>60000</v>
          </cell>
          <cell r="T4755" t="str">
            <v>Bueno</v>
          </cell>
          <cell r="U4755" t="str">
            <v>N/T</v>
          </cell>
        </row>
        <row r="4756">
          <cell r="J4756" t="str">
            <v>FN-05-02-01-4748</v>
          </cell>
          <cell r="L4756" t="str">
            <v>FN-05-02-01-4748</v>
          </cell>
          <cell r="M4756" t="str">
            <v>Porta Sueros rigidos de aluminio ubicado en la parte superior interior del compartimiento sanitario apto para sostener dos matraces de suero.</v>
          </cell>
          <cell r="O4756" t="str">
            <v>EQUIPOS CLINICOS FUNGIBLE / NOMINABLE</v>
          </cell>
          <cell r="P4756">
            <v>20000</v>
          </cell>
          <cell r="T4756" t="str">
            <v>Bueno</v>
          </cell>
          <cell r="U4756" t="str">
            <v>N/T</v>
          </cell>
        </row>
        <row r="4757">
          <cell r="J4757" t="str">
            <v>42-05-02-01-4749</v>
          </cell>
          <cell r="L4757" t="str">
            <v>42-05-02-01-4749</v>
          </cell>
          <cell r="M4757" t="str">
            <v>Silla de Ruedas Plegable y Anclaje</v>
          </cell>
          <cell r="O4757" t="str">
            <v>EQUIPOS CLINICOS</v>
          </cell>
          <cell r="P4757">
            <v>200000</v>
          </cell>
          <cell r="T4757" t="str">
            <v>Bueno</v>
          </cell>
          <cell r="U4757" t="str">
            <v>N/T</v>
          </cell>
        </row>
        <row r="4758">
          <cell r="J4758" t="str">
            <v>42-03-02-00-4750</v>
          </cell>
          <cell r="L4758" t="str">
            <v>42-03-02-00-4750</v>
          </cell>
          <cell r="M4758" t="str">
            <v>Sistema electrico Independiente para circuito electrico sistema Ambulancia.</v>
          </cell>
          <cell r="O4758" t="str">
            <v>EQUIPOS DE VEHICULO</v>
          </cell>
          <cell r="P4758">
            <v>120000</v>
          </cell>
          <cell r="T4758" t="str">
            <v>Bueno</v>
          </cell>
          <cell r="U4758" t="str">
            <v>N/T</v>
          </cell>
        </row>
        <row r="4759">
          <cell r="J4759" t="str">
            <v>FN-03-02-00-4751</v>
          </cell>
          <cell r="L4759" t="str">
            <v>FN-03-02-00-4751</v>
          </cell>
          <cell r="M4759" t="str">
            <v>Enchufes Embutidos Alimentacion Bomba Aspiracion u otros equipos de 12 Volts</v>
          </cell>
          <cell r="O4759" t="str">
            <v>EQUIPOS DE VEHICULO FUNGIBLE / NOMINABLE</v>
          </cell>
          <cell r="P4759">
            <v>50000</v>
          </cell>
          <cell r="T4759" t="str">
            <v>Bueno</v>
          </cell>
          <cell r="U4759" t="str">
            <v>N/T</v>
          </cell>
        </row>
        <row r="4760">
          <cell r="J4760" t="str">
            <v>FN-03-02-00-4752</v>
          </cell>
          <cell r="L4760" t="str">
            <v>FN-03-02-00-4752</v>
          </cell>
          <cell r="M4760" t="str">
            <v>Enchufes embutidos para alimentacion de equipos Electomedicina con adaptadores correspondientes 220 Volts</v>
          </cell>
          <cell r="O4760" t="str">
            <v>EQUIPOS DE VEHICULO FUNGIBLE / NOMINABLE</v>
          </cell>
          <cell r="P4760">
            <v>50000</v>
          </cell>
          <cell r="T4760" t="str">
            <v>Bueno</v>
          </cell>
          <cell r="U4760" t="str">
            <v>N/T</v>
          </cell>
        </row>
        <row r="4761">
          <cell r="J4761" t="str">
            <v>42-03-02-00-4753</v>
          </cell>
          <cell r="L4761" t="str">
            <v>42-03-02-00-4753</v>
          </cell>
          <cell r="M4761" t="str">
            <v>Proteccion Red 12 Volt con Fusibles Calibrados tipo Paleta de Facil Sustitucion y Revision</v>
          </cell>
          <cell r="O4761" t="str">
            <v>EQUIPOS DE VEHICULO</v>
          </cell>
          <cell r="P4761">
            <v>50000</v>
          </cell>
          <cell r="T4761" t="str">
            <v>Bueno</v>
          </cell>
          <cell r="U4761" t="str">
            <v>N/T</v>
          </cell>
        </row>
        <row r="4762">
          <cell r="J4762" t="str">
            <v>42-03-02-00-4754</v>
          </cell>
          <cell r="L4762" t="str">
            <v>42-03-02-00-4754</v>
          </cell>
          <cell r="M4762" t="str">
            <v>Esquema Simplificado de Circuito Electrico Adicionado en manual de mPropietario</v>
          </cell>
          <cell r="O4762" t="str">
            <v>EQUIPOS DE VEHICULO</v>
          </cell>
          <cell r="P4762">
            <v>5000</v>
          </cell>
          <cell r="T4762" t="str">
            <v>Bueno</v>
          </cell>
          <cell r="U4762" t="str">
            <v>N/T</v>
          </cell>
        </row>
        <row r="4763">
          <cell r="J4763" t="str">
            <v>42-03-02-00-4755</v>
          </cell>
          <cell r="L4763" t="str">
            <v>42-03-02-00-4755</v>
          </cell>
          <cell r="M4763" t="str">
            <v>Alimentación de 12 Volts para equipo de radio transmisor con fusible de 15 Amperes Tipo Clavija</v>
          </cell>
          <cell r="O4763" t="str">
            <v>EQUIPOS DE VEHICULO</v>
          </cell>
          <cell r="P4763">
            <v>25000</v>
          </cell>
          <cell r="T4763" t="str">
            <v>Bueno</v>
          </cell>
          <cell r="U4763" t="str">
            <v>N/T</v>
          </cell>
        </row>
        <row r="4764">
          <cell r="J4764" t="str">
            <v>42-03-02-00-4756</v>
          </cell>
          <cell r="L4764" t="str">
            <v>42-03-02-00-4756</v>
          </cell>
          <cell r="M4764" t="str">
            <v>Panel Fusibles Auxiliares de iluminacion sonido y comunicaciones</v>
          </cell>
          <cell r="O4764" t="str">
            <v>EQUIPOS DE VEHICULO</v>
          </cell>
          <cell r="P4764">
            <v>25000</v>
          </cell>
          <cell r="T4764" t="str">
            <v>Bueno</v>
          </cell>
          <cell r="U4764" t="str">
            <v>N/T</v>
          </cell>
        </row>
        <row r="4765">
          <cell r="J4765" t="str">
            <v>42-03-02-00-4757</v>
          </cell>
          <cell r="L4765" t="str">
            <v>42-03-02-00-4757</v>
          </cell>
          <cell r="M4765" t="str">
            <v>Llave Selectora corta corriente para utilizacion de 1 o 2 baterias y condicion de desconeccion</v>
          </cell>
          <cell r="O4765" t="str">
            <v>EQUIPOS DE VEHICULO</v>
          </cell>
          <cell r="P4765">
            <v>15000</v>
          </cell>
          <cell r="T4765" t="str">
            <v>Bueno</v>
          </cell>
          <cell r="U4765" t="str">
            <v>N/T</v>
          </cell>
        </row>
        <row r="4766">
          <cell r="J4766" t="str">
            <v>42-03-02-00-4758</v>
          </cell>
          <cell r="L4766" t="str">
            <v>42-03-02-00-4758</v>
          </cell>
          <cell r="M4766" t="str">
            <v>Inversor Corriente de 2.000 Watt o Superior, con salida de corriente estabilizada con diferencial de 1.700 Watt y cargador automatico de bateria de movil.</v>
          </cell>
          <cell r="O4766" t="str">
            <v>EQUIPOS DE VEHICULO</v>
          </cell>
          <cell r="P4766">
            <v>25000</v>
          </cell>
          <cell r="T4766" t="str">
            <v>Bueno</v>
          </cell>
          <cell r="U4766" t="str">
            <v>N/T</v>
          </cell>
        </row>
        <row r="4767">
          <cell r="J4767" t="str">
            <v>42-03-02-00-4759</v>
          </cell>
          <cell r="L4767" t="str">
            <v>42-03-02-00-4759</v>
          </cell>
          <cell r="M4767" t="str">
            <v>Foco Trasero de Posicion Alta para iluminacion area acceso de pacientes con comando en cabina.</v>
          </cell>
          <cell r="O4767" t="str">
            <v>EQUIPOS DE VEHICULO</v>
          </cell>
          <cell r="P4767">
            <v>30000</v>
          </cell>
          <cell r="T4767" t="str">
            <v>Bueno</v>
          </cell>
          <cell r="U4767" t="str">
            <v>N/T</v>
          </cell>
        </row>
        <row r="4768">
          <cell r="J4768" t="str">
            <v>FN-03-02-00-4760</v>
          </cell>
          <cell r="L4768" t="str">
            <v>FN-03-02-00-4760</v>
          </cell>
          <cell r="M4768" t="str">
            <v xml:space="preserve">Foco Trasero Neblinero de 100 Watt adosado </v>
          </cell>
          <cell r="O4768" t="str">
            <v>EQUIPOS DE VEHICULO FUNGIBLE / NOMINABLE</v>
          </cell>
          <cell r="P4768">
            <v>35000</v>
          </cell>
          <cell r="T4768" t="str">
            <v>Bueno</v>
          </cell>
          <cell r="U4768" t="str">
            <v>N/T</v>
          </cell>
        </row>
        <row r="4769">
          <cell r="J4769" t="str">
            <v>FN-03-02-00-4761</v>
          </cell>
          <cell r="L4769" t="str">
            <v>FN-03-02-00-4761</v>
          </cell>
          <cell r="M4769" t="str">
            <v>Focos Incandescentes de doble intensidad Iluminacion Ambiente habitaculo C/ Interruptor ubicado en compartimiento y foco incandescente giratorio</v>
          </cell>
          <cell r="O4769" t="str">
            <v>EQUIPOS DE VEHICULO FUNGIBLE / NOMINABLE</v>
          </cell>
          <cell r="P4769">
            <v>40000</v>
          </cell>
          <cell r="T4769" t="str">
            <v>Bueno</v>
          </cell>
          <cell r="U4769" t="str">
            <v>N/T</v>
          </cell>
        </row>
        <row r="4770">
          <cell r="J4770" t="str">
            <v>42-03-02-00-4762</v>
          </cell>
          <cell r="L4770" t="str">
            <v>42-03-02-00-4762</v>
          </cell>
          <cell r="M4770" t="str">
            <v xml:space="preserve">Baliza Barra Compacta color: Rojo y Azul con Ampolletas Halogenas con cuatro rotores con cupula resistente a impactos + gabinete parlante Sirena </v>
          </cell>
          <cell r="O4770" t="str">
            <v>EQUIPOS DE VEHICULO</v>
          </cell>
          <cell r="P4770">
            <v>150000</v>
          </cell>
          <cell r="T4770" t="str">
            <v>Bueno</v>
          </cell>
          <cell r="U4770" t="str">
            <v>N/T</v>
          </cell>
        </row>
        <row r="4771">
          <cell r="J4771" t="str">
            <v>42-03-02-00-4763</v>
          </cell>
          <cell r="L4771" t="str">
            <v>42-03-02-00-4763</v>
          </cell>
          <cell r="M4771" t="str">
            <v>Foco Buscacaminos portatil conectable a encendedor de vehiculo</v>
          </cell>
          <cell r="O4771" t="str">
            <v>EQUIPOS DE VEHICULO</v>
          </cell>
          <cell r="P4771">
            <v>15000</v>
          </cell>
          <cell r="T4771" t="str">
            <v>Bueno</v>
          </cell>
          <cell r="U4771" t="str">
            <v>N/T</v>
          </cell>
        </row>
        <row r="4772">
          <cell r="J4772" t="str">
            <v>42-03-02-00-4764</v>
          </cell>
          <cell r="L4772" t="str">
            <v>42-03-02-00-4764</v>
          </cell>
          <cell r="M4772" t="str">
            <v>Panel de Control de origen EEUU comando entre Conductor y Copiloto</v>
          </cell>
          <cell r="O4772" t="str">
            <v>EQUIPOS DE VEHICULO</v>
          </cell>
          <cell r="P4772">
            <v>10000</v>
          </cell>
          <cell r="T4772" t="str">
            <v>Bueno</v>
          </cell>
          <cell r="U4772" t="str">
            <v>N/T</v>
          </cell>
        </row>
        <row r="4773">
          <cell r="J4773" t="str">
            <v>42-03-02-00-4765</v>
          </cell>
          <cell r="L4773" t="str">
            <v>42-03-02-00-4765</v>
          </cell>
          <cell r="M4773" t="str">
            <v>Alternador 90 A - 13.8 V (Instalacion Interna)</v>
          </cell>
          <cell r="O4773" t="str">
            <v>EQUIPOS DE VEHICULO</v>
          </cell>
          <cell r="P4773">
            <v>25000</v>
          </cell>
          <cell r="T4773" t="str">
            <v>Bueno</v>
          </cell>
          <cell r="U4773" t="str">
            <v>N/T</v>
          </cell>
        </row>
        <row r="4774">
          <cell r="J4774" t="str">
            <v>42-03-02-00-4766</v>
          </cell>
          <cell r="L4774" t="str">
            <v>42-03-02-00-4766</v>
          </cell>
          <cell r="M4774" t="str">
            <v>Panel Fusibles protegido de los sistemas auxiliares de iluminacion, sonido y comunicaciones.</v>
          </cell>
          <cell r="O4774" t="str">
            <v>EQUIPOS DE VEHICULO</v>
          </cell>
          <cell r="P4774">
            <v>25000</v>
          </cell>
          <cell r="T4774" t="str">
            <v>Bueno</v>
          </cell>
          <cell r="U4774" t="str">
            <v>N/T</v>
          </cell>
        </row>
        <row r="4775">
          <cell r="J4775" t="str">
            <v>42-03-02-00-4767</v>
          </cell>
          <cell r="L4775" t="str">
            <v>42-03-02-00-4767</v>
          </cell>
          <cell r="M4775" t="str">
            <v>Extractor de aire 12 Volts Instalado en Cielo Compartimiento Sanitario</v>
          </cell>
          <cell r="O4775" t="str">
            <v>EQUIPOS DE VEHICULO</v>
          </cell>
          <cell r="P4775">
            <v>40000</v>
          </cell>
          <cell r="T4775" t="str">
            <v>Bueno</v>
          </cell>
          <cell r="U4775" t="str">
            <v>N/T</v>
          </cell>
        </row>
        <row r="4776">
          <cell r="J4776" t="str">
            <v>42-03-02-00-4768</v>
          </cell>
          <cell r="L4776" t="str">
            <v>42-03-02-00-4768</v>
          </cell>
          <cell r="M4776" t="str">
            <v>Ventilador de 12 Volts comando de compartimiento sanitario.</v>
          </cell>
          <cell r="O4776" t="str">
            <v>EQUIPOS DE VEHICULO</v>
          </cell>
          <cell r="P4776">
            <v>25000</v>
          </cell>
          <cell r="T4776" t="str">
            <v>Bueno</v>
          </cell>
          <cell r="U4776" t="str">
            <v>N/T</v>
          </cell>
        </row>
        <row r="4777">
          <cell r="J4777" t="str">
            <v>42-03-02-00-4769</v>
          </cell>
          <cell r="L4777" t="str">
            <v>42-03-02-00-4769</v>
          </cell>
          <cell r="M4777" t="str">
            <v>Sistema Aire acondicionado independiente de al menos 30.000 BTU compartimiento sanitario y 7.000 BTU en cabina</v>
          </cell>
          <cell r="O4777" t="str">
            <v>EQUIPOS DE VEHICULO</v>
          </cell>
          <cell r="P4777">
            <v>60000</v>
          </cell>
          <cell r="T4777" t="str">
            <v>Bueno</v>
          </cell>
          <cell r="U4777" t="str">
            <v>N/T</v>
          </cell>
        </row>
        <row r="4778">
          <cell r="J4778" t="str">
            <v>42-03-02-00-4770</v>
          </cell>
          <cell r="L4778" t="str">
            <v>42-03-02-00-4770</v>
          </cell>
          <cell r="M4778" t="str">
            <v>Ducto Calefaccion Independiente para cabina y compartimiento sanitario</v>
          </cell>
          <cell r="O4778" t="str">
            <v>EQUIPOS DE VEHICULO</v>
          </cell>
          <cell r="P4778">
            <v>25000</v>
          </cell>
          <cell r="T4778" t="str">
            <v>Bueno</v>
          </cell>
          <cell r="U4778" t="str">
            <v>N/T</v>
          </cell>
        </row>
        <row r="4779">
          <cell r="J4779" t="str">
            <v>42-05-02-01-4771</v>
          </cell>
          <cell r="L4779" t="str">
            <v>42-05-02-01-4771</v>
          </cell>
          <cell r="M4779" t="str">
            <v>Radiotransmisor profesional tecnologia digital tipo militar Back to Back y 64 canales, ubicado entre asiento conductor y asiento copiloto.</v>
          </cell>
          <cell r="O4779" t="str">
            <v>EQUIPOS CLINICOS</v>
          </cell>
          <cell r="P4779">
            <v>250000</v>
          </cell>
          <cell r="T4779" t="str">
            <v>Bueno</v>
          </cell>
          <cell r="U4779" t="str">
            <v>N/T</v>
          </cell>
        </row>
        <row r="4780">
          <cell r="J4780" t="str">
            <v>42-05-02-01-4772</v>
          </cell>
          <cell r="L4780" t="str">
            <v>42-05-02-01-4772</v>
          </cell>
          <cell r="M4780" t="str">
            <v xml:space="preserve">Parlante y Microfono Adicional para equipo de radio ubicado en cabina sanitaria </v>
          </cell>
          <cell r="O4780" t="str">
            <v>EQUIPOS CLINICOS</v>
          </cell>
          <cell r="P4780">
            <v>27000</v>
          </cell>
          <cell r="T4780" t="str">
            <v>Bueno</v>
          </cell>
          <cell r="U4780" t="str">
            <v>N/T</v>
          </cell>
        </row>
        <row r="4781">
          <cell r="J4781" t="str">
            <v>42-05-02-01-4773</v>
          </cell>
          <cell r="L4781" t="str">
            <v>42-05-02-01-4773</v>
          </cell>
          <cell r="M4781" t="str">
            <v>Sistema Integrado de Antena, Cableado, y Programadion</v>
          </cell>
          <cell r="O4781" t="str">
            <v>EQUIPOS CLINICOS</v>
          </cell>
          <cell r="P4781">
            <v>25000</v>
          </cell>
          <cell r="T4781" t="str">
            <v>Bueno</v>
          </cell>
          <cell r="U4781" t="str">
            <v>N/T</v>
          </cell>
        </row>
        <row r="4782">
          <cell r="J4782" t="str">
            <v>42-05-02-01-4774</v>
          </cell>
          <cell r="L4782" t="str">
            <v>42-05-02-01-4774</v>
          </cell>
          <cell r="M4782" t="str">
            <v>Sirena Electronica de 4 Sonidos que incluye microfono para hablar al exterior con parlante de 100 wats RMS de 11 Ohm de impedancia.</v>
          </cell>
          <cell r="O4782" t="str">
            <v>EQUIPOS CLINICOS</v>
          </cell>
          <cell r="P4782">
            <v>35000</v>
          </cell>
          <cell r="T4782" t="str">
            <v>Bueno</v>
          </cell>
          <cell r="U4782" t="str">
            <v>N/T</v>
          </cell>
        </row>
        <row r="4783">
          <cell r="J4783" t="str">
            <v>42-05-02-01-4775</v>
          </cell>
          <cell r="L4783" t="str">
            <v>42-05-02-01-4775</v>
          </cell>
          <cell r="M4783" t="str">
            <v>Equipo Oxigeno Terapia portatial con Soporte cilindro Aluminio Tipo "D" 0.45 M3 Valvula Pin, Regulador, Aluminio, Flujo metro, canula y mascarillas con valvulas de recirculacion adulto (2) y pediatrica (2)</v>
          </cell>
          <cell r="O4783" t="str">
            <v>EQUIPOS CLINICOS</v>
          </cell>
          <cell r="P4783">
            <v>20000</v>
          </cell>
          <cell r="T4783" t="str">
            <v>Bueno</v>
          </cell>
          <cell r="U4783" t="str">
            <v>N/T</v>
          </cell>
        </row>
        <row r="4784">
          <cell r="J4784" t="str">
            <v>42-05-02-01-4776</v>
          </cell>
          <cell r="L4784" t="str">
            <v>42-05-02-01-4776</v>
          </cell>
          <cell r="M4784" t="str">
            <v>Porta Anclaje metalico fijo para cilindro de oxigeno tipo D.</v>
          </cell>
          <cell r="O4784" t="str">
            <v>EQUIPOS CLINICOS</v>
          </cell>
          <cell r="P4784">
            <v>15000</v>
          </cell>
          <cell r="T4784" t="str">
            <v>Bueno</v>
          </cell>
          <cell r="U4784" t="str">
            <v>N/T</v>
          </cell>
        </row>
        <row r="4785">
          <cell r="J4785" t="str">
            <v>42-05-02-01-4777</v>
          </cell>
          <cell r="L4785" t="str">
            <v>42-05-02-01-4777</v>
          </cell>
          <cell r="M4785" t="str">
            <v xml:space="preserve">Bomba de aspiracion electrica de 12 Volt, portatil (1) con regulador, vaso decantador, trampa y m,anguera. Con autonomia de 1.5 hrs </v>
          </cell>
          <cell r="O4785" t="str">
            <v>EQUIPOS CLINICOS</v>
          </cell>
          <cell r="P4785">
            <v>25000</v>
          </cell>
          <cell r="T4785" t="str">
            <v>Bueno</v>
          </cell>
          <cell r="U4785" t="str">
            <v>N/T</v>
          </cell>
        </row>
        <row r="4786">
          <cell r="J4786" t="str">
            <v>42-05-02-01-4778</v>
          </cell>
          <cell r="L4786" t="str">
            <v>42-05-02-01-4778</v>
          </cell>
          <cell r="M4786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4786" t="str">
            <v>EQUIPOS CLINICOS</v>
          </cell>
          <cell r="P4786">
            <v>12000</v>
          </cell>
          <cell r="T4786" t="str">
            <v>Bueno</v>
          </cell>
          <cell r="U4786" t="str">
            <v>N/T</v>
          </cell>
        </row>
        <row r="4787">
          <cell r="J4787" t="str">
            <v>42-05-02-01-4779</v>
          </cell>
          <cell r="L4787" t="str">
            <v>42-05-02-01-4779</v>
          </cell>
          <cell r="M4787" t="str">
            <v xml:space="preserve">Tabla Espinal Adulto con inmovilizador de cabeza medidas 1850x470mm de material plastico rigido, traslucida a rayos x. incluye 5 correas para asegurar al paciente </v>
          </cell>
          <cell r="O4787" t="str">
            <v>EQUIPOS CLINICOS</v>
          </cell>
          <cell r="P4787">
            <v>15000</v>
          </cell>
          <cell r="T4787" t="str">
            <v>Bueno</v>
          </cell>
          <cell r="U4787" t="str">
            <v>N/T</v>
          </cell>
        </row>
        <row r="4788">
          <cell r="J4788" t="str">
            <v>42-05-02-01-4780</v>
          </cell>
          <cell r="L4788" t="str">
            <v>42-05-02-01-4780</v>
          </cell>
          <cell r="M4788" t="str">
            <v xml:space="preserve">Chaleco Extraccion </v>
          </cell>
          <cell r="O4788" t="str">
            <v>EQUIPOS CLINICOS</v>
          </cell>
          <cell r="P4788">
            <v>30000</v>
          </cell>
          <cell r="T4788" t="str">
            <v>Bueno</v>
          </cell>
          <cell r="U4788" t="str">
            <v>N/T</v>
          </cell>
        </row>
        <row r="4789">
          <cell r="J4789" t="str">
            <v>42-05-02-01-4781</v>
          </cell>
          <cell r="L4789" t="str">
            <v>42-05-02-01-4781</v>
          </cell>
          <cell r="M4789" t="str">
            <v>Set collarescervicales 6 Adultos y 6 Pediatricos</v>
          </cell>
          <cell r="O4789" t="str">
            <v>EQUIPOS CLINICOS</v>
          </cell>
          <cell r="P4789">
            <v>15000</v>
          </cell>
          <cell r="T4789" t="str">
            <v>Bueno</v>
          </cell>
          <cell r="U4789" t="str">
            <v>N/T</v>
          </cell>
        </row>
        <row r="4790">
          <cell r="J4790" t="str">
            <v>42-05-02-01-4782</v>
          </cell>
          <cell r="L4790" t="str">
            <v>42-05-02-01-4782</v>
          </cell>
          <cell r="M4790" t="str">
            <v>Esfingomanometro aneroide ALPK2 o similar</v>
          </cell>
          <cell r="O4790" t="str">
            <v>EQUIPOS CLINICOS</v>
          </cell>
          <cell r="P4790">
            <v>37000</v>
          </cell>
          <cell r="T4790" t="str">
            <v>Bueno</v>
          </cell>
          <cell r="U4790" t="str">
            <v>N/T</v>
          </cell>
        </row>
        <row r="4791">
          <cell r="J4791" t="str">
            <v>42-05-02-01-4783</v>
          </cell>
          <cell r="L4791" t="str">
            <v>42-05-02-01-4783</v>
          </cell>
          <cell r="M4791" t="str">
            <v>Fonendoscopio</v>
          </cell>
          <cell r="O4791" t="str">
            <v>EQUIPOS CLINICOS</v>
          </cell>
          <cell r="P4791">
            <v>16000</v>
          </cell>
          <cell r="T4791" t="str">
            <v>Bueno</v>
          </cell>
          <cell r="U4791" t="str">
            <v>N/T</v>
          </cell>
        </row>
        <row r="4792">
          <cell r="J4792" t="str">
            <v>FN-05-02-01-4784</v>
          </cell>
          <cell r="L4792" t="str">
            <v>FN-05-02-01-4784</v>
          </cell>
          <cell r="M4792" t="str">
            <v>Mascarilla con valvulas de recirculacion y respectiva sondas (Manguera) para conectar a sistema de oxigeno.</v>
          </cell>
          <cell r="O4792" t="str">
            <v>EQUIPOS CLINICOS FUNGIBLE / NOMINABLE</v>
          </cell>
          <cell r="P4792">
            <v>8000</v>
          </cell>
          <cell r="T4792" t="str">
            <v>Bueno</v>
          </cell>
          <cell r="U4792" t="str">
            <v>N/T</v>
          </cell>
        </row>
        <row r="4793">
          <cell r="J4793" t="str">
            <v>42-05-02-01-4785</v>
          </cell>
          <cell r="L4793" t="str">
            <v>42-05-02-01-4785</v>
          </cell>
          <cell r="M4793" t="str">
            <v>Resusitador Manual Preofesional Adulto, No Desechable, Tipo Ambu, MARK3 con reservorio</v>
          </cell>
          <cell r="O4793" t="str">
            <v>EQUIPOS CLINICOS</v>
          </cell>
          <cell r="P4793">
            <v>12000</v>
          </cell>
          <cell r="T4793" t="str">
            <v>Bueno</v>
          </cell>
          <cell r="U4793" t="str">
            <v>N/T</v>
          </cell>
        </row>
        <row r="4794">
          <cell r="J4794" t="str">
            <v>42-05-02-01-4786</v>
          </cell>
          <cell r="L4794" t="str">
            <v>42-05-02-01-4786</v>
          </cell>
          <cell r="M4794" t="str">
            <v>Resusitador Manual Preofesional Pediatrico, No Desechable, Tipo Ambu, MARK3 con reservorio</v>
          </cell>
          <cell r="O4794" t="str">
            <v>EQUIPOS CLINICOS</v>
          </cell>
          <cell r="P4794">
            <v>9000</v>
          </cell>
          <cell r="T4794" t="str">
            <v>Bueno</v>
          </cell>
          <cell r="U4794" t="str">
            <v>N/T</v>
          </cell>
        </row>
        <row r="4795">
          <cell r="J4795" t="str">
            <v>42-05-02-01-4787</v>
          </cell>
          <cell r="L4795" t="str">
            <v>42-05-02-01-4787</v>
          </cell>
          <cell r="M4795" t="str">
            <v>Bolso de Urgencia profesional Nylon denir de alta resistencia e impermeable multiples comportamiento</v>
          </cell>
          <cell r="O4795" t="str">
            <v>EQUIPOS CLINICOS</v>
          </cell>
          <cell r="P4795">
            <v>14000</v>
          </cell>
          <cell r="T4795" t="str">
            <v>Bueno</v>
          </cell>
          <cell r="U4795" t="str">
            <v>N/T</v>
          </cell>
        </row>
        <row r="4796">
          <cell r="J4796" t="str">
            <v>42-05-02-01-4788</v>
          </cell>
          <cell r="L4796" t="str">
            <v>42-05-02-01-4788</v>
          </cell>
          <cell r="M4796" t="str">
            <v>Set Ferulas semirrigidas (Kit 10 Ferulas, 1 Kit de inmovilizadores de extremidades consistente en Brazo, Medio Brazo, Mano y Muñeca, pierna, media pierna, pie y tobillo.</v>
          </cell>
          <cell r="O4796" t="str">
            <v>EQUIPOS CLINICOS</v>
          </cell>
          <cell r="P4796">
            <v>55000</v>
          </cell>
          <cell r="T4796" t="str">
            <v>Bueno</v>
          </cell>
          <cell r="U4796" t="str">
            <v>N/T</v>
          </cell>
        </row>
        <row r="4797">
          <cell r="J4797" t="str">
            <v>42-05-02-01-4789</v>
          </cell>
          <cell r="L4797" t="str">
            <v>42-05-02-01-4789</v>
          </cell>
          <cell r="M4797" t="str">
            <v>Saturometro Digital conectado por cable al perro, con proteccion a golpes.</v>
          </cell>
          <cell r="O4797" t="str">
            <v>EQUIPOS CLINICOS</v>
          </cell>
          <cell r="P4797">
            <v>35000</v>
          </cell>
          <cell r="T4797" t="str">
            <v>Bueno</v>
          </cell>
          <cell r="U4797" t="str">
            <v>N/T</v>
          </cell>
        </row>
        <row r="4798">
          <cell r="J4798" t="str">
            <v>FN-05-02-01-4790</v>
          </cell>
          <cell r="L4798" t="str">
            <v>FN-05-02-01-4790</v>
          </cell>
          <cell r="M4798" t="str">
            <v>Canula Orofaringeas Kit Completo (Adulto 5 / Pediatrico 4)</v>
          </cell>
          <cell r="O4798" t="str">
            <v>EQUIPOS CLINICOS FUNGIBLE / NOMINABLE</v>
          </cell>
          <cell r="P4798">
            <v>58600</v>
          </cell>
          <cell r="T4798" t="str">
            <v>Bueno</v>
          </cell>
          <cell r="U4798" t="str">
            <v>N/T</v>
          </cell>
        </row>
        <row r="4799">
          <cell r="J4799" t="str">
            <v>42-05-02-01-4791</v>
          </cell>
          <cell r="L4799" t="str">
            <v>42-05-02-01-4791</v>
          </cell>
          <cell r="M4799" t="str">
            <v>Maletin para transportes de insumos</v>
          </cell>
          <cell r="O4799" t="str">
            <v>EQUIPOS CLINICOS</v>
          </cell>
          <cell r="P4799">
            <v>12000</v>
          </cell>
          <cell r="T4799" t="str">
            <v>Bueno</v>
          </cell>
          <cell r="U4799" t="str">
            <v>N/T</v>
          </cell>
        </row>
        <row r="4800">
          <cell r="J4800" t="str">
            <v>42-05-02-01-4792</v>
          </cell>
          <cell r="L4800" t="str">
            <v>42-05-02-01-4792</v>
          </cell>
          <cell r="M4800" t="str">
            <v>Tabla con sujetador para realizar los registros  (Porta Bitacora)</v>
          </cell>
          <cell r="O4800" t="str">
            <v>EQUIPOS CLINICOS</v>
          </cell>
          <cell r="P4800">
            <v>4000</v>
          </cell>
          <cell r="T4800" t="str">
            <v>Bueno</v>
          </cell>
          <cell r="U4800" t="str">
            <v>N/T</v>
          </cell>
        </row>
        <row r="4801">
          <cell r="J4801" t="str">
            <v>42-05-02-01-4793</v>
          </cell>
          <cell r="L4801" t="str">
            <v>42-05-02-01-4793</v>
          </cell>
          <cell r="M4801" t="str">
            <v>Camilla Auxiliar Plegable de Espera (Tipo Reposera)</v>
          </cell>
          <cell r="O4801" t="str">
            <v>EQUIPOS CLINICOS</v>
          </cell>
          <cell r="P4801">
            <v>26000</v>
          </cell>
          <cell r="T4801" t="str">
            <v>Bueno</v>
          </cell>
          <cell r="U4801" t="str">
            <v>N/T</v>
          </cell>
        </row>
        <row r="4802">
          <cell r="J4802" t="str">
            <v>42-05-02-01-4794</v>
          </cell>
          <cell r="L4802" t="str">
            <v>42-05-02-01-4794</v>
          </cell>
          <cell r="M4802" t="str">
            <v>Red de aspiracion electrica 12 Volt con capacidad de succion de  500mm/Hg con regulador, trampa, vacuometro, y vaso decantador de 1 LT., afianzado a vehiculo y con manguera de conexión protegida hasta TCC en mueble anaquel 2 Salidas.</v>
          </cell>
          <cell r="O4802" t="str">
            <v>EQUIPOS CLINICOS</v>
          </cell>
          <cell r="P4802">
            <v>45000</v>
          </cell>
          <cell r="T4802" t="str">
            <v>Bueno</v>
          </cell>
          <cell r="U4802" t="str">
            <v>N/T</v>
          </cell>
        </row>
        <row r="4803">
          <cell r="J4803" t="str">
            <v>42-05-02-01-4795</v>
          </cell>
          <cell r="L4803" t="str">
            <v>42-05-02-01-4795</v>
          </cell>
          <cell r="M4803" t="str">
            <v>Puesto de toma aspiracion pacente camilla principal. Red central de aspiracion por bomba electrica de vacio (2) y manguera de coneccion protegida hasta TCC en mueble anaquel</v>
          </cell>
          <cell r="O4803" t="str">
            <v>EQUIPOS CLINICOS</v>
          </cell>
          <cell r="P4803">
            <v>55000</v>
          </cell>
          <cell r="T4803" t="str">
            <v>Bueno</v>
          </cell>
          <cell r="U4803" t="str">
            <v>N/T</v>
          </cell>
        </row>
        <row r="4804">
          <cell r="J4804" t="str">
            <v>42-03-02-00-4796</v>
          </cell>
          <cell r="L4804" t="str">
            <v>42-03-02-00-4796</v>
          </cell>
          <cell r="M4804" t="str">
            <v>Pisadera trasera con superficie antideslizante, incorporada al parachoques trasero</v>
          </cell>
          <cell r="O4804" t="str">
            <v>EQUIPOS DE VEHICULO</v>
          </cell>
          <cell r="P4804">
            <v>50000</v>
          </cell>
          <cell r="T4804" t="str">
            <v>Bueno</v>
          </cell>
          <cell r="U4804" t="str">
            <v>N/T</v>
          </cell>
        </row>
        <row r="4805">
          <cell r="J4805" t="str">
            <v>FN-03-02-00-4797</v>
          </cell>
          <cell r="L4805" t="str">
            <v>FN-03-02-00-4797</v>
          </cell>
          <cell r="M4805" t="str">
            <v>Pasamanos flexibles (3) en acceso lateral y trasero</v>
          </cell>
          <cell r="O4805" t="str">
            <v>EQUIPOS DE VEHICULO FUNGIBLE / NOMINABLE</v>
          </cell>
          <cell r="P4805">
            <v>11000</v>
          </cell>
          <cell r="T4805" t="str">
            <v>Bueno</v>
          </cell>
          <cell r="U4805" t="str">
            <v>N/T</v>
          </cell>
        </row>
        <row r="4806">
          <cell r="J4806" t="str">
            <v>42-03-02-00-4798</v>
          </cell>
          <cell r="L4806" t="str">
            <v>42-03-02-00-4798</v>
          </cell>
          <cell r="M4806" t="str">
            <v>Pasamanos Metalico Fijado al Cielo (1)</v>
          </cell>
          <cell r="O4806" t="str">
            <v>EQUIPOS DE VEHICULO</v>
          </cell>
          <cell r="P4806">
            <v>17000</v>
          </cell>
          <cell r="T4806" t="str">
            <v>Bueno</v>
          </cell>
          <cell r="U4806" t="str">
            <v>N/T</v>
          </cell>
        </row>
        <row r="4807">
          <cell r="J4807" t="str">
            <v>42-03-02-00-4799</v>
          </cell>
          <cell r="L4807" t="str">
            <v>42-03-02-00-4799</v>
          </cell>
          <cell r="M4807" t="str">
            <v>Pasamanos Metalico en contracabina para acceso por puerta lateral (1)</v>
          </cell>
          <cell r="O4807" t="str">
            <v>EQUIPOS DE VEHICULO</v>
          </cell>
          <cell r="P4807">
            <v>17000</v>
          </cell>
          <cell r="T4807" t="str">
            <v>Bueno</v>
          </cell>
          <cell r="U4807" t="str">
            <v>N/T</v>
          </cell>
        </row>
        <row r="4808">
          <cell r="J4808" t="str">
            <v>42-03-02-00-4800</v>
          </cell>
          <cell r="L4808" t="str">
            <v>42-03-02-00-4800</v>
          </cell>
          <cell r="M4808" t="str">
            <v>Pasamanos metalico curvo, ubicado en extremo delantero de asiento longitudinal (1)</v>
          </cell>
          <cell r="O4808" t="str">
            <v>EQUIPOS DE VEHICULO</v>
          </cell>
          <cell r="P4808">
            <v>18000</v>
          </cell>
          <cell r="T4808" t="str">
            <v>Bueno</v>
          </cell>
          <cell r="U4808" t="str">
            <v>N/T</v>
          </cell>
        </row>
        <row r="4809">
          <cell r="J4809" t="str">
            <v>42-03-02-00-4801</v>
          </cell>
          <cell r="L4809" t="str">
            <v>42-03-02-00-4801</v>
          </cell>
          <cell r="M4809" t="str">
            <v>Decoración exterior SSAS, Imagen Corporativa + discos estatales y logos gobierno de Chile</v>
          </cell>
          <cell r="O4809" t="str">
            <v>EQUIPOS DE VEHICULO</v>
          </cell>
          <cell r="P4809">
            <v>25000</v>
          </cell>
          <cell r="T4809" t="str">
            <v>Bueno</v>
          </cell>
          <cell r="U4809" t="str">
            <v>N/T</v>
          </cell>
        </row>
        <row r="4810">
          <cell r="J4810" t="str">
            <v>42-03-02-00-4802</v>
          </cell>
          <cell r="L4810" t="str">
            <v>42-03-02-00-4802</v>
          </cell>
          <cell r="M4810" t="str">
            <v>Cinturon de tres puntas en los asientos  (Equipamiento Cabina)</v>
          </cell>
          <cell r="O4810" t="str">
            <v>EQUIPOS DE VEHICULO</v>
          </cell>
          <cell r="P4810">
            <v>15000</v>
          </cell>
          <cell r="T4810" t="str">
            <v>Bueno</v>
          </cell>
          <cell r="U4810" t="str">
            <v>N/T</v>
          </cell>
        </row>
        <row r="4811">
          <cell r="J4811" t="str">
            <v>42-05-02-01-4803</v>
          </cell>
          <cell r="L4811" t="str">
            <v>42-05-02-01-4803</v>
          </cell>
          <cell r="M4811" t="str">
            <v xml:space="preserve">Camilla De Patas Altas Retractiles capacidad hasta 180 KG. Manillas Laterales Abastibles cuatro ruedas gitarorias 360º de 5" respaldo abatible de 0 a 75º peso 13 KG largo 1.93mt ancho 0.58mts, minima 0.2mts. </v>
          </cell>
          <cell r="O4811" t="str">
            <v>EQUIPOS CLINICOS</v>
          </cell>
          <cell r="P4811">
            <v>150000</v>
          </cell>
          <cell r="T4811" t="str">
            <v>Bueno</v>
          </cell>
          <cell r="U4811" t="str">
            <v>N/T</v>
          </cell>
        </row>
        <row r="4812">
          <cell r="J4812" t="str">
            <v>42-05-02-01-4804</v>
          </cell>
          <cell r="L4812" t="str">
            <v>42-05-02-01-4804</v>
          </cell>
          <cell r="M4812" t="str">
            <v>Dispositivo anclaje provisto sujecion al piso de las ambulancias por torres laterales con manilla desganche rapido. Unidad de montaje permanente</v>
          </cell>
          <cell r="O4812" t="str">
            <v>EQUIPOS CLINICOS</v>
          </cell>
          <cell r="P4812">
            <v>12000</v>
          </cell>
          <cell r="T4812" t="str">
            <v>Bueno</v>
          </cell>
          <cell r="U4812" t="str">
            <v>N/T</v>
          </cell>
        </row>
        <row r="4813">
          <cell r="J4813" t="str">
            <v>42-05-02-01-4805</v>
          </cell>
          <cell r="L4813" t="str">
            <v>42-05-02-01-4805</v>
          </cell>
          <cell r="M4813" t="str">
            <v>Colchoneta de espuma de poliuretano de 3" de espesor, cubierta en material antiseptico lavable, resistente al roce, a las bacterias y retardadamente al fuego.</v>
          </cell>
          <cell r="O4813" t="str">
            <v>EQUIPOS CLINICOS</v>
          </cell>
          <cell r="P4813">
            <v>20000</v>
          </cell>
          <cell r="T4813" t="str">
            <v>Bueno</v>
          </cell>
          <cell r="U4813" t="str">
            <v>N/T</v>
          </cell>
        </row>
        <row r="4814">
          <cell r="J4814" t="str">
            <v>42-05-02-01-4806</v>
          </cell>
          <cell r="L4814" t="str">
            <v>42-05-02-01-4806</v>
          </cell>
          <cell r="M4814" t="str">
            <v>Cinturones de seguridad tipo Ferno. Modelo 430 de 2" anchoi. Seguro desganche rapido de acfero cromado, facilmente removible,. Kit de dos unidades por camilla</v>
          </cell>
          <cell r="O4814" t="str">
            <v>EQUIPOS CLINICOS</v>
          </cell>
          <cell r="P4814">
            <v>12000</v>
          </cell>
          <cell r="T4814" t="str">
            <v>Bueno</v>
          </cell>
          <cell r="U4814" t="str">
            <v>N/T</v>
          </cell>
        </row>
        <row r="4815">
          <cell r="J4815" t="str">
            <v>FN-05-02-01-4807</v>
          </cell>
          <cell r="L4815" t="str">
            <v>FN-05-02-01-4807</v>
          </cell>
          <cell r="M4815" t="str">
            <v>Sabanillas Isotermicas (4)</v>
          </cell>
          <cell r="O4815" t="str">
            <v>EQUIPOS CLINICOS FUNGIBLE / NOMINABLE</v>
          </cell>
          <cell r="P4815">
            <v>8000</v>
          </cell>
          <cell r="T4815" t="str">
            <v>Bueno</v>
          </cell>
          <cell r="U4815" t="str">
            <v>N/T</v>
          </cell>
        </row>
        <row r="4816">
          <cell r="J4816" t="str">
            <v>42-05-02-01-4808</v>
          </cell>
          <cell r="L4816" t="str">
            <v>42-05-02-01-4808</v>
          </cell>
          <cell r="M4816" t="str">
            <v>Red De Oxigeno Central compuesto por 2 Puesto de toima mural con conector rapido hembra OHIO , con anclaje fijo para un cilindro de 6m3, regulador de presion y manguera de alta presion.</v>
          </cell>
          <cell r="O4816" t="str">
            <v>EQUIPOS CLINICOS</v>
          </cell>
          <cell r="P4816">
            <v>75000</v>
          </cell>
          <cell r="T4816" t="str">
            <v>Bueno</v>
          </cell>
          <cell r="U4816" t="str">
            <v>N/T</v>
          </cell>
        </row>
        <row r="4817">
          <cell r="J4817" t="str">
            <v>42-05-02-01-4809</v>
          </cell>
          <cell r="L4817" t="str">
            <v>42-05-02-01-4809</v>
          </cell>
          <cell r="M4817" t="str">
            <v>Conector rapido macho compatible con OHIO, flujometro de Columna, humidificador desechable, manguera y mascarilla. Accesorios instalados y listos para su uso.</v>
          </cell>
          <cell r="O4817" t="str">
            <v>EQUIPOS CLINICOS</v>
          </cell>
          <cell r="P4817">
            <v>12500</v>
          </cell>
          <cell r="T4817" t="str">
            <v>Bueno</v>
          </cell>
          <cell r="U4817" t="str">
            <v>N/T</v>
          </cell>
        </row>
        <row r="4818">
          <cell r="J4818" t="str">
            <v>42-05-02-01-4810</v>
          </cell>
          <cell r="L4818" t="str">
            <v>42-05-02-01-4810</v>
          </cell>
          <cell r="M4818" t="str">
            <v>Regulador de 50 PSI con manometro y mangueras protegidas</v>
          </cell>
          <cell r="O4818" t="str">
            <v>EQUIPOS CLINICOS</v>
          </cell>
          <cell r="P4818">
            <v>14500</v>
          </cell>
          <cell r="T4818" t="str">
            <v>Bueno</v>
          </cell>
          <cell r="U4818" t="str">
            <v>N/T</v>
          </cell>
        </row>
        <row r="4819">
          <cell r="J4819" t="str">
            <v>42-05-02-01-4811</v>
          </cell>
          <cell r="L4819" t="str">
            <v>42-05-02-01-4811</v>
          </cell>
          <cell r="M4819" t="str">
            <v>Cilindro de acero para oxigeno de 6mt3. valvula H de conexión de facil manipulacion y limpieza.</v>
          </cell>
          <cell r="O4819" t="str">
            <v>EQUIPOS CLINICOS</v>
          </cell>
          <cell r="P4819">
            <v>25000</v>
          </cell>
          <cell r="T4819" t="str">
            <v>Bueno</v>
          </cell>
          <cell r="U4819" t="str">
            <v>N/T</v>
          </cell>
        </row>
        <row r="4820">
          <cell r="J4820" t="str">
            <v>FN-03-02-00-4812</v>
          </cell>
          <cell r="L4820" t="str">
            <v>FN-03-02-00-4812</v>
          </cell>
          <cell r="M4820" t="str">
            <v>Foco Halogeno o Led de color blanco de accion fija (Luz de escena), ubicados en sector lateral central de techo. Comando en cabina de conduccion</v>
          </cell>
          <cell r="O4820" t="str">
            <v>EQUIPOS DE VEHICULO FUNGIBLE / NOMINABLE</v>
          </cell>
          <cell r="P4820">
            <v>60000</v>
          </cell>
          <cell r="T4820" t="str">
            <v>Bueno</v>
          </cell>
          <cell r="U4820" t="str">
            <v>N/T</v>
          </cell>
        </row>
        <row r="4821">
          <cell r="J4821" t="str">
            <v>FN-03-02-00-4813</v>
          </cell>
          <cell r="L4821" t="str">
            <v>FN-03-02-00-4813</v>
          </cell>
          <cell r="M4821" t="str">
            <v>Foco Halogeno o led de color Rojo (Luces perimetrales)  con accion intermitente secuenciales instalados en laterales de techo (2 Por lado) y en parte trasera de techo. Comando focos en cabina conductor</v>
          </cell>
          <cell r="O4821" t="str">
            <v>EQUIPOS DE VEHICULO FUNGIBLE / NOMINABLE</v>
          </cell>
          <cell r="P4821">
            <v>75000</v>
          </cell>
          <cell r="T4821" t="str">
            <v>Bueno</v>
          </cell>
          <cell r="U4821" t="str">
            <v>N/T</v>
          </cell>
        </row>
        <row r="4822">
          <cell r="J4822" t="str">
            <v>42-03-02-00-4814</v>
          </cell>
          <cell r="L4822" t="str">
            <v>42-03-02-00-4814</v>
          </cell>
          <cell r="M4822" t="str">
            <v>Bateria Auxiliar para sistema electrico adicional, considera una potencia de 115 Amp. de ciclo profundo (Libre Mantencion). Con puenteador a bateria del vehiculo. Instalada con separador de carga y corta corriente.</v>
          </cell>
          <cell r="O4822" t="str">
            <v>EQUIPOS DE VEHICULO</v>
          </cell>
          <cell r="P4822">
            <v>110000</v>
          </cell>
          <cell r="T4822" t="str">
            <v>Bueno</v>
          </cell>
          <cell r="U4822" t="str">
            <v>N/T</v>
          </cell>
        </row>
        <row r="4823">
          <cell r="J4823" t="str">
            <v>42-03-02-00-4815</v>
          </cell>
          <cell r="L4823" t="str">
            <v>42-03-02-00-4815</v>
          </cell>
          <cell r="M4823" t="str">
            <v>Logo Mercedes Benz Delantero</v>
          </cell>
          <cell r="O4823" t="str">
            <v>EQUIPOS DE VEHICULO</v>
          </cell>
          <cell r="P4823">
            <v>65000</v>
          </cell>
          <cell r="T4823" t="str">
            <v>Bueno</v>
          </cell>
          <cell r="U4823" t="str">
            <v>Mercedes Benz</v>
          </cell>
        </row>
        <row r="4824">
          <cell r="J4824" t="str">
            <v>42-03-02-00-4816</v>
          </cell>
          <cell r="L4824" t="str">
            <v>42-03-02-00-4816</v>
          </cell>
          <cell r="M4824" t="str">
            <v>Logo Mercedes Benz Trasero</v>
          </cell>
          <cell r="O4824" t="str">
            <v>EQUIPOS DE VEHICULO</v>
          </cell>
          <cell r="P4824">
            <v>35000</v>
          </cell>
          <cell r="T4824" t="str">
            <v>Bueno</v>
          </cell>
          <cell r="U4824" t="str">
            <v>Mercedes Benz</v>
          </cell>
        </row>
        <row r="4825">
          <cell r="J4825" t="str">
            <v>42-03-02-00-4817</v>
          </cell>
          <cell r="L4825" t="str">
            <v>42-03-02-00-4817</v>
          </cell>
          <cell r="M4825" t="str">
            <v>Logo circular Anterior</v>
          </cell>
          <cell r="O4825" t="str">
            <v>EQUIPOS DE VEHICULO</v>
          </cell>
          <cell r="P4825">
            <v>30000</v>
          </cell>
          <cell r="T4825" t="str">
            <v>Bueno</v>
          </cell>
          <cell r="U4825" t="str">
            <v>Mercedes Benz</v>
          </cell>
        </row>
        <row r="4826">
          <cell r="J4826" t="str">
            <v>42-03-02-00-4818</v>
          </cell>
          <cell r="L4826" t="str">
            <v>42-03-02-00-4818</v>
          </cell>
          <cell r="M4826" t="str">
            <v>Radio CD Clarion CZ 102</v>
          </cell>
          <cell r="O4826" t="str">
            <v>EQUIPOS DE VEHICULO</v>
          </cell>
          <cell r="P4826">
            <v>79990</v>
          </cell>
          <cell r="T4826" t="str">
            <v>Bueno</v>
          </cell>
          <cell r="U4826" t="str">
            <v>Clarion</v>
          </cell>
        </row>
        <row r="4827">
          <cell r="J4827" t="str">
            <v>42-03-02-00-4819</v>
          </cell>
          <cell r="L4827" t="str">
            <v>42-03-02-00-4819</v>
          </cell>
          <cell r="M4827" t="str">
            <v>Cupon Electronico Copec Petroleo Diesel Vence 04/23 - Convenio Carga Diesel</v>
          </cell>
          <cell r="O4827" t="str">
            <v>EQUIPOS DE VEHICULO</v>
          </cell>
          <cell r="P4827">
            <v>10000</v>
          </cell>
          <cell r="T4827" t="str">
            <v>Bueno</v>
          </cell>
          <cell r="U4827" t="str">
            <v>Copec</v>
          </cell>
        </row>
        <row r="4828">
          <cell r="J4828" t="str">
            <v>42-05-02-03-4820</v>
          </cell>
          <cell r="L4828" t="str">
            <v>42-05-02-03-4820</v>
          </cell>
          <cell r="M4828" t="str">
            <v>Radio Motorola Handy EP 350 GLLYAS TELECOM</v>
          </cell>
          <cell r="O4828" t="str">
            <v>EQUIPOS DE COMUNICACIÓN</v>
          </cell>
          <cell r="P4828">
            <v>105000</v>
          </cell>
          <cell r="T4828" t="str">
            <v>Bueno</v>
          </cell>
          <cell r="U4828" t="str">
            <v>MOTOROLA</v>
          </cell>
        </row>
        <row r="4829">
          <cell r="J4829" t="str">
            <v>42-05-02-03-4821</v>
          </cell>
          <cell r="L4829" t="str">
            <v>42-05-02-03-4821</v>
          </cell>
          <cell r="M4829" t="str">
            <v xml:space="preserve">Bateria 7.4 V. Lithium ION Batery </v>
          </cell>
          <cell r="O4829" t="str">
            <v>EQUIPOS DE COMUNICACIÓN</v>
          </cell>
          <cell r="P4829">
            <v>20000</v>
          </cell>
          <cell r="T4829" t="str">
            <v>Bueno</v>
          </cell>
          <cell r="U4829" t="str">
            <v>MOTOROLA</v>
          </cell>
        </row>
        <row r="4830">
          <cell r="J4830" t="str">
            <v>42-05-02-03-4822</v>
          </cell>
          <cell r="L4830" t="str">
            <v>42-05-02-03-4822</v>
          </cell>
          <cell r="M4830" t="str">
            <v>Antena Motorola EP 350</v>
          </cell>
          <cell r="O4830" t="str">
            <v>EQUIPOS DE COMUNICACIÓN</v>
          </cell>
          <cell r="P4830">
            <v>15000</v>
          </cell>
          <cell r="T4830" t="str">
            <v>Bueno</v>
          </cell>
          <cell r="U4830" t="str">
            <v>MOTOROLA</v>
          </cell>
        </row>
        <row r="4831">
          <cell r="J4831" t="str">
            <v>42-05-02-03-4823</v>
          </cell>
          <cell r="L4831" t="str">
            <v>42-05-02-03-4823</v>
          </cell>
          <cell r="M4831" t="str">
            <v>Cargador Handy Motorola EP 35</v>
          </cell>
          <cell r="O4831" t="str">
            <v>EQUIPOS DE COMUNICACIÓN</v>
          </cell>
          <cell r="P4831">
            <v>11000</v>
          </cell>
          <cell r="T4831" t="str">
            <v>Bueno</v>
          </cell>
          <cell r="U4831" t="str">
            <v>MOTOROLA</v>
          </cell>
        </row>
        <row r="4832">
          <cell r="J4832" t="str">
            <v>42-05-02-03-4824</v>
          </cell>
          <cell r="L4832" t="str">
            <v>42-05-02-03-4824</v>
          </cell>
          <cell r="M4832" t="str">
            <v>Base Cargador Motorola EP 350</v>
          </cell>
          <cell r="O4832" t="str">
            <v>EQUIPOS DE COMUNICACIÓN</v>
          </cell>
          <cell r="P4832">
            <v>10000</v>
          </cell>
          <cell r="T4832" t="str">
            <v>Bueno</v>
          </cell>
          <cell r="U4832" t="str">
            <v>MOTOROLA</v>
          </cell>
        </row>
        <row r="4833">
          <cell r="J4833" t="str">
            <v>42-05-02-01-4825</v>
          </cell>
          <cell r="L4833" t="str">
            <v>42-05-02-01-4825</v>
          </cell>
          <cell r="M4833" t="str">
            <v>Bolso Equipo de Parto (Acondicionado por SAMU)</v>
          </cell>
          <cell r="O4833" t="str">
            <v>EQUIPOS CLINICOS</v>
          </cell>
          <cell r="P4833">
            <v>60000</v>
          </cell>
          <cell r="T4833" t="str">
            <v>Bueno</v>
          </cell>
          <cell r="U4833" t="str">
            <v>N/T</v>
          </cell>
        </row>
        <row r="4834">
          <cell r="J4834" t="str">
            <v>42-05-02-01-4826</v>
          </cell>
          <cell r="L4834" t="str">
            <v>42-05-02-01-4826</v>
          </cell>
          <cell r="M4834" t="str">
            <v>Monitor Nihon Kohden (Centro Regulador)</v>
          </cell>
          <cell r="O4834" t="str">
            <v>EQUIPOS CLINICOS</v>
          </cell>
          <cell r="P4834">
            <v>900000</v>
          </cell>
          <cell r="T4834" t="str">
            <v>Bueno</v>
          </cell>
          <cell r="U4834" t="str">
            <v>NIHON</v>
          </cell>
        </row>
        <row r="4835">
          <cell r="J4835" t="str">
            <v>42-05-02-01-4827</v>
          </cell>
          <cell r="L4835" t="str">
            <v>42-05-02-01-4827</v>
          </cell>
          <cell r="M4835" t="str">
            <v>Pulpo Rescate Color Verde</v>
          </cell>
          <cell r="O4835" t="str">
            <v>EQUIPOS CLINICOS</v>
          </cell>
          <cell r="P4835">
            <v>12000</v>
          </cell>
          <cell r="T4835" t="str">
            <v>Bueno</v>
          </cell>
          <cell r="U4835" t="str">
            <v>N/T</v>
          </cell>
        </row>
        <row r="4836">
          <cell r="J4836" t="str">
            <v>42-05-02-01-4828</v>
          </cell>
          <cell r="L4836" t="str">
            <v>42-05-02-01-4828</v>
          </cell>
          <cell r="M4836" t="str">
            <v>Bomba Infusion Medifusion Blanca DI 2000</v>
          </cell>
          <cell r="O4836" t="str">
            <v>EQUIPOS CLINICOS</v>
          </cell>
          <cell r="P4836">
            <v>850000</v>
          </cell>
          <cell r="T4836" t="str">
            <v>Bueno</v>
          </cell>
          <cell r="U4836" t="str">
            <v>MEDIFUSION</v>
          </cell>
        </row>
        <row r="4837">
          <cell r="J4837" t="str">
            <v>42-04-07-00-4829</v>
          </cell>
          <cell r="L4837" t="str">
            <v>42-04-07-00-4829</v>
          </cell>
          <cell r="M4837" t="str">
            <v>Juego Frazadas Café + Sabanilla Verde</v>
          </cell>
          <cell r="O4837" t="str">
            <v>OTROS</v>
          </cell>
          <cell r="P4837">
            <v>10000</v>
          </cell>
          <cell r="T4837" t="str">
            <v>Bueno</v>
          </cell>
          <cell r="U4837" t="str">
            <v>N/T</v>
          </cell>
        </row>
        <row r="4838">
          <cell r="J4838" t="str">
            <v>NN-06-01-00-4830</v>
          </cell>
          <cell r="K4838">
            <v>16</v>
          </cell>
          <cell r="L4838" t="str">
            <v>NN-06-01-00-4830</v>
          </cell>
          <cell r="M4838" t="str">
            <v>PC All in One Intel ® core ™ I3 2100 CPU 3.10GHZ N/S: 0153-00053 (ol)</v>
          </cell>
          <cell r="N4838" t="str">
            <v>EQ. EN ARRIENDO</v>
          </cell>
          <cell r="O4838" t="str">
            <v>EQUIPOS COMPUTACIONALES Y PERIFÉRICOS EN ARRIENDO</v>
          </cell>
          <cell r="P4838">
            <v>350000</v>
          </cell>
          <cell r="Q4838" t="str">
            <v>Black 22 "</v>
          </cell>
          <cell r="S4838" t="str">
            <v>PAME</v>
          </cell>
          <cell r="T4838" t="str">
            <v>Bueno</v>
          </cell>
          <cell r="U4838" t="str">
            <v>Olidata</v>
          </cell>
        </row>
        <row r="4839">
          <cell r="J4839" t="str">
            <v>NN-06-01-00-4831</v>
          </cell>
          <cell r="L4839" t="str">
            <v>NN-06-01-00-4831</v>
          </cell>
          <cell r="M4839" t="str">
            <v>Teclado Olidata Internet Model K 5051 S/N: K501512</v>
          </cell>
          <cell r="N4839" t="str">
            <v>EQ. EN ARRIENDO</v>
          </cell>
          <cell r="O4839" t="str">
            <v>EQUIPOS COMPUTACIONALES Y PERIFÉRICOS EN ARRIENDO</v>
          </cell>
          <cell r="P4839">
            <v>10000</v>
          </cell>
          <cell r="S4839" t="str">
            <v>PAME</v>
          </cell>
          <cell r="T4839" t="str">
            <v>Bueno</v>
          </cell>
          <cell r="U4839" t="str">
            <v>Olidata</v>
          </cell>
        </row>
        <row r="4840">
          <cell r="J4840" t="str">
            <v>NN-06-01-00-4832</v>
          </cell>
          <cell r="L4840" t="str">
            <v>NN-06-01-00-4832</v>
          </cell>
          <cell r="M4840" t="str">
            <v>Mouse Convencional USB Olidata KM 8903</v>
          </cell>
          <cell r="N4840" t="str">
            <v>EQ. EN ARRIENDO</v>
          </cell>
          <cell r="O4840" t="str">
            <v>EQUIPOS COMPUTACIONALES Y PERIFÉRICOS EN ARRIENDO</v>
          </cell>
          <cell r="P4840">
            <v>4000</v>
          </cell>
          <cell r="S4840" t="str">
            <v>PAME</v>
          </cell>
          <cell r="T4840" t="str">
            <v>Bueno</v>
          </cell>
          <cell r="U4840" t="str">
            <v>Olidata</v>
          </cell>
        </row>
        <row r="4841">
          <cell r="J4841" t="str">
            <v>NN-06-01-00-4833</v>
          </cell>
          <cell r="K4841">
            <v>17</v>
          </cell>
          <cell r="L4841" t="str">
            <v>NN-06-01-00-4833</v>
          </cell>
          <cell r="M4841" t="str">
            <v>PC All in One Intel ® core ™ I3 2100 CPU 3.10GHZ N/S: 0153-00050 (ol)</v>
          </cell>
          <cell r="N4841" t="str">
            <v>EQ. EN ARRIENDO</v>
          </cell>
          <cell r="O4841" t="str">
            <v>EQUIPOS COMPUTACIONALES Y PERIFÉRICOS EN ARRIENDO</v>
          </cell>
          <cell r="P4841">
            <v>350000</v>
          </cell>
          <cell r="Q4841" t="str">
            <v>Black 22 "</v>
          </cell>
          <cell r="S4841" t="str">
            <v>CARMEN</v>
          </cell>
          <cell r="T4841" t="str">
            <v>Bueno</v>
          </cell>
          <cell r="U4841" t="str">
            <v>Olidata</v>
          </cell>
        </row>
        <row r="4842">
          <cell r="J4842" t="str">
            <v>NN-06-01-00-4834</v>
          </cell>
          <cell r="L4842" t="str">
            <v>NN-06-01-00-4834</v>
          </cell>
          <cell r="M4842" t="str">
            <v>Teclado Olidata Internet Model K 5051 S/N: K501512</v>
          </cell>
          <cell r="N4842" t="str">
            <v>EQ. EN ARRIENDO</v>
          </cell>
          <cell r="O4842" t="str">
            <v>EQUIPOS COMPUTACIONALES Y PERIFÉRICOS EN ARRIENDO</v>
          </cell>
          <cell r="P4842">
            <v>10000</v>
          </cell>
          <cell r="S4842" t="str">
            <v>CARMEN</v>
          </cell>
          <cell r="T4842" t="str">
            <v>Bueno</v>
          </cell>
          <cell r="U4842" t="str">
            <v>Olidata</v>
          </cell>
        </row>
        <row r="4843">
          <cell r="J4843" t="str">
            <v>NN-06-01-00-4835</v>
          </cell>
          <cell r="L4843" t="str">
            <v>NN-06-01-00-4835</v>
          </cell>
          <cell r="M4843" t="str">
            <v>Mouse Convencional USB Olidata KM 8903</v>
          </cell>
          <cell r="N4843" t="str">
            <v>EQ. EN ARRIENDO</v>
          </cell>
          <cell r="O4843" t="str">
            <v>EQUIPOS COMPUTACIONALES Y PERIFÉRICOS EN ARRIENDO</v>
          </cell>
          <cell r="P4843">
            <v>4000</v>
          </cell>
          <cell r="S4843" t="str">
            <v>CARMEN</v>
          </cell>
          <cell r="T4843" t="str">
            <v>Bueno</v>
          </cell>
          <cell r="U4843" t="str">
            <v>Olidata</v>
          </cell>
        </row>
        <row r="4844">
          <cell r="J4844" t="str">
            <v>42-05-01-01-4836</v>
          </cell>
          <cell r="L4844" t="str">
            <v>42-05-01-01-4836</v>
          </cell>
          <cell r="M4844" t="str">
            <v>Celular Nokia C-02 Institucional SSAS (From Pto. Saavedra)</v>
          </cell>
          <cell r="O4844" t="str">
            <v>EQUIPO DE OFICINA</v>
          </cell>
          <cell r="P4844">
            <v>30000</v>
          </cell>
          <cell r="S4844" t="str">
            <v>RRFF Temuco</v>
          </cell>
          <cell r="T4844" t="str">
            <v>Bueno</v>
          </cell>
          <cell r="U4844" t="str">
            <v>Olidata</v>
          </cell>
        </row>
        <row r="4845">
          <cell r="J4845" t="str">
            <v>42-05-01-01-4837</v>
          </cell>
          <cell r="L4845" t="str">
            <v>42-05-01-01-4837</v>
          </cell>
          <cell r="M4845" t="str">
            <v>Calculadora CASIO MX - 120 V 12 digits 6042500057 (A)</v>
          </cell>
          <cell r="O4845" t="str">
            <v>EQUIPO DE OFICINA</v>
          </cell>
          <cell r="P4845">
            <v>5260</v>
          </cell>
          <cell r="S4845" t="str">
            <v>Farmacia</v>
          </cell>
          <cell r="T4845" t="str">
            <v>Bueno</v>
          </cell>
          <cell r="U4845" t="str">
            <v>Casio</v>
          </cell>
        </row>
        <row r="4846">
          <cell r="J4846" t="str">
            <v>42-05-01-01-4838</v>
          </cell>
          <cell r="L4846" t="str">
            <v>42-05-01-01-4838</v>
          </cell>
          <cell r="M4846" t="str">
            <v>Calculadora CASIO MX - 120 V 12 digits 6042500057 (B)</v>
          </cell>
          <cell r="O4846" t="str">
            <v>EQUIPO DE OFICINA</v>
          </cell>
          <cell r="P4846">
            <v>5260</v>
          </cell>
          <cell r="S4846" t="str">
            <v>Dist. Leche</v>
          </cell>
          <cell r="T4846" t="str">
            <v>Bueno</v>
          </cell>
          <cell r="U4846" t="str">
            <v>Casio</v>
          </cell>
        </row>
        <row r="4847">
          <cell r="J4847" t="str">
            <v>42-04-07-00-4839</v>
          </cell>
          <cell r="L4847" t="str">
            <v>42-04-07-00-4839</v>
          </cell>
          <cell r="M4847" t="str">
            <v>Extractor de Aire 12 Volt Aerolite Aprox 20 CM Diametro Blanco</v>
          </cell>
          <cell r="O4847" t="str">
            <v>OTROS</v>
          </cell>
          <cell r="P4847">
            <v>12000</v>
          </cell>
          <cell r="T4847" t="str">
            <v>Bueno</v>
          </cell>
          <cell r="U4847" t="str">
            <v>Aeroolite</v>
          </cell>
        </row>
        <row r="4848">
          <cell r="J4848" t="str">
            <v>42-04-02-00-4840</v>
          </cell>
          <cell r="L4848" t="str">
            <v>42-04-02-00-4840</v>
          </cell>
          <cell r="M4848" t="str">
            <v>Silla Computacion Simple 5 Ruedas Color Negra</v>
          </cell>
          <cell r="O4848" t="str">
            <v>SILLAS</v>
          </cell>
          <cell r="P4848">
            <v>12000</v>
          </cell>
          <cell r="T4848" t="str">
            <v>Bueno</v>
          </cell>
          <cell r="U4848" t="str">
            <v>N/T</v>
          </cell>
        </row>
        <row r="4849">
          <cell r="J4849" t="str">
            <v>42-04-07-00-4841</v>
          </cell>
          <cell r="L4849" t="str">
            <v>42-04-07-00-4841</v>
          </cell>
          <cell r="M4849" t="str">
            <v>Mural Pizarra Melamina Blanco Aprox 30x20 CM</v>
          </cell>
          <cell r="O4849" t="str">
            <v>OTROS</v>
          </cell>
          <cell r="P4849">
            <v>4000</v>
          </cell>
          <cell r="T4849" t="str">
            <v>Bueno</v>
          </cell>
          <cell r="U4849" t="str">
            <v>N/T</v>
          </cell>
        </row>
        <row r="4850">
          <cell r="J4850" t="str">
            <v>42-05-02-06-4842</v>
          </cell>
          <cell r="L4850" t="str">
            <v>42-05-02-06-4842</v>
          </cell>
          <cell r="M4850" t="str">
            <v xml:space="preserve">Selladora de Bolsas Ancho 30 CM </v>
          </cell>
          <cell r="O4850" t="str">
            <v>HERRAMIENTAS</v>
          </cell>
          <cell r="P4850">
            <v>11900</v>
          </cell>
          <cell r="T4850" t="str">
            <v>Bueno</v>
          </cell>
          <cell r="U4850" t="str">
            <v>N/T</v>
          </cell>
        </row>
        <row r="4851">
          <cell r="J4851" t="str">
            <v>42-05-02-06-4843</v>
          </cell>
          <cell r="L4851" t="str">
            <v>42-05-02-06-4843</v>
          </cell>
          <cell r="M4851" t="str">
            <v xml:space="preserve">Selladora de Bolsas Ancho 30 CM </v>
          </cell>
          <cell r="O4851" t="str">
            <v>HERRAMIENTAS</v>
          </cell>
          <cell r="P4851">
            <v>11900</v>
          </cell>
          <cell r="T4851" t="str">
            <v>Bueno</v>
          </cell>
          <cell r="U4851" t="str">
            <v>N/T</v>
          </cell>
        </row>
        <row r="4852">
          <cell r="J4852" t="str">
            <v>42-04-07-00-4844</v>
          </cell>
          <cell r="L4852" t="str">
            <v>42-04-07-00-4844</v>
          </cell>
          <cell r="M4852" t="str">
            <v>Kit Lavamanos + Pedestal + Sala Baño en Loza Blanco</v>
          </cell>
          <cell r="O4852" t="str">
            <v>OTROS</v>
          </cell>
          <cell r="P4852">
            <v>30000</v>
          </cell>
          <cell r="T4852" t="str">
            <v>Bueno</v>
          </cell>
          <cell r="U4852" t="str">
            <v>N/T</v>
          </cell>
        </row>
        <row r="4853">
          <cell r="J4853" t="str">
            <v>42-04-07-00-4845</v>
          </cell>
          <cell r="L4853" t="str">
            <v>42-04-07-00-4845</v>
          </cell>
          <cell r="M4853" t="str">
            <v>Porta Toallas Tork Blanco C/Gris Plastico</v>
          </cell>
          <cell r="N4853" t="str">
            <v xml:space="preserve"> </v>
          </cell>
          <cell r="O4853" t="str">
            <v>OTROS</v>
          </cell>
          <cell r="P4853">
            <v>16000</v>
          </cell>
          <cell r="T4853" t="str">
            <v>Bueno</v>
          </cell>
          <cell r="U4853" t="str">
            <v>Tork</v>
          </cell>
        </row>
        <row r="4854">
          <cell r="J4854" t="str">
            <v>42-04-07-00-4846</v>
          </cell>
          <cell r="L4854" t="str">
            <v>42-04-07-00-4846</v>
          </cell>
          <cell r="M4854" t="str">
            <v>Dispensador Jabon Plastico Blanco C/Gris Tork</v>
          </cell>
          <cell r="O4854" t="str">
            <v>OTROS</v>
          </cell>
          <cell r="P4854">
            <v>6000</v>
          </cell>
          <cell r="T4854" t="str">
            <v>Bueno</v>
          </cell>
          <cell r="U4854" t="str">
            <v>Tork</v>
          </cell>
        </row>
        <row r="4855">
          <cell r="J4855" t="str">
            <v>42-06-01-00-4847</v>
          </cell>
          <cell r="L4855" t="str">
            <v>42-06-01-00-4847</v>
          </cell>
          <cell r="M4855" t="str">
            <v>Impresora marca Canon  BJC-250 S/Nº ENB</v>
          </cell>
          <cell r="O4855" t="str">
            <v>EQUIPOS COMPUTACIONALES Y PERIFÉRICOS</v>
          </cell>
          <cell r="P4855">
            <v>22000</v>
          </cell>
          <cell r="T4855" t="str">
            <v>Bueno</v>
          </cell>
          <cell r="U4855" t="str">
            <v>Canon</v>
          </cell>
        </row>
        <row r="4856">
          <cell r="J4856" t="str">
            <v>42-04-07-00-4848</v>
          </cell>
          <cell r="L4856" t="str">
            <v>42-04-07-00-4848</v>
          </cell>
          <cell r="M4856" t="str">
            <v xml:space="preserve">Gabinete Doble con Riel adosado a Piso, 5 Compartimientos LB Intergroup </v>
          </cell>
          <cell r="O4856" t="str">
            <v>OTROS</v>
          </cell>
          <cell r="P4856">
            <v>300000</v>
          </cell>
          <cell r="T4856" t="str">
            <v>Bueno</v>
          </cell>
          <cell r="U4856" t="str">
            <v>LB Intergroup</v>
          </cell>
        </row>
        <row r="4857">
          <cell r="J4857" t="str">
            <v>42-04-07-00-4849</v>
          </cell>
          <cell r="L4857" t="str">
            <v>42-04-07-00-4849</v>
          </cell>
          <cell r="M4857" t="str">
            <v xml:space="preserve">Gabinete Doble con Riel adosado a Piso, 5 Compartimientos LB Intergroup </v>
          </cell>
          <cell r="O4857" t="str">
            <v>OTROS</v>
          </cell>
          <cell r="P4857">
            <v>300000</v>
          </cell>
          <cell r="T4857" t="str">
            <v>Bueno</v>
          </cell>
          <cell r="U4857" t="str">
            <v>LB Intergroup</v>
          </cell>
        </row>
        <row r="4858">
          <cell r="J4858" t="str">
            <v>42-04-07-00-4850</v>
          </cell>
          <cell r="L4858" t="str">
            <v>42-04-07-00-4850</v>
          </cell>
          <cell r="M4858" t="str">
            <v xml:space="preserve">Gabinete Doble con Riel adosado a Piso, 5 Compartimientos LB Intergroup </v>
          </cell>
          <cell r="O4858" t="str">
            <v>OTROS</v>
          </cell>
          <cell r="P4858">
            <v>300000</v>
          </cell>
          <cell r="T4858" t="str">
            <v>Bueno</v>
          </cell>
          <cell r="U4858" t="str">
            <v>LB Intergroup</v>
          </cell>
        </row>
        <row r="4859">
          <cell r="J4859" t="str">
            <v>42-04-07-00-4851</v>
          </cell>
          <cell r="L4859" t="str">
            <v>42-04-07-00-4851</v>
          </cell>
          <cell r="M4859" t="str">
            <v>Gabinete Adosado a Piso, 5 Compartimientos LB Intergroup</v>
          </cell>
          <cell r="O4859" t="str">
            <v>OTROS</v>
          </cell>
          <cell r="P4859">
            <v>250000</v>
          </cell>
          <cell r="T4859" t="str">
            <v>Bueno</v>
          </cell>
          <cell r="U4859" t="str">
            <v>LB Intergroup</v>
          </cell>
        </row>
        <row r="4860">
          <cell r="J4860" t="str">
            <v>42-05-02-05-4852</v>
          </cell>
          <cell r="L4860" t="str">
            <v>42-05-02-05-4852</v>
          </cell>
          <cell r="M4860" t="str">
            <v>Extintor Tipo A B C Polvo Seco 10Kg</v>
          </cell>
          <cell r="O4860" t="str">
            <v>EQUIPOS DE SEGURIDAD</v>
          </cell>
          <cell r="P4860">
            <v>35000</v>
          </cell>
          <cell r="T4860" t="str">
            <v>Bueno</v>
          </cell>
          <cell r="U4860" t="str">
            <v>N/T</v>
          </cell>
        </row>
        <row r="4861">
          <cell r="J4861" t="str">
            <v>42-04-07-00-4853</v>
          </cell>
          <cell r="L4861" t="str">
            <v>42-04-07-00-4853</v>
          </cell>
          <cell r="M4861" t="str">
            <v>Porta Toalla Plastico Tork Blanco C/ Gris</v>
          </cell>
          <cell r="O4861" t="str">
            <v>OTROS</v>
          </cell>
          <cell r="P4861">
            <v>16000</v>
          </cell>
          <cell r="T4861" t="str">
            <v>Bueno</v>
          </cell>
          <cell r="U4861" t="str">
            <v>Tork</v>
          </cell>
        </row>
        <row r="4862">
          <cell r="J4862" t="str">
            <v>42-04-07-00-4854</v>
          </cell>
          <cell r="L4862" t="str">
            <v>42-04-07-00-4854</v>
          </cell>
          <cell r="M4862" t="str">
            <v>Lavamanos + Pedestal Losa Blanco</v>
          </cell>
          <cell r="O4862" t="str">
            <v>OTROS</v>
          </cell>
          <cell r="P4862">
            <v>25000</v>
          </cell>
          <cell r="T4862" t="str">
            <v>Bueno</v>
          </cell>
          <cell r="U4862" t="str">
            <v>N/T</v>
          </cell>
        </row>
        <row r="4863">
          <cell r="J4863" t="str">
            <v>42-04-06-00-4855</v>
          </cell>
          <cell r="L4863" t="str">
            <v>42-04-06-00-4855</v>
          </cell>
          <cell r="M4863" t="str">
            <v>Repisa Adosada a pared 3 Compartimientos C/Llave Melamina Blanco</v>
          </cell>
          <cell r="O4863" t="str">
            <v>REPISA</v>
          </cell>
          <cell r="P4863">
            <v>40000</v>
          </cell>
          <cell r="T4863" t="str">
            <v>Bueno</v>
          </cell>
          <cell r="U4863" t="str">
            <v>N/T</v>
          </cell>
        </row>
        <row r="4864">
          <cell r="J4864" t="str">
            <v>42-06-01-00-4856</v>
          </cell>
          <cell r="L4864" t="str">
            <v>42-06-01-00-4856</v>
          </cell>
          <cell r="M4864" t="str">
            <v>Impresora Laser HP LASER JET P1102W</v>
          </cell>
          <cell r="O4864" t="str">
            <v>EQUIPOS COMPUTACIONALES Y PERIFÉRICOS</v>
          </cell>
          <cell r="P4864">
            <v>53769.5</v>
          </cell>
          <cell r="T4864" t="str">
            <v>Bueno</v>
          </cell>
          <cell r="U4864" t="str">
            <v>HP</v>
          </cell>
        </row>
        <row r="4865">
          <cell r="J4865" t="str">
            <v>42-06-01-00-4857</v>
          </cell>
          <cell r="L4865" t="str">
            <v>42-06-01-00-4857</v>
          </cell>
          <cell r="M4865" t="str">
            <v>Impresora Laser HP LASER JET P1102W</v>
          </cell>
          <cell r="O4865" t="str">
            <v>EQUIPOS COMPUTACIONALES Y PERIFÉRICOS</v>
          </cell>
          <cell r="P4865">
            <v>53769.5</v>
          </cell>
          <cell r="T4865" t="str">
            <v>Bueno</v>
          </cell>
          <cell r="U4865" t="str">
            <v>HP</v>
          </cell>
        </row>
        <row r="4866">
          <cell r="J4866" t="str">
            <v>42-04-03-00-4858</v>
          </cell>
          <cell r="L4866" t="str">
            <v>42-04-03-00-4858</v>
          </cell>
          <cell r="M4866" t="str">
            <v xml:space="preserve">Escritorio Madera / Metal Color Miel, 2 Cajones, Espacio Superior </v>
          </cell>
          <cell r="O4866" t="str">
            <v>ESCRITORIOS</v>
          </cell>
          <cell r="P4866">
            <v>50000</v>
          </cell>
          <cell r="T4866" t="str">
            <v>Bueno</v>
          </cell>
          <cell r="U4866" t="str">
            <v>N/T</v>
          </cell>
        </row>
        <row r="4867">
          <cell r="J4867" t="str">
            <v>42-04-07-00-4859</v>
          </cell>
          <cell r="L4867" t="str">
            <v>42-04-07-00-4859</v>
          </cell>
          <cell r="M4867" t="str">
            <v>Papelero Plastico Blanco Hechizo</v>
          </cell>
          <cell r="O4867" t="str">
            <v>OTROS</v>
          </cell>
          <cell r="P4867">
            <v>2000</v>
          </cell>
          <cell r="T4867" t="str">
            <v>Bueno</v>
          </cell>
          <cell r="U4867" t="str">
            <v>N/T</v>
          </cell>
        </row>
        <row r="4868">
          <cell r="J4868" t="str">
            <v>42-05-02-02-4860</v>
          </cell>
          <cell r="L4868" t="str">
            <v>42-05-02-02-4860</v>
          </cell>
          <cell r="M4868" t="str">
            <v>Licuadora Oster Monterrey 3.010.0104</v>
          </cell>
          <cell r="O4868" t="str">
            <v>EQUIPOS DE COCINA</v>
          </cell>
          <cell r="P4868">
            <v>22990</v>
          </cell>
          <cell r="T4868" t="str">
            <v>Bueno</v>
          </cell>
          <cell r="U4868" t="str">
            <v>Oster</v>
          </cell>
        </row>
        <row r="4869">
          <cell r="J4869" t="str">
            <v>NN-05-02-05-4861</v>
          </cell>
          <cell r="L4869" t="str">
            <v>NN-05-02-05-4861</v>
          </cell>
          <cell r="M4869" t="str">
            <v>EJEMPLO    SOLAMENTE</v>
          </cell>
          <cell r="O4869" t="str">
            <v>EQUIPOS DE SEGURIDAD EN ARRIENDO</v>
          </cell>
          <cell r="P4869">
            <v>1000</v>
          </cell>
          <cell r="T4869" t="str">
            <v>Bueno</v>
          </cell>
          <cell r="U4869" t="str">
            <v>HP</v>
          </cell>
        </row>
        <row r="4870">
          <cell r="J4870" t="str">
            <v>CC-05-02-05-4862</v>
          </cell>
          <cell r="L4870" t="str">
            <v>CC-05-02-05-4862</v>
          </cell>
          <cell r="M4870" t="str">
            <v>EJEMPLO    SOLAMENTE</v>
          </cell>
          <cell r="O4870" t="str">
            <v>EQUIPOS DE SEGURIDAD EN COMODATO</v>
          </cell>
          <cell r="P4870">
            <v>1000</v>
          </cell>
          <cell r="T4870" t="str">
            <v>Bueno</v>
          </cell>
          <cell r="U4870" t="str">
            <v>HP</v>
          </cell>
        </row>
        <row r="4871">
          <cell r="J4871" t="str">
            <v>FN-05-02-05-4863</v>
          </cell>
          <cell r="L4871" t="str">
            <v>FN-05-02-05-4863</v>
          </cell>
          <cell r="M4871" t="str">
            <v>EJEMPLO    SOLAMENTE</v>
          </cell>
          <cell r="O4871" t="str">
            <v>EQUIPOS DE SEGURIDAD FUNGIBLE / NOMINABLE</v>
          </cell>
          <cell r="P4871">
            <v>1000</v>
          </cell>
          <cell r="T4871" t="str">
            <v>Bueno</v>
          </cell>
          <cell r="U4871" t="str">
            <v>HP</v>
          </cell>
        </row>
        <row r="4872">
          <cell r="J4872" t="str">
            <v>42-05-02-01-4864</v>
          </cell>
          <cell r="L4872" t="str">
            <v>42-05-02-01-4864</v>
          </cell>
          <cell r="M4872" t="str">
            <v>Incubadora de Transporte Marca Air Vac Serie AKHM00029 Nº Inventario (Vilcun) 6-281</v>
          </cell>
          <cell r="O4872" t="str">
            <v>EQUIPOS CLINICOS</v>
          </cell>
          <cell r="P4872">
            <v>200000</v>
          </cell>
          <cell r="T4872" t="str">
            <v>Bueno</v>
          </cell>
          <cell r="U4872" t="str">
            <v>Air-Vac</v>
          </cell>
        </row>
        <row r="4873">
          <cell r="J4873" t="str">
            <v>42-05-02-01-4865</v>
          </cell>
          <cell r="L4873" t="str">
            <v>42-05-02-01-4865</v>
          </cell>
          <cell r="M4873" t="str">
            <v>Regulador con tuerca / Flujometro Cupula Acrilica - Nº 0001</v>
          </cell>
          <cell r="O4873" t="str">
            <v>EQUIPOS CLINICOS</v>
          </cell>
          <cell r="P4873">
            <v>33320</v>
          </cell>
          <cell r="T4873" t="str">
            <v>Bueno</v>
          </cell>
          <cell r="U4873" t="str">
            <v>E-REGTCA</v>
          </cell>
        </row>
        <row r="4874">
          <cell r="J4874" t="str">
            <v>42-05-02-01-4866</v>
          </cell>
          <cell r="L4874" t="str">
            <v>42-05-02-01-4866</v>
          </cell>
          <cell r="M4874" t="str">
            <v>Regulador con tuerca / Flujometro Cupula Acrilica - Nº 0002</v>
          </cell>
          <cell r="O4874" t="str">
            <v>EQUIPOS CLINICOS</v>
          </cell>
          <cell r="P4874">
            <v>33320</v>
          </cell>
          <cell r="T4874" t="str">
            <v>Bueno</v>
          </cell>
          <cell r="U4874" t="str">
            <v>E-REGTCA</v>
          </cell>
        </row>
        <row r="4875">
          <cell r="J4875" t="str">
            <v>42-05-02-01-4867</v>
          </cell>
          <cell r="L4875" t="str">
            <v>42-05-02-01-4867</v>
          </cell>
          <cell r="M4875" t="str">
            <v>Regulador con tuerca / Flujometro Cupula Acrilica - Nº 0003</v>
          </cell>
          <cell r="O4875" t="str">
            <v>EQUIPOS CLINICOS</v>
          </cell>
          <cell r="P4875">
            <v>33320</v>
          </cell>
          <cell r="T4875" t="str">
            <v>Bueno</v>
          </cell>
          <cell r="U4875" t="str">
            <v>E-REGTCA</v>
          </cell>
        </row>
        <row r="4876">
          <cell r="J4876" t="str">
            <v>42-05-02-01-4868</v>
          </cell>
          <cell r="L4876" t="str">
            <v>42-05-02-01-4868</v>
          </cell>
          <cell r="M4876" t="str">
            <v>Regulador con tuerca / Flujometro Cupula Acrilica - Nº 0004</v>
          </cell>
          <cell r="O4876" t="str">
            <v>EQUIPOS CLINICOS</v>
          </cell>
          <cell r="P4876">
            <v>33320</v>
          </cell>
          <cell r="T4876" t="str">
            <v>Bueno</v>
          </cell>
          <cell r="U4876" t="str">
            <v>E-REGTCA</v>
          </cell>
        </row>
        <row r="4877">
          <cell r="J4877" t="str">
            <v>42-05-02-01-4869</v>
          </cell>
          <cell r="L4877" t="str">
            <v>42-05-02-01-4869</v>
          </cell>
          <cell r="M4877" t="str">
            <v>Regulador con tuerca / Flujometro Cupula Acrilica - Nº 0005</v>
          </cell>
          <cell r="O4877" t="str">
            <v>EQUIPOS CLINICOS</v>
          </cell>
          <cell r="P4877">
            <v>33320</v>
          </cell>
          <cell r="T4877" t="str">
            <v>Bueno</v>
          </cell>
          <cell r="U4877" t="str">
            <v>E-REGTCA</v>
          </cell>
        </row>
        <row r="4878">
          <cell r="J4878" t="str">
            <v>NN-06-01-00-4870</v>
          </cell>
          <cell r="L4878" t="str">
            <v>NN-06-01-00-4870</v>
          </cell>
          <cell r="M4878" t="str">
            <v>PC ALL IN ONE Marca Olidata SN: OA0012U130400721 Mod: Alicon A125 1.2 8RMA Proc3.30GHZ HHDD300GB</v>
          </cell>
          <cell r="O4878" t="str">
            <v>EQUIPOS COMPUTACIONALES Y PERIFÉRICOS EN ARRIENDO</v>
          </cell>
          <cell r="P4878">
            <v>300000</v>
          </cell>
          <cell r="T4878" t="str">
            <v>Bueno</v>
          </cell>
          <cell r="U4878" t="str">
            <v>Olidata</v>
          </cell>
        </row>
        <row r="4879">
          <cell r="J4879" t="str">
            <v>NN-06-01-00-4871</v>
          </cell>
          <cell r="L4879" t="str">
            <v>NN-06-01-00-4871</v>
          </cell>
          <cell r="M4879" t="str">
            <v>Mouse Scroll Laser Convencional Olidata M375</v>
          </cell>
          <cell r="O4879" t="str">
            <v>EQUIPOS COMPUTACIONALES Y PERIFÉRICOS EN ARRIENDO</v>
          </cell>
          <cell r="P4879">
            <v>5000</v>
          </cell>
          <cell r="T4879" t="str">
            <v>Bueno</v>
          </cell>
          <cell r="U4879" t="str">
            <v>Olidata</v>
          </cell>
        </row>
        <row r="4880">
          <cell r="J4880" t="str">
            <v>NN-06-01-00-4872</v>
          </cell>
          <cell r="L4880" t="str">
            <v>NN-06-01-00-4872</v>
          </cell>
          <cell r="M4880" t="str">
            <v>Teclado Internet Convencional Olidata OM - 02</v>
          </cell>
          <cell r="O4880" t="str">
            <v>EQUIPOS COMPUTACIONALES Y PERIFÉRICOS EN ARRIENDO</v>
          </cell>
          <cell r="P4880">
            <v>5000</v>
          </cell>
          <cell r="T4880" t="str">
            <v>Bueno</v>
          </cell>
          <cell r="U4880" t="str">
            <v>Olidata</v>
          </cell>
        </row>
        <row r="4881">
          <cell r="J4881" t="str">
            <v>42-04-07-00-4873</v>
          </cell>
          <cell r="L4881" t="str">
            <v>42-04-07-00-4873</v>
          </cell>
          <cell r="M4881" t="str">
            <v>Sala de Baño completa + Porta Confort</v>
          </cell>
          <cell r="O4881" t="str">
            <v>OTROS</v>
          </cell>
          <cell r="P4881">
            <v>25000</v>
          </cell>
          <cell r="T4881" t="str">
            <v>Bueno</v>
          </cell>
          <cell r="U4881" t="str">
            <v>N/T</v>
          </cell>
        </row>
        <row r="4882">
          <cell r="J4882" t="str">
            <v>42-04-07-00-4874</v>
          </cell>
          <cell r="L4882" t="str">
            <v>42-04-07-00-4874</v>
          </cell>
          <cell r="M4882" t="str">
            <v>Escabel Mixto Negro</v>
          </cell>
          <cell r="O4882" t="str">
            <v>OTROS</v>
          </cell>
          <cell r="P4882">
            <v>7000</v>
          </cell>
          <cell r="T4882" t="str">
            <v>Bueno</v>
          </cell>
          <cell r="U4882" t="str">
            <v>N/T</v>
          </cell>
        </row>
        <row r="4883">
          <cell r="J4883" t="str">
            <v>42-04-07-00-4875</v>
          </cell>
          <cell r="L4883" t="str">
            <v>42-04-07-00-4875</v>
          </cell>
          <cell r="M4883" t="str">
            <v>Lavamanos + Pedestal Losa Blanco + Llave Convinacion</v>
          </cell>
          <cell r="O4883" t="str">
            <v>OTROS</v>
          </cell>
          <cell r="P4883">
            <v>20000</v>
          </cell>
          <cell r="T4883" t="str">
            <v>Bueno</v>
          </cell>
          <cell r="U4883" t="str">
            <v>N/T</v>
          </cell>
        </row>
        <row r="4884">
          <cell r="J4884" t="str">
            <v>42-04-07-00-4876</v>
          </cell>
          <cell r="L4884" t="str">
            <v>42-04-07-00-4876</v>
          </cell>
          <cell r="M4884" t="str">
            <v>Porta Toallas Papel TORK</v>
          </cell>
          <cell r="O4884" t="str">
            <v>OTROS</v>
          </cell>
          <cell r="P4884">
            <v>16000</v>
          </cell>
          <cell r="T4884" t="str">
            <v>Bueno</v>
          </cell>
          <cell r="U4884" t="str">
            <v>Tork</v>
          </cell>
        </row>
        <row r="4885">
          <cell r="J4885" t="str">
            <v>42-04-07-00-4877</v>
          </cell>
          <cell r="L4885" t="str">
            <v>42-04-07-00-4877</v>
          </cell>
          <cell r="M4885" t="str">
            <v>Porta Confort Blanco Loza</v>
          </cell>
          <cell r="O4885" t="str">
            <v>OTROS</v>
          </cell>
          <cell r="P4885">
            <v>4000</v>
          </cell>
          <cell r="T4885" t="str">
            <v>Bueno</v>
          </cell>
          <cell r="U4885" t="str">
            <v>N/T</v>
          </cell>
        </row>
        <row r="4886">
          <cell r="J4886" t="str">
            <v>42-04-07-00-4878</v>
          </cell>
          <cell r="L4886" t="str">
            <v>42-04-07-00-4878</v>
          </cell>
          <cell r="M4886" t="str">
            <v>Porta Jabon Blanco Loza</v>
          </cell>
          <cell r="O4886" t="str">
            <v>OTROS</v>
          </cell>
          <cell r="P4886">
            <v>4000</v>
          </cell>
          <cell r="T4886" t="str">
            <v>Bueno</v>
          </cell>
          <cell r="U4886" t="str">
            <v>N/T</v>
          </cell>
        </row>
        <row r="4887">
          <cell r="J4887" t="str">
            <v>42-04-07-00-4879</v>
          </cell>
          <cell r="L4887" t="str">
            <v>42-04-07-00-4879</v>
          </cell>
          <cell r="M4887" t="str">
            <v>Dispensador Jabon Plastico Blanco C/Gris Tork</v>
          </cell>
          <cell r="O4887" t="str">
            <v>OTROS</v>
          </cell>
          <cell r="P4887">
            <v>7000</v>
          </cell>
          <cell r="T4887" t="str">
            <v>Bueno</v>
          </cell>
          <cell r="U4887" t="str">
            <v>Tork</v>
          </cell>
        </row>
        <row r="4888">
          <cell r="J4888" t="str">
            <v>42-04-04-00-4880</v>
          </cell>
          <cell r="L4888" t="str">
            <v>42-04-04-00-4880</v>
          </cell>
          <cell r="M4888" t="str">
            <v xml:space="preserve">Mueble Melamina Blanco 2 Cajones + 2 Puertas </v>
          </cell>
          <cell r="O4888" t="str">
            <v>MUEBLES DE COCINA</v>
          </cell>
          <cell r="P4888">
            <v>25000</v>
          </cell>
          <cell r="T4888" t="str">
            <v>Bueno</v>
          </cell>
          <cell r="U4888" t="str">
            <v>N/T</v>
          </cell>
        </row>
        <row r="4889">
          <cell r="J4889" t="str">
            <v>42-04-07-00-4881</v>
          </cell>
          <cell r="L4889" t="str">
            <v>42-04-07-00-4881</v>
          </cell>
          <cell r="M4889" t="str">
            <v>Porta Toalla Blanco (Toalla Tela)</v>
          </cell>
          <cell r="O4889" t="str">
            <v>OTROS</v>
          </cell>
          <cell r="P4889">
            <v>4000</v>
          </cell>
          <cell r="T4889" t="str">
            <v>Bueno</v>
          </cell>
          <cell r="U4889" t="str">
            <v>N/T</v>
          </cell>
        </row>
        <row r="4890">
          <cell r="J4890" t="str">
            <v>42-05-01-01-4882</v>
          </cell>
          <cell r="L4890" t="str">
            <v>42-05-01-01-4882</v>
          </cell>
          <cell r="M4890" t="str">
            <v>Guillotina Corta Papel Grande - Gris / Azul</v>
          </cell>
          <cell r="O4890" t="str">
            <v>EQUIPO DE OFICINA</v>
          </cell>
          <cell r="P4890">
            <v>15000</v>
          </cell>
          <cell r="T4890" t="str">
            <v>Bueno</v>
          </cell>
          <cell r="U4890" t="str">
            <v>N/T</v>
          </cell>
        </row>
        <row r="4891">
          <cell r="J4891" t="str">
            <v>42-05-02-05-4883</v>
          </cell>
          <cell r="L4891" t="str">
            <v>42-05-02-05-4883</v>
          </cell>
          <cell r="M4891" t="str">
            <v>Extintor CO2 Tipo B C 4 Litros Rojo + Bocina Distribucion</v>
          </cell>
          <cell r="O4891" t="str">
            <v>EQUIPOS DE SEGURIDAD</v>
          </cell>
          <cell r="P4891">
            <v>25000</v>
          </cell>
          <cell r="T4891" t="str">
            <v>Bueno</v>
          </cell>
          <cell r="U4891" t="str">
            <v>N/T</v>
          </cell>
        </row>
        <row r="4892">
          <cell r="J4892" t="str">
            <v>42-05-02-01-4884</v>
          </cell>
          <cell r="L4892" t="str">
            <v>42-05-02-01-4884</v>
          </cell>
          <cell r="M4892" t="str">
            <v>Ultrasonido Dental Cod 3203000159 Turbina Chile</v>
          </cell>
          <cell r="O4892" t="str">
            <v>EQUIPOS CLINICOS</v>
          </cell>
          <cell r="P4892">
            <v>237988.1</v>
          </cell>
          <cell r="T4892" t="str">
            <v>Bueno</v>
          </cell>
          <cell r="U4892" t="str">
            <v>N/T</v>
          </cell>
        </row>
        <row r="4893">
          <cell r="J4893" t="str">
            <v>42-05-02-01-4885</v>
          </cell>
          <cell r="L4893" t="str">
            <v>42-05-02-01-4885</v>
          </cell>
          <cell r="M4893" t="str">
            <v>Ultrasonido Dental Cod 3203000159 Turbina Chile</v>
          </cell>
          <cell r="O4893" t="str">
            <v>EQUIPOS CLINICOS</v>
          </cell>
          <cell r="P4893">
            <v>237988.1</v>
          </cell>
          <cell r="T4893" t="str">
            <v>Bueno</v>
          </cell>
          <cell r="U4893" t="str">
            <v>N/T</v>
          </cell>
        </row>
        <row r="4894">
          <cell r="J4894" t="str">
            <v>42-04-02-00-4886</v>
          </cell>
          <cell r="L4894" t="str">
            <v>42-04-02-00-4886</v>
          </cell>
          <cell r="M4894" t="str">
            <v>Silla Parvulo  73x73x55 Roja (1)</v>
          </cell>
          <cell r="O4894" t="str">
            <v>SILLAS</v>
          </cell>
          <cell r="P4894">
            <v>7735</v>
          </cell>
          <cell r="T4894" t="str">
            <v>Bueno</v>
          </cell>
          <cell r="U4894" t="str">
            <v>N/T</v>
          </cell>
        </row>
        <row r="4895">
          <cell r="J4895" t="str">
            <v>42-04-02-00-4887</v>
          </cell>
          <cell r="L4895" t="str">
            <v>42-04-02-00-4887</v>
          </cell>
          <cell r="M4895" t="str">
            <v>Silla Parvulo  73x73x55 Roja (2)</v>
          </cell>
          <cell r="O4895" t="str">
            <v>SILLAS</v>
          </cell>
          <cell r="P4895">
            <v>7735</v>
          </cell>
          <cell r="T4895" t="str">
            <v>Bueno</v>
          </cell>
          <cell r="U4895" t="str">
            <v>N/T</v>
          </cell>
        </row>
        <row r="4896">
          <cell r="J4896" t="str">
            <v>42-04-02-00-4888</v>
          </cell>
          <cell r="L4896" t="str">
            <v>42-04-02-00-4888</v>
          </cell>
          <cell r="M4896" t="str">
            <v>Silla Parvulo  73x73x55 Roja (3)</v>
          </cell>
          <cell r="O4896" t="str">
            <v>SILLAS</v>
          </cell>
          <cell r="P4896">
            <v>7735</v>
          </cell>
          <cell r="T4896" t="str">
            <v>Bueno</v>
          </cell>
          <cell r="U4896" t="str">
            <v>N/T</v>
          </cell>
        </row>
        <row r="4897">
          <cell r="J4897" t="str">
            <v>42-04-02-00-4889</v>
          </cell>
          <cell r="L4897" t="str">
            <v>42-04-02-00-4889</v>
          </cell>
          <cell r="M4897" t="str">
            <v>Silla Parvulo  73x73x55 Roja (4)</v>
          </cell>
          <cell r="O4897" t="str">
            <v>SILLAS</v>
          </cell>
          <cell r="P4897">
            <v>7735</v>
          </cell>
          <cell r="T4897" t="str">
            <v>Bueno</v>
          </cell>
          <cell r="U4897" t="str">
            <v>N/T</v>
          </cell>
        </row>
        <row r="4898">
          <cell r="J4898" t="str">
            <v>42-04-02-00-4890</v>
          </cell>
          <cell r="L4898" t="str">
            <v>42-04-02-00-4890</v>
          </cell>
          <cell r="M4898" t="str">
            <v>Silla Parvulo  73x73x55 Amarilla (1)</v>
          </cell>
          <cell r="O4898" t="str">
            <v>SILLAS</v>
          </cell>
          <cell r="P4898">
            <v>7735</v>
          </cell>
          <cell r="T4898" t="str">
            <v>Bueno</v>
          </cell>
          <cell r="U4898" t="str">
            <v>N/T</v>
          </cell>
        </row>
        <row r="4899">
          <cell r="J4899" t="str">
            <v>42-04-02-00-4891</v>
          </cell>
          <cell r="L4899" t="str">
            <v>42-04-02-00-4891</v>
          </cell>
          <cell r="M4899" t="str">
            <v>Silla Parvulo  73x73x55 Amarilla (2)</v>
          </cell>
          <cell r="O4899" t="str">
            <v>SILLAS</v>
          </cell>
          <cell r="P4899">
            <v>7735</v>
          </cell>
          <cell r="T4899" t="str">
            <v>Bueno</v>
          </cell>
          <cell r="U4899" t="str">
            <v>N/T</v>
          </cell>
        </row>
        <row r="4900">
          <cell r="J4900" t="str">
            <v>42-04-02-00-4892</v>
          </cell>
          <cell r="L4900" t="str">
            <v>42-04-02-00-4892</v>
          </cell>
          <cell r="M4900" t="str">
            <v>Silla Parvulo  73x73x55 Amarilla (3)</v>
          </cell>
          <cell r="O4900" t="str">
            <v>SILLAS</v>
          </cell>
          <cell r="P4900">
            <v>7735</v>
          </cell>
          <cell r="T4900" t="str">
            <v>Bueno</v>
          </cell>
          <cell r="U4900" t="str">
            <v>N/T</v>
          </cell>
        </row>
        <row r="4901">
          <cell r="J4901" t="str">
            <v>42-04-02-00-4893</v>
          </cell>
          <cell r="L4901" t="str">
            <v>42-04-02-00-4893</v>
          </cell>
          <cell r="M4901" t="str">
            <v>Silla Parvulo  73x73x55 Amarilla (4)</v>
          </cell>
          <cell r="O4901" t="str">
            <v>SILLAS</v>
          </cell>
          <cell r="P4901">
            <v>7735</v>
          </cell>
          <cell r="T4901" t="str">
            <v>Bueno</v>
          </cell>
          <cell r="U4901" t="str">
            <v>N/T</v>
          </cell>
        </row>
        <row r="4902">
          <cell r="J4902" t="str">
            <v>42-04-02-00-4894</v>
          </cell>
          <cell r="L4902" t="str">
            <v>42-04-02-00-4894</v>
          </cell>
          <cell r="M4902" t="str">
            <v>Silla Parvulo  73x73x55 Verde  (1)</v>
          </cell>
          <cell r="O4902" t="str">
            <v>SILLAS</v>
          </cell>
          <cell r="P4902">
            <v>7735</v>
          </cell>
          <cell r="T4902" t="str">
            <v>Bueno</v>
          </cell>
          <cell r="U4902" t="str">
            <v>N/T</v>
          </cell>
        </row>
        <row r="4903">
          <cell r="J4903" t="str">
            <v>42-04-02-00-4895</v>
          </cell>
          <cell r="L4903" t="str">
            <v>42-04-02-00-4895</v>
          </cell>
          <cell r="M4903" t="str">
            <v>Silla Parvulo  73x73x55 Verde  (2)</v>
          </cell>
          <cell r="O4903" t="str">
            <v>SILLAS</v>
          </cell>
          <cell r="P4903">
            <v>7735</v>
          </cell>
          <cell r="T4903" t="str">
            <v>Bueno</v>
          </cell>
          <cell r="U4903" t="str">
            <v>N/T</v>
          </cell>
        </row>
        <row r="4904">
          <cell r="J4904" t="str">
            <v>42-04-02-00-4896</v>
          </cell>
          <cell r="L4904" t="str">
            <v>42-04-02-00-4896</v>
          </cell>
          <cell r="M4904" t="str">
            <v>Silla Parvulo  73x73x55 Verde  (3)</v>
          </cell>
          <cell r="O4904" t="str">
            <v>SILLAS</v>
          </cell>
          <cell r="P4904">
            <v>7735</v>
          </cell>
          <cell r="T4904" t="str">
            <v>Bueno</v>
          </cell>
          <cell r="U4904" t="str">
            <v>N/T</v>
          </cell>
        </row>
        <row r="4905">
          <cell r="J4905" t="str">
            <v>42-04-02-00-4897</v>
          </cell>
          <cell r="L4905" t="str">
            <v>42-04-02-00-4897</v>
          </cell>
          <cell r="M4905" t="str">
            <v>Silla Parvulo  73x73x55 Verde  (4)</v>
          </cell>
          <cell r="O4905" t="str">
            <v>SILLAS</v>
          </cell>
          <cell r="P4905">
            <v>7735</v>
          </cell>
          <cell r="T4905" t="str">
            <v>Bueno</v>
          </cell>
          <cell r="U4905" t="str">
            <v>N/T</v>
          </cell>
        </row>
        <row r="4906">
          <cell r="J4906" t="str">
            <v>42-04-01-00-4898</v>
          </cell>
          <cell r="L4906" t="str">
            <v>42-04-01-00-4898</v>
          </cell>
          <cell r="M4906" t="str">
            <v>Mesa Parvulo 56x24 Roja</v>
          </cell>
          <cell r="O4906" t="str">
            <v>MESAS</v>
          </cell>
          <cell r="P4906">
            <v>22610</v>
          </cell>
          <cell r="T4906" t="str">
            <v>Bueno</v>
          </cell>
          <cell r="U4906" t="str">
            <v>N/T</v>
          </cell>
        </row>
        <row r="4907">
          <cell r="J4907" t="str">
            <v>42-04-01-00-4899</v>
          </cell>
          <cell r="L4907" t="str">
            <v>42-04-01-00-4899</v>
          </cell>
          <cell r="M4907" t="str">
            <v>Mesa Parvulo 56x24 Amarilla</v>
          </cell>
          <cell r="O4907" t="str">
            <v>MESAS</v>
          </cell>
          <cell r="P4907">
            <v>22610</v>
          </cell>
          <cell r="T4907" t="str">
            <v>Bueno</v>
          </cell>
          <cell r="U4907" t="str">
            <v>N/T</v>
          </cell>
        </row>
        <row r="4908">
          <cell r="J4908" t="str">
            <v>42-04-01-00-4900</v>
          </cell>
          <cell r="L4908" t="str">
            <v>42-04-01-00-4900</v>
          </cell>
          <cell r="M4908" t="str">
            <v>Mesa Parvulo 56x24 Verde</v>
          </cell>
          <cell r="O4908" t="str">
            <v>MESAS</v>
          </cell>
          <cell r="P4908">
            <v>22610</v>
          </cell>
          <cell r="T4908" t="str">
            <v>Bueno</v>
          </cell>
          <cell r="U4908" t="str">
            <v>N/T</v>
          </cell>
        </row>
        <row r="4909">
          <cell r="J4909" t="str">
            <v>42-04-06-00-4901</v>
          </cell>
          <cell r="L4909" t="str">
            <v>42-04-06-00-4901</v>
          </cell>
          <cell r="M4909" t="str">
            <v>Biblioteca Archivero 140 CMS Base y Modulo Melamina Cerezo/Negro 18m/m Art. 1288</v>
          </cell>
          <cell r="O4909" t="str">
            <v>REPISA</v>
          </cell>
          <cell r="P4909">
            <v>199500</v>
          </cell>
          <cell r="T4909" t="str">
            <v>Bueno</v>
          </cell>
          <cell r="U4909" t="str">
            <v>N/T</v>
          </cell>
        </row>
        <row r="4910">
          <cell r="J4910" t="str">
            <v>42-06-01-00-4902</v>
          </cell>
          <cell r="L4910" t="str">
            <v>42-06-01-00-4902</v>
          </cell>
          <cell r="M4910" t="str">
            <v xml:space="preserve">Epson Power W11 - Proyector LCD - 2600 ANSI Lumens - WXGA 1280x800 </v>
          </cell>
          <cell r="O4910" t="str">
            <v>EQUIPOS COMPUTACIONALES Y PERIFÉRICOS</v>
          </cell>
          <cell r="P4910">
            <v>313721</v>
          </cell>
          <cell r="T4910" t="str">
            <v>Bueno</v>
          </cell>
          <cell r="U4910" t="str">
            <v>Epson</v>
          </cell>
        </row>
        <row r="4911">
          <cell r="J4911" t="str">
            <v>42-04-07-00-4903</v>
          </cell>
          <cell r="L4911" t="str">
            <v>42-04-07-00-4903</v>
          </cell>
          <cell r="M4911" t="str">
            <v>Soporte Generico para proyector tipo Canastillo SKU20923</v>
          </cell>
          <cell r="O4911" t="str">
            <v>OTROS</v>
          </cell>
          <cell r="P4911">
            <v>12898</v>
          </cell>
          <cell r="T4911" t="str">
            <v>Bueno</v>
          </cell>
          <cell r="U4911" t="str">
            <v>N/T</v>
          </cell>
        </row>
        <row r="4912">
          <cell r="J4912" t="str">
            <v>42-05-02-01-4904</v>
          </cell>
          <cell r="L4912" t="str">
            <v>42-05-02-01-4904</v>
          </cell>
          <cell r="M4912" t="str">
            <v>Microsedimentador Automatico, MICROSED 10 CANALES</v>
          </cell>
          <cell r="O4912" t="str">
            <v>EQUIPOS CLINICOS</v>
          </cell>
          <cell r="P4912">
            <v>684250</v>
          </cell>
          <cell r="T4912" t="str">
            <v>Bueno</v>
          </cell>
          <cell r="U4912" t="str">
            <v>MICROSED</v>
          </cell>
        </row>
        <row r="4913">
          <cell r="J4913" t="str">
            <v>NN-06-01-00-4905</v>
          </cell>
          <cell r="L4913" t="str">
            <v>NN-06-01-00-4905</v>
          </cell>
          <cell r="M4913" t="str">
            <v>Impresora Kyocera KM-2810 ID SEREQ *MBQ0225346*</v>
          </cell>
          <cell r="O4913" t="str">
            <v>EQUIPOS COMPUTACIONALES Y PERIFÉRICOS EN ARRIENDO</v>
          </cell>
          <cell r="P4913">
            <v>280000</v>
          </cell>
          <cell r="T4913" t="str">
            <v>Bueno</v>
          </cell>
          <cell r="U4913" t="str">
            <v>Kyocera</v>
          </cell>
        </row>
        <row r="4914">
          <cell r="J4914" t="str">
            <v>42-05-01-01-4906</v>
          </cell>
          <cell r="L4914" t="str">
            <v>42-05-01-01-4906</v>
          </cell>
          <cell r="M4914" t="str">
            <v xml:space="preserve">Sistema de Audio Sony MHC-ESX9 </v>
          </cell>
          <cell r="O4914" t="str">
            <v>EQUIPO DE OFICINA</v>
          </cell>
          <cell r="P4914">
            <v>130513</v>
          </cell>
          <cell r="T4914" t="str">
            <v>Bueno</v>
          </cell>
          <cell r="U4914" t="str">
            <v>Sony</v>
          </cell>
        </row>
        <row r="4915">
          <cell r="J4915" t="str">
            <v>42-05-02-01-4907</v>
          </cell>
          <cell r="L4915" t="str">
            <v>42-05-02-01-4907</v>
          </cell>
          <cell r="M4915" t="str">
            <v>Oximetro De Pulso De Dedo P-100 MOD P 100</v>
          </cell>
          <cell r="O4915" t="str">
            <v>EQUIPOS CLINICOS</v>
          </cell>
          <cell r="P4915">
            <v>38080</v>
          </cell>
          <cell r="T4915" t="str">
            <v>Bueno</v>
          </cell>
          <cell r="U4915" t="str">
            <v>N/T</v>
          </cell>
        </row>
        <row r="4916">
          <cell r="J4916" t="str">
            <v>42-04-03-00-4908</v>
          </cell>
          <cell r="K4916" t="str">
            <v>42-537</v>
          </cell>
          <cell r="L4916" t="str">
            <v>42-04-03-00-4908</v>
          </cell>
          <cell r="M4916" t="str">
            <v>Escritorio Madera / Metal Color Miel, 2 Cajones, Espacio Superior - 42-537</v>
          </cell>
          <cell r="O4916" t="str">
            <v>ESCRITORIOS</v>
          </cell>
          <cell r="P4916">
            <v>25000</v>
          </cell>
          <cell r="T4916" t="str">
            <v>Bueno</v>
          </cell>
          <cell r="U4916" t="str">
            <v>N/T</v>
          </cell>
        </row>
        <row r="4917">
          <cell r="J4917" t="str">
            <v>42-04-03-00-4909</v>
          </cell>
          <cell r="K4917" t="str">
            <v>42-1309</v>
          </cell>
          <cell r="L4917" t="str">
            <v>42-04-03-00-4909</v>
          </cell>
          <cell r="M4917" t="str">
            <v>Escritorio Madera / Metal Color Miel, 2 Cajones, Espacio Superior  - 42-1309</v>
          </cell>
          <cell r="O4917" t="str">
            <v>ESCRITORIOS</v>
          </cell>
          <cell r="P4917">
            <v>25000</v>
          </cell>
          <cell r="T4917" t="str">
            <v>Bueno</v>
          </cell>
          <cell r="U4917" t="str">
            <v>N/T</v>
          </cell>
        </row>
        <row r="4918">
          <cell r="J4918" t="str">
            <v>42-04-03-00-4910</v>
          </cell>
          <cell r="L4918" t="str">
            <v>42-04-03-00-4910</v>
          </cell>
          <cell r="M4918" t="str">
            <v xml:space="preserve">Escritorio Madera / Metal Color Miel, 2 Cajones, Espacio Superior </v>
          </cell>
          <cell r="O4918" t="str">
            <v>ESCRITORIOS</v>
          </cell>
          <cell r="P4918">
            <v>25000</v>
          </cell>
          <cell r="T4918" t="str">
            <v>Bueno</v>
          </cell>
          <cell r="U4918" t="str">
            <v>N/T</v>
          </cell>
        </row>
        <row r="4919">
          <cell r="J4919" t="str">
            <v>42-04-07-00-4911</v>
          </cell>
          <cell r="L4919" t="str">
            <v>42-04-07-00-4911</v>
          </cell>
          <cell r="M4919" t="str">
            <v>Lavaplatos Acero Inoxidable Normal</v>
          </cell>
          <cell r="O4919" t="str">
            <v>OTROS</v>
          </cell>
          <cell r="P4919">
            <v>15000</v>
          </cell>
          <cell r="T4919" t="str">
            <v>Regular</v>
          </cell>
          <cell r="U4919" t="str">
            <v>N/T</v>
          </cell>
        </row>
        <row r="4920">
          <cell r="J4920" t="str">
            <v>42-05-02-01-4912</v>
          </cell>
          <cell r="L4920" t="str">
            <v>42-05-02-01-4912</v>
          </cell>
          <cell r="M4920" t="str">
            <v>Cuna Blanca Metalica para Bebe</v>
          </cell>
          <cell r="O4920" t="str">
            <v>EQUIPOS CLINICOS</v>
          </cell>
          <cell r="P4920">
            <v>15000</v>
          </cell>
          <cell r="T4920" t="str">
            <v>Regular</v>
          </cell>
          <cell r="U4920" t="str">
            <v>N/T</v>
          </cell>
        </row>
        <row r="4921">
          <cell r="J4921" t="str">
            <v>42-04-07-00-4913</v>
          </cell>
          <cell r="L4921" t="str">
            <v>42-04-07-00-4913</v>
          </cell>
          <cell r="M4921" t="str">
            <v>Dispensador Papel Tork Blanco</v>
          </cell>
          <cell r="O4921" t="str">
            <v>OTROS</v>
          </cell>
          <cell r="P4921">
            <v>10000</v>
          </cell>
          <cell r="T4921" t="str">
            <v>Regular</v>
          </cell>
          <cell r="U4921" t="str">
            <v>N/T</v>
          </cell>
        </row>
        <row r="4922">
          <cell r="J4922" t="str">
            <v>42-05-02-06-4914</v>
          </cell>
          <cell r="L4922" t="str">
            <v>42-05-02-06-4914</v>
          </cell>
          <cell r="M4922" t="str">
            <v xml:space="preserve">Limpia Piso Chancho Manual </v>
          </cell>
          <cell r="O4922" t="str">
            <v>HERRAMIENTAS</v>
          </cell>
          <cell r="P4922">
            <v>5000</v>
          </cell>
          <cell r="T4922" t="str">
            <v>Regular</v>
          </cell>
          <cell r="U4922" t="str">
            <v>N/T</v>
          </cell>
        </row>
        <row r="4923">
          <cell r="J4923" t="str">
            <v>42-05-02-02-4915</v>
          </cell>
          <cell r="L4923" t="str">
            <v>42-05-02-02-4915</v>
          </cell>
          <cell r="M4923" t="str">
            <v xml:space="preserve">Cuchara Cocina Madera </v>
          </cell>
          <cell r="O4923" t="str">
            <v>EQUIPOS DE COCINA</v>
          </cell>
          <cell r="P4923">
            <v>1000</v>
          </cell>
          <cell r="T4923" t="str">
            <v>Regular</v>
          </cell>
          <cell r="U4923" t="str">
            <v>N/T</v>
          </cell>
        </row>
        <row r="4924">
          <cell r="J4924" t="str">
            <v>42-06-01-00-4916</v>
          </cell>
          <cell r="L4924" t="str">
            <v>42-06-01-00-4916</v>
          </cell>
          <cell r="M4924" t="str">
            <v>CPU Horizontal Blanca Dell Optiplex G1</v>
          </cell>
          <cell r="O4924" t="str">
            <v>EQUIPOS COMPUTACIONALES Y PERIFÉRICOS</v>
          </cell>
          <cell r="P4924">
            <v>25000</v>
          </cell>
          <cell r="T4924" t="str">
            <v>Regular</v>
          </cell>
          <cell r="U4924" t="str">
            <v>DELL</v>
          </cell>
        </row>
        <row r="4925">
          <cell r="J4925" t="str">
            <v>42-05-02-05-4917</v>
          </cell>
          <cell r="L4925" t="str">
            <v>42-05-02-05-4917</v>
          </cell>
          <cell r="M4925" t="str">
            <v>Rack Optimizador de Red o Instalacion Electrica Puerta de Vidrio Color Morado</v>
          </cell>
          <cell r="O4925" t="str">
            <v>EQUIPOS DE SEGURIDAD</v>
          </cell>
          <cell r="P4925">
            <v>15000</v>
          </cell>
          <cell r="T4925" t="str">
            <v>Regular</v>
          </cell>
          <cell r="U4925" t="str">
            <v>N/T</v>
          </cell>
        </row>
        <row r="4926">
          <cell r="J4926" t="str">
            <v>42-04-07-00-4918</v>
          </cell>
          <cell r="L4926" t="str">
            <v>42-04-07-00-4918</v>
          </cell>
          <cell r="M4926" t="str">
            <v xml:space="preserve">Parrilla Acero Inoxidable 50 x 120 CM Gris </v>
          </cell>
          <cell r="O4926" t="str">
            <v>OTROS</v>
          </cell>
          <cell r="P4926">
            <v>15000</v>
          </cell>
          <cell r="T4926" t="str">
            <v>Regular</v>
          </cell>
          <cell r="U4926" t="str">
            <v>N/T</v>
          </cell>
        </row>
        <row r="4927">
          <cell r="J4927" t="str">
            <v>42-05-02-01-4919</v>
          </cell>
          <cell r="L4927" t="str">
            <v>42-05-02-01-4919</v>
          </cell>
          <cell r="M4927" t="str">
            <v>Atomizr Blanco Electromedicalli</v>
          </cell>
          <cell r="O4927" t="str">
            <v>EQUIPOS CLINICOS</v>
          </cell>
          <cell r="P4927">
            <v>25000</v>
          </cell>
          <cell r="T4927" t="str">
            <v>Regular</v>
          </cell>
          <cell r="U4927" t="str">
            <v>N/T</v>
          </cell>
        </row>
        <row r="4928">
          <cell r="J4928" t="str">
            <v>42-05-02-01-4920</v>
          </cell>
          <cell r="L4928" t="str">
            <v>42-05-02-01-4920</v>
          </cell>
          <cell r="M4928" t="str">
            <v>Carro Porta Oxigeno Metalico Chico</v>
          </cell>
          <cell r="O4928" t="str">
            <v>EQUIPOS CLINICOS</v>
          </cell>
          <cell r="P4928">
            <v>10000</v>
          </cell>
          <cell r="T4928" t="str">
            <v>Regular</v>
          </cell>
          <cell r="U4928" t="str">
            <v>N/T</v>
          </cell>
        </row>
        <row r="4929">
          <cell r="J4929" t="str">
            <v>42-04-07-00-4921</v>
          </cell>
          <cell r="L4929" t="str">
            <v>42-04-07-00-4921</v>
          </cell>
          <cell r="M4929" t="str">
            <v>Caja Lata Gris Sin Puertas</v>
          </cell>
          <cell r="O4929" t="str">
            <v>OTROS</v>
          </cell>
          <cell r="P4929">
            <v>5000</v>
          </cell>
          <cell r="T4929" t="str">
            <v>Regular</v>
          </cell>
          <cell r="U4929" t="str">
            <v>N/T</v>
          </cell>
        </row>
        <row r="4930">
          <cell r="J4930" t="str">
            <v>42-04-07-00-4922</v>
          </cell>
          <cell r="L4930" t="str">
            <v>42-04-07-00-4922</v>
          </cell>
          <cell r="M4930" t="str">
            <v>Estructura Metalica Silla Chica</v>
          </cell>
          <cell r="O4930" t="str">
            <v>OTROS</v>
          </cell>
          <cell r="P4930">
            <v>1000</v>
          </cell>
          <cell r="T4930" t="str">
            <v>Regular</v>
          </cell>
          <cell r="U4930" t="str">
            <v>N/T</v>
          </cell>
        </row>
        <row r="4931">
          <cell r="J4931" t="str">
            <v>42-04-07-00-4923</v>
          </cell>
          <cell r="L4931" t="str">
            <v>42-04-07-00-4923</v>
          </cell>
          <cell r="M4931" t="str">
            <v>Silla Postrado Café Con Ruedas Aux. Maltes</v>
          </cell>
          <cell r="O4931" t="str">
            <v>OTROS</v>
          </cell>
          <cell r="P4931">
            <v>25000</v>
          </cell>
          <cell r="T4931" t="str">
            <v>Regular</v>
          </cell>
          <cell r="U4931" t="str">
            <v>N/T</v>
          </cell>
        </row>
        <row r="4932">
          <cell r="J4932" t="str">
            <v>42-05-02-01-4924</v>
          </cell>
          <cell r="L4932" t="str">
            <v>42-05-02-01-4924</v>
          </cell>
          <cell r="M4932" t="str">
            <v>Burrito con ruedas y frenos en Mando (Sin Ruedas)</v>
          </cell>
          <cell r="O4932" t="str">
            <v>EQUIPOS CLINICOS</v>
          </cell>
          <cell r="P4932">
            <v>10000</v>
          </cell>
          <cell r="T4932" t="str">
            <v>Regular</v>
          </cell>
          <cell r="U4932" t="str">
            <v>N/T</v>
          </cell>
        </row>
        <row r="4933">
          <cell r="J4933" t="str">
            <v>42-04-02-00-4925</v>
          </cell>
          <cell r="L4933" t="str">
            <v>42-04-02-00-4925</v>
          </cell>
          <cell r="M4933" t="str">
            <v>Silla Madera con asiento y Respaldo Tapizado Ecocuero Café</v>
          </cell>
          <cell r="O4933" t="str">
            <v>SILLAS</v>
          </cell>
          <cell r="P4933">
            <v>10000</v>
          </cell>
          <cell r="T4933" t="str">
            <v>Regular</v>
          </cell>
          <cell r="U4933" t="str">
            <v>N/T</v>
          </cell>
        </row>
        <row r="4934">
          <cell r="J4934" t="str">
            <v>42-04-07-00-4926</v>
          </cell>
          <cell r="L4934" t="str">
            <v>42-04-07-00-4926</v>
          </cell>
          <cell r="M4934" t="str">
            <v>Estructura Metalica Mesa Blanca - Medicina</v>
          </cell>
          <cell r="O4934" t="str">
            <v>OTROS</v>
          </cell>
          <cell r="P4934">
            <v>10000</v>
          </cell>
          <cell r="T4934" t="str">
            <v>Regular</v>
          </cell>
          <cell r="U4934" t="str">
            <v>N/T</v>
          </cell>
        </row>
        <row r="4935">
          <cell r="J4935" t="str">
            <v>42-05-01-01-4927</v>
          </cell>
          <cell r="L4935" t="str">
            <v>42-05-01-01-4927</v>
          </cell>
          <cell r="M4935" t="str">
            <v>Sistema Coneccion Tipo Router Telefonico 2033</v>
          </cell>
          <cell r="O4935" t="str">
            <v>EQUIPO DE OFICINA</v>
          </cell>
          <cell r="P4935">
            <v>3000</v>
          </cell>
          <cell r="T4935" t="str">
            <v>Regular</v>
          </cell>
          <cell r="U4935" t="str">
            <v>N/T</v>
          </cell>
        </row>
        <row r="4936">
          <cell r="J4936" t="str">
            <v>42-04-07-00-4928</v>
          </cell>
          <cell r="K4936" t="str">
            <v>42-968</v>
          </cell>
          <cell r="L4936" t="str">
            <v>42-04-07-00-4928</v>
          </cell>
          <cell r="M4936" t="str">
            <v>Tarjetero Marcajes de Reloj entrada Metalico</v>
          </cell>
          <cell r="O4936" t="str">
            <v>OTROS</v>
          </cell>
          <cell r="P4936">
            <v>10000</v>
          </cell>
          <cell r="T4936" t="str">
            <v>Regular</v>
          </cell>
          <cell r="U4936" t="str">
            <v>N/T</v>
          </cell>
        </row>
        <row r="4937">
          <cell r="J4937" t="str">
            <v>42-04-07-00-4929</v>
          </cell>
          <cell r="L4937" t="str">
            <v>42-04-07-00-4929</v>
          </cell>
          <cell r="M4937" t="str">
            <v>Mampara dos Puerta Aluminio Medio Cuerpo Vidriada 220 X 93</v>
          </cell>
          <cell r="O4937" t="str">
            <v>OTROS</v>
          </cell>
          <cell r="P4937">
            <v>100000</v>
          </cell>
          <cell r="T4937" t="str">
            <v>Regular</v>
          </cell>
          <cell r="U4937" t="str">
            <v>N/T</v>
          </cell>
        </row>
        <row r="4938">
          <cell r="J4938" t="str">
            <v>42-04-07-00-4930</v>
          </cell>
          <cell r="L4938" t="str">
            <v>42-04-07-00-4930</v>
          </cell>
          <cell r="M4938" t="str">
            <v>Mampara dos Puerta Aluminio Medio Cuerpo Vidriada 220 X 84</v>
          </cell>
          <cell r="O4938" t="str">
            <v>OTROS</v>
          </cell>
          <cell r="P4938">
            <v>100000</v>
          </cell>
          <cell r="T4938" t="str">
            <v>Regular</v>
          </cell>
          <cell r="U4938" t="str">
            <v>N/T</v>
          </cell>
        </row>
        <row r="4939">
          <cell r="J4939" t="str">
            <v>42-04-07-00-4931</v>
          </cell>
          <cell r="L4939" t="str">
            <v>42-04-07-00-4931</v>
          </cell>
          <cell r="M4939" t="str">
            <v>Porta Toallas Tork Blanco C/Gris Plastico</v>
          </cell>
          <cell r="O4939" t="str">
            <v>OTROS</v>
          </cell>
          <cell r="P4939">
            <v>10000</v>
          </cell>
          <cell r="T4939" t="str">
            <v>Regular</v>
          </cell>
          <cell r="U4939" t="str">
            <v>N/T</v>
          </cell>
        </row>
        <row r="4940">
          <cell r="J4940" t="str">
            <v>42-06-01-00-4932</v>
          </cell>
          <cell r="L4940" t="str">
            <v>42-06-01-00-4932</v>
          </cell>
          <cell r="M4940" t="str">
            <v>Teclados Convencional Color Blanco Mal Estado 42-1782</v>
          </cell>
          <cell r="O4940" t="str">
            <v>EQUIPOS COMPUTACIONALES Y PERIFÉRICOS</v>
          </cell>
          <cell r="P4940">
            <v>1000</v>
          </cell>
          <cell r="T4940" t="str">
            <v>Regular</v>
          </cell>
          <cell r="U4940" t="str">
            <v>N/T</v>
          </cell>
        </row>
        <row r="4941">
          <cell r="J4941" t="str">
            <v>42-06-01-00-4933</v>
          </cell>
          <cell r="L4941" t="str">
            <v>42-06-01-00-4933</v>
          </cell>
          <cell r="M4941" t="str">
            <v>Monitor Convencional HP Blanco de 15"</v>
          </cell>
          <cell r="O4941" t="str">
            <v>EQUIPOS COMPUTACIONALES Y PERIFÉRICOS</v>
          </cell>
          <cell r="P4941">
            <v>10000</v>
          </cell>
          <cell r="T4941" t="str">
            <v>Regular</v>
          </cell>
          <cell r="U4941" t="str">
            <v>N/T</v>
          </cell>
        </row>
        <row r="4942">
          <cell r="J4942" t="str">
            <v>42-06-01-00-4934</v>
          </cell>
          <cell r="L4942" t="str">
            <v>42-06-01-00-4934</v>
          </cell>
          <cell r="M4942" t="str">
            <v xml:space="preserve">CPU Horizontal Lanix </v>
          </cell>
          <cell r="O4942" t="str">
            <v>EQUIPOS COMPUTACIONALES Y PERIFÉRICOS</v>
          </cell>
          <cell r="P4942">
            <v>15000</v>
          </cell>
          <cell r="T4942" t="str">
            <v>Regular</v>
          </cell>
          <cell r="U4942" t="str">
            <v>N/T</v>
          </cell>
        </row>
        <row r="4943">
          <cell r="J4943" t="str">
            <v>42-06-01-00-4935</v>
          </cell>
          <cell r="L4943" t="str">
            <v>42-06-01-00-4935</v>
          </cell>
          <cell r="M4943" t="str">
            <v>CPU Intel Blanca Crecic</v>
          </cell>
          <cell r="O4943" t="str">
            <v>EQUIPOS COMPUTACIONALES Y PERIFÉRICOS</v>
          </cell>
          <cell r="P4943">
            <v>50000</v>
          </cell>
          <cell r="T4943" t="str">
            <v>Regular</v>
          </cell>
          <cell r="U4943" t="str">
            <v>N/T</v>
          </cell>
        </row>
        <row r="4944">
          <cell r="J4944" t="str">
            <v>42-06-01-00-4936</v>
          </cell>
          <cell r="L4944" t="str">
            <v>42-06-01-00-4936</v>
          </cell>
          <cell r="M4944" t="str">
            <v>CPU Component Pro CP. Blanca</v>
          </cell>
          <cell r="O4944" t="str">
            <v>EQUIPOS COMPUTACIONALES Y PERIFÉRICOS</v>
          </cell>
          <cell r="P4944">
            <v>50000</v>
          </cell>
          <cell r="T4944" t="str">
            <v>Regular</v>
          </cell>
          <cell r="U4944" t="str">
            <v>N/T</v>
          </cell>
        </row>
        <row r="4945">
          <cell r="J4945" t="str">
            <v>42-06-01-00-4937</v>
          </cell>
          <cell r="L4945" t="str">
            <v>42-06-01-00-4937</v>
          </cell>
          <cell r="M4945" t="str">
            <v>CPU Tecno 2000 Blanca</v>
          </cell>
          <cell r="O4945" t="str">
            <v>EQUIPOS COMPUTACIONALES Y PERIFÉRICOS</v>
          </cell>
          <cell r="P4945">
            <v>50000</v>
          </cell>
          <cell r="T4945" t="str">
            <v>Regular</v>
          </cell>
          <cell r="U4945" t="str">
            <v>N/T</v>
          </cell>
        </row>
        <row r="4946">
          <cell r="J4946" t="str">
            <v>42-06-01-00-4938</v>
          </cell>
          <cell r="L4946" t="str">
            <v>42-06-01-00-4938</v>
          </cell>
          <cell r="M4946" t="str">
            <v>CPU Generica Blanco 52X MAX</v>
          </cell>
          <cell r="O4946" t="str">
            <v>EQUIPOS COMPUTACIONALES Y PERIFÉRICOS</v>
          </cell>
          <cell r="P4946">
            <v>50000</v>
          </cell>
          <cell r="T4946" t="str">
            <v>Regular</v>
          </cell>
          <cell r="U4946" t="str">
            <v>N/T</v>
          </cell>
        </row>
        <row r="4947">
          <cell r="J4947" t="str">
            <v>42-06-01-00-4939</v>
          </cell>
          <cell r="L4947" t="str">
            <v>42-06-01-00-4939</v>
          </cell>
          <cell r="M4947" t="str">
            <v>Maquina de Escribir Olivetti ET 1250 MD Gris 3382</v>
          </cell>
          <cell r="O4947" t="str">
            <v>EQUIPOS COMPUTACIONALES Y PERIFÉRICOS</v>
          </cell>
          <cell r="P4947">
            <v>30000</v>
          </cell>
          <cell r="T4947" t="str">
            <v>Regular</v>
          </cell>
          <cell r="U4947" t="str">
            <v>Olivetti</v>
          </cell>
        </row>
        <row r="4948">
          <cell r="J4948" t="str">
            <v>42-06-01-00-4940</v>
          </cell>
          <cell r="L4948" t="str">
            <v>42-06-01-00-4940</v>
          </cell>
          <cell r="M4948" t="str">
            <v>Filtro Monitor Convencional 14 "</v>
          </cell>
          <cell r="O4948" t="str">
            <v>EQUIPOS COMPUTACIONALES Y PERIFÉRICOS</v>
          </cell>
          <cell r="P4948">
            <v>2000</v>
          </cell>
          <cell r="T4948" t="str">
            <v>Regular</v>
          </cell>
          <cell r="U4948" t="str">
            <v>N/T</v>
          </cell>
        </row>
        <row r="4949">
          <cell r="J4949" t="str">
            <v>42-06-01-00-4941</v>
          </cell>
          <cell r="K4949" t="str">
            <v>42-2704</v>
          </cell>
          <cell r="L4949" t="str">
            <v>42-06-01-00-4941</v>
          </cell>
          <cell r="M4949" t="str">
            <v>Teclado Negro Convencional IBM</v>
          </cell>
          <cell r="O4949" t="str">
            <v>EQUIPOS COMPUTACIONALES Y PERIFÉRICOS</v>
          </cell>
          <cell r="P4949">
            <v>1000</v>
          </cell>
          <cell r="T4949" t="str">
            <v>Regular</v>
          </cell>
          <cell r="U4949" t="str">
            <v>N/T</v>
          </cell>
        </row>
        <row r="4950">
          <cell r="J4950" t="str">
            <v>42-06-01-00-4942</v>
          </cell>
          <cell r="K4950" t="str">
            <v>42-2738</v>
          </cell>
          <cell r="L4950" t="str">
            <v>42-06-01-00-4942</v>
          </cell>
          <cell r="M4950" t="str">
            <v>UPS APC 1500</v>
          </cell>
          <cell r="O4950" t="str">
            <v>EQUIPOS COMPUTACIONALES Y PERIFÉRICOS</v>
          </cell>
          <cell r="P4950">
            <v>15000</v>
          </cell>
          <cell r="T4950" t="str">
            <v>Regular</v>
          </cell>
          <cell r="U4950" t="str">
            <v>N/T</v>
          </cell>
        </row>
        <row r="4951">
          <cell r="J4951" t="str">
            <v>42-06-01-00-4943</v>
          </cell>
          <cell r="K4951" t="str">
            <v>42-1911</v>
          </cell>
          <cell r="L4951" t="str">
            <v>42-06-01-00-4943</v>
          </cell>
          <cell r="M4951" t="str">
            <v>UPS KEBO  1000 M</v>
          </cell>
          <cell r="O4951" t="str">
            <v>EQUIPOS COMPUTACIONALES Y PERIFÉRICOS</v>
          </cell>
          <cell r="P4951">
            <v>15000</v>
          </cell>
          <cell r="T4951" t="str">
            <v>Regular</v>
          </cell>
          <cell r="U4951" t="str">
            <v>N/T</v>
          </cell>
        </row>
        <row r="4952">
          <cell r="J4952" t="str">
            <v>42-06-01-00-4944</v>
          </cell>
          <cell r="K4952" t="str">
            <v>42-2390</v>
          </cell>
          <cell r="L4952" t="str">
            <v>42-06-01-00-4944</v>
          </cell>
          <cell r="M4952" t="str">
            <v>UPS Opti UPS 1500 C</v>
          </cell>
          <cell r="O4952" t="str">
            <v>EQUIPOS COMPUTACIONALES Y PERIFÉRICOS</v>
          </cell>
          <cell r="P4952">
            <v>15000</v>
          </cell>
          <cell r="T4952" t="str">
            <v>Regular</v>
          </cell>
          <cell r="U4952" t="str">
            <v>N/T</v>
          </cell>
        </row>
        <row r="4953">
          <cell r="J4953" t="str">
            <v>42-05-02-02-4945</v>
          </cell>
          <cell r="K4953" t="str">
            <v>42-1357</v>
          </cell>
          <cell r="L4953" t="str">
            <v>42-05-02-02-4945</v>
          </cell>
          <cell r="M4953" t="str">
            <v>Microondas Sindelen Standard</v>
          </cell>
          <cell r="O4953" t="str">
            <v>EQUIPOS DE COCINA</v>
          </cell>
          <cell r="P4953">
            <v>15000</v>
          </cell>
          <cell r="T4953" t="str">
            <v>Regular</v>
          </cell>
          <cell r="U4953" t="str">
            <v>N/T</v>
          </cell>
        </row>
        <row r="4954">
          <cell r="J4954" t="str">
            <v>42-06-01-00-4946</v>
          </cell>
          <cell r="L4954" t="str">
            <v>42-06-01-00-4946</v>
          </cell>
          <cell r="M4954" t="str">
            <v>Teclado Generico Negro (M)</v>
          </cell>
          <cell r="O4954" t="str">
            <v>EQUIPOS COMPUTACIONALES Y PERIFÉRICOS</v>
          </cell>
          <cell r="P4954">
            <v>1000</v>
          </cell>
          <cell r="T4954" t="str">
            <v>Regular</v>
          </cell>
          <cell r="U4954" t="str">
            <v>N/T</v>
          </cell>
        </row>
        <row r="4955">
          <cell r="J4955" t="str">
            <v>42-04-07-00-4947</v>
          </cell>
          <cell r="L4955" t="str">
            <v>42-04-07-00-4947</v>
          </cell>
          <cell r="M4955" t="str">
            <v>Mampara dos Puerta Aluminio Medio Cuerpo Vidriada 220 X 118</v>
          </cell>
          <cell r="O4955" t="str">
            <v>OTROS</v>
          </cell>
          <cell r="P4955">
            <v>100000</v>
          </cell>
          <cell r="T4955" t="str">
            <v>Regular</v>
          </cell>
          <cell r="U4955" t="str">
            <v>N/T</v>
          </cell>
        </row>
        <row r="4956">
          <cell r="J4956" t="str">
            <v>42-04-07-00-4948</v>
          </cell>
          <cell r="L4956" t="str">
            <v>42-04-07-00-4948</v>
          </cell>
          <cell r="M4956" t="str">
            <v>Mampara dos Puerta Aluminio Medio Cuerpo Vidriada 220 X 80</v>
          </cell>
          <cell r="O4956" t="str">
            <v>OTROS</v>
          </cell>
          <cell r="P4956">
            <v>100000</v>
          </cell>
          <cell r="T4956" t="str">
            <v>Regular</v>
          </cell>
          <cell r="U4956" t="str">
            <v>N/T</v>
          </cell>
        </row>
        <row r="4957">
          <cell r="J4957" t="str">
            <v>42-04-07-00-4949</v>
          </cell>
          <cell r="L4957" t="str">
            <v>42-04-07-00-4949</v>
          </cell>
          <cell r="M4957" t="str">
            <v>Mampara dos Puerta Aluminio Medio Cuerpo Vidriada 220 X 84</v>
          </cell>
          <cell r="O4957" t="str">
            <v>OTROS</v>
          </cell>
          <cell r="P4957">
            <v>100000</v>
          </cell>
          <cell r="T4957" t="str">
            <v>Regular</v>
          </cell>
          <cell r="U4957" t="str">
            <v>N/T</v>
          </cell>
        </row>
        <row r="4958">
          <cell r="J4958" t="str">
            <v>42-04-07-00-4950</v>
          </cell>
          <cell r="L4958" t="str">
            <v>42-04-07-00-4950</v>
          </cell>
          <cell r="M4958" t="str">
            <v>Radiador Calefaccion Chico De Piso 75 x 50</v>
          </cell>
          <cell r="O4958" t="str">
            <v>OTROS</v>
          </cell>
          <cell r="P4958">
            <v>20000</v>
          </cell>
          <cell r="T4958" t="str">
            <v>Regular</v>
          </cell>
          <cell r="U4958" t="str">
            <v>N/T</v>
          </cell>
        </row>
        <row r="4959">
          <cell r="J4959" t="str">
            <v>42-04-07-00-4951</v>
          </cell>
          <cell r="L4959" t="str">
            <v>42-04-07-00-4951</v>
          </cell>
          <cell r="M4959" t="str">
            <v>Puerta Chica Con Vidrio / Alumino 60 x 150</v>
          </cell>
          <cell r="O4959" t="str">
            <v>OTROS</v>
          </cell>
          <cell r="P4959">
            <v>15000</v>
          </cell>
          <cell r="T4959" t="str">
            <v>Regular</v>
          </cell>
          <cell r="U4959" t="str">
            <v>N/T</v>
          </cell>
        </row>
        <row r="4960">
          <cell r="J4960" t="str">
            <v>42-04-07-00-4952</v>
          </cell>
          <cell r="L4960" t="str">
            <v>42-04-07-00-4952</v>
          </cell>
          <cell r="M4960" t="str">
            <v>Mampara dos Puerta Madera Medio Cuerpo Vidriada 220 X 67</v>
          </cell>
          <cell r="O4960" t="str">
            <v>OTROS</v>
          </cell>
          <cell r="P4960">
            <v>100000</v>
          </cell>
          <cell r="T4960" t="str">
            <v>Regular</v>
          </cell>
          <cell r="U4960" t="str">
            <v>N/T</v>
          </cell>
        </row>
        <row r="4961">
          <cell r="J4961" t="str">
            <v>42-04-07-00-4953</v>
          </cell>
          <cell r="L4961" t="str">
            <v>42-04-07-00-4953</v>
          </cell>
          <cell r="M4961" t="str">
            <v>Mampara dos Puerta Madera Medio Cuerpo Vidriada 240 X 78</v>
          </cell>
          <cell r="O4961" t="str">
            <v>OTROS</v>
          </cell>
          <cell r="P4961">
            <v>100000</v>
          </cell>
          <cell r="T4961" t="str">
            <v>Regular</v>
          </cell>
          <cell r="U4961" t="str">
            <v>N/T</v>
          </cell>
        </row>
        <row r="4962">
          <cell r="J4962" t="str">
            <v>42-04-07-00-4954</v>
          </cell>
          <cell r="K4962" t="str">
            <v>42-3066</v>
          </cell>
          <cell r="L4962" t="str">
            <v>42-04-07-00-4954</v>
          </cell>
          <cell r="M4962" t="str">
            <v>Velador Metalico Dos Espacios + Cajonera</v>
          </cell>
          <cell r="O4962" t="str">
            <v>OTROS</v>
          </cell>
          <cell r="P4962">
            <v>10000</v>
          </cell>
          <cell r="T4962" t="str">
            <v>Regular</v>
          </cell>
          <cell r="U4962" t="str">
            <v>N/T</v>
          </cell>
        </row>
        <row r="4963">
          <cell r="J4963" t="str">
            <v>42-04-03-00-4955</v>
          </cell>
          <cell r="K4963" t="str">
            <v>42-3137</v>
          </cell>
          <cell r="L4963" t="str">
            <v>42-04-03-00-4955</v>
          </cell>
          <cell r="M4963" t="str">
            <v>Escritorio Mixto Madera Metal Color Miel</v>
          </cell>
          <cell r="O4963" t="str">
            <v>ESCRITORIOS</v>
          </cell>
          <cell r="P4963">
            <v>25000</v>
          </cell>
          <cell r="T4963" t="str">
            <v>Regular</v>
          </cell>
          <cell r="U4963" t="str">
            <v>N/T</v>
          </cell>
        </row>
        <row r="4964">
          <cell r="J4964" t="str">
            <v>42-04-03-00-4956</v>
          </cell>
          <cell r="K4964" t="str">
            <v>42-537</v>
          </cell>
          <cell r="L4964" t="str">
            <v>42-04-03-00-4956</v>
          </cell>
          <cell r="M4964" t="str">
            <v>Escritorio / Mesa Chico Mixto Madera Metal Color Miel</v>
          </cell>
          <cell r="O4964" t="str">
            <v>ESCRITORIOS</v>
          </cell>
          <cell r="P4964">
            <v>15000</v>
          </cell>
          <cell r="T4964" t="str">
            <v>Regular</v>
          </cell>
          <cell r="U4964" t="str">
            <v>N/T</v>
          </cell>
        </row>
        <row r="4965">
          <cell r="J4965" t="str">
            <v>42-04-03-00-4957</v>
          </cell>
          <cell r="K4965" t="str">
            <v>42-3271</v>
          </cell>
          <cell r="L4965" t="str">
            <v>42-04-03-00-4957</v>
          </cell>
          <cell r="M4965" t="str">
            <v>Escritorio Melamina Color Miel</v>
          </cell>
          <cell r="O4965" t="str">
            <v>ESCRITORIOS</v>
          </cell>
          <cell r="P4965">
            <v>20000</v>
          </cell>
          <cell r="T4965" t="str">
            <v>Regular</v>
          </cell>
          <cell r="U4965" t="str">
            <v>N/T</v>
          </cell>
        </row>
        <row r="4966">
          <cell r="J4966" t="str">
            <v>42-04-03-00-4958</v>
          </cell>
          <cell r="L4966" t="str">
            <v>42-04-03-00-4958</v>
          </cell>
          <cell r="M4966" t="str">
            <v>Parte Escritorio Mixto Metal Madera Miel</v>
          </cell>
          <cell r="O4966" t="str">
            <v>ESCRITORIOS</v>
          </cell>
          <cell r="P4966">
            <v>10000</v>
          </cell>
          <cell r="T4966" t="str">
            <v>Regular</v>
          </cell>
          <cell r="U4966" t="str">
            <v>N/T</v>
          </cell>
        </row>
        <row r="4967">
          <cell r="J4967" t="str">
            <v>42-06-01-00-4959</v>
          </cell>
          <cell r="K4967" t="str">
            <v>42-2702</v>
          </cell>
          <cell r="L4967" t="str">
            <v>42-06-01-00-4959</v>
          </cell>
          <cell r="M4967" t="str">
            <v>Monitor Generico 15" Blanco Convencional Grande</v>
          </cell>
          <cell r="O4967" t="str">
            <v>EQUIPOS COMPUTACIONALES Y PERIFÉRICOS</v>
          </cell>
          <cell r="P4967">
            <v>10000</v>
          </cell>
          <cell r="T4967" t="str">
            <v>Regular</v>
          </cell>
          <cell r="U4967" t="str">
            <v>N/T</v>
          </cell>
        </row>
        <row r="4968">
          <cell r="J4968" t="str">
            <v>42-06-01-00-4960</v>
          </cell>
          <cell r="K4968" t="str">
            <v>42-1472</v>
          </cell>
          <cell r="L4968" t="str">
            <v>42-06-01-00-4960</v>
          </cell>
          <cell r="M4968" t="str">
            <v>Monitor 14" Blanco AOC Spectrum 4 VN</v>
          </cell>
          <cell r="O4968" t="str">
            <v>EQUIPOS COMPUTACIONALES Y PERIFÉRICOS</v>
          </cell>
          <cell r="P4968">
            <v>10000</v>
          </cell>
          <cell r="T4968" t="str">
            <v>Regular</v>
          </cell>
          <cell r="U4968" t="str">
            <v>AOC</v>
          </cell>
        </row>
        <row r="4969">
          <cell r="J4969" t="str">
            <v>42-06-01-00-4961</v>
          </cell>
          <cell r="K4969" t="str">
            <v>42-2567</v>
          </cell>
          <cell r="L4969" t="str">
            <v>42-06-01-00-4961</v>
          </cell>
          <cell r="M4969" t="str">
            <v>Monitor Phillips 14" Blanco</v>
          </cell>
          <cell r="O4969" t="str">
            <v>EQUIPOS COMPUTACIONALES Y PERIFÉRICOS</v>
          </cell>
          <cell r="P4969">
            <v>10000</v>
          </cell>
          <cell r="T4969" t="str">
            <v>Regular</v>
          </cell>
          <cell r="U4969" t="str">
            <v>Phillips</v>
          </cell>
        </row>
        <row r="4970">
          <cell r="J4970" t="str">
            <v>42-06-01-00-4962</v>
          </cell>
          <cell r="K4970" t="str">
            <v>42-2802</v>
          </cell>
          <cell r="L4970" t="str">
            <v>42-06-01-00-4962</v>
          </cell>
          <cell r="M4970" t="str">
            <v>Monitor 14" Samsung SyncMaster 551V Blanco</v>
          </cell>
          <cell r="O4970" t="str">
            <v>EQUIPOS COMPUTACIONALES Y PERIFÉRICOS</v>
          </cell>
          <cell r="P4970">
            <v>10000</v>
          </cell>
          <cell r="T4970" t="str">
            <v>Regular</v>
          </cell>
          <cell r="U4970" t="str">
            <v>Samsung</v>
          </cell>
        </row>
        <row r="4971">
          <cell r="J4971" t="str">
            <v>42-06-01-00-4963</v>
          </cell>
          <cell r="K4971" t="str">
            <v>42-1466</v>
          </cell>
          <cell r="L4971" t="str">
            <v>42-06-01-00-4963</v>
          </cell>
          <cell r="M4971" t="str">
            <v>Monitor Samsung 14" SyncMaster 591S Blanco</v>
          </cell>
          <cell r="O4971" t="str">
            <v>EQUIPOS COMPUTACIONALES Y PERIFÉRICOS</v>
          </cell>
          <cell r="P4971">
            <v>10000</v>
          </cell>
          <cell r="T4971" t="str">
            <v>Regular</v>
          </cell>
          <cell r="U4971" t="str">
            <v>Samsung</v>
          </cell>
        </row>
        <row r="4972">
          <cell r="J4972" t="str">
            <v>42-04-07-00-4964</v>
          </cell>
          <cell r="L4972" t="str">
            <v>42-04-07-00-4964</v>
          </cell>
          <cell r="M4972" t="str">
            <v xml:space="preserve">Marqueza de Madera Café Plaza </v>
          </cell>
          <cell r="O4972" t="str">
            <v>OTROS</v>
          </cell>
          <cell r="P4972">
            <v>10000</v>
          </cell>
          <cell r="T4972" t="str">
            <v>Regular</v>
          </cell>
          <cell r="U4972" t="str">
            <v>N/T</v>
          </cell>
        </row>
        <row r="4973">
          <cell r="J4973" t="str">
            <v>42-04-07-00-4965</v>
          </cell>
          <cell r="L4973" t="str">
            <v>42-04-07-00-4965</v>
          </cell>
          <cell r="M4973" t="str">
            <v>Puerta Madera MDF Con Ventana Central Chica 218 x 84</v>
          </cell>
          <cell r="O4973" t="str">
            <v>OTROS</v>
          </cell>
          <cell r="P4973">
            <v>40000</v>
          </cell>
          <cell r="T4973" t="str">
            <v>Regular</v>
          </cell>
          <cell r="U4973" t="str">
            <v>N/T</v>
          </cell>
        </row>
        <row r="4974">
          <cell r="J4974" t="str">
            <v>42-06-01-00-4966</v>
          </cell>
          <cell r="L4974" t="str">
            <v>42-06-01-00-4966</v>
          </cell>
          <cell r="M4974" t="str">
            <v>Teclados Convencional Color Blanco Mal Estado 42-1470</v>
          </cell>
          <cell r="O4974" t="str">
            <v>EQUIPOS COMPUTACIONALES Y PERIFÉRICOS</v>
          </cell>
          <cell r="P4974">
            <v>1000</v>
          </cell>
          <cell r="T4974" t="str">
            <v>Regular</v>
          </cell>
          <cell r="U4974" t="str">
            <v>N/T</v>
          </cell>
        </row>
        <row r="4975">
          <cell r="J4975" t="str">
            <v>42-06-01-00-4967</v>
          </cell>
          <cell r="L4975" t="str">
            <v>42-06-01-00-4967</v>
          </cell>
          <cell r="M4975" t="str">
            <v>Teclados Convencional Color Blanco Mal Estado 42-2662</v>
          </cell>
          <cell r="O4975" t="str">
            <v>EQUIPOS COMPUTACIONALES Y PERIFÉRICOS</v>
          </cell>
          <cell r="P4975">
            <v>1000</v>
          </cell>
          <cell r="T4975" t="str">
            <v>Regular</v>
          </cell>
          <cell r="U4975" t="str">
            <v>N/T</v>
          </cell>
        </row>
        <row r="4976">
          <cell r="J4976" t="str">
            <v>42-06-01-00-4968</v>
          </cell>
          <cell r="L4976" t="str">
            <v>42-06-01-00-4968</v>
          </cell>
          <cell r="M4976" t="str">
            <v>Teclados Convencional Color Blanco Mal Estado 42-2911</v>
          </cell>
          <cell r="O4976" t="str">
            <v>EQUIPOS COMPUTACIONALES Y PERIFÉRICOS</v>
          </cell>
          <cell r="P4976">
            <v>1000</v>
          </cell>
          <cell r="T4976" t="str">
            <v>Regular</v>
          </cell>
          <cell r="U4976" t="str">
            <v>N/T</v>
          </cell>
        </row>
        <row r="4977">
          <cell r="J4977" t="str">
            <v>42-06-01-00-4969</v>
          </cell>
          <cell r="L4977" t="str">
            <v>42-06-01-00-4969</v>
          </cell>
          <cell r="M4977" t="str">
            <v>Teclados Convencional Color Blanco Mal Estado 42-1476</v>
          </cell>
          <cell r="O4977" t="str">
            <v>EQUIPOS COMPUTACIONALES Y PERIFÉRICOS</v>
          </cell>
          <cell r="P4977">
            <v>1000</v>
          </cell>
          <cell r="T4977" t="str">
            <v>Regular</v>
          </cell>
          <cell r="U4977" t="str">
            <v>N/T</v>
          </cell>
        </row>
        <row r="4978">
          <cell r="J4978" t="str">
            <v>42-06-01-00-4970</v>
          </cell>
          <cell r="L4978" t="str">
            <v>42-06-01-00-4970</v>
          </cell>
          <cell r="M4978" t="str">
            <v>Teclados Convencional Color Blanco Mal Estado 42-2518</v>
          </cell>
          <cell r="O4978" t="str">
            <v>EQUIPOS COMPUTACIONALES Y PERIFÉRICOS</v>
          </cell>
          <cell r="P4978">
            <v>1000</v>
          </cell>
          <cell r="T4978" t="str">
            <v>Regular</v>
          </cell>
          <cell r="U4978" t="str">
            <v>N/T</v>
          </cell>
        </row>
        <row r="4979">
          <cell r="J4979" t="str">
            <v>42-06-01-00-4971</v>
          </cell>
          <cell r="L4979" t="str">
            <v>42-06-01-00-4971</v>
          </cell>
          <cell r="M4979" t="str">
            <v>Teclados Convencional Color Blanco Mal Estado (1)</v>
          </cell>
          <cell r="O4979" t="str">
            <v>EQUIPOS COMPUTACIONALES Y PERIFÉRICOS</v>
          </cell>
          <cell r="P4979">
            <v>1000</v>
          </cell>
          <cell r="T4979" t="str">
            <v>Regular</v>
          </cell>
          <cell r="U4979" t="str">
            <v>N/T</v>
          </cell>
        </row>
        <row r="4980">
          <cell r="J4980" t="str">
            <v>42-06-01-00-4972</v>
          </cell>
          <cell r="L4980" t="str">
            <v>42-06-01-00-4972</v>
          </cell>
          <cell r="M4980" t="str">
            <v>Teclados Convencional Color Blanco Mal Estado (2)</v>
          </cell>
          <cell r="O4980" t="str">
            <v>EQUIPOS COMPUTACIONALES Y PERIFÉRICOS</v>
          </cell>
          <cell r="P4980">
            <v>1000</v>
          </cell>
          <cell r="T4980" t="str">
            <v>Regular</v>
          </cell>
          <cell r="U4980" t="str">
            <v>N/T</v>
          </cell>
        </row>
        <row r="4981">
          <cell r="J4981" t="str">
            <v>42-06-01-00-4973</v>
          </cell>
          <cell r="L4981" t="str">
            <v>42-06-01-00-4973</v>
          </cell>
          <cell r="M4981" t="str">
            <v>Teclados Convencional Color Blanco Mal Estado (3)</v>
          </cell>
          <cell r="O4981" t="str">
            <v>EQUIPOS COMPUTACIONALES Y PERIFÉRICOS</v>
          </cell>
          <cell r="P4981">
            <v>1000</v>
          </cell>
          <cell r="T4981" t="str">
            <v>Regular</v>
          </cell>
          <cell r="U4981" t="str">
            <v>N/T</v>
          </cell>
        </row>
        <row r="4982">
          <cell r="J4982" t="str">
            <v>42-05-02-00-4974</v>
          </cell>
          <cell r="L4982" t="str">
            <v>42-05-02-00-4974</v>
          </cell>
          <cell r="M4982" t="str">
            <v>Motobomba Electrica de Petroleo (A)</v>
          </cell>
          <cell r="O4982" t="str">
            <v>EQUIPOS PARA LA PRODUCCION</v>
          </cell>
          <cell r="P4982">
            <v>50000</v>
          </cell>
          <cell r="T4982" t="str">
            <v>Regular</v>
          </cell>
          <cell r="U4982" t="str">
            <v>N/T</v>
          </cell>
        </row>
        <row r="4983">
          <cell r="J4983" t="str">
            <v>42-05-02-00-4975</v>
          </cell>
          <cell r="L4983" t="str">
            <v>42-05-02-00-4975</v>
          </cell>
          <cell r="M4983" t="str">
            <v>Motobomba Electrica de Petroleo (B)</v>
          </cell>
          <cell r="O4983" t="str">
            <v>EQUIPOS PARA LA PRODUCCION</v>
          </cell>
          <cell r="P4983">
            <v>50000</v>
          </cell>
          <cell r="T4983" t="str">
            <v>Regular</v>
          </cell>
          <cell r="U4983" t="str">
            <v>N/T</v>
          </cell>
        </row>
        <row r="4984">
          <cell r="J4984" t="str">
            <v>42-05-02-00-4976</v>
          </cell>
          <cell r="L4984" t="str">
            <v>42-05-02-00-4976</v>
          </cell>
          <cell r="M4984" t="str">
            <v>Motobomba Electrica Azul (A)</v>
          </cell>
          <cell r="O4984" t="str">
            <v>EQUIPOS PARA LA PRODUCCION</v>
          </cell>
          <cell r="P4984">
            <v>50000</v>
          </cell>
          <cell r="T4984" t="str">
            <v>Regular</v>
          </cell>
          <cell r="U4984" t="str">
            <v>N/T</v>
          </cell>
        </row>
        <row r="4985">
          <cell r="J4985" t="str">
            <v>42-05-02-00-4977</v>
          </cell>
          <cell r="L4985" t="str">
            <v>42-05-02-00-4977</v>
          </cell>
          <cell r="M4985" t="str">
            <v>Motobomba Electrica Azul (B)</v>
          </cell>
          <cell r="O4985" t="str">
            <v>EQUIPOS PARA LA PRODUCCION</v>
          </cell>
          <cell r="P4985">
            <v>50000</v>
          </cell>
          <cell r="T4985" t="str">
            <v>Regular</v>
          </cell>
          <cell r="U4985" t="str">
            <v>N/T</v>
          </cell>
        </row>
        <row r="4986">
          <cell r="J4986" t="str">
            <v>42-05-02-00-4978</v>
          </cell>
          <cell r="L4986" t="str">
            <v>42-05-02-00-4978</v>
          </cell>
          <cell r="M4986" t="str">
            <v>Motobomba Electrica Verde (A)</v>
          </cell>
          <cell r="O4986" t="str">
            <v>EQUIPOS PARA LA PRODUCCION</v>
          </cell>
          <cell r="P4986">
            <v>50000</v>
          </cell>
          <cell r="T4986" t="str">
            <v>Regular</v>
          </cell>
          <cell r="U4986" t="str">
            <v>N/T</v>
          </cell>
        </row>
        <row r="4987">
          <cell r="J4987" t="str">
            <v>42-05-02-00-4979</v>
          </cell>
          <cell r="L4987" t="str">
            <v>42-05-02-00-4979</v>
          </cell>
          <cell r="M4987" t="str">
            <v>Motobomba Electrica Verde (B)</v>
          </cell>
          <cell r="O4987" t="str">
            <v>EQUIPOS PARA LA PRODUCCION</v>
          </cell>
          <cell r="P4987">
            <v>50000</v>
          </cell>
          <cell r="T4987" t="str">
            <v>Regular</v>
          </cell>
          <cell r="U4987" t="str">
            <v>N/T</v>
          </cell>
        </row>
        <row r="4988">
          <cell r="J4988" t="str">
            <v>42-05-02-00-4980</v>
          </cell>
          <cell r="L4988" t="str">
            <v>42-05-02-00-4980</v>
          </cell>
          <cell r="M4988" t="str">
            <v>Bomba de Agua Leader Gris</v>
          </cell>
          <cell r="O4988" t="str">
            <v>EQUIPOS PARA LA PRODUCCION</v>
          </cell>
          <cell r="P4988">
            <v>50000</v>
          </cell>
          <cell r="T4988" t="str">
            <v>Regular</v>
          </cell>
          <cell r="U4988" t="str">
            <v>N/T</v>
          </cell>
        </row>
        <row r="4989">
          <cell r="J4989" t="str">
            <v>42-05-02-00-4981</v>
          </cell>
          <cell r="L4989" t="str">
            <v>42-05-02-00-4981</v>
          </cell>
          <cell r="M4989" t="str">
            <v>Motor Electrico de 4HP Azul</v>
          </cell>
          <cell r="O4989" t="str">
            <v>EQUIPOS PARA LA PRODUCCION</v>
          </cell>
          <cell r="P4989">
            <v>50000</v>
          </cell>
          <cell r="T4989" t="str">
            <v>Regular</v>
          </cell>
          <cell r="U4989" t="str">
            <v>N/T</v>
          </cell>
        </row>
        <row r="4990">
          <cell r="J4990" t="str">
            <v>42-04-07-00-4982</v>
          </cell>
          <cell r="L4990" t="str">
            <v>42-04-07-00-4982</v>
          </cell>
          <cell r="M4990" t="str">
            <v>Cañones Chimenea Caldera Metal Aprox 5 Mts</v>
          </cell>
          <cell r="O4990" t="str">
            <v>OTROS</v>
          </cell>
          <cell r="P4990">
            <v>50000</v>
          </cell>
          <cell r="T4990" t="str">
            <v>Regular</v>
          </cell>
          <cell r="U4990" t="str">
            <v>N/T</v>
          </cell>
        </row>
        <row r="4991">
          <cell r="J4991" t="str">
            <v>42-04-07-00-4983</v>
          </cell>
          <cell r="L4991" t="str">
            <v>42-04-07-00-4983</v>
          </cell>
          <cell r="M4991" t="str">
            <v>Silla Madera Mixta Madera Metal Color Barniz Natural</v>
          </cell>
          <cell r="O4991" t="str">
            <v>OTROS</v>
          </cell>
          <cell r="P4991">
            <v>5000</v>
          </cell>
          <cell r="T4991" t="str">
            <v>Regular</v>
          </cell>
          <cell r="U4991" t="str">
            <v>N/T</v>
          </cell>
        </row>
        <row r="4992">
          <cell r="J4992" t="str">
            <v>42-04-07-00-4984</v>
          </cell>
          <cell r="L4992" t="str">
            <v>42-04-07-00-4984</v>
          </cell>
          <cell r="M4992" t="str">
            <v>Porta Suero Metalico 3 Ruedas</v>
          </cell>
          <cell r="O4992" t="str">
            <v>OTROS</v>
          </cell>
          <cell r="P4992">
            <v>5000</v>
          </cell>
          <cell r="T4992" t="str">
            <v>Regular</v>
          </cell>
          <cell r="U4992" t="str">
            <v>N/T</v>
          </cell>
        </row>
        <row r="4993">
          <cell r="J4993" t="str">
            <v>42-04-07-00-4985</v>
          </cell>
          <cell r="L4993" t="str">
            <v>42-04-07-00-4985</v>
          </cell>
          <cell r="M4993" t="str">
            <v>Parrilla Acero Inoxidable 50x120 CM Gris</v>
          </cell>
          <cell r="O4993" t="str">
            <v>OTROS</v>
          </cell>
          <cell r="P4993">
            <v>5000</v>
          </cell>
          <cell r="T4993" t="str">
            <v>Regular</v>
          </cell>
          <cell r="U4993" t="str">
            <v>N/T</v>
          </cell>
        </row>
        <row r="4994">
          <cell r="J4994" t="str">
            <v>42-04-07-00-4986</v>
          </cell>
          <cell r="L4994" t="str">
            <v>42-04-07-00-4986</v>
          </cell>
          <cell r="M4994" t="str">
            <v>Carro Porta Oxigeno Metalico Chico</v>
          </cell>
          <cell r="O4994" t="str">
            <v>OTROS</v>
          </cell>
          <cell r="P4994">
            <v>5000</v>
          </cell>
          <cell r="T4994" t="str">
            <v>Regular</v>
          </cell>
          <cell r="U4994" t="str">
            <v>N/T</v>
          </cell>
        </row>
        <row r="4995">
          <cell r="J4995" t="str">
            <v>42-04-07-00-4987</v>
          </cell>
          <cell r="L4995" t="str">
            <v>42-04-07-00-4987</v>
          </cell>
          <cell r="M4995" t="str">
            <v>Estructura Metalica Mesa Blanca - Medicina</v>
          </cell>
          <cell r="O4995" t="str">
            <v>OTROS</v>
          </cell>
          <cell r="P4995">
            <v>5000</v>
          </cell>
          <cell r="T4995" t="str">
            <v>Regular</v>
          </cell>
          <cell r="U4995" t="str">
            <v>N/T</v>
          </cell>
        </row>
        <row r="4996">
          <cell r="J4996" t="str">
            <v>42-04-07-00-4988</v>
          </cell>
          <cell r="L4996" t="str">
            <v>42-04-07-00-4988</v>
          </cell>
          <cell r="M4996" t="str">
            <v>Filtro Monitor Convencional 14 "</v>
          </cell>
          <cell r="O4996" t="str">
            <v>OTROS</v>
          </cell>
          <cell r="P4996">
            <v>1000</v>
          </cell>
          <cell r="T4996" t="str">
            <v>Regular</v>
          </cell>
          <cell r="U4996" t="str">
            <v>N/T</v>
          </cell>
        </row>
        <row r="4997">
          <cell r="J4997" t="str">
            <v>42-04-07-00-4989</v>
          </cell>
          <cell r="L4997" t="str">
            <v>42-04-07-00-4989</v>
          </cell>
          <cell r="M4997" t="str">
            <v xml:space="preserve">Velador Metalico Dos Espacios + Cajonera </v>
          </cell>
          <cell r="O4997" t="str">
            <v>OTROS</v>
          </cell>
          <cell r="P4997">
            <v>5000</v>
          </cell>
          <cell r="T4997" t="str">
            <v>Regular</v>
          </cell>
          <cell r="U4997" t="str">
            <v>N/T</v>
          </cell>
        </row>
        <row r="4998">
          <cell r="J4998" t="str">
            <v>42-04-07-00-4990</v>
          </cell>
          <cell r="L4998" t="str">
            <v>42-04-07-00-4990</v>
          </cell>
          <cell r="M4998" t="str">
            <v xml:space="preserve">Velador Metalico Dos Espacios + Cajonera </v>
          </cell>
          <cell r="O4998" t="str">
            <v>OTROS</v>
          </cell>
          <cell r="P4998">
            <v>5000</v>
          </cell>
          <cell r="T4998" t="str">
            <v>Regular</v>
          </cell>
          <cell r="U4998" t="str">
            <v>N/T</v>
          </cell>
        </row>
        <row r="4999">
          <cell r="J4999" t="str">
            <v>42-04-03-00-4991</v>
          </cell>
          <cell r="L4999" t="str">
            <v>42-04-03-00-4991</v>
          </cell>
          <cell r="M4999" t="str">
            <v>Mueble Escritorio Enchapado con Porta Teclado Color Miel Patas negras en "T"</v>
          </cell>
          <cell r="O4999" t="str">
            <v>ESCRITORIOS</v>
          </cell>
          <cell r="P4999">
            <v>25000</v>
          </cell>
          <cell r="T4999" t="str">
            <v>Regular</v>
          </cell>
          <cell r="U4999" t="str">
            <v>N/T</v>
          </cell>
        </row>
        <row r="5000">
          <cell r="J5000" t="str">
            <v>42-04-03-00-4992</v>
          </cell>
          <cell r="L5000" t="str">
            <v>42-04-03-00-4992</v>
          </cell>
          <cell r="M5000" t="str">
            <v xml:space="preserve">Mueble Madera Metal color Miel y negro 2 Cajoneras + Espacio Superior </v>
          </cell>
          <cell r="O5000" t="str">
            <v>ESCRITORIOS</v>
          </cell>
          <cell r="P5000">
            <v>25000</v>
          </cell>
          <cell r="T5000" t="str">
            <v>Regular</v>
          </cell>
          <cell r="U5000" t="str">
            <v>N/T</v>
          </cell>
        </row>
        <row r="5001">
          <cell r="J5001" t="str">
            <v>42-04-03-00-4993</v>
          </cell>
          <cell r="L5001" t="str">
            <v>42-04-03-00-4993</v>
          </cell>
          <cell r="M5001" t="str">
            <v xml:space="preserve">Mueble Madera Metal color Miel y negro 2 Cajoneras + Espacio Superior </v>
          </cell>
          <cell r="O5001" t="str">
            <v>ESCRITORIOS</v>
          </cell>
          <cell r="P5001">
            <v>25000</v>
          </cell>
          <cell r="T5001" t="str">
            <v>Regular</v>
          </cell>
          <cell r="U5001" t="str">
            <v>N/T</v>
          </cell>
        </row>
        <row r="5002">
          <cell r="J5002" t="str">
            <v>42-04-03-00-4994</v>
          </cell>
          <cell r="L5002" t="str">
            <v>42-04-03-00-4994</v>
          </cell>
          <cell r="M5002" t="str">
            <v>Escritorio Mesa Chico Metal Madera Miel y Negro (42-1309)</v>
          </cell>
          <cell r="O5002" t="str">
            <v>ESCRITORIOS</v>
          </cell>
          <cell r="P5002">
            <v>15000</v>
          </cell>
          <cell r="T5002" t="str">
            <v>Regular</v>
          </cell>
          <cell r="U5002" t="str">
            <v>N/T</v>
          </cell>
        </row>
        <row r="5003">
          <cell r="J5003" t="str">
            <v>42-03-02-00-4995</v>
          </cell>
          <cell r="L5003" t="str">
            <v>42-03-02-00-4995</v>
          </cell>
          <cell r="M5003" t="str">
            <v>Espejos exteriores laterales</v>
          </cell>
          <cell r="O5003" t="str">
            <v>EQUIPOS DE VEHICULO</v>
          </cell>
          <cell r="P5003">
            <v>4000</v>
          </cell>
          <cell r="T5003" t="str">
            <v>Bueno</v>
          </cell>
          <cell r="U5003" t="str">
            <v>N/T</v>
          </cell>
        </row>
        <row r="5004">
          <cell r="J5004" t="str">
            <v>42-03-02-00-4996</v>
          </cell>
          <cell r="L5004" t="str">
            <v>42-03-02-00-4996</v>
          </cell>
          <cell r="M5004" t="str">
            <v>Neblinero B</v>
          </cell>
          <cell r="O5004" t="str">
            <v>EQUIPOS DE VEHICULO</v>
          </cell>
          <cell r="P5004">
            <v>35000</v>
          </cell>
          <cell r="T5004" t="str">
            <v>Bueno</v>
          </cell>
          <cell r="U5004" t="str">
            <v>N/T</v>
          </cell>
        </row>
        <row r="5005">
          <cell r="J5005" t="str">
            <v>42-03-02-00-4997</v>
          </cell>
          <cell r="L5005" t="str">
            <v>42-03-02-00-4997</v>
          </cell>
          <cell r="M5005" t="str">
            <v>Neblinero C</v>
          </cell>
          <cell r="O5005" t="str">
            <v>EQUIPOS DE VEHICULO</v>
          </cell>
          <cell r="P5005">
            <v>35000</v>
          </cell>
          <cell r="T5005" t="str">
            <v>Bueno</v>
          </cell>
          <cell r="U5005" t="str">
            <v>N/T</v>
          </cell>
        </row>
        <row r="5006">
          <cell r="J5006" t="str">
            <v>42-03-02-00-4998</v>
          </cell>
          <cell r="L5006" t="str">
            <v>42-03-02-00-4998</v>
          </cell>
          <cell r="M5006" t="str">
            <v>Neblinero D</v>
          </cell>
          <cell r="O5006" t="str">
            <v>EQUIPOS DE VEHICULO</v>
          </cell>
          <cell r="P5006">
            <v>35000</v>
          </cell>
          <cell r="T5006" t="str">
            <v>Bueno</v>
          </cell>
          <cell r="U5006" t="str">
            <v>N/T</v>
          </cell>
        </row>
        <row r="5007">
          <cell r="J5007" t="str">
            <v>42-05-02-01-4999</v>
          </cell>
          <cell r="L5007" t="str">
            <v>42-05-02-01-4999</v>
          </cell>
          <cell r="M5007" t="str">
            <v>Tubo Oxigenos Portatiles Con Manometros</v>
          </cell>
          <cell r="O5007" t="str">
            <v>EQUIPOS CLINICOS</v>
          </cell>
          <cell r="P5007">
            <v>75000</v>
          </cell>
          <cell r="T5007" t="str">
            <v>Bueno</v>
          </cell>
          <cell r="U5007" t="str">
            <v>N/T</v>
          </cell>
        </row>
        <row r="5008">
          <cell r="J5008" t="str">
            <v>42-03-02-00-5000</v>
          </cell>
          <cell r="L5008" t="str">
            <v>42-03-02-00-5000</v>
          </cell>
          <cell r="M5008" t="str">
            <v>Toma corriente 12 V</v>
          </cell>
          <cell r="O5008" t="str">
            <v>EQUIPOS DE VEHICULO</v>
          </cell>
          <cell r="P5008">
            <v>15000</v>
          </cell>
          <cell r="T5008" t="str">
            <v>Bueno</v>
          </cell>
          <cell r="U5008" t="str">
            <v>N/T</v>
          </cell>
        </row>
        <row r="5009">
          <cell r="J5009" t="str">
            <v>42-03-02-00-5001</v>
          </cell>
          <cell r="L5009" t="str">
            <v>42-03-02-00-5001</v>
          </cell>
          <cell r="M5009" t="str">
            <v>Balizas color rojo, en esquina superior trasero</v>
          </cell>
          <cell r="O5009" t="str">
            <v>EQUIPOS DE VEHICULO</v>
          </cell>
          <cell r="P5009">
            <v>25900</v>
          </cell>
          <cell r="T5009" t="str">
            <v>Bueno</v>
          </cell>
          <cell r="U5009" t="str">
            <v>N/T</v>
          </cell>
        </row>
        <row r="5010">
          <cell r="J5010" t="str">
            <v>42-03-02-00-5002</v>
          </cell>
          <cell r="L5010" t="str">
            <v>42-03-02-00-5002</v>
          </cell>
          <cell r="M5010" t="str">
            <v>Focos perimetrales rojos en Lat Superior</v>
          </cell>
          <cell r="O5010" t="str">
            <v>EQUIPOS DE VEHICULO</v>
          </cell>
          <cell r="P5010">
            <v>14900</v>
          </cell>
          <cell r="T5010" t="str">
            <v>Bueno</v>
          </cell>
          <cell r="U5010" t="str">
            <v>N/T</v>
          </cell>
        </row>
        <row r="5011">
          <cell r="J5011" t="str">
            <v>42-03-02-00-5003</v>
          </cell>
          <cell r="L5011" t="str">
            <v>42-03-02-00-5003</v>
          </cell>
          <cell r="M5011" t="str">
            <v>Focos perimetrales rojos en Lat Superior</v>
          </cell>
          <cell r="O5011" t="str">
            <v>EQUIPOS DE VEHICULO</v>
          </cell>
          <cell r="P5011">
            <v>14900</v>
          </cell>
          <cell r="T5011" t="str">
            <v>Bueno</v>
          </cell>
          <cell r="U5011" t="str">
            <v>N/T</v>
          </cell>
        </row>
        <row r="5012">
          <cell r="J5012" t="str">
            <v>42-03-02-00-5004</v>
          </cell>
          <cell r="L5012" t="str">
            <v>42-03-02-00-5004</v>
          </cell>
          <cell r="M5012" t="str">
            <v>Focos perimetrales rojos en Lat Superior</v>
          </cell>
          <cell r="O5012" t="str">
            <v>EQUIPOS DE VEHICULO</v>
          </cell>
          <cell r="P5012">
            <v>14900</v>
          </cell>
          <cell r="T5012" t="str">
            <v>Bueno</v>
          </cell>
          <cell r="U5012" t="str">
            <v>N/T</v>
          </cell>
        </row>
        <row r="5013">
          <cell r="J5013" t="str">
            <v>42-05-02-01-5005</v>
          </cell>
          <cell r="L5013" t="str">
            <v>42-05-02-01-5005</v>
          </cell>
          <cell r="M5013" t="str">
            <v>Tabla espinal adulto</v>
          </cell>
          <cell r="O5013" t="str">
            <v>EQUIPOS CLINICOS</v>
          </cell>
          <cell r="P5013">
            <v>72900</v>
          </cell>
          <cell r="T5013" t="str">
            <v>Bueno</v>
          </cell>
          <cell r="U5013" t="str">
            <v>N/T</v>
          </cell>
        </row>
        <row r="5014">
          <cell r="J5014" t="str">
            <v>42-04-01-00-5006</v>
          </cell>
          <cell r="L5014" t="str">
            <v>42-04-01-00-5006</v>
          </cell>
          <cell r="M5014" t="str">
            <v>Mesa casino 75x120 cms., cubierta de formalita crema</v>
          </cell>
          <cell r="O5014" t="str">
            <v>MESAS</v>
          </cell>
          <cell r="P5014">
            <v>36589</v>
          </cell>
          <cell r="T5014" t="str">
            <v>Bueno</v>
          </cell>
          <cell r="U5014" t="str">
            <v>N/T</v>
          </cell>
        </row>
        <row r="5015">
          <cell r="J5015" t="str">
            <v>42-04-04-00-5007</v>
          </cell>
          <cell r="L5015" t="str">
            <v>42-04-04-00-5007</v>
          </cell>
          <cell r="M5015" t="str">
            <v>Muebles de acero inoxidable de 60x54x85</v>
          </cell>
          <cell r="O5015" t="str">
            <v>MUEBLES DE COCINA</v>
          </cell>
          <cell r="P5015">
            <v>80000</v>
          </cell>
          <cell r="T5015" t="str">
            <v>Bueno</v>
          </cell>
          <cell r="U5015" t="str">
            <v>N/T</v>
          </cell>
        </row>
        <row r="5016">
          <cell r="J5016" t="str">
            <v>42-04-04-00-5008</v>
          </cell>
          <cell r="L5016" t="str">
            <v>42-04-04-00-5008</v>
          </cell>
          <cell r="M5016" t="str">
            <v>Muebles de acero inoxidable de 60x54x85</v>
          </cell>
          <cell r="O5016" t="str">
            <v>MUEBLES DE COCINA</v>
          </cell>
          <cell r="P5016">
            <v>80000</v>
          </cell>
          <cell r="T5016" t="str">
            <v>Bueno</v>
          </cell>
          <cell r="U5016" t="str">
            <v>N/T</v>
          </cell>
        </row>
        <row r="5017">
          <cell r="J5017" t="str">
            <v>42-04-04-00-5009</v>
          </cell>
          <cell r="L5017" t="str">
            <v>42-04-04-00-5009</v>
          </cell>
          <cell r="M5017" t="str">
            <v>Muebles de acero inoxidable de 130x60x85</v>
          </cell>
          <cell r="O5017" t="str">
            <v>MUEBLES DE COCINA</v>
          </cell>
          <cell r="P5017">
            <v>80000</v>
          </cell>
          <cell r="T5017" t="str">
            <v>Bueno</v>
          </cell>
          <cell r="U5017" t="str">
            <v>N/T</v>
          </cell>
        </row>
        <row r="5018">
          <cell r="J5018" t="str">
            <v>42-04-04-00-5010</v>
          </cell>
          <cell r="L5018" t="str">
            <v>42-04-04-00-5010</v>
          </cell>
          <cell r="M5018" t="str">
            <v>Muebles de acero inoxidable de 130x60x85</v>
          </cell>
          <cell r="O5018" t="str">
            <v>MUEBLES DE COCINA</v>
          </cell>
          <cell r="P5018">
            <v>80000</v>
          </cell>
          <cell r="T5018" t="str">
            <v>Bueno</v>
          </cell>
          <cell r="U5018" t="str">
            <v>N/T</v>
          </cell>
        </row>
        <row r="5019">
          <cell r="J5019" t="str">
            <v>42-04-04-00-5011</v>
          </cell>
          <cell r="L5019" t="str">
            <v>42-04-04-00-5011</v>
          </cell>
          <cell r="M5019" t="str">
            <v>muebles de acero inoxidable de 130x60x85</v>
          </cell>
          <cell r="O5019" t="str">
            <v>MUEBLES DE COCINA</v>
          </cell>
          <cell r="P5019">
            <v>80000</v>
          </cell>
          <cell r="T5019" t="str">
            <v>Bueno</v>
          </cell>
          <cell r="U5019" t="str">
            <v>N/T</v>
          </cell>
        </row>
        <row r="5020">
          <cell r="J5020" t="str">
            <v>42-04-07-00-5012</v>
          </cell>
          <cell r="L5020" t="str">
            <v>42-04-07-00-5012</v>
          </cell>
          <cell r="M5020" t="str">
            <v>Lavamanos de loza marca fonoloza</v>
          </cell>
          <cell r="O5020" t="str">
            <v>OTROS</v>
          </cell>
          <cell r="P5020">
            <v>11000</v>
          </cell>
          <cell r="T5020" t="str">
            <v>Bueno</v>
          </cell>
          <cell r="U5020" t="str">
            <v>N/T</v>
          </cell>
        </row>
        <row r="5021">
          <cell r="J5021" t="str">
            <v>42-04-07-00-5013</v>
          </cell>
          <cell r="L5021" t="str">
            <v>42-04-07-00-5013</v>
          </cell>
          <cell r="M5021" t="str">
            <v>Lavamanos de loza marca fonoloza</v>
          </cell>
          <cell r="O5021" t="str">
            <v>OTROS</v>
          </cell>
          <cell r="P5021">
            <v>11000</v>
          </cell>
          <cell r="T5021" t="str">
            <v>Bueno</v>
          </cell>
          <cell r="U5021" t="str">
            <v>N/T</v>
          </cell>
        </row>
        <row r="5022">
          <cell r="J5022" t="str">
            <v>42-04-07-00-5014</v>
          </cell>
          <cell r="L5022" t="str">
            <v>42-04-07-00-5014</v>
          </cell>
          <cell r="M5022" t="str">
            <v>Dispensador de jabón marca Johnson</v>
          </cell>
          <cell r="O5022" t="str">
            <v>OTROS</v>
          </cell>
          <cell r="P5022">
            <v>17000</v>
          </cell>
          <cell r="T5022" t="str">
            <v>Bueno</v>
          </cell>
          <cell r="U5022" t="str">
            <v>N/T</v>
          </cell>
        </row>
        <row r="5023">
          <cell r="J5023" t="str">
            <v>42-04-07-00-5015</v>
          </cell>
          <cell r="L5023" t="str">
            <v>42-04-07-00-5015</v>
          </cell>
          <cell r="M5023" t="str">
            <v>Dispensador de jabón marca Johnson</v>
          </cell>
          <cell r="O5023" t="str">
            <v>OTROS</v>
          </cell>
          <cell r="P5023">
            <v>17000</v>
          </cell>
          <cell r="T5023" t="str">
            <v>Bueno</v>
          </cell>
          <cell r="U5023" t="str">
            <v>N/T</v>
          </cell>
        </row>
        <row r="5024">
          <cell r="J5024" t="str">
            <v>42-05-02-02-5016</v>
          </cell>
          <cell r="L5024" t="str">
            <v>42-05-02-02-5016</v>
          </cell>
          <cell r="M5024" t="str">
            <v>Refrigerador Fensa de color plomo Mod. Tension V Progess 3805</v>
          </cell>
          <cell r="O5024" t="str">
            <v>EQUIPOS DE COCINA</v>
          </cell>
          <cell r="P5024">
            <v>150000</v>
          </cell>
          <cell r="T5024" t="str">
            <v>Bueno</v>
          </cell>
          <cell r="U5024" t="str">
            <v>N/T</v>
          </cell>
        </row>
        <row r="5025">
          <cell r="J5025" t="str">
            <v>42-05-02-02-5017</v>
          </cell>
          <cell r="L5025" t="str">
            <v>42-05-02-02-5017</v>
          </cell>
          <cell r="M5025" t="str">
            <v>Refrigerador Fensa de color plomo Mod. Tension V Progess 3805</v>
          </cell>
          <cell r="O5025" t="str">
            <v>EQUIPOS DE COCINA</v>
          </cell>
          <cell r="P5025">
            <v>150000</v>
          </cell>
          <cell r="T5025" t="str">
            <v>Bueno</v>
          </cell>
          <cell r="U5025" t="str">
            <v>N/T</v>
          </cell>
        </row>
        <row r="5026">
          <cell r="J5026" t="str">
            <v>42-05-02-02-5018</v>
          </cell>
          <cell r="L5026" t="str">
            <v>42-05-02-02-5018</v>
          </cell>
          <cell r="M5026" t="str">
            <v>Caja Mediana Plastico Guarda Verduras</v>
          </cell>
          <cell r="O5026" t="str">
            <v>EQUIPOS DE COCINA</v>
          </cell>
          <cell r="P5026">
            <v>7000</v>
          </cell>
          <cell r="T5026" t="str">
            <v>Bueno</v>
          </cell>
          <cell r="U5026" t="str">
            <v>N/T</v>
          </cell>
        </row>
        <row r="5027">
          <cell r="J5027" t="str">
            <v>42-05-02-02-5019</v>
          </cell>
          <cell r="L5027" t="str">
            <v>42-05-02-02-5019</v>
          </cell>
          <cell r="M5027" t="str">
            <v xml:space="preserve">Porta Toallas </v>
          </cell>
          <cell r="O5027" t="str">
            <v>EQUIPOS DE COCINA</v>
          </cell>
          <cell r="P5027">
            <v>17000</v>
          </cell>
          <cell r="T5027" t="str">
            <v>Bueno</v>
          </cell>
          <cell r="U5027" t="str">
            <v>N/T</v>
          </cell>
        </row>
        <row r="5028">
          <cell r="J5028" t="str">
            <v>42-05-02-02-5020</v>
          </cell>
          <cell r="L5028" t="str">
            <v>42-05-02-02-5020</v>
          </cell>
          <cell r="M5028" t="str">
            <v xml:space="preserve">Porta Toallas </v>
          </cell>
          <cell r="O5028" t="str">
            <v>EQUIPOS DE COCINA</v>
          </cell>
          <cell r="P5028">
            <v>17000</v>
          </cell>
          <cell r="T5028" t="str">
            <v>Bueno</v>
          </cell>
          <cell r="U5028" t="str">
            <v>N/T</v>
          </cell>
        </row>
        <row r="5029">
          <cell r="J5029" t="str">
            <v>42-04-07-00-5021</v>
          </cell>
          <cell r="L5029" t="str">
            <v>42-04-07-00-5021</v>
          </cell>
          <cell r="M5029" t="str">
            <v>Mueble Mixto Metal Melamina 1 Cajonera Chica 1 Cajonera Grande al Pie espacio Intermedio</v>
          </cell>
          <cell r="O5029" t="str">
            <v>OTROS</v>
          </cell>
          <cell r="P5029">
            <v>29990</v>
          </cell>
          <cell r="T5029" t="str">
            <v>Bueno</v>
          </cell>
          <cell r="U5029" t="str">
            <v>N/T</v>
          </cell>
        </row>
        <row r="5030">
          <cell r="J5030" t="str">
            <v>42-04-07-00-5022</v>
          </cell>
          <cell r="L5030" t="str">
            <v>42-04-07-00-5022</v>
          </cell>
          <cell r="M5030" t="str">
            <v>Mueble Mixto Metal Melamina 1 Cajonera Chica 1 Cajonera Grande al Pie espacio Intermedio</v>
          </cell>
          <cell r="O5030" t="str">
            <v>OTROS</v>
          </cell>
          <cell r="P5030">
            <v>29990</v>
          </cell>
          <cell r="T5030" t="str">
            <v>Bueno</v>
          </cell>
          <cell r="U5030" t="str">
            <v>N/T</v>
          </cell>
        </row>
        <row r="5031">
          <cell r="J5031" t="str">
            <v>42-05-02-07-5023</v>
          </cell>
          <cell r="L5031" t="str">
            <v>42-05-02-07-5023</v>
          </cell>
          <cell r="M5031" t="str">
            <v>Pedestal RSM 300 PROEL</v>
          </cell>
          <cell r="O5031" t="str">
            <v>EQUIPOS DE AUDIO</v>
          </cell>
          <cell r="P5031">
            <v>19900</v>
          </cell>
          <cell r="T5031" t="str">
            <v>Bueno</v>
          </cell>
          <cell r="U5031" t="str">
            <v>N/T</v>
          </cell>
        </row>
        <row r="5032">
          <cell r="J5032" t="str">
            <v>42-05-02-01-5024</v>
          </cell>
          <cell r="L5032" t="str">
            <v>42-05-02-01-5024</v>
          </cell>
          <cell r="M5032" t="str">
            <v>Central Oxigeno</v>
          </cell>
          <cell r="O5032" t="str">
            <v>EQUIPOS CLINICOS</v>
          </cell>
          <cell r="P5032">
            <v>9000</v>
          </cell>
          <cell r="T5032" t="str">
            <v>Bueno</v>
          </cell>
          <cell r="U5032" t="str">
            <v>N/T</v>
          </cell>
        </row>
        <row r="5033">
          <cell r="J5033" t="str">
            <v>42-05-02-01-5025</v>
          </cell>
          <cell r="L5033" t="str">
            <v>42-05-02-01-5025</v>
          </cell>
          <cell r="M5033" t="str">
            <v>Bomba Aspiracion</v>
          </cell>
          <cell r="O5033" t="str">
            <v>EQUIPOS CLINICOS</v>
          </cell>
          <cell r="P5033">
            <v>19000</v>
          </cell>
          <cell r="T5033" t="str">
            <v>Bueno</v>
          </cell>
          <cell r="U5033" t="str">
            <v>N/T</v>
          </cell>
        </row>
        <row r="5034">
          <cell r="J5034" t="str">
            <v>42-05-02-01-5026</v>
          </cell>
          <cell r="L5034" t="str">
            <v>42-05-02-01-5026</v>
          </cell>
          <cell r="M5034" t="str">
            <v>Recolector Aspiracion</v>
          </cell>
          <cell r="O5034" t="str">
            <v>EQUIPOS CLINICOS</v>
          </cell>
          <cell r="P5034">
            <v>12000</v>
          </cell>
          <cell r="T5034" t="str">
            <v>Bueno</v>
          </cell>
          <cell r="U5034" t="str">
            <v>N/T</v>
          </cell>
        </row>
        <row r="5035">
          <cell r="J5035" t="str">
            <v>42-05-02-01-5027</v>
          </cell>
          <cell r="L5035" t="str">
            <v>42-05-02-01-5027</v>
          </cell>
          <cell r="M5035" t="str">
            <v>Silla de Ruedas Standard Negra</v>
          </cell>
          <cell r="O5035" t="str">
            <v>EQUIPOS CLINICOS</v>
          </cell>
          <cell r="P5035">
            <v>89990</v>
          </cell>
          <cell r="T5035" t="str">
            <v>Bueno</v>
          </cell>
          <cell r="U5035" t="str">
            <v>N/T</v>
          </cell>
        </row>
        <row r="5036">
          <cell r="J5036" t="str">
            <v>42-04-01-00-5028</v>
          </cell>
          <cell r="L5036" t="str">
            <v>42-04-01-00-5028</v>
          </cell>
          <cell r="M5036" t="str">
            <v>Mesa metálica con cubierta de formalita color verde de 55x45x80 cms.</v>
          </cell>
          <cell r="O5036" t="str">
            <v>MESAS</v>
          </cell>
          <cell r="P5036">
            <v>20000</v>
          </cell>
          <cell r="T5036" t="str">
            <v>Bueno</v>
          </cell>
          <cell r="U5036" t="str">
            <v>N/T</v>
          </cell>
        </row>
        <row r="5037">
          <cell r="J5037" t="str">
            <v>42-04-02-00-5029</v>
          </cell>
          <cell r="L5037" t="str">
            <v>42-04-02-00-5029</v>
          </cell>
          <cell r="M5037" t="str">
            <v>Silla mixta asiento y respaldo en formalita café claro</v>
          </cell>
          <cell r="O5037" t="str">
            <v>SILLAS</v>
          </cell>
          <cell r="P5037">
            <v>17850</v>
          </cell>
          <cell r="T5037" t="str">
            <v>Bueno</v>
          </cell>
          <cell r="U5037" t="str">
            <v>N/T</v>
          </cell>
        </row>
        <row r="5038">
          <cell r="J5038" t="str">
            <v>42-04-02-00-5030</v>
          </cell>
          <cell r="L5038" t="str">
            <v>42-04-02-00-5030</v>
          </cell>
          <cell r="M5038" t="str">
            <v>Silla Mixta Formalita Café Claro</v>
          </cell>
          <cell r="O5038" t="str">
            <v>SILLAS</v>
          </cell>
          <cell r="P5038">
            <v>6902</v>
          </cell>
          <cell r="T5038" t="str">
            <v>Bueno</v>
          </cell>
          <cell r="U5038" t="str">
            <v>N/T</v>
          </cell>
        </row>
        <row r="5039">
          <cell r="J5039" t="str">
            <v>42-04-07-00-5031</v>
          </cell>
          <cell r="L5039" t="str">
            <v>42-04-07-00-5031</v>
          </cell>
          <cell r="M5039" t="str">
            <v>Cajas Wenco Mod. Pretty 28 Lts. color calipso c/tapa</v>
          </cell>
          <cell r="O5039" t="str">
            <v>OTROS</v>
          </cell>
          <cell r="P5039">
            <v>4000</v>
          </cell>
          <cell r="T5039" t="str">
            <v>Bueno</v>
          </cell>
          <cell r="U5039" t="str">
            <v xml:space="preserve">Wenco </v>
          </cell>
        </row>
        <row r="5040">
          <cell r="J5040" t="str">
            <v>42-04-07-00-5032</v>
          </cell>
          <cell r="L5040" t="str">
            <v>42-04-07-00-5032</v>
          </cell>
          <cell r="M5040" t="str">
            <v>Cajas Wenco Mod. Pretty 28 Lts. color calipso c/tapa</v>
          </cell>
          <cell r="O5040" t="str">
            <v>OTROS</v>
          </cell>
          <cell r="P5040">
            <v>4000</v>
          </cell>
          <cell r="T5040" t="str">
            <v>Bueno</v>
          </cell>
          <cell r="U5040" t="str">
            <v xml:space="preserve">Wenco </v>
          </cell>
        </row>
        <row r="5041">
          <cell r="J5041" t="str">
            <v>42-04-07-00-5033</v>
          </cell>
          <cell r="L5041" t="str">
            <v>42-04-07-00-5033</v>
          </cell>
          <cell r="M5041" t="str">
            <v>Cajas Wenco Mod. Pretty 28 Lts. color calipso c/tapa</v>
          </cell>
          <cell r="O5041" t="str">
            <v>OTROS</v>
          </cell>
          <cell r="P5041">
            <v>4000</v>
          </cell>
          <cell r="T5041" t="str">
            <v>Bueno</v>
          </cell>
          <cell r="U5041" t="str">
            <v xml:space="preserve">Wenco </v>
          </cell>
        </row>
        <row r="5042">
          <cell r="J5042" t="str">
            <v>42-04-07-00-5034</v>
          </cell>
          <cell r="L5042" t="str">
            <v>42-04-07-00-5034</v>
          </cell>
          <cell r="M5042" t="str">
            <v>Cajas Wenco Mod. Pretty 28 Lts. color calipso c/tapa</v>
          </cell>
          <cell r="O5042" t="str">
            <v>OTROS</v>
          </cell>
          <cell r="P5042">
            <v>4000</v>
          </cell>
          <cell r="T5042" t="str">
            <v>Bueno</v>
          </cell>
          <cell r="U5042" t="str">
            <v xml:space="preserve">Wenco </v>
          </cell>
        </row>
        <row r="5043">
          <cell r="J5043" t="str">
            <v>42-04-07-00-5035</v>
          </cell>
          <cell r="L5043" t="str">
            <v>42-04-07-00-5035</v>
          </cell>
          <cell r="M5043" t="str">
            <v>Cajas Wenco Mod. Pretty 28 Lts. color calipso c/tapa</v>
          </cell>
          <cell r="O5043" t="str">
            <v>OTROS</v>
          </cell>
          <cell r="P5043">
            <v>4000</v>
          </cell>
          <cell r="T5043" t="str">
            <v>Bueno</v>
          </cell>
          <cell r="U5043" t="str">
            <v xml:space="preserve">Wenco </v>
          </cell>
        </row>
        <row r="5044">
          <cell r="J5044" t="str">
            <v>42-04-07-00-5036</v>
          </cell>
          <cell r="L5044" t="str">
            <v>42-04-07-00-5036</v>
          </cell>
          <cell r="M5044" t="str">
            <v>Cajas Wenco Mod. Pretty 28 Lts. color calipso c/tapa</v>
          </cell>
          <cell r="O5044" t="str">
            <v>OTROS</v>
          </cell>
          <cell r="P5044">
            <v>4000</v>
          </cell>
          <cell r="T5044" t="str">
            <v>Bueno</v>
          </cell>
          <cell r="U5044" t="str">
            <v xml:space="preserve">Wenco </v>
          </cell>
        </row>
        <row r="5045">
          <cell r="J5045" t="str">
            <v>42-04-07-00-5037</v>
          </cell>
          <cell r="L5045" t="str">
            <v>42-04-07-00-5037</v>
          </cell>
          <cell r="M5045" t="str">
            <v>Mural de madera</v>
          </cell>
          <cell r="O5045" t="str">
            <v>OTROS</v>
          </cell>
          <cell r="P5045">
            <v>29750</v>
          </cell>
          <cell r="T5045" t="str">
            <v>Bueno</v>
          </cell>
          <cell r="U5045" t="str">
            <v>N/T</v>
          </cell>
        </row>
        <row r="5046">
          <cell r="J5046" t="str">
            <v>42-04-02-00-5038</v>
          </cell>
          <cell r="L5046" t="str">
            <v>42-04-02-00-5038</v>
          </cell>
          <cell r="M5046" t="str">
            <v>Silla de Madera Color Blanco</v>
          </cell>
          <cell r="O5046" t="str">
            <v>SILLAS</v>
          </cell>
          <cell r="P5046">
            <v>8990</v>
          </cell>
          <cell r="T5046" t="str">
            <v>Bueno</v>
          </cell>
          <cell r="U5046" t="str">
            <v>N/T</v>
          </cell>
        </row>
        <row r="5047">
          <cell r="J5047" t="str">
            <v>42-04-07-00-5039</v>
          </cell>
          <cell r="L5047" t="str">
            <v>42-04-07-00-5039</v>
          </cell>
          <cell r="M5047" t="str">
            <v>Bomba Circuladora de Agua MOTOR ANWO Verde</v>
          </cell>
          <cell r="O5047" t="str">
            <v>OTROS</v>
          </cell>
          <cell r="P5047">
            <v>180000</v>
          </cell>
          <cell r="T5047" t="str">
            <v>Bueno</v>
          </cell>
          <cell r="U5047" t="str">
            <v>ANWO</v>
          </cell>
        </row>
        <row r="5048">
          <cell r="J5048" t="str">
            <v>42-04-07-00-5040</v>
          </cell>
          <cell r="L5048" t="str">
            <v>42-04-07-00-5040</v>
          </cell>
          <cell r="M5048" t="str">
            <v>Bomba Circuladora de Agua MOTOR ANWO Verde</v>
          </cell>
          <cell r="O5048" t="str">
            <v>OTROS</v>
          </cell>
          <cell r="P5048">
            <v>180000</v>
          </cell>
          <cell r="T5048" t="str">
            <v>Bueno</v>
          </cell>
          <cell r="U5048" t="str">
            <v>ANWO</v>
          </cell>
        </row>
        <row r="5049">
          <cell r="J5049" t="str">
            <v>42-04-07-00-5041</v>
          </cell>
          <cell r="L5049" t="str">
            <v>42-04-07-00-5041</v>
          </cell>
          <cell r="M5049" t="str">
            <v>Bomba Circuladora de Agua MOTOR ANWO Verde</v>
          </cell>
          <cell r="O5049" t="str">
            <v>OTROS</v>
          </cell>
          <cell r="P5049">
            <v>180000</v>
          </cell>
          <cell r="T5049" t="str">
            <v>Bueno</v>
          </cell>
          <cell r="U5049" t="str">
            <v>ANWO</v>
          </cell>
        </row>
        <row r="5050">
          <cell r="J5050" t="str">
            <v>42-04-07-00-5042</v>
          </cell>
          <cell r="L5050" t="str">
            <v>42-04-07-00-5042</v>
          </cell>
          <cell r="M5050" t="str">
            <v>Bomba Circuladora de Agua MOTOR ANWO Verde</v>
          </cell>
          <cell r="O5050" t="str">
            <v>OTROS</v>
          </cell>
          <cell r="P5050">
            <v>180000</v>
          </cell>
          <cell r="T5050" t="str">
            <v>Bueno</v>
          </cell>
          <cell r="U5050" t="str">
            <v>ANWO</v>
          </cell>
        </row>
        <row r="5051">
          <cell r="J5051" t="str">
            <v>42-04-07-00-5043</v>
          </cell>
          <cell r="L5051" t="str">
            <v>42-04-07-00-5043</v>
          </cell>
          <cell r="M5051" t="str">
            <v>Bomba Circuladora de Agua MOTOR ANWO Verde</v>
          </cell>
          <cell r="O5051" t="str">
            <v>OTROS</v>
          </cell>
          <cell r="P5051">
            <v>180000</v>
          </cell>
          <cell r="T5051" t="str">
            <v>Bueno</v>
          </cell>
          <cell r="U5051" t="str">
            <v>ANWO</v>
          </cell>
        </row>
        <row r="5052">
          <cell r="J5052" t="str">
            <v>42-04-07-00-5044</v>
          </cell>
          <cell r="L5052" t="str">
            <v>42-04-07-00-5044</v>
          </cell>
          <cell r="M5052" t="str">
            <v>Bomba Circuladora de Agua MOTOR ANWO Verde</v>
          </cell>
          <cell r="O5052" t="str">
            <v>OTROS</v>
          </cell>
          <cell r="P5052">
            <v>180000</v>
          </cell>
          <cell r="T5052" t="str">
            <v>Bueno</v>
          </cell>
          <cell r="U5052" t="str">
            <v>ANWO</v>
          </cell>
        </row>
        <row r="5053">
          <cell r="J5053" t="str">
            <v>42-04-07-00-5045</v>
          </cell>
          <cell r="L5053" t="str">
            <v>42-04-07-00-5045</v>
          </cell>
          <cell r="M5053" t="str">
            <v>Bomba Circuladora de Agua DAB PUMPS A 11/18OXMX</v>
          </cell>
          <cell r="O5053" t="str">
            <v>OTROS</v>
          </cell>
          <cell r="P5053">
            <v>180000</v>
          </cell>
          <cell r="T5053" t="str">
            <v>Bueno</v>
          </cell>
          <cell r="U5053" t="str">
            <v>DAB</v>
          </cell>
        </row>
        <row r="5054">
          <cell r="J5054" t="str">
            <v>42-04-07-00-5046</v>
          </cell>
          <cell r="L5054" t="str">
            <v>42-04-07-00-5046</v>
          </cell>
          <cell r="M5054" t="str">
            <v>Bomba Circuladora de Agua DAB PUMPS A 11/18OXMX</v>
          </cell>
          <cell r="O5054" t="str">
            <v>OTROS</v>
          </cell>
          <cell r="P5054">
            <v>180000</v>
          </cell>
          <cell r="T5054" t="str">
            <v>Bueno</v>
          </cell>
          <cell r="U5054" t="str">
            <v>DAB</v>
          </cell>
        </row>
        <row r="5055">
          <cell r="J5055" t="str">
            <v>42-04-07-00-5047</v>
          </cell>
          <cell r="L5055" t="str">
            <v>42-04-07-00-5047</v>
          </cell>
          <cell r="M5055" t="str">
            <v>Bomba Circuladora de Agua DAB PUMPS A 11/18OXMX</v>
          </cell>
          <cell r="O5055" t="str">
            <v>OTROS</v>
          </cell>
          <cell r="P5055">
            <v>180000</v>
          </cell>
          <cell r="T5055" t="str">
            <v>Bueno</v>
          </cell>
          <cell r="U5055" t="str">
            <v>DAB</v>
          </cell>
        </row>
        <row r="5056">
          <cell r="J5056" t="str">
            <v>42-04-07-00-5048</v>
          </cell>
          <cell r="L5056" t="str">
            <v>42-04-07-00-5048</v>
          </cell>
          <cell r="M5056" t="str">
            <v>Bomba Estanque Agua Caliente DAB VS 65 / 150</v>
          </cell>
          <cell r="O5056" t="str">
            <v>OTROS</v>
          </cell>
          <cell r="P5056">
            <v>150000</v>
          </cell>
          <cell r="T5056" t="str">
            <v>Bueno</v>
          </cell>
          <cell r="U5056" t="str">
            <v>DAB</v>
          </cell>
        </row>
        <row r="5057">
          <cell r="J5057" t="str">
            <v>42-04-07-00-5049</v>
          </cell>
          <cell r="L5057" t="str">
            <v>42-04-07-00-5049</v>
          </cell>
          <cell r="M5057" t="str">
            <v>Basurero Mediano Color Gris Con Tapa y Pedestal</v>
          </cell>
          <cell r="O5057" t="str">
            <v>OTROS</v>
          </cell>
          <cell r="P5057">
            <v>4800</v>
          </cell>
          <cell r="T5057" t="str">
            <v>Bueno</v>
          </cell>
          <cell r="U5057" t="str">
            <v>N/T</v>
          </cell>
        </row>
        <row r="5058">
          <cell r="J5058" t="str">
            <v>42-04-07-00-5050</v>
          </cell>
          <cell r="L5058" t="str">
            <v>42-04-07-00-5050</v>
          </cell>
          <cell r="M5058" t="str">
            <v>Basurero Mediano Color Gris Con Tapa y Pedestal</v>
          </cell>
          <cell r="O5058" t="str">
            <v>OTROS</v>
          </cell>
          <cell r="P5058">
            <v>4800</v>
          </cell>
          <cell r="T5058" t="str">
            <v>Bueno</v>
          </cell>
          <cell r="U5058" t="str">
            <v>N/T</v>
          </cell>
        </row>
        <row r="5059">
          <cell r="J5059" t="str">
            <v>42-04-07-00-5051</v>
          </cell>
          <cell r="L5059" t="str">
            <v>42-04-07-00-5051</v>
          </cell>
          <cell r="M5059" t="str">
            <v>Porta Toallas TORK</v>
          </cell>
          <cell r="O5059" t="str">
            <v>OTROS</v>
          </cell>
          <cell r="P5059">
            <v>17000</v>
          </cell>
          <cell r="T5059" t="str">
            <v>Bueno</v>
          </cell>
          <cell r="U5059" t="str">
            <v>TORK</v>
          </cell>
        </row>
        <row r="5060">
          <cell r="J5060" t="str">
            <v>42-05-02-01-5052</v>
          </cell>
          <cell r="L5060" t="str">
            <v>42-05-02-01-5052</v>
          </cell>
          <cell r="M5060" t="str">
            <v>Manometro Oxigeno con Humidificador</v>
          </cell>
          <cell r="O5060" t="str">
            <v>EQUIPOS CLINICOS</v>
          </cell>
          <cell r="P5060">
            <v>42900</v>
          </cell>
          <cell r="T5060" t="str">
            <v>Bueno</v>
          </cell>
          <cell r="U5060" t="str">
            <v>N/T</v>
          </cell>
        </row>
        <row r="5061">
          <cell r="J5061" t="str">
            <v>42-05-02-01-5053</v>
          </cell>
          <cell r="L5061" t="str">
            <v>42-05-02-01-5053</v>
          </cell>
          <cell r="M5061" t="str">
            <v>Manometro Oxigeno con Humidificador</v>
          </cell>
          <cell r="O5061" t="str">
            <v>EQUIPOS CLINICOS</v>
          </cell>
          <cell r="P5061">
            <v>42900</v>
          </cell>
          <cell r="T5061" t="str">
            <v>Bueno</v>
          </cell>
          <cell r="U5061" t="str">
            <v>N/T</v>
          </cell>
        </row>
        <row r="5062">
          <cell r="J5062" t="str">
            <v>42-05-02-01-5054</v>
          </cell>
          <cell r="L5062" t="str">
            <v>42-05-02-01-5054</v>
          </cell>
          <cell r="M5062" t="str">
            <v>Sistema Aspiración Central</v>
          </cell>
          <cell r="O5062" t="str">
            <v>EQUIPOS CLINICOS</v>
          </cell>
          <cell r="P5062">
            <v>35600</v>
          </cell>
          <cell r="T5062" t="str">
            <v>Bueno</v>
          </cell>
          <cell r="U5062" t="str">
            <v>N/T</v>
          </cell>
        </row>
        <row r="5063">
          <cell r="J5063" t="str">
            <v>42-05-02-01-5055</v>
          </cell>
          <cell r="L5063" t="str">
            <v>42-05-02-01-5055</v>
          </cell>
          <cell r="M5063" t="str">
            <v>Sistema Aspiración Central</v>
          </cell>
          <cell r="O5063" t="str">
            <v>EQUIPOS CLINICOS</v>
          </cell>
          <cell r="P5063">
            <v>35600</v>
          </cell>
          <cell r="T5063" t="str">
            <v>Bueno</v>
          </cell>
          <cell r="U5063" t="str">
            <v>N/T</v>
          </cell>
        </row>
        <row r="5064">
          <cell r="J5064" t="str">
            <v>42-05-02-01-5056</v>
          </cell>
          <cell r="L5064" t="str">
            <v>42-05-02-01-5056</v>
          </cell>
          <cell r="M5064" t="str">
            <v>Manometro Oxigeno con Humidificador</v>
          </cell>
          <cell r="O5064" t="str">
            <v>EQUIPOS CLINICOS</v>
          </cell>
          <cell r="P5064">
            <v>42900</v>
          </cell>
          <cell r="T5064" t="str">
            <v>Bueno</v>
          </cell>
          <cell r="U5064" t="str">
            <v>N/T</v>
          </cell>
        </row>
        <row r="5065">
          <cell r="J5065" t="str">
            <v>42-05-02-01-5057</v>
          </cell>
          <cell r="L5065" t="str">
            <v>42-05-02-01-5057</v>
          </cell>
          <cell r="M5065" t="str">
            <v>Sistema Aspiración Central</v>
          </cell>
          <cell r="O5065" t="str">
            <v>EQUIPOS CLINICOS</v>
          </cell>
          <cell r="P5065">
            <v>35600</v>
          </cell>
          <cell r="T5065" t="str">
            <v>Bueno</v>
          </cell>
          <cell r="U5065" t="str">
            <v>N/T</v>
          </cell>
        </row>
        <row r="5066">
          <cell r="J5066" t="str">
            <v>42-04-07-00-5058</v>
          </cell>
          <cell r="L5066" t="str">
            <v>42-04-07-00-5058</v>
          </cell>
          <cell r="M5066" t="str">
            <v>Lavamanos con Pedestal Loza Blanco C/Llave Monomando</v>
          </cell>
          <cell r="O5066" t="str">
            <v>OTROS</v>
          </cell>
          <cell r="P5066">
            <v>11000</v>
          </cell>
          <cell r="T5066" t="str">
            <v>Bueno</v>
          </cell>
          <cell r="U5066" t="str">
            <v>N/T</v>
          </cell>
        </row>
        <row r="5067">
          <cell r="J5067" t="str">
            <v>42-04-07-00-5059</v>
          </cell>
          <cell r="L5067" t="str">
            <v>42-04-07-00-5059</v>
          </cell>
          <cell r="M5067" t="str">
            <v>Lavamanos con Pedestal Loza Blanco C/Llave Monomando</v>
          </cell>
          <cell r="O5067" t="str">
            <v>OTROS</v>
          </cell>
          <cell r="P5067">
            <v>11000</v>
          </cell>
          <cell r="T5067" t="str">
            <v>Bueno</v>
          </cell>
          <cell r="U5067" t="str">
            <v>N/T</v>
          </cell>
        </row>
        <row r="5068">
          <cell r="J5068" t="str">
            <v>42-04-07-00-5060</v>
          </cell>
          <cell r="L5068" t="str">
            <v>42-04-07-00-5060</v>
          </cell>
          <cell r="M5068" t="str">
            <v>Dispensadores confort Pisa</v>
          </cell>
          <cell r="O5068" t="str">
            <v>OTROS</v>
          </cell>
          <cell r="P5068">
            <v>17000</v>
          </cell>
          <cell r="T5068" t="str">
            <v>Bueno</v>
          </cell>
          <cell r="U5068" t="str">
            <v>PISA</v>
          </cell>
        </row>
        <row r="5069">
          <cell r="J5069" t="str">
            <v>42-04-07-00-5061</v>
          </cell>
          <cell r="L5069" t="str">
            <v>42-04-07-00-5061</v>
          </cell>
          <cell r="M5069" t="str">
            <v>Dispensadores confort Pisa</v>
          </cell>
          <cell r="O5069" t="str">
            <v>OTROS</v>
          </cell>
          <cell r="P5069">
            <v>17000</v>
          </cell>
          <cell r="T5069" t="str">
            <v>Bueno</v>
          </cell>
          <cell r="U5069" t="str">
            <v>PISA</v>
          </cell>
        </row>
        <row r="5070">
          <cell r="J5070" t="str">
            <v>42-05-02-01-5062</v>
          </cell>
          <cell r="L5070" t="str">
            <v>42-05-02-01-5062</v>
          </cell>
          <cell r="M5070" t="str">
            <v>Oxímetro de pulso, marca Nellcor,  modelo N-560, Serie 011510120102</v>
          </cell>
          <cell r="O5070" t="str">
            <v>EQUIPOS CLINICOS</v>
          </cell>
          <cell r="P5070">
            <v>725900</v>
          </cell>
          <cell r="T5070" t="str">
            <v>Bueno</v>
          </cell>
          <cell r="U5070" t="str">
            <v>Nellcor</v>
          </cell>
        </row>
        <row r="5071">
          <cell r="J5071" t="str">
            <v>42-04-07-00-5063</v>
          </cell>
          <cell r="L5071" t="str">
            <v>42-04-07-00-5063</v>
          </cell>
          <cell r="M5071" t="str">
            <v>Caja Madera 30 X 20 CM Color Miel</v>
          </cell>
          <cell r="O5071" t="str">
            <v>OTROS</v>
          </cell>
          <cell r="P5071">
            <v>4500</v>
          </cell>
          <cell r="T5071" t="str">
            <v>Bueno</v>
          </cell>
          <cell r="U5071" t="str">
            <v>N/T</v>
          </cell>
        </row>
        <row r="5072">
          <cell r="J5072" t="str">
            <v>42-04-07-00-5064</v>
          </cell>
          <cell r="L5072" t="str">
            <v>42-04-07-00-5064</v>
          </cell>
          <cell r="M5072" t="str">
            <v>Cuadro Pared 50 X 25 Marco De Madera Color Miel con Vidrio</v>
          </cell>
          <cell r="O5072" t="str">
            <v>OTROS</v>
          </cell>
          <cell r="P5072">
            <v>9500</v>
          </cell>
          <cell r="T5072" t="str">
            <v>Bueno</v>
          </cell>
          <cell r="U5072" t="str">
            <v>N/T</v>
          </cell>
        </row>
        <row r="5073">
          <cell r="J5073" t="str">
            <v>42-05-02-02-5065</v>
          </cell>
          <cell r="L5073" t="str">
            <v>42-05-02-02-5065</v>
          </cell>
          <cell r="M5073" t="str">
            <v>Cocina de fierro industrial con 6 platos a gas marca broboinox ltda.</v>
          </cell>
          <cell r="O5073" t="str">
            <v>EQUIPOS DE COCINA</v>
          </cell>
          <cell r="P5073">
            <v>450000</v>
          </cell>
          <cell r="T5073" t="str">
            <v>Bueno</v>
          </cell>
          <cell r="U5073" t="str">
            <v>Broboinox</v>
          </cell>
        </row>
        <row r="5074">
          <cell r="J5074" t="str">
            <v>42-05-02-01-5066</v>
          </cell>
          <cell r="L5074" t="str">
            <v>42-05-02-01-5066</v>
          </cell>
          <cell r="M5074" t="str">
            <v>Cilindros Oxigeno Blancos</v>
          </cell>
          <cell r="O5074" t="str">
            <v>EQUIPOS CLINICOS</v>
          </cell>
          <cell r="P5074">
            <v>35000</v>
          </cell>
          <cell r="T5074" t="str">
            <v>Bueno</v>
          </cell>
          <cell r="U5074" t="str">
            <v>N/T</v>
          </cell>
        </row>
        <row r="5075">
          <cell r="J5075" t="str">
            <v>42-05-02-01-5067</v>
          </cell>
          <cell r="L5075" t="str">
            <v>42-05-02-01-5067</v>
          </cell>
          <cell r="M5075" t="str">
            <v>Sistema Regulador Oxigeno y Aire Medico</v>
          </cell>
          <cell r="O5075" t="str">
            <v>EQUIPOS CLINICOS</v>
          </cell>
          <cell r="P5075">
            <v>66500</v>
          </cell>
          <cell r="T5075" t="str">
            <v>Bueno</v>
          </cell>
          <cell r="U5075" t="str">
            <v>N/T</v>
          </cell>
        </row>
        <row r="5076">
          <cell r="J5076" t="str">
            <v>42-05-02-01-5068</v>
          </cell>
          <cell r="L5076" t="str">
            <v>42-05-02-01-5068</v>
          </cell>
          <cell r="M5076" t="str">
            <v>Sistema Regulador Oxigeno y Aire Medico</v>
          </cell>
          <cell r="O5076" t="str">
            <v>EQUIPOS CLINICOS</v>
          </cell>
          <cell r="P5076">
            <v>66500</v>
          </cell>
          <cell r="T5076" t="str">
            <v>Bueno</v>
          </cell>
          <cell r="U5076" t="str">
            <v>N/T</v>
          </cell>
        </row>
        <row r="5077">
          <cell r="J5077" t="str">
            <v>42-04-02-00-5069</v>
          </cell>
          <cell r="L5077" t="str">
            <v>42-04-02-00-5069</v>
          </cell>
          <cell r="M5077" t="str">
            <v>Silla cajero alta regulable, lana color gris</v>
          </cell>
          <cell r="O5077" t="str">
            <v>SILLAS</v>
          </cell>
          <cell r="P5077">
            <v>47000</v>
          </cell>
          <cell r="T5077" t="str">
            <v>Bueno</v>
          </cell>
          <cell r="U5077" t="str">
            <v>N/T</v>
          </cell>
        </row>
        <row r="5078">
          <cell r="J5078" t="str">
            <v>42-05-02-03-5070</v>
          </cell>
          <cell r="L5078" t="str">
            <v>42-05-02-03-5070</v>
          </cell>
          <cell r="M5078" t="str">
            <v>Radio intercomunicadora marca Motorola Mod. T 5320 S/Nº 03211-0091835 con cargador</v>
          </cell>
          <cell r="O5078" t="str">
            <v>EQUIPOS DE COMUNICACIÓN</v>
          </cell>
          <cell r="P5078">
            <v>10000</v>
          </cell>
          <cell r="T5078" t="str">
            <v>Bueno</v>
          </cell>
          <cell r="U5078" t="str">
            <v>MOTOROLA</v>
          </cell>
        </row>
        <row r="5079">
          <cell r="J5079" t="str">
            <v>42-04-06-00-5071</v>
          </cell>
          <cell r="L5079" t="str">
            <v>42-04-06-00-5071</v>
          </cell>
          <cell r="M5079" t="str">
            <v>Repisa c/soporte metálico melamina blanca</v>
          </cell>
          <cell r="O5079" t="str">
            <v>REPISA</v>
          </cell>
          <cell r="P5079">
            <v>5000</v>
          </cell>
          <cell r="T5079" t="str">
            <v>Bueno</v>
          </cell>
          <cell r="U5079" t="str">
            <v>N/T</v>
          </cell>
        </row>
        <row r="5080">
          <cell r="J5080" t="str">
            <v>42-04-07-00-5072</v>
          </cell>
          <cell r="L5080" t="str">
            <v>42-04-07-00-5072</v>
          </cell>
          <cell r="M5080" t="str">
            <v>Fuenton Lavamanos Loza (De Instalación)</v>
          </cell>
          <cell r="O5080" t="str">
            <v>OTROS</v>
          </cell>
          <cell r="P5080">
            <v>3500</v>
          </cell>
          <cell r="T5080" t="str">
            <v>Bueno</v>
          </cell>
          <cell r="U5080" t="str">
            <v>N/T</v>
          </cell>
        </row>
        <row r="5081">
          <cell r="J5081" t="str">
            <v>42-04-07-00-5073</v>
          </cell>
          <cell r="L5081" t="str">
            <v>42-04-07-00-5073</v>
          </cell>
          <cell r="M5081" t="str">
            <v>Balancines Chicos Para Niños</v>
          </cell>
          <cell r="O5081" t="str">
            <v>OTROS</v>
          </cell>
          <cell r="P5081">
            <v>15600</v>
          </cell>
          <cell r="T5081" t="str">
            <v>Bueno</v>
          </cell>
          <cell r="U5081" t="str">
            <v>N/T</v>
          </cell>
        </row>
        <row r="5082">
          <cell r="J5082" t="str">
            <v>42-04-07-00-5074</v>
          </cell>
          <cell r="L5082" t="str">
            <v>42-04-07-00-5074</v>
          </cell>
          <cell r="M5082" t="str">
            <v>Balancines Chicos Para Niños</v>
          </cell>
          <cell r="O5082" t="str">
            <v>OTROS</v>
          </cell>
          <cell r="P5082">
            <v>15600</v>
          </cell>
          <cell r="T5082" t="str">
            <v>Bueno</v>
          </cell>
          <cell r="U5082" t="str">
            <v>N/T</v>
          </cell>
        </row>
        <row r="5083">
          <cell r="J5083" t="str">
            <v>42-04-07-00-5075</v>
          </cell>
          <cell r="L5083" t="str">
            <v>42-04-07-00-5075</v>
          </cell>
          <cell r="M5083" t="str">
            <v>Porta Toalla Tork Mediano</v>
          </cell>
          <cell r="O5083" t="str">
            <v>OTROS</v>
          </cell>
          <cell r="P5083">
            <v>17000</v>
          </cell>
          <cell r="T5083" t="str">
            <v>Bueno</v>
          </cell>
          <cell r="U5083" t="str">
            <v>TORK</v>
          </cell>
        </row>
        <row r="5084">
          <cell r="J5084" t="str">
            <v>42-04-02-00-5076</v>
          </cell>
          <cell r="L5084" t="str">
            <v>42-04-02-00-5076</v>
          </cell>
          <cell r="M5084" t="str">
            <v>Silla Mixta Pequeña de Niño Roja</v>
          </cell>
          <cell r="O5084" t="str">
            <v>SILLAS</v>
          </cell>
          <cell r="P5084">
            <v>5200</v>
          </cell>
          <cell r="T5084" t="str">
            <v>Bueno</v>
          </cell>
          <cell r="U5084" t="str">
            <v>N/T</v>
          </cell>
        </row>
        <row r="5085">
          <cell r="J5085" t="str">
            <v>42-04-02-00-5077</v>
          </cell>
          <cell r="L5085" t="str">
            <v>42-04-02-00-5077</v>
          </cell>
          <cell r="M5085" t="str">
            <v>Silla Mixta Pequeña de Niño Amarilla</v>
          </cell>
          <cell r="O5085" t="str">
            <v>SILLAS</v>
          </cell>
          <cell r="P5085">
            <v>5200</v>
          </cell>
          <cell r="T5085" t="str">
            <v>Bueno</v>
          </cell>
          <cell r="U5085" t="str">
            <v>N/T</v>
          </cell>
        </row>
        <row r="5086">
          <cell r="J5086" t="str">
            <v>42-05-02-01-5078</v>
          </cell>
          <cell r="L5086" t="str">
            <v>42-05-02-01-5078</v>
          </cell>
          <cell r="M5086" t="str">
            <v>Oximetro de Pulso Modelo CmS50A Marca Contec LT/QTY: NOLOTE: 000001</v>
          </cell>
          <cell r="O5086" t="str">
            <v>EQUIPOS CLINICOS</v>
          </cell>
          <cell r="P5086">
            <v>32130</v>
          </cell>
          <cell r="T5086" t="str">
            <v>Bueno</v>
          </cell>
          <cell r="U5086" t="str">
            <v>CONTEC</v>
          </cell>
        </row>
        <row r="5087">
          <cell r="J5087" t="str">
            <v>42-05-02-01-5079</v>
          </cell>
          <cell r="L5087" t="str">
            <v>42-05-02-01-5079</v>
          </cell>
          <cell r="M5087" t="str">
            <v>Oximetro de Pulso Modelo CmS50A Marca Contec LT/QTY: NOLOTE: 000001</v>
          </cell>
          <cell r="O5087" t="str">
            <v>EQUIPOS CLINICOS</v>
          </cell>
          <cell r="P5087">
            <v>32130</v>
          </cell>
          <cell r="T5087" t="str">
            <v>Bueno</v>
          </cell>
          <cell r="U5087" t="str">
            <v>CONTEC</v>
          </cell>
        </row>
        <row r="5088">
          <cell r="J5088" t="str">
            <v>42-05-02-03-5080</v>
          </cell>
          <cell r="L5088" t="str">
            <v>42-05-02-03-5080</v>
          </cell>
          <cell r="M5088" t="str">
            <v>Radiotransmisor profesional tecnologia digital tipo militar Back to Back y 64 canales, ubicado entre asiento conductor y asiento copiloto.</v>
          </cell>
          <cell r="O5088" t="str">
            <v>EQUIPOS DE COMUNICACIÓN</v>
          </cell>
          <cell r="P5088">
            <v>250000</v>
          </cell>
          <cell r="T5088" t="str">
            <v>Bueno</v>
          </cell>
          <cell r="U5088" t="str">
            <v>N/T</v>
          </cell>
        </row>
        <row r="5089">
          <cell r="J5089" t="str">
            <v>42-05-02-01-5081</v>
          </cell>
          <cell r="L5089" t="str">
            <v>42-05-02-01-5081</v>
          </cell>
          <cell r="M5089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5089" t="str">
            <v>EQUIPOS CLINICOS</v>
          </cell>
          <cell r="P5089">
            <v>12000</v>
          </cell>
          <cell r="T5089" t="str">
            <v>Bueno</v>
          </cell>
          <cell r="U5089" t="str">
            <v>N/T</v>
          </cell>
        </row>
        <row r="5090">
          <cell r="J5090" t="str">
            <v>42-05-02-01-5082</v>
          </cell>
          <cell r="L5090" t="str">
            <v>42-05-02-01-5082</v>
          </cell>
          <cell r="M5090" t="str">
            <v xml:space="preserve">Tabla Espinal Adulto con inmovilizador de cabeza medidas 1850x470mm de material plastico rigido, traslucida a rayos x. incluye 5 correas para asegurar al paciente </v>
          </cell>
          <cell r="O5090" t="str">
            <v>EQUIPOS CLINICOS</v>
          </cell>
          <cell r="P5090">
            <v>15000</v>
          </cell>
          <cell r="T5090" t="str">
            <v>Bueno</v>
          </cell>
          <cell r="U5090" t="str">
            <v>N/T</v>
          </cell>
        </row>
        <row r="5091">
          <cell r="J5091" t="str">
            <v>42-05-02-01-5083</v>
          </cell>
          <cell r="L5091" t="str">
            <v>42-05-02-01-5083</v>
          </cell>
          <cell r="M5091" t="str">
            <v>Esfingomanometro aneroide ALPK2 o similar</v>
          </cell>
          <cell r="O5091" t="str">
            <v>EQUIPOS CLINICOS</v>
          </cell>
          <cell r="P5091">
            <v>37000</v>
          </cell>
          <cell r="T5091" t="str">
            <v>Bueno</v>
          </cell>
          <cell r="U5091" t="str">
            <v>N/T</v>
          </cell>
        </row>
        <row r="5092">
          <cell r="J5092" t="str">
            <v>42-05-02-01-5084</v>
          </cell>
          <cell r="L5092" t="str">
            <v>42-05-02-01-5084</v>
          </cell>
          <cell r="M5092" t="str">
            <v>Fonendoscopio</v>
          </cell>
          <cell r="O5092" t="str">
            <v>EQUIPOS CLINICOS</v>
          </cell>
          <cell r="P5092">
            <v>16000</v>
          </cell>
          <cell r="T5092" t="str">
            <v>Bueno</v>
          </cell>
          <cell r="U5092" t="str">
            <v>N/T</v>
          </cell>
        </row>
        <row r="5093">
          <cell r="J5093" t="str">
            <v>42-05-02-01-5085</v>
          </cell>
          <cell r="L5093" t="str">
            <v>42-05-02-01-5085</v>
          </cell>
          <cell r="M5093" t="str">
            <v>Resusitador Manual Preofesional Adulto, No Desechable, Tipo Ambu, MARK3 con reservorio</v>
          </cell>
          <cell r="O5093" t="str">
            <v>EQUIPOS CLINICOS</v>
          </cell>
          <cell r="P5093">
            <v>12000</v>
          </cell>
          <cell r="T5093" t="str">
            <v>Bueno</v>
          </cell>
          <cell r="U5093" t="str">
            <v>N/T</v>
          </cell>
        </row>
        <row r="5094">
          <cell r="J5094" t="str">
            <v>42-05-02-01-5086</v>
          </cell>
          <cell r="L5094" t="str">
            <v>42-05-02-01-5086</v>
          </cell>
          <cell r="M5094" t="str">
            <v>Resusitador Manual Preofesional Pediatrico, No Desechable, Tipo Ambu, MARK3 con reservorio</v>
          </cell>
          <cell r="O5094" t="str">
            <v>EQUIPOS CLINICOS</v>
          </cell>
          <cell r="P5094">
            <v>9000</v>
          </cell>
          <cell r="T5094" t="str">
            <v>Bueno</v>
          </cell>
          <cell r="U5094" t="str">
            <v>N/T</v>
          </cell>
        </row>
        <row r="5095">
          <cell r="J5095" t="str">
            <v>42-05-02-01-5087</v>
          </cell>
          <cell r="L5095" t="str">
            <v>42-05-02-01-5087</v>
          </cell>
          <cell r="M5095" t="str">
            <v>Saturometro Digital conectado por cable al perro, con proteccion a golpes.</v>
          </cell>
          <cell r="O5095" t="str">
            <v>EQUIPOS CLINICOS</v>
          </cell>
          <cell r="P5095">
            <v>35000</v>
          </cell>
          <cell r="T5095" t="str">
            <v>Bueno</v>
          </cell>
          <cell r="U5095" t="str">
            <v>N/T</v>
          </cell>
        </row>
        <row r="5096">
          <cell r="J5096" t="str">
            <v>42-04-02-00-5088</v>
          </cell>
          <cell r="L5096" t="str">
            <v>42-04-02-00-5088</v>
          </cell>
          <cell r="M5096" t="str">
            <v xml:space="preserve">Silla Operativa LI FYMO Giratoria 2000 TEL 61 x 58 x 115 CM - Silla Administrativa C/Brazos Respaldo Ergonometrico. </v>
          </cell>
          <cell r="O5096" t="str">
            <v>SILLAS</v>
          </cell>
          <cell r="P5096">
            <v>107730</v>
          </cell>
          <cell r="T5096" t="str">
            <v>Bueno</v>
          </cell>
          <cell r="U5096" t="str">
            <v>FAYMO</v>
          </cell>
        </row>
        <row r="5097">
          <cell r="J5097" t="str">
            <v>42-04-02-00-5089</v>
          </cell>
          <cell r="L5097" t="str">
            <v>42-04-02-00-5089</v>
          </cell>
          <cell r="M5097" t="str">
            <v xml:space="preserve">Silla Operativa LI FYMO Giratoria 2000 TEL 61 x 58 x 115 CM - Silla Administrativa C/Brazos Respaldo Ergonometrico. </v>
          </cell>
          <cell r="O5097" t="str">
            <v>SILLAS</v>
          </cell>
          <cell r="P5097">
            <v>107730</v>
          </cell>
          <cell r="T5097" t="str">
            <v>Bueno</v>
          </cell>
          <cell r="U5097" t="str">
            <v>FAYMO</v>
          </cell>
        </row>
        <row r="5098">
          <cell r="J5098" t="str">
            <v>42-04-02-00-5090</v>
          </cell>
          <cell r="L5098" t="str">
            <v>42-04-02-00-5090</v>
          </cell>
          <cell r="M5098" t="str">
            <v xml:space="preserve">Silla Operativa LI FYMO Giratoria 2000 TEL 61 x 58 x 115 CM - Silla Administrativa C/Brazos Respaldo Ergonometrico. </v>
          </cell>
          <cell r="O5098" t="str">
            <v>SILLAS</v>
          </cell>
          <cell r="P5098">
            <v>107730</v>
          </cell>
          <cell r="T5098" t="str">
            <v>Bueno</v>
          </cell>
          <cell r="U5098" t="str">
            <v>FAYMO</v>
          </cell>
        </row>
        <row r="5099">
          <cell r="J5099" t="str">
            <v>42-04-02-00-5091</v>
          </cell>
          <cell r="L5099" t="str">
            <v>42-04-02-00-5091</v>
          </cell>
          <cell r="M5099" t="str">
            <v xml:space="preserve">Silla Operativa LI FYMO Giratoria 2000 TEL 61 x 58 x 115 CM - Silla Administrativa C/Brazos Respaldo Ergonometrico. </v>
          </cell>
          <cell r="O5099" t="str">
            <v>SILLAS</v>
          </cell>
          <cell r="P5099">
            <v>107730</v>
          </cell>
          <cell r="T5099" t="str">
            <v>Bueno</v>
          </cell>
          <cell r="U5099" t="str">
            <v>FAYMO</v>
          </cell>
        </row>
        <row r="5100">
          <cell r="J5100" t="str">
            <v>42-04-02-00-5092</v>
          </cell>
          <cell r="L5100" t="str">
            <v>42-04-02-00-5092</v>
          </cell>
          <cell r="M5100" t="str">
            <v xml:space="preserve">Silla Operativa LI FYMO Giratoria 2000 TEL 61 x 58 x 115 CM - Silla Administrativa C/Brazos Respaldo Ergonometrico. </v>
          </cell>
          <cell r="O5100" t="str">
            <v>SILLAS</v>
          </cell>
          <cell r="P5100">
            <v>107730</v>
          </cell>
          <cell r="T5100" t="str">
            <v>Bueno</v>
          </cell>
          <cell r="U5100" t="str">
            <v>FAYMO</v>
          </cell>
        </row>
        <row r="5101">
          <cell r="J5101" t="str">
            <v>42-04-02-00-5093</v>
          </cell>
          <cell r="L5101" t="str">
            <v>42-04-02-00-5093</v>
          </cell>
          <cell r="M5101" t="str">
            <v xml:space="preserve">Silla Operativa LI FYMO Giratoria 2000 TEL 61 x 58 x 115 CM - Silla Administrativa C/Brazos Respaldo Ergonometrico. </v>
          </cell>
          <cell r="O5101" t="str">
            <v>SILLAS</v>
          </cell>
          <cell r="P5101">
            <v>107730</v>
          </cell>
          <cell r="T5101" t="str">
            <v>Bueno</v>
          </cell>
          <cell r="U5101" t="str">
            <v>FAYMO</v>
          </cell>
        </row>
        <row r="5102">
          <cell r="J5102" t="str">
            <v>42-04-02-00-5094</v>
          </cell>
          <cell r="L5102" t="str">
            <v>42-04-02-00-5094</v>
          </cell>
          <cell r="M5102" t="str">
            <v xml:space="preserve">Silla Operativa LI FYMO Giratoria 2000 TEL 61 x 58 x 115 CM - Silla Administrativa C/Brazos Respaldo Ergonometrico. </v>
          </cell>
          <cell r="O5102" t="str">
            <v>SILLAS</v>
          </cell>
          <cell r="P5102">
            <v>107730</v>
          </cell>
          <cell r="T5102" t="str">
            <v>Bueno</v>
          </cell>
          <cell r="U5102" t="str">
            <v>FAYMO</v>
          </cell>
        </row>
        <row r="5103">
          <cell r="J5103" t="str">
            <v>42-04-02-00-5095</v>
          </cell>
          <cell r="L5103" t="str">
            <v>42-04-02-00-5095</v>
          </cell>
          <cell r="M5103" t="str">
            <v xml:space="preserve">Silla Operativa LI FYMO Giratoria 2000 TEL 61 x 58 x 115 CM - Silla Administrativa C/Brazos Respaldo Ergonometrico. </v>
          </cell>
          <cell r="O5103" t="str">
            <v>SILLAS</v>
          </cell>
          <cell r="P5103">
            <v>107730</v>
          </cell>
          <cell r="T5103" t="str">
            <v>Bueno</v>
          </cell>
          <cell r="U5103" t="str">
            <v>FAYMO</v>
          </cell>
        </row>
        <row r="5104">
          <cell r="J5104" t="str">
            <v>42-04-02-00-5096</v>
          </cell>
          <cell r="L5104" t="str">
            <v>42-04-02-00-5096</v>
          </cell>
          <cell r="M5104" t="str">
            <v xml:space="preserve">Silla Operativa LI FYMO Giratoria 2000 TEL 61 x 58 x 115 CM - Silla Administrativa C/Brazos Respaldo Ergonometrico. </v>
          </cell>
          <cell r="O5104" t="str">
            <v>SILLAS</v>
          </cell>
          <cell r="P5104">
            <v>107730</v>
          </cell>
          <cell r="T5104" t="str">
            <v>Bueno</v>
          </cell>
          <cell r="U5104" t="str">
            <v>FAYMO</v>
          </cell>
        </row>
        <row r="5105">
          <cell r="J5105" t="str">
            <v>42-04-02-00-5097</v>
          </cell>
          <cell r="L5105" t="str">
            <v>42-04-02-00-5097</v>
          </cell>
          <cell r="M5105" t="str">
            <v xml:space="preserve">Silla Operativa LI FYMO Giratoria 2000 TEL 61 x 58 x 115 CM - Silla Administrativa C/Brazos Respaldo Ergonometrico. </v>
          </cell>
          <cell r="O5105" t="str">
            <v>SILLAS</v>
          </cell>
          <cell r="P5105">
            <v>107730</v>
          </cell>
          <cell r="T5105" t="str">
            <v>Bueno</v>
          </cell>
          <cell r="U5105" t="str">
            <v>FAYMO</v>
          </cell>
        </row>
        <row r="5106">
          <cell r="J5106" t="str">
            <v>42-04-02-00-5098</v>
          </cell>
          <cell r="L5106" t="str">
            <v>42-04-02-00-5098</v>
          </cell>
          <cell r="M5106" t="str">
            <v xml:space="preserve">Silla Operativa LI FYMO Giratoria 2000 TEL 61 x 58 x 115 CM - Silla Administrativa C/Brazos Respaldo Ergonometrico. </v>
          </cell>
          <cell r="O5106" t="str">
            <v>SILLAS</v>
          </cell>
          <cell r="P5106">
            <v>107730</v>
          </cell>
          <cell r="T5106" t="str">
            <v>Bueno</v>
          </cell>
          <cell r="U5106" t="str">
            <v>FAYMO</v>
          </cell>
        </row>
        <row r="5107">
          <cell r="J5107" t="str">
            <v>42-04-02-00-5099</v>
          </cell>
          <cell r="L5107" t="str">
            <v>42-04-02-00-5099</v>
          </cell>
          <cell r="M5107" t="str">
            <v xml:space="preserve">Silla Operativa LI FYMO Giratoria 2000 TEL 61 x 58 x 115 CM - Silla Administrativa C/Brazos Respaldo Ergonometrico. </v>
          </cell>
          <cell r="O5107" t="str">
            <v>SILLAS</v>
          </cell>
          <cell r="P5107">
            <v>107730</v>
          </cell>
          <cell r="T5107" t="str">
            <v>Bueno</v>
          </cell>
          <cell r="U5107" t="str">
            <v>FAYMO</v>
          </cell>
        </row>
        <row r="5108">
          <cell r="J5108" t="str">
            <v>42-05-02-01-5100</v>
          </cell>
          <cell r="L5108" t="str">
            <v>42-05-02-01-5100</v>
          </cell>
          <cell r="M5108" t="str">
            <v>NSK Turbina Pana Max Plus Standard M4 (Push Button)</v>
          </cell>
          <cell r="O5108" t="str">
            <v>EQUIPOS CLINICOS</v>
          </cell>
          <cell r="P5108">
            <v>91037</v>
          </cell>
          <cell r="T5108" t="str">
            <v>Bueno</v>
          </cell>
          <cell r="U5108" t="str">
            <v>NSK</v>
          </cell>
        </row>
        <row r="5109">
          <cell r="J5109" t="str">
            <v>42-05-02-01-5101</v>
          </cell>
          <cell r="L5109" t="str">
            <v>42-05-02-01-5101</v>
          </cell>
          <cell r="M5109" t="str">
            <v>NSK Turbina Pana Max Plus Standard M4 (Push Button)</v>
          </cell>
          <cell r="O5109" t="str">
            <v>EQUIPOS CLINICOS</v>
          </cell>
          <cell r="P5109">
            <v>91037</v>
          </cell>
          <cell r="T5109" t="str">
            <v>Bueno</v>
          </cell>
          <cell r="U5109" t="str">
            <v>NSK</v>
          </cell>
        </row>
        <row r="5110">
          <cell r="J5110" t="str">
            <v>42-05-02-01-5102</v>
          </cell>
          <cell r="L5110" t="str">
            <v>42-05-02-01-5102</v>
          </cell>
          <cell r="M5110" t="str">
            <v>NSK Set De Micromotor Neumaticos EX - 203CM4 (EX203C+EX+6B+NSC-EC)</v>
          </cell>
          <cell r="O5110" t="str">
            <v>EQUIPOS CLINICOS</v>
          </cell>
          <cell r="P5110">
            <v>238307</v>
          </cell>
          <cell r="T5110" t="str">
            <v>Bueno</v>
          </cell>
          <cell r="U5110" t="str">
            <v>NSK</v>
          </cell>
        </row>
        <row r="5111">
          <cell r="J5111" t="str">
            <v>42-05-02-01-5103</v>
          </cell>
          <cell r="L5111" t="str">
            <v>42-05-02-01-5103</v>
          </cell>
          <cell r="M5111" t="str">
            <v>NSK Set De Micromotor Neumaticos EX - 203CM4 (EX203C+EX+6B+NSC-EC)</v>
          </cell>
          <cell r="O5111" t="str">
            <v>EQUIPOS CLINICOS</v>
          </cell>
          <cell r="P5111">
            <v>238307</v>
          </cell>
          <cell r="T5111" t="str">
            <v>Bueno</v>
          </cell>
          <cell r="U5111" t="str">
            <v>NSK</v>
          </cell>
        </row>
        <row r="5112">
          <cell r="J5112" t="str">
            <v>FN-05-02-01-5104</v>
          </cell>
          <cell r="L5112" t="str">
            <v>FN-05-02-01-5104</v>
          </cell>
          <cell r="M5112" t="str">
            <v>NSK Estuche Plastico Kit Estudiantes NSK</v>
          </cell>
          <cell r="O5112" t="str">
            <v>EQUIPOS CLINICOS FUNGIBLE / NOMINABLE</v>
          </cell>
          <cell r="P5112">
            <v>9806</v>
          </cell>
          <cell r="T5112" t="str">
            <v>Bueno</v>
          </cell>
          <cell r="U5112" t="str">
            <v>NSK</v>
          </cell>
        </row>
        <row r="5113">
          <cell r="J5113" t="str">
            <v>FN-05-02-01-5105</v>
          </cell>
          <cell r="L5113" t="str">
            <v>FN-05-02-01-5105</v>
          </cell>
          <cell r="M5113" t="str">
            <v>NSK Estuche Plastico Kit Estudiantes NSK</v>
          </cell>
          <cell r="O5113" t="str">
            <v>EQUIPOS CLINICOS FUNGIBLE / NOMINABLE</v>
          </cell>
          <cell r="P5113">
            <v>9806</v>
          </cell>
          <cell r="T5113" t="str">
            <v>Bueno</v>
          </cell>
          <cell r="U5113" t="str">
            <v>NSK</v>
          </cell>
        </row>
        <row r="5114">
          <cell r="J5114" t="str">
            <v>42-04-07-00-5106</v>
          </cell>
          <cell r="L5114" t="str">
            <v>42-04-07-00-5106</v>
          </cell>
          <cell r="M5114" t="str">
            <v>Poltrona Ecocuero 69X78X77</v>
          </cell>
          <cell r="O5114" t="str">
            <v>OTROS</v>
          </cell>
          <cell r="P5114">
            <v>150000</v>
          </cell>
          <cell r="T5114" t="str">
            <v>Bueno</v>
          </cell>
          <cell r="U5114" t="str">
            <v>N/T</v>
          </cell>
        </row>
        <row r="5115">
          <cell r="J5115" t="str">
            <v>42-04-07-00-5107</v>
          </cell>
          <cell r="L5115" t="str">
            <v>42-04-07-00-5107</v>
          </cell>
          <cell r="M5115" t="str">
            <v>Alfombra Casino 116 X 170</v>
          </cell>
          <cell r="O5115" t="str">
            <v>OTROS</v>
          </cell>
          <cell r="P5115">
            <v>60000</v>
          </cell>
          <cell r="T5115" t="str">
            <v>Bueno</v>
          </cell>
          <cell r="U5115" t="str">
            <v>N/T</v>
          </cell>
        </row>
        <row r="5116">
          <cell r="J5116" t="str">
            <v>42-04-07-00-5108</v>
          </cell>
          <cell r="L5116" t="str">
            <v>42-04-07-00-5108</v>
          </cell>
          <cell r="M5116" t="str">
            <v>Mobil Bebe</v>
          </cell>
          <cell r="O5116" t="str">
            <v>OTROS</v>
          </cell>
          <cell r="P5116">
            <v>25000</v>
          </cell>
          <cell r="T5116" t="str">
            <v>Bueno</v>
          </cell>
          <cell r="U5116" t="str">
            <v>N/T</v>
          </cell>
        </row>
        <row r="5117">
          <cell r="J5117" t="str">
            <v>00 -00-00-00-</v>
          </cell>
          <cell r="L5117" t="str">
            <v>00 -00-00-00-</v>
          </cell>
          <cell r="O5117" t="str">
            <v>SIN CUENTA ASIGNADA</v>
          </cell>
        </row>
        <row r="5118">
          <cell r="J5118" t="str">
            <v>00 -00-00-00-</v>
          </cell>
          <cell r="L5118" t="str">
            <v>00 -00-00-00-</v>
          </cell>
          <cell r="O5118" t="str">
            <v>SIN CUENTA ASIGNADA</v>
          </cell>
        </row>
        <row r="5119">
          <cell r="J5119" t="str">
            <v>00 -00-00-00-</v>
          </cell>
          <cell r="L5119" t="str">
            <v>00 -00-00-00-</v>
          </cell>
          <cell r="O5119" t="str">
            <v>SIN CUENTA ASIGNADA</v>
          </cell>
        </row>
        <row r="5120">
          <cell r="J5120" t="str">
            <v>00 -00-00-00-</v>
          </cell>
          <cell r="L5120" t="str">
            <v>00 -00-00-00-</v>
          </cell>
          <cell r="O5120" t="str">
            <v>SIN CUENTA ASIGNADA</v>
          </cell>
        </row>
        <row r="5121">
          <cell r="J5121" t="str">
            <v>00 -00-00-00-</v>
          </cell>
          <cell r="L5121" t="str">
            <v>00 -00-00-00-</v>
          </cell>
          <cell r="O5121" t="str">
            <v>SIN CUENTA ASIGNADA</v>
          </cell>
        </row>
        <row r="5122">
          <cell r="J5122" t="str">
            <v>00 -00-00-00-</v>
          </cell>
          <cell r="L5122" t="str">
            <v>00 -00-00-00-</v>
          </cell>
          <cell r="O5122" t="str">
            <v>SIN CUENTA ASIGNADA</v>
          </cell>
        </row>
        <row r="5123">
          <cell r="J5123" t="str">
            <v>00 -00-00-00-</v>
          </cell>
          <cell r="L5123" t="str">
            <v>00 -00-00-00-</v>
          </cell>
          <cell r="O5123" t="str">
            <v>SIN CUENTA ASIGNADA</v>
          </cell>
        </row>
        <row r="5124">
          <cell r="J5124" t="str">
            <v>00 -00-00-00-</v>
          </cell>
          <cell r="L5124" t="str">
            <v>00 -00-00-00-</v>
          </cell>
          <cell r="O5124" t="str">
            <v>SIN CUENTA ASIGNADA</v>
          </cell>
        </row>
        <row r="5125">
          <cell r="J5125" t="str">
            <v>00 -00-00-00-</v>
          </cell>
          <cell r="L5125" t="str">
            <v>00 -00-00-00-</v>
          </cell>
          <cell r="O5125" t="str">
            <v>SIN CUENTA ASIGNADA</v>
          </cell>
        </row>
        <row r="5126">
          <cell r="J5126" t="str">
            <v>00 -00-00-00-</v>
          </cell>
          <cell r="L5126" t="str">
            <v>00 -00-00-00-</v>
          </cell>
          <cell r="O5126" t="str">
            <v>SIN CUENTA ASIGNADA</v>
          </cell>
        </row>
        <row r="5127">
          <cell r="J5127" t="str">
            <v>00 -00-00-00-</v>
          </cell>
          <cell r="L5127" t="str">
            <v>00 -00-00-00-</v>
          </cell>
          <cell r="O5127" t="str">
            <v>SIN CUENTA ASIGNADA</v>
          </cell>
        </row>
        <row r="5128">
          <cell r="J5128" t="str">
            <v>00 -00-00-00-</v>
          </cell>
          <cell r="L5128" t="str">
            <v>00 -00-00-00-</v>
          </cell>
          <cell r="O5128" t="str">
            <v>SIN CUENTA ASIGNADA</v>
          </cell>
        </row>
        <row r="5129">
          <cell r="J5129" t="str">
            <v>00 -00-00-00-</v>
          </cell>
          <cell r="L5129" t="str">
            <v>00 -00-00-00-</v>
          </cell>
          <cell r="O5129" t="str">
            <v>SIN CUENTA ASIGNADA</v>
          </cell>
        </row>
        <row r="5130">
          <cell r="J5130" t="str">
            <v>00 -00-00-00-</v>
          </cell>
          <cell r="L5130" t="str">
            <v>00 -00-00-00-</v>
          </cell>
          <cell r="O5130" t="str">
            <v>SIN CUENTA ASIGNADA</v>
          </cell>
        </row>
        <row r="5131">
          <cell r="J5131" t="str">
            <v>00 -00-00-00-</v>
          </cell>
          <cell r="L5131" t="str">
            <v>00 -00-00-00-</v>
          </cell>
          <cell r="O5131" t="str">
            <v>SIN CUENTA ASIGNADA</v>
          </cell>
        </row>
        <row r="5132">
          <cell r="J5132" t="str">
            <v>00 -00-00-00-</v>
          </cell>
          <cell r="L5132" t="str">
            <v>00 -00-00-00-</v>
          </cell>
          <cell r="O5132" t="str">
            <v>SIN CUENTA ASIGNADA</v>
          </cell>
        </row>
        <row r="5133">
          <cell r="J5133" t="str">
            <v>00 -00-00-00-</v>
          </cell>
          <cell r="L5133" t="str">
            <v>00 -00-00-00-</v>
          </cell>
          <cell r="O5133" t="str">
            <v>SIN CUENTA ASIGNADA</v>
          </cell>
        </row>
        <row r="5134">
          <cell r="J5134" t="str">
            <v>00 -00-00-00-</v>
          </cell>
          <cell r="L5134" t="str">
            <v>00 -00-00-00-</v>
          </cell>
          <cell r="O5134" t="str">
            <v>SIN CUENTA ASIGNADA</v>
          </cell>
        </row>
        <row r="5135">
          <cell r="J5135" t="str">
            <v>00 -00-00-00-</v>
          </cell>
          <cell r="L5135" t="str">
            <v>00 -00-00-00-</v>
          </cell>
          <cell r="O5135" t="str">
            <v>SIN CUENTA ASIGNADA</v>
          </cell>
        </row>
        <row r="5136">
          <cell r="J5136" t="str">
            <v>00 -00-00-00-</v>
          </cell>
          <cell r="L5136" t="str">
            <v>00 -00-00-00-</v>
          </cell>
          <cell r="O5136" t="str">
            <v>SIN CUENTA ASIGNADA</v>
          </cell>
        </row>
        <row r="5137">
          <cell r="J5137" t="str">
            <v>00 -00-00-00-</v>
          </cell>
          <cell r="L5137" t="str">
            <v>00 -00-00-00-</v>
          </cell>
          <cell r="O5137" t="str">
            <v>SIN CUENTA ASIGNADA</v>
          </cell>
        </row>
        <row r="5138">
          <cell r="J5138" t="str">
            <v>00 -00-00-00-</v>
          </cell>
          <cell r="L5138" t="str">
            <v>00 -00-00-00-</v>
          </cell>
          <cell r="O5138" t="str">
            <v>SIN CUENTA ASIGNADA</v>
          </cell>
        </row>
        <row r="5139">
          <cell r="J5139" t="str">
            <v>00 -00-00-00-</v>
          </cell>
          <cell r="L5139" t="str">
            <v>00 -00-00-00-</v>
          </cell>
          <cell r="O5139" t="str">
            <v>SIN CUENTA ASIGNADA</v>
          </cell>
        </row>
        <row r="5140">
          <cell r="J5140" t="str">
            <v>00 -00-00-00-</v>
          </cell>
          <cell r="L5140" t="str">
            <v>00 -00-00-00-</v>
          </cell>
          <cell r="O5140" t="str">
            <v>SIN CUENTA ASIGNADA</v>
          </cell>
        </row>
        <row r="5141">
          <cell r="J5141" t="str">
            <v>00 -00-00-00-</v>
          </cell>
          <cell r="L5141" t="str">
            <v>00 -00-00-00-</v>
          </cell>
          <cell r="O5141" t="str">
            <v>SIN CUENTA ASIGNADA</v>
          </cell>
        </row>
        <row r="5142">
          <cell r="J5142" t="str">
            <v>00 -00-00-00-</v>
          </cell>
          <cell r="L5142" t="str">
            <v>00 -00-00-00-</v>
          </cell>
          <cell r="O5142" t="str">
            <v>SIN CUENTA ASIGNADA</v>
          </cell>
        </row>
        <row r="5143">
          <cell r="J5143" t="str">
            <v>00 -00-00-00-</v>
          </cell>
          <cell r="L5143" t="str">
            <v>00 -00-00-00-</v>
          </cell>
          <cell r="O5143" t="str">
            <v>SIN CUENTA ASIGNADA</v>
          </cell>
        </row>
        <row r="5144">
          <cell r="J5144" t="str">
            <v>00 -00-00-00-</v>
          </cell>
          <cell r="L5144" t="str">
            <v>00 -00-00-00-</v>
          </cell>
          <cell r="O5144" t="str">
            <v>SIN CUENTA ASIGNADA</v>
          </cell>
        </row>
        <row r="5145">
          <cell r="J5145" t="str">
            <v>00 -00-00-00-</v>
          </cell>
          <cell r="L5145" t="str">
            <v>00 -00-00-00-</v>
          </cell>
          <cell r="O5145" t="str">
            <v>SIN CUENTA ASIGNADA</v>
          </cell>
        </row>
        <row r="5146">
          <cell r="J5146" t="str">
            <v>00 -00-00-00-</v>
          </cell>
          <cell r="L5146" t="str">
            <v>00 -00-00-00-</v>
          </cell>
          <cell r="O5146" t="str">
            <v>SIN CUENTA ASIGNADA</v>
          </cell>
        </row>
        <row r="5147">
          <cell r="J5147" t="str">
            <v>00 -00-00-00-</v>
          </cell>
          <cell r="L5147" t="str">
            <v>00 -00-00-00-</v>
          </cell>
          <cell r="O5147" t="str">
            <v>SIN CUENTA ASIGNADA</v>
          </cell>
        </row>
        <row r="5148">
          <cell r="J5148" t="str">
            <v>00 -00-00-00-</v>
          </cell>
          <cell r="L5148" t="str">
            <v>00 -00-00-00-</v>
          </cell>
          <cell r="O5148" t="str">
            <v>SIN CUENTA ASIGNADA</v>
          </cell>
        </row>
        <row r="5149">
          <cell r="J5149" t="str">
            <v>00 -00-00-00-</v>
          </cell>
          <cell r="L5149" t="str">
            <v>00 -00-00-00-</v>
          </cell>
          <cell r="O5149" t="str">
            <v>SIN CUENTA ASIGNADA</v>
          </cell>
        </row>
        <row r="5150">
          <cell r="J5150" t="str">
            <v>00 -00-00-00-</v>
          </cell>
          <cell r="L5150" t="str">
            <v>00 -00-00-00-</v>
          </cell>
          <cell r="O5150" t="str">
            <v>SIN CUENTA ASIGNADA</v>
          </cell>
        </row>
        <row r="5151">
          <cell r="J5151" t="str">
            <v>00 -00-00-00-</v>
          </cell>
          <cell r="L5151" t="str">
            <v>00 -00-00-00-</v>
          </cell>
          <cell r="O5151" t="str">
            <v>SIN CUENTA ASIGNADA</v>
          </cell>
        </row>
        <row r="5152">
          <cell r="J5152" t="str">
            <v>00 -00-00-00-</v>
          </cell>
          <cell r="L5152" t="str">
            <v>00 -00-00-00-</v>
          </cell>
          <cell r="O5152" t="str">
            <v>SIN CUENTA ASIGNADA</v>
          </cell>
        </row>
        <row r="5153">
          <cell r="J5153" t="str">
            <v>00 -00-00-00-</v>
          </cell>
          <cell r="L5153" t="str">
            <v>00 -00-00-00-</v>
          </cell>
          <cell r="O5153" t="str">
            <v>SIN CUENTA ASIGNADA</v>
          </cell>
        </row>
        <row r="5154">
          <cell r="J5154" t="str">
            <v>00 -00-00-00-</v>
          </cell>
          <cell r="L5154" t="str">
            <v>00 -00-00-00-</v>
          </cell>
          <cell r="O5154" t="str">
            <v>SIN CUENTA ASIGNADA</v>
          </cell>
        </row>
        <row r="5155">
          <cell r="J5155" t="str">
            <v>00 -00-00-00-</v>
          </cell>
          <cell r="L5155" t="str">
            <v>00 -00-00-00-</v>
          </cell>
          <cell r="O5155" t="str">
            <v>SIN CUENTA ASIGNADA</v>
          </cell>
        </row>
        <row r="5156">
          <cell r="J5156" t="str">
            <v>00 -00-00-00-</v>
          </cell>
          <cell r="L5156" t="str">
            <v>00 -00-00-00-</v>
          </cell>
          <cell r="O5156" t="str">
            <v>SIN CUENTA ASIGNADA</v>
          </cell>
        </row>
        <row r="5157">
          <cell r="J5157" t="str">
            <v>00 -00-00-00-</v>
          </cell>
          <cell r="L5157" t="str">
            <v>00 -00-00-00-</v>
          </cell>
          <cell r="O5157" t="str">
            <v>SIN CUENTA ASIGNADA</v>
          </cell>
        </row>
        <row r="5158">
          <cell r="J5158" t="str">
            <v>00 -00-00-00-</v>
          </cell>
          <cell r="L5158" t="str">
            <v>00 -00-00-00-</v>
          </cell>
          <cell r="O5158" t="str">
            <v>SIN CUENTA ASIGNADA</v>
          </cell>
        </row>
        <row r="5159">
          <cell r="J5159" t="str">
            <v>00 -00-00-00-</v>
          </cell>
          <cell r="L5159" t="str">
            <v>00 -00-00-00-</v>
          </cell>
          <cell r="O5159" t="str">
            <v>SIN CUENTA ASIGNADA</v>
          </cell>
        </row>
        <row r="5160">
          <cell r="J5160" t="str">
            <v>00 -00-00-00-</v>
          </cell>
          <cell r="L5160" t="str">
            <v>00 -00-00-00-</v>
          </cell>
          <cell r="O5160" t="str">
            <v>SIN CUENTA ASIGNADA</v>
          </cell>
        </row>
        <row r="5161">
          <cell r="J5161" t="str">
            <v>00 -00-00-00-</v>
          </cell>
          <cell r="L5161" t="str">
            <v>00 -00-00-00-</v>
          </cell>
          <cell r="O5161" t="str">
            <v>SIN CUENTA ASIGNADA</v>
          </cell>
        </row>
        <row r="5162">
          <cell r="J5162" t="str">
            <v>00 -00-00-00-</v>
          </cell>
          <cell r="L5162" t="str">
            <v>00 -00-00-00-</v>
          </cell>
          <cell r="O5162" t="str">
            <v>SIN CUENTA ASIGNADA</v>
          </cell>
        </row>
        <row r="5163">
          <cell r="J5163" t="str">
            <v>00 -00-00-00-</v>
          </cell>
          <cell r="L5163" t="str">
            <v>00 -00-00-00-</v>
          </cell>
          <cell r="O5163" t="str">
            <v>SIN CUENTA ASIGNADA</v>
          </cell>
        </row>
        <row r="5164">
          <cell r="J5164" t="str">
            <v>00 -00-00-00-</v>
          </cell>
          <cell r="L5164" t="str">
            <v>00 -00-00-00-</v>
          </cell>
          <cell r="O5164" t="str">
            <v>SIN CUENTA ASIGNADA</v>
          </cell>
        </row>
        <row r="5165">
          <cell r="J5165" t="str">
            <v>00 -00-00-00-</v>
          </cell>
          <cell r="L5165" t="str">
            <v>00 -00-00-00-</v>
          </cell>
          <cell r="O5165" t="str">
            <v>SIN CUENTA ASIGNADA</v>
          </cell>
        </row>
        <row r="5166">
          <cell r="J5166" t="str">
            <v>00 -00-00-00-</v>
          </cell>
          <cell r="L5166" t="str">
            <v>00 -00-00-00-</v>
          </cell>
          <cell r="O5166" t="str">
            <v>SIN CUENTA ASIGNADA</v>
          </cell>
        </row>
        <row r="5167">
          <cell r="J5167" t="str">
            <v>00 -00-00-00-</v>
          </cell>
          <cell r="L5167" t="str">
            <v>00 -00-00-00-</v>
          </cell>
          <cell r="O5167" t="str">
            <v>SIN CUENTA ASIGNADA</v>
          </cell>
        </row>
        <row r="5168">
          <cell r="J5168" t="str">
            <v>00 -00-00-00-</v>
          </cell>
          <cell r="L5168" t="str">
            <v>00 -00-00-00-</v>
          </cell>
          <cell r="O5168" t="str">
            <v>SIN CUENTA ASIGNADA</v>
          </cell>
        </row>
        <row r="5169">
          <cell r="J5169" t="str">
            <v>00 -00-00-00-</v>
          </cell>
          <cell r="L5169" t="str">
            <v>00 -00-00-00-</v>
          </cell>
          <cell r="O5169" t="str">
            <v>SIN CUENTA ASIGNADA</v>
          </cell>
        </row>
        <row r="5170">
          <cell r="J5170" t="str">
            <v>00 -00-00-00-</v>
          </cell>
          <cell r="L5170" t="str">
            <v>00 -00-00-00-</v>
          </cell>
          <cell r="O5170" t="str">
            <v>SIN CUENTA ASIGNADA</v>
          </cell>
        </row>
        <row r="5171">
          <cell r="J5171" t="str">
            <v>00 -00-00-00-</v>
          </cell>
          <cell r="L5171" t="str">
            <v>00 -00-00-00-</v>
          </cell>
          <cell r="O5171" t="str">
            <v>SIN CUENTA ASIGNADA</v>
          </cell>
        </row>
        <row r="5172">
          <cell r="J5172" t="str">
            <v>00 -00-00-00-</v>
          </cell>
          <cell r="L5172" t="str">
            <v>00 -00-00-00-</v>
          </cell>
          <cell r="O5172" t="str">
            <v>SIN CUENTA ASIGNADA</v>
          </cell>
        </row>
        <row r="5173">
          <cell r="J5173" t="str">
            <v>00 -00-00-00-</v>
          </cell>
          <cell r="L5173" t="str">
            <v>00 -00-00-00-</v>
          </cell>
          <cell r="O5173" t="str">
            <v>SIN CUENTA ASIGNADA</v>
          </cell>
        </row>
        <row r="5174">
          <cell r="J5174" t="str">
            <v>00 -00-00-00-</v>
          </cell>
          <cell r="L5174" t="str">
            <v>00 -00-00-00-</v>
          </cell>
          <cell r="O5174" t="str">
            <v>SIN CUENTA ASIGNADA</v>
          </cell>
        </row>
        <row r="5175">
          <cell r="J5175" t="str">
            <v>00 -00-00-00-</v>
          </cell>
          <cell r="L5175" t="str">
            <v>00 -00-00-00-</v>
          </cell>
          <cell r="O5175" t="str">
            <v>SIN CUENTA ASIGNADA</v>
          </cell>
        </row>
        <row r="5176">
          <cell r="J5176" t="str">
            <v>00 -00-00-00-</v>
          </cell>
          <cell r="L5176" t="str">
            <v>00 -00-00-00-</v>
          </cell>
          <cell r="O5176" t="str">
            <v>SIN CUENTA ASIGNADA</v>
          </cell>
        </row>
        <row r="5177">
          <cell r="J5177" t="str">
            <v>00 -00-00-00-</v>
          </cell>
          <cell r="L5177" t="str">
            <v>00 -00-00-00-</v>
          </cell>
          <cell r="O5177" t="str">
            <v>SIN CUENTA ASIGNADA</v>
          </cell>
        </row>
        <row r="5178">
          <cell r="J5178" t="str">
            <v>00 -00-00-00-</v>
          </cell>
          <cell r="L5178" t="str">
            <v>00 -00-00-00-</v>
          </cell>
          <cell r="O5178" t="str">
            <v>SIN CUENTA ASIGNADA</v>
          </cell>
        </row>
        <row r="5179">
          <cell r="J5179" t="str">
            <v>00 -00-00-00-</v>
          </cell>
          <cell r="L5179" t="str">
            <v>00 -00-00-00-</v>
          </cell>
          <cell r="O5179" t="str">
            <v>SIN CUENTA ASIGNADA</v>
          </cell>
        </row>
        <row r="5180">
          <cell r="J5180" t="str">
            <v>00 -00-00-00-</v>
          </cell>
          <cell r="L5180" t="str">
            <v>00 -00-00-00-</v>
          </cell>
          <cell r="O5180" t="str">
            <v>SIN CUENTA ASIGNADA</v>
          </cell>
        </row>
        <row r="5181">
          <cell r="J5181" t="str">
            <v>00 -00-00-00-</v>
          </cell>
          <cell r="L5181" t="str">
            <v>00 -00-00-00-</v>
          </cell>
          <cell r="O5181" t="str">
            <v>SIN CUENTA ASIGNADA</v>
          </cell>
        </row>
        <row r="5182">
          <cell r="J5182" t="str">
            <v>00 -00-00-00-</v>
          </cell>
          <cell r="L5182" t="str">
            <v>00 -00-00-00-</v>
          </cell>
          <cell r="O5182" t="str">
            <v>SIN CUENTA ASIGNADA</v>
          </cell>
        </row>
        <row r="5183">
          <cell r="J5183" t="str">
            <v>00 -00-00-00-</v>
          </cell>
          <cell r="L5183" t="str">
            <v>00 -00-00-00-</v>
          </cell>
          <cell r="O5183" t="str">
            <v>SIN CUENTA ASIGNADA</v>
          </cell>
        </row>
        <row r="5184">
          <cell r="J5184" t="str">
            <v>00 -00-00-00-</v>
          </cell>
          <cell r="L5184" t="str">
            <v>00 -00-00-00-</v>
          </cell>
          <cell r="O5184" t="str">
            <v>SIN CUENTA ASIGNADA</v>
          </cell>
        </row>
        <row r="5185">
          <cell r="J5185" t="str">
            <v>00 -00-00-00-</v>
          </cell>
          <cell r="L5185" t="str">
            <v>00 -00-00-00-</v>
          </cell>
          <cell r="O5185" t="str">
            <v>SIN CUENTA ASIGNADA</v>
          </cell>
        </row>
        <row r="5186">
          <cell r="J5186" t="str">
            <v>00 -00-00-00-</v>
          </cell>
          <cell r="L5186" t="str">
            <v>00 -00-00-00-</v>
          </cell>
          <cell r="O5186" t="str">
            <v>SIN CUENTA ASIGNADA</v>
          </cell>
        </row>
        <row r="5187">
          <cell r="J5187" t="str">
            <v>00 -00-00-00-</v>
          </cell>
          <cell r="L5187" t="str">
            <v>00 -00-00-00-</v>
          </cell>
          <cell r="O5187" t="str">
            <v>SIN CUENTA ASIGNADA</v>
          </cell>
        </row>
        <row r="5188">
          <cell r="J5188" t="str">
            <v>00 -00-00-00-</v>
          </cell>
          <cell r="L5188" t="str">
            <v>00 -00-00-00-</v>
          </cell>
          <cell r="O5188" t="str">
            <v>SIN CUENTA ASIGNADA</v>
          </cell>
        </row>
        <row r="5189">
          <cell r="J5189" t="str">
            <v>00 -00-00-00-</v>
          </cell>
          <cell r="L5189" t="str">
            <v>00 -00-00-00-</v>
          </cell>
          <cell r="O5189" t="str">
            <v>SIN CUENTA ASIGNADA</v>
          </cell>
        </row>
        <row r="5190">
          <cell r="J5190" t="str">
            <v>00 -00-00-00-</v>
          </cell>
          <cell r="L5190" t="str">
            <v>00 -00-00-00-</v>
          </cell>
          <cell r="O5190" t="str">
            <v>SIN CUENTA ASIGNADA</v>
          </cell>
        </row>
        <row r="5191">
          <cell r="J5191" t="str">
            <v>00 -00-00-00-</v>
          </cell>
          <cell r="L5191" t="str">
            <v>00 -00-00-00-</v>
          </cell>
          <cell r="O5191" t="str">
            <v>SIN CUENTA ASIGNADA</v>
          </cell>
        </row>
        <row r="5192">
          <cell r="J5192" t="str">
            <v>00 -00-00-00-</v>
          </cell>
          <cell r="L5192" t="str">
            <v>00 -00-00-00-</v>
          </cell>
          <cell r="O5192" t="str">
            <v>SIN CUENTA ASIGNADA</v>
          </cell>
        </row>
        <row r="5193">
          <cell r="J5193" t="str">
            <v>00 -00-00-00-</v>
          </cell>
          <cell r="L5193" t="str">
            <v>00 -00-00-00-</v>
          </cell>
          <cell r="O5193" t="str">
            <v>SIN CUENTA ASIGNADA</v>
          </cell>
        </row>
        <row r="5194">
          <cell r="J5194" t="str">
            <v>00 -00-00-00-</v>
          </cell>
          <cell r="L5194" t="str">
            <v>00 -00-00-00-</v>
          </cell>
          <cell r="O5194" t="str">
            <v>SIN CUENTA ASIGNADA</v>
          </cell>
        </row>
        <row r="5195">
          <cell r="J5195" t="str">
            <v>00 -00-00-00-</v>
          </cell>
          <cell r="L5195" t="str">
            <v>00 -00-00-00-</v>
          </cell>
          <cell r="O5195" t="str">
            <v>SIN CUENTA ASIGNADA</v>
          </cell>
        </row>
        <row r="5196">
          <cell r="J5196" t="str">
            <v>00 -00-00-00-</v>
          </cell>
          <cell r="L5196" t="str">
            <v>00 -00-00-00-</v>
          </cell>
          <cell r="O5196" t="str">
            <v>SIN CUENTA ASIGNADA</v>
          </cell>
        </row>
        <row r="5197">
          <cell r="J5197" t="str">
            <v>00 -00-00-00-</v>
          </cell>
          <cell r="L5197" t="str">
            <v>00 -00-00-00-</v>
          </cell>
          <cell r="O5197" t="str">
            <v>SIN CUENTA ASIGNADA</v>
          </cell>
        </row>
        <row r="5198">
          <cell r="J5198" t="str">
            <v>00 -00-00-00-</v>
          </cell>
          <cell r="L5198" t="str">
            <v>00 -00-00-00-</v>
          </cell>
          <cell r="O5198" t="str">
            <v>SIN CUENTA ASIGNADA</v>
          </cell>
        </row>
        <row r="5199">
          <cell r="J5199" t="str">
            <v>00 -00-00-00-</v>
          </cell>
          <cell r="L5199" t="str">
            <v>00 -00-00-00-</v>
          </cell>
          <cell r="O5199" t="str">
            <v>SIN CUENTA ASIGNADA</v>
          </cell>
        </row>
        <row r="5200">
          <cell r="J5200" t="str">
            <v>00 -00-00-00-</v>
          </cell>
          <cell r="L5200" t="str">
            <v>00 -00-00-00-</v>
          </cell>
          <cell r="O5200" t="str">
            <v>SIN CUENTA ASIGNADA</v>
          </cell>
        </row>
        <row r="5201">
          <cell r="J5201" t="str">
            <v>00 -00-00-00-</v>
          </cell>
          <cell r="L5201" t="str">
            <v>00 -00-00-00-</v>
          </cell>
          <cell r="O5201" t="str">
            <v>SIN CUENTA ASIGNADA</v>
          </cell>
        </row>
        <row r="5202">
          <cell r="J5202" t="str">
            <v>00 -00-00-00-</v>
          </cell>
          <cell r="L5202" t="str">
            <v>00 -00-00-00-</v>
          </cell>
          <cell r="O5202" t="str">
            <v>SIN CUENTA ASIGNADA</v>
          </cell>
        </row>
        <row r="5203">
          <cell r="J5203" t="str">
            <v>00 -00-00-00-</v>
          </cell>
          <cell r="L5203" t="str">
            <v>00 -00-00-00-</v>
          </cell>
          <cell r="O5203" t="str">
            <v>SIN CUENTA ASIGNADA</v>
          </cell>
        </row>
        <row r="5204">
          <cell r="J5204" t="str">
            <v>00 -00-00-00-</v>
          </cell>
          <cell r="L5204" t="str">
            <v>00 -00-00-00-</v>
          </cell>
          <cell r="O5204" t="str">
            <v>SIN CUENTA ASIGNADA</v>
          </cell>
        </row>
        <row r="5205">
          <cell r="J5205" t="str">
            <v>00 -00-00-00-</v>
          </cell>
          <cell r="L5205" t="str">
            <v>00 -00-00-00-</v>
          </cell>
          <cell r="O5205" t="str">
            <v>SIN CUENTA ASIGNADA</v>
          </cell>
        </row>
        <row r="5206">
          <cell r="J5206" t="str">
            <v>00 -00-00-00-</v>
          </cell>
          <cell r="L5206" t="str">
            <v>00 -00-00-00-</v>
          </cell>
          <cell r="O5206" t="str">
            <v>SIN CUENTA ASIGNADA</v>
          </cell>
        </row>
        <row r="5207">
          <cell r="J5207" t="str">
            <v>00 -00-00-00-</v>
          </cell>
          <cell r="L5207" t="str">
            <v>00 -00-00-00-</v>
          </cell>
          <cell r="O5207" t="str">
            <v>SIN CUENTA ASIGNADA</v>
          </cell>
        </row>
        <row r="5208">
          <cell r="J5208" t="str">
            <v>00 -00-00-00-</v>
          </cell>
          <cell r="L5208" t="str">
            <v>00 -00-00-00-</v>
          </cell>
          <cell r="O5208" t="str">
            <v>SIN CUENTA ASIGNADA</v>
          </cell>
        </row>
        <row r="5209">
          <cell r="J5209" t="str">
            <v>00 -00-00-00-</v>
          </cell>
          <cell r="L5209" t="str">
            <v>00 -00-00-00-</v>
          </cell>
          <cell r="O5209" t="str">
            <v>SIN CUENTA ASIGNADA</v>
          </cell>
        </row>
        <row r="5210">
          <cell r="J5210" t="str">
            <v>00 -00-00-00-</v>
          </cell>
          <cell r="L5210" t="str">
            <v>00 -00-00-00-</v>
          </cell>
          <cell r="O5210" t="str">
            <v>SIN CUENTA ASIGNADA</v>
          </cell>
        </row>
        <row r="5211">
          <cell r="J5211" t="str">
            <v>00 -00-00-00-</v>
          </cell>
          <cell r="L5211" t="str">
            <v>00 -00-00-00-</v>
          </cell>
          <cell r="O5211" t="str">
            <v>SIN CUENTA ASIGNADA</v>
          </cell>
        </row>
        <row r="5212">
          <cell r="J5212" t="str">
            <v>00 -00-00-00-</v>
          </cell>
          <cell r="L5212" t="str">
            <v>00 -00-00-00-</v>
          </cell>
          <cell r="O5212" t="str">
            <v>SIN CUENTA ASIGNADA</v>
          </cell>
        </row>
        <row r="5213">
          <cell r="J5213" t="str">
            <v>00 -00-00-00-</v>
          </cell>
          <cell r="L5213" t="str">
            <v>00 -00-00-00-</v>
          </cell>
          <cell r="O5213" t="str">
            <v>SIN CUENTA ASIGNADA</v>
          </cell>
        </row>
        <row r="5214">
          <cell r="J5214" t="str">
            <v>00 -00-00-00-</v>
          </cell>
          <cell r="L5214" t="str">
            <v>00 -00-00-00-</v>
          </cell>
          <cell r="O5214" t="str">
            <v>SIN CUENTA ASIGNADA</v>
          </cell>
        </row>
        <row r="5215">
          <cell r="J5215" t="str">
            <v>00 -00-00-00-</v>
          </cell>
          <cell r="L5215" t="str">
            <v>00 -00-00-00-</v>
          </cell>
          <cell r="O5215" t="str">
            <v>SIN CUENTA ASIGNADA</v>
          </cell>
        </row>
        <row r="5216">
          <cell r="J5216" t="str">
            <v>00 -00-00-00-</v>
          </cell>
          <cell r="L5216" t="str">
            <v>00 -00-00-00-</v>
          </cell>
          <cell r="O5216" t="str">
            <v>SIN CUENTA ASIGNADA</v>
          </cell>
        </row>
        <row r="5217">
          <cell r="J5217" t="str">
            <v>00 -00-00-00-</v>
          </cell>
          <cell r="L5217" t="str">
            <v>00 -00-00-00-</v>
          </cell>
          <cell r="O5217" t="str">
            <v>SIN CUENTA ASIGNADA</v>
          </cell>
        </row>
        <row r="5218">
          <cell r="J5218" t="str">
            <v>00 -00-00-00-</v>
          </cell>
          <cell r="L5218" t="str">
            <v>00 -00-00-00-</v>
          </cell>
          <cell r="O5218" t="str">
            <v>SIN CUENTA ASIGNADA</v>
          </cell>
        </row>
        <row r="5219">
          <cell r="J5219" t="str">
            <v>00 -00-00-00-</v>
          </cell>
          <cell r="L5219" t="str">
            <v>00 -00-00-00-</v>
          </cell>
          <cell r="O5219" t="str">
            <v>SIN CUENTA ASIGNADA</v>
          </cell>
        </row>
        <row r="5220">
          <cell r="J5220" t="str">
            <v>00 -00-00-00-</v>
          </cell>
          <cell r="L5220" t="str">
            <v>00 -00-00-00-</v>
          </cell>
          <cell r="O5220" t="str">
            <v>SIN CUENTA ASIGNADA</v>
          </cell>
        </row>
        <row r="5221">
          <cell r="J5221" t="str">
            <v>00 -00-00-00-</v>
          </cell>
          <cell r="L5221" t="str">
            <v>00 -00-00-00-</v>
          </cell>
          <cell r="O5221" t="str">
            <v>SIN CUENTA ASIGNADA</v>
          </cell>
        </row>
        <row r="5222">
          <cell r="J5222" t="str">
            <v>00 -00-00-00-</v>
          </cell>
          <cell r="L5222" t="str">
            <v>00 -00-00-00-</v>
          </cell>
          <cell r="O5222" t="str">
            <v>SIN CUENTA ASIGNADA</v>
          </cell>
        </row>
        <row r="5223">
          <cell r="J5223" t="str">
            <v>00 -00-00-00-</v>
          </cell>
          <cell r="L5223" t="str">
            <v>00 -00-00-00-</v>
          </cell>
          <cell r="O5223" t="str">
            <v>SIN CUENTA ASIGNADA</v>
          </cell>
        </row>
        <row r="5224">
          <cell r="J5224" t="str">
            <v>00 -00-00-00-</v>
          </cell>
          <cell r="L5224" t="str">
            <v>00 -00-00-00-</v>
          </cell>
          <cell r="O5224" t="str">
            <v>SIN CUENTA ASIGNADA</v>
          </cell>
        </row>
        <row r="5225">
          <cell r="J5225" t="str">
            <v>00 -00-00-00-</v>
          </cell>
          <cell r="L5225" t="str">
            <v>00 -00-00-00-</v>
          </cell>
          <cell r="O5225" t="str">
            <v>SIN CUENTA ASIGNADA</v>
          </cell>
        </row>
        <row r="5226">
          <cell r="J5226" t="str">
            <v>00 -00-00-00-</v>
          </cell>
          <cell r="L5226" t="str">
            <v>00 -00-00-00-</v>
          </cell>
          <cell r="O5226" t="str">
            <v>SIN CUENTA ASIGNADA</v>
          </cell>
        </row>
        <row r="5227">
          <cell r="J5227" t="str">
            <v>00 -00-00-00-</v>
          </cell>
          <cell r="L5227" t="str">
            <v>00 -00-00-00-</v>
          </cell>
          <cell r="O5227" t="str">
            <v>SIN CUENTA ASIGNADA</v>
          </cell>
        </row>
        <row r="5228">
          <cell r="J5228" t="str">
            <v>00 -00-00-00-</v>
          </cell>
          <cell r="L5228" t="str">
            <v>00 -00-00-00-</v>
          </cell>
          <cell r="O5228" t="str">
            <v>SIN CUENTA ASIGNADA</v>
          </cell>
        </row>
        <row r="5229">
          <cell r="J5229" t="str">
            <v>00 -00-00-00-</v>
          </cell>
          <cell r="L5229" t="str">
            <v>00 -00-00-00-</v>
          </cell>
          <cell r="O5229" t="str">
            <v>SIN CUENTA ASIGNADA</v>
          </cell>
        </row>
        <row r="5230">
          <cell r="J5230" t="str">
            <v>00 -00-00-00-</v>
          </cell>
          <cell r="L5230" t="str">
            <v>00 -00-00-00-</v>
          </cell>
          <cell r="O5230" t="str">
            <v>SIN CUENTA ASIGNADA</v>
          </cell>
        </row>
        <row r="5231">
          <cell r="J5231" t="str">
            <v>00 -00-00-00-</v>
          </cell>
          <cell r="L5231" t="str">
            <v>00 -00-00-00-</v>
          </cell>
          <cell r="O5231" t="str">
            <v>SIN CUENTA ASIGNADA</v>
          </cell>
        </row>
        <row r="5232">
          <cell r="J5232" t="str">
            <v>00 -00-00-00-</v>
          </cell>
          <cell r="L5232" t="str">
            <v>00 -00-00-00-</v>
          </cell>
          <cell r="O5232" t="str">
            <v>SIN CUENTA ASIGNADA</v>
          </cell>
        </row>
        <row r="5233">
          <cell r="J5233" t="str">
            <v>00 -00-00-00-</v>
          </cell>
          <cell r="L5233" t="str">
            <v>00 -00-00-00-</v>
          </cell>
          <cell r="O5233" t="str">
            <v>SIN CUENTA ASIGNADA</v>
          </cell>
        </row>
        <row r="5234">
          <cell r="J5234" t="str">
            <v>00 -00-00-00-</v>
          </cell>
          <cell r="L5234" t="str">
            <v>00 -00-00-00-</v>
          </cell>
          <cell r="O5234" t="str">
            <v>SIN CUENTA ASIGNADA</v>
          </cell>
        </row>
        <row r="5235">
          <cell r="J5235" t="str">
            <v>00 -00-00-00-</v>
          </cell>
          <cell r="L5235" t="str">
            <v>00 -00-00-00-</v>
          </cell>
          <cell r="O5235" t="str">
            <v>SIN CUENTA ASIGNADA</v>
          </cell>
        </row>
        <row r="5236">
          <cell r="J5236" t="str">
            <v>00 -00-00-00-</v>
          </cell>
          <cell r="L5236" t="str">
            <v>00 -00-00-00-</v>
          </cell>
          <cell r="O5236" t="str">
            <v>SIN CUENTA ASIGNADA</v>
          </cell>
        </row>
        <row r="5237">
          <cell r="J5237" t="str">
            <v>00 -00-00-00-</v>
          </cell>
          <cell r="L5237" t="str">
            <v>00 -00-00-00-</v>
          </cell>
          <cell r="O5237" t="str">
            <v>SIN CUENTA ASIGNADA</v>
          </cell>
        </row>
        <row r="5238">
          <cell r="J5238" t="str">
            <v>00 -00-00-00-</v>
          </cell>
          <cell r="L5238" t="str">
            <v>00 -00-00-00-</v>
          </cell>
          <cell r="O5238" t="str">
            <v>SIN CUENTA ASIGNADA</v>
          </cell>
        </row>
        <row r="5239">
          <cell r="J5239" t="str">
            <v>00 -00-00-00-</v>
          </cell>
          <cell r="L5239" t="str">
            <v>00 -00-00-00-</v>
          </cell>
          <cell r="O5239" t="str">
            <v>SIN CUENTA ASIGNADA</v>
          </cell>
        </row>
        <row r="5240">
          <cell r="J5240" t="str">
            <v>00 -00-00-00-</v>
          </cell>
          <cell r="L5240" t="str">
            <v>00 -00-00-00-</v>
          </cell>
          <cell r="O5240" t="str">
            <v>SIN CUENTA ASIGNADA</v>
          </cell>
        </row>
        <row r="5241">
          <cell r="J5241" t="str">
            <v>00 -00-00-00-</v>
          </cell>
          <cell r="L5241" t="str">
            <v>00 -00-00-00-</v>
          </cell>
          <cell r="O5241" t="str">
            <v>SIN CUENTA ASIGNADA</v>
          </cell>
        </row>
        <row r="5242">
          <cell r="J5242" t="str">
            <v>00 -00-00-00-</v>
          </cell>
          <cell r="L5242" t="str">
            <v>00 -00-00-00-</v>
          </cell>
          <cell r="O5242" t="str">
            <v>SIN CUENTA ASIGNADA</v>
          </cell>
        </row>
        <row r="5243">
          <cell r="J5243" t="str">
            <v>00 -00-00-00-</v>
          </cell>
          <cell r="L5243" t="str">
            <v>00 -00-00-00-</v>
          </cell>
          <cell r="O5243" t="str">
            <v>SIN CUENTA ASIGNADA</v>
          </cell>
        </row>
        <row r="5244">
          <cell r="J5244" t="str">
            <v>00 -00-00-00-</v>
          </cell>
          <cell r="L5244" t="str">
            <v>00 -00-00-00-</v>
          </cell>
          <cell r="O5244" t="str">
            <v>SIN CUENTA ASIGNADA</v>
          </cell>
        </row>
        <row r="5245">
          <cell r="J5245" t="str">
            <v>00 -00-00-00-</v>
          </cell>
          <cell r="L5245" t="str">
            <v>00 -00-00-00-</v>
          </cell>
          <cell r="O5245" t="str">
            <v>SIN CUENTA ASIGNADA</v>
          </cell>
        </row>
        <row r="5246">
          <cell r="J5246" t="str">
            <v>00 -00-00-00-</v>
          </cell>
          <cell r="L5246" t="str">
            <v>00 -00-00-00-</v>
          </cell>
          <cell r="O5246" t="str">
            <v>SIN CUENTA ASIGNADA</v>
          </cell>
        </row>
        <row r="5247">
          <cell r="J5247" t="str">
            <v>00 -00-00-00-</v>
          </cell>
          <cell r="L5247" t="str">
            <v>00 -00-00-00-</v>
          </cell>
          <cell r="O5247" t="str">
            <v>SIN CUENTA ASIGNADA</v>
          </cell>
        </row>
        <row r="5248">
          <cell r="J5248" t="str">
            <v>00 -00-00-00-</v>
          </cell>
          <cell r="L5248" t="str">
            <v>00 -00-00-00-</v>
          </cell>
          <cell r="O5248" t="str">
            <v>SIN CUENTA ASIGNADA</v>
          </cell>
        </row>
        <row r="5249">
          <cell r="J5249" t="str">
            <v>00 -00-00-00-</v>
          </cell>
          <cell r="L5249" t="str">
            <v>00 -00-00-00-</v>
          </cell>
          <cell r="O5249" t="str">
            <v>SIN CUENTA ASIGNADA</v>
          </cell>
        </row>
        <row r="5250">
          <cell r="J5250" t="str">
            <v>00 -00-00-00-</v>
          </cell>
          <cell r="L5250" t="str">
            <v>00 -00-00-00-</v>
          </cell>
          <cell r="O5250" t="str">
            <v>SIN CUENTA ASIGNADA</v>
          </cell>
        </row>
        <row r="5251">
          <cell r="J5251" t="str">
            <v>00 -00-00-00-</v>
          </cell>
          <cell r="L5251" t="str">
            <v>00 -00-00-00-</v>
          </cell>
          <cell r="O5251" t="str">
            <v>SIN CUENTA ASIGNADA</v>
          </cell>
        </row>
        <row r="5252">
          <cell r="J5252" t="str">
            <v>00 -00-00-00-</v>
          </cell>
          <cell r="L5252" t="str">
            <v>00 -00-00-00-</v>
          </cell>
          <cell r="O5252" t="str">
            <v>SIN CUENTA ASIGNADA</v>
          </cell>
        </row>
        <row r="5253">
          <cell r="J5253" t="str">
            <v>00 -00-00-00-</v>
          </cell>
          <cell r="L5253" t="str">
            <v>00 -00-00-00-</v>
          </cell>
          <cell r="O5253" t="str">
            <v>SIN CUENTA ASIGNADA</v>
          </cell>
        </row>
        <row r="5254">
          <cell r="J5254" t="str">
            <v>00 -00-00-00-</v>
          </cell>
          <cell r="L5254" t="str">
            <v>00 -00-00-00-</v>
          </cell>
          <cell r="O5254" t="str">
            <v>SIN CUENTA ASIGNADA</v>
          </cell>
        </row>
        <row r="5255">
          <cell r="J5255" t="str">
            <v>00 -00-00-00-</v>
          </cell>
          <cell r="L5255" t="str">
            <v>00 -00-00-00-</v>
          </cell>
          <cell r="O5255" t="str">
            <v>SIN CUENTA ASIGNADA</v>
          </cell>
        </row>
        <row r="5256">
          <cell r="J5256" t="str">
            <v>00 -00-00-00-</v>
          </cell>
          <cell r="L5256" t="str">
            <v>00 -00-00-00-</v>
          </cell>
          <cell r="O5256" t="str">
            <v>SIN CUENTA ASIGNADA</v>
          </cell>
        </row>
        <row r="5257">
          <cell r="J5257" t="str">
            <v>00 -00-00-00-</v>
          </cell>
          <cell r="L5257" t="str">
            <v>00 -00-00-00-</v>
          </cell>
          <cell r="O5257" t="str">
            <v>SIN CUENTA ASIGNADA</v>
          </cell>
        </row>
        <row r="5258">
          <cell r="J5258" t="str">
            <v>00 -00-00-00-</v>
          </cell>
          <cell r="L5258" t="str">
            <v>00 -00-00-00-</v>
          </cell>
          <cell r="O5258" t="str">
            <v>SIN CUENTA ASIGNADA</v>
          </cell>
        </row>
        <row r="5259">
          <cell r="J5259" t="str">
            <v>00 -00-00-00-</v>
          </cell>
          <cell r="L5259" t="str">
            <v>00 -00-00-00-</v>
          </cell>
          <cell r="O5259" t="str">
            <v>SIN CUENTA ASIGNADA</v>
          </cell>
        </row>
        <row r="5260">
          <cell r="J5260" t="str">
            <v>00 -00-00-00-</v>
          </cell>
          <cell r="L5260" t="str">
            <v>00 -00-00-00-</v>
          </cell>
          <cell r="O5260" t="str">
            <v>SIN CUENTA ASIGNADA</v>
          </cell>
        </row>
        <row r="5261">
          <cell r="J5261" t="str">
            <v>00 -00-00-00-</v>
          </cell>
          <cell r="L5261" t="str">
            <v>00 -00-00-00-</v>
          </cell>
          <cell r="O5261" t="str">
            <v>SIN CUENTA ASIGNADA</v>
          </cell>
        </row>
        <row r="5262">
          <cell r="J5262" t="str">
            <v>00 -00-00-00-</v>
          </cell>
          <cell r="L5262" t="str">
            <v>00 -00-00-00-</v>
          </cell>
          <cell r="O5262" t="str">
            <v>SIN CUENTA ASIGNADA</v>
          </cell>
        </row>
        <row r="5263">
          <cell r="J5263" t="str">
            <v>00 -00-00-00-</v>
          </cell>
          <cell r="L5263" t="str">
            <v>00 -00-00-00-</v>
          </cell>
          <cell r="O5263" t="str">
            <v>SIN CUENTA ASIGNADA</v>
          </cell>
        </row>
        <row r="5264">
          <cell r="J5264" t="str">
            <v>00 -00-00-00-</v>
          </cell>
          <cell r="L5264" t="str">
            <v>00 -00-00-00-</v>
          </cell>
          <cell r="O5264" t="str">
            <v>SIN CUENTA ASIGNADA</v>
          </cell>
        </row>
        <row r="5265">
          <cell r="J5265" t="str">
            <v>00 -00-00-00-</v>
          </cell>
          <cell r="L5265" t="str">
            <v>00 -00-00-00-</v>
          </cell>
          <cell r="O5265" t="str">
            <v>SIN CUENTA ASIGNADA</v>
          </cell>
        </row>
        <row r="5266">
          <cell r="J5266" t="str">
            <v>00 -00-00-00-</v>
          </cell>
          <cell r="L5266" t="str">
            <v>00 -00-00-00-</v>
          </cell>
          <cell r="O5266" t="str">
            <v>SIN CUENTA ASIGNADA</v>
          </cell>
        </row>
        <row r="5267">
          <cell r="J5267" t="str">
            <v>00 -00-00-00-</v>
          </cell>
          <cell r="L5267" t="str">
            <v>00 -00-00-00-</v>
          </cell>
          <cell r="O5267" t="str">
            <v>SIN CUENTA ASIGNADA</v>
          </cell>
        </row>
        <row r="5268">
          <cell r="J5268" t="str">
            <v>00 -00-00-00-</v>
          </cell>
          <cell r="L5268" t="str">
            <v>00 -00-00-00-</v>
          </cell>
          <cell r="O5268" t="str">
            <v>SIN CUENTA ASIGNADA</v>
          </cell>
        </row>
        <row r="5269">
          <cell r="J5269" t="str">
            <v>00 -00-00-00-</v>
          </cell>
          <cell r="L5269" t="str">
            <v>00 -00-00-00-</v>
          </cell>
          <cell r="O5269" t="str">
            <v>SIN CUENTA ASIGNADA</v>
          </cell>
        </row>
        <row r="5270">
          <cell r="J5270" t="str">
            <v>00 -00-00-00-</v>
          </cell>
          <cell r="L5270" t="str">
            <v>00 -00-00-00-</v>
          </cell>
          <cell r="O5270" t="str">
            <v>SIN CUENTA ASIGNADA</v>
          </cell>
        </row>
        <row r="5271">
          <cell r="J5271" t="str">
            <v>00 -00-00-00-</v>
          </cell>
          <cell r="L5271" t="str">
            <v>00 -00-00-00-</v>
          </cell>
          <cell r="O5271" t="str">
            <v>SIN CUENTA ASIGNADA</v>
          </cell>
        </row>
        <row r="5272">
          <cell r="J5272" t="str">
            <v>00 -00-00-00-</v>
          </cell>
          <cell r="L5272" t="str">
            <v>00 -00-00-00-</v>
          </cell>
          <cell r="O5272" t="str">
            <v>SIN CUENTA ASIGNADA</v>
          </cell>
        </row>
        <row r="5273">
          <cell r="J5273" t="str">
            <v>00 -00-00-00-</v>
          </cell>
          <cell r="L5273" t="str">
            <v>00 -00-00-00-</v>
          </cell>
          <cell r="O5273" t="str">
            <v>SIN CUENTA ASIGNADA</v>
          </cell>
        </row>
        <row r="5274">
          <cell r="J5274" t="str">
            <v>00 -00-00-00-</v>
          </cell>
          <cell r="L5274" t="str">
            <v>00 -00-00-00-</v>
          </cell>
          <cell r="O5274" t="str">
            <v>SIN CUENTA ASIGNADA</v>
          </cell>
        </row>
        <row r="5275">
          <cell r="J5275" t="str">
            <v>00 -00-00-00-</v>
          </cell>
          <cell r="L5275" t="str">
            <v>00 -00-00-00-</v>
          </cell>
          <cell r="O5275" t="str">
            <v>SIN CUENTA ASIGNADA</v>
          </cell>
        </row>
        <row r="5276">
          <cell r="J5276" t="str">
            <v>00 -00-00-00-</v>
          </cell>
          <cell r="L5276" t="str">
            <v>00 -00-00-00-</v>
          </cell>
          <cell r="O5276" t="str">
            <v>SIN CUENTA ASIGNADA</v>
          </cell>
        </row>
        <row r="5277">
          <cell r="J5277" t="str">
            <v>00 -00-00-00-</v>
          </cell>
          <cell r="L5277" t="str">
            <v>00 -00-00-00-</v>
          </cell>
          <cell r="O5277" t="str">
            <v>SIN CUENTA ASIGNADA</v>
          </cell>
        </row>
        <row r="5278">
          <cell r="J5278" t="str">
            <v>00 -00-00-00-</v>
          </cell>
          <cell r="L5278" t="str">
            <v>00 -00-00-00-</v>
          </cell>
          <cell r="O5278" t="str">
            <v>SIN CUENTA ASIGNADA</v>
          </cell>
        </row>
        <row r="5279">
          <cell r="J5279" t="str">
            <v>00 -00-00-00-</v>
          </cell>
          <cell r="L5279" t="str">
            <v>00 -00-00-00-</v>
          </cell>
          <cell r="O5279" t="str">
            <v>SIN CUENTA ASIGNADA</v>
          </cell>
        </row>
        <row r="5280">
          <cell r="J5280" t="str">
            <v>00 -00-00-00-</v>
          </cell>
          <cell r="L5280" t="str">
            <v>00 -00-00-00-</v>
          </cell>
          <cell r="O5280" t="str">
            <v>SIN CUENTA ASIGNADA</v>
          </cell>
        </row>
        <row r="5281">
          <cell r="J5281" t="str">
            <v>00 -00-00-00-</v>
          </cell>
          <cell r="L5281" t="str">
            <v>00 -00-00-00-</v>
          </cell>
          <cell r="O5281" t="str">
            <v>SIN CUENTA ASIGNADA</v>
          </cell>
        </row>
        <row r="5282">
          <cell r="J5282" t="str">
            <v>00 -00-00-00-</v>
          </cell>
          <cell r="L5282" t="str">
            <v>00 -00-00-00-</v>
          </cell>
          <cell r="O5282" t="str">
            <v>SIN CUENTA ASIGNADA</v>
          </cell>
        </row>
        <row r="5283">
          <cell r="J5283" t="str">
            <v>00 -00-00-00-</v>
          </cell>
          <cell r="L5283" t="str">
            <v>00 -00-00-00-</v>
          </cell>
          <cell r="O5283" t="str">
            <v>SIN CUENTA ASIGNADA</v>
          </cell>
        </row>
        <row r="5284">
          <cell r="J5284" t="str">
            <v>00 -00-00-00-</v>
          </cell>
          <cell r="L5284" t="str">
            <v>00 -00-00-00-</v>
          </cell>
          <cell r="O5284" t="str">
            <v>SIN CUENTA ASIGNADA</v>
          </cell>
        </row>
        <row r="5285">
          <cell r="J5285" t="str">
            <v>00 -00-00-00-</v>
          </cell>
          <cell r="L5285" t="str">
            <v>00 -00-00-00-</v>
          </cell>
          <cell r="O5285" t="str">
            <v>SIN CUENTA ASIGNADA</v>
          </cell>
        </row>
        <row r="5286">
          <cell r="J5286" t="str">
            <v>00 -00-00-00-</v>
          </cell>
          <cell r="L5286" t="str">
            <v>00 -00-00-00-</v>
          </cell>
          <cell r="O5286" t="str">
            <v>SIN CUENTA ASIGNADA</v>
          </cell>
        </row>
        <row r="5287">
          <cell r="J5287" t="str">
            <v>00 -00-00-00-</v>
          </cell>
          <cell r="L5287" t="str">
            <v>00 -00-00-00-</v>
          </cell>
          <cell r="O5287" t="str">
            <v>SIN CUENTA ASIGNADA</v>
          </cell>
        </row>
        <row r="5288">
          <cell r="J5288" t="str">
            <v>00 -00-00-00-</v>
          </cell>
          <cell r="L5288" t="str">
            <v>00 -00-00-00-</v>
          </cell>
          <cell r="O5288" t="str">
            <v>SIN CUENTA ASIGNADA</v>
          </cell>
        </row>
        <row r="5289">
          <cell r="J5289" t="str">
            <v>00 -00-00-00-</v>
          </cell>
          <cell r="L5289" t="str">
            <v>00 -00-00-00-</v>
          </cell>
          <cell r="O5289" t="str">
            <v>SIN CUENTA ASIGNADA</v>
          </cell>
        </row>
        <row r="5290">
          <cell r="J5290" t="str">
            <v>00 -00-00-00-</v>
          </cell>
          <cell r="L5290" t="str">
            <v>00 -00-00-00-</v>
          </cell>
          <cell r="O5290" t="str">
            <v>SIN CUENTA ASIGNADA</v>
          </cell>
        </row>
        <row r="5291">
          <cell r="J5291" t="str">
            <v>00 -00-00-00-</v>
          </cell>
          <cell r="L5291" t="str">
            <v>00 -00-00-00-</v>
          </cell>
          <cell r="O5291" t="str">
            <v>SIN CUENTA ASIGNADA</v>
          </cell>
        </row>
        <row r="5292">
          <cell r="J5292" t="str">
            <v>00 -00-00-00-</v>
          </cell>
          <cell r="L5292" t="str">
            <v>00 -00-00-00-</v>
          </cell>
          <cell r="O5292" t="str">
            <v>SIN CUENTA ASIGNADA</v>
          </cell>
        </row>
        <row r="5293">
          <cell r="J5293" t="str">
            <v>00 -00-00-00-</v>
          </cell>
          <cell r="L5293" t="str">
            <v>00 -00-00-00-</v>
          </cell>
          <cell r="O5293" t="str">
            <v>SIN CUENTA ASIGNADA</v>
          </cell>
        </row>
        <row r="5294">
          <cell r="J5294" t="str">
            <v>00 -00-00-00-</v>
          </cell>
          <cell r="L5294" t="str">
            <v>00 -00-00-00-</v>
          </cell>
          <cell r="O5294" t="str">
            <v>SIN CUENTA ASIGNADA</v>
          </cell>
        </row>
        <row r="5295">
          <cell r="J5295" t="str">
            <v>00 -00-00-00-</v>
          </cell>
          <cell r="L5295" t="str">
            <v>00 -00-00-00-</v>
          </cell>
          <cell r="O5295" t="str">
            <v>SIN CUENTA ASIGNADA</v>
          </cell>
        </row>
        <row r="5296">
          <cell r="J5296" t="str">
            <v>00 -00-00-00-</v>
          </cell>
          <cell r="L5296" t="str">
            <v>00 -00-00-00-</v>
          </cell>
          <cell r="O5296" t="str">
            <v>SIN CUENTA ASIGNADA</v>
          </cell>
        </row>
        <row r="5297">
          <cell r="J5297" t="str">
            <v>00 -00-00-00-</v>
          </cell>
          <cell r="L5297" t="str">
            <v>00 -00-00-00-</v>
          </cell>
          <cell r="O5297" t="str">
            <v>SIN CUENTA ASIGNADA</v>
          </cell>
        </row>
        <row r="5298">
          <cell r="J5298" t="str">
            <v>00 -00-00-00-</v>
          </cell>
          <cell r="L5298" t="str">
            <v>00 -00-00-00-</v>
          </cell>
          <cell r="O5298" t="str">
            <v>SIN CUENTA ASIGNADA</v>
          </cell>
        </row>
        <row r="5299">
          <cell r="J5299" t="str">
            <v>00 -00-00-00-</v>
          </cell>
          <cell r="L5299" t="str">
            <v>00 -00-00-00-</v>
          </cell>
          <cell r="O5299" t="str">
            <v>SIN CUENTA ASIGNADA</v>
          </cell>
        </row>
        <row r="5300">
          <cell r="J5300" t="str">
            <v>00 -00-00-00-</v>
          </cell>
          <cell r="L5300" t="str">
            <v>00 -00-00-00-</v>
          </cell>
          <cell r="O5300" t="str">
            <v>SIN CUENTA ASIGNADA</v>
          </cell>
        </row>
        <row r="5301">
          <cell r="J5301" t="str">
            <v>00 -00-00-00-</v>
          </cell>
          <cell r="L5301" t="str">
            <v>00 -00-00-00-</v>
          </cell>
          <cell r="O5301" t="str">
            <v>SIN CUENTA ASIGNADA</v>
          </cell>
        </row>
        <row r="5302">
          <cell r="J5302" t="str">
            <v>00 -00-00-00-</v>
          </cell>
          <cell r="L5302" t="str">
            <v>00 -00-00-00-</v>
          </cell>
          <cell r="O5302" t="str">
            <v>SIN CUENTA ASIGNADA</v>
          </cell>
        </row>
        <row r="5303">
          <cell r="J5303" t="str">
            <v>00 -00-00-00-</v>
          </cell>
          <cell r="L5303" t="str">
            <v>00 -00-00-00-</v>
          </cell>
          <cell r="O5303" t="str">
            <v>SIN CUENTA ASIGNADA</v>
          </cell>
        </row>
        <row r="5304">
          <cell r="J5304" t="str">
            <v>00 -00-00-00-</v>
          </cell>
          <cell r="L5304" t="str">
            <v>00 -00-00-00-</v>
          </cell>
          <cell r="O5304" t="str">
            <v>SIN CUENTA ASIGNADA</v>
          </cell>
        </row>
        <row r="5305">
          <cell r="J5305" t="str">
            <v>00 -00-00-00-</v>
          </cell>
          <cell r="L5305" t="str">
            <v>00 -00-00-00-</v>
          </cell>
          <cell r="O5305" t="str">
            <v>SIN CUENTA ASIGNADA</v>
          </cell>
        </row>
        <row r="5306">
          <cell r="J5306" t="str">
            <v>00 -00-00-00-</v>
          </cell>
          <cell r="L5306" t="str">
            <v>00 -00-00-00-</v>
          </cell>
          <cell r="O5306" t="str">
            <v>SIN CUENTA ASIGNADA</v>
          </cell>
        </row>
        <row r="5307">
          <cell r="J5307" t="str">
            <v>00 -00-00-00-</v>
          </cell>
          <cell r="L5307" t="str">
            <v>00 -00-00-00-</v>
          </cell>
          <cell r="O5307" t="str">
            <v>SIN CUENTA ASIGNADA</v>
          </cell>
        </row>
        <row r="5308">
          <cell r="J5308" t="str">
            <v>00 -00-00-00-</v>
          </cell>
          <cell r="L5308" t="str">
            <v>00 -00-00-00-</v>
          </cell>
          <cell r="O5308" t="str">
            <v>SIN CUENTA ASIGNADA</v>
          </cell>
        </row>
        <row r="5309">
          <cell r="J5309" t="str">
            <v>00 -00-00-00-</v>
          </cell>
          <cell r="L5309" t="str">
            <v>00 -00-00-00-</v>
          </cell>
          <cell r="O5309" t="str">
            <v>SIN CUENTA ASIGNADA</v>
          </cell>
        </row>
        <row r="5310">
          <cell r="J5310" t="str">
            <v>00 -00-00-00-</v>
          </cell>
          <cell r="L5310" t="str">
            <v>00 -00-00-00-</v>
          </cell>
          <cell r="O5310" t="str">
            <v>SIN CUENTA ASIGNADA</v>
          </cell>
        </row>
        <row r="5311">
          <cell r="J5311" t="str">
            <v>00 -00-00-00-</v>
          </cell>
          <cell r="L5311" t="str">
            <v>00 -00-00-00-</v>
          </cell>
          <cell r="O5311" t="str">
            <v>SIN CUENTA ASIGNADA</v>
          </cell>
        </row>
        <row r="5312">
          <cell r="J5312" t="str">
            <v>00 -00-00-00-</v>
          </cell>
          <cell r="L5312" t="str">
            <v>00 -00-00-00-</v>
          </cell>
          <cell r="O5312" t="str">
            <v>SIN CUENTA ASIGNADA</v>
          </cell>
        </row>
        <row r="5313">
          <cell r="J5313" t="str">
            <v>00 -00-00-00-</v>
          </cell>
          <cell r="L5313" t="str">
            <v>00 -00-00-00-</v>
          </cell>
          <cell r="O5313" t="str">
            <v>SIN CUENTA ASIGNADA</v>
          </cell>
        </row>
        <row r="5314">
          <cell r="J5314" t="str">
            <v>00 -00-00-00-</v>
          </cell>
          <cell r="L5314" t="str">
            <v>00 -00-00-00-</v>
          </cell>
          <cell r="O5314" t="str">
            <v>SIN CUENTA ASIGNADA</v>
          </cell>
        </row>
        <row r="5315">
          <cell r="J5315" t="str">
            <v>00 -00-00-00-</v>
          </cell>
          <cell r="L5315" t="str">
            <v>00 -00-00-00-</v>
          </cell>
          <cell r="O5315" t="str">
            <v>SIN CUENTA ASIGNADA</v>
          </cell>
        </row>
        <row r="5316">
          <cell r="J5316" t="str">
            <v>00 -00-00-00-</v>
          </cell>
          <cell r="L5316" t="str">
            <v>00 -00-00-00-</v>
          </cell>
          <cell r="O5316" t="str">
            <v>SIN CUENTA ASIGNADA</v>
          </cell>
        </row>
        <row r="5317">
          <cell r="J5317" t="str">
            <v>00 -00-00-00-</v>
          </cell>
          <cell r="L5317" t="str">
            <v>00 -00-00-00-</v>
          </cell>
          <cell r="O5317" t="str">
            <v>SIN CUENTA ASIGNADA</v>
          </cell>
        </row>
        <row r="5318">
          <cell r="J5318" t="str">
            <v>00 -00-00-00-</v>
          </cell>
          <cell r="L5318" t="str">
            <v>00 -00-00-00-</v>
          </cell>
          <cell r="O5318" t="str">
            <v>SIN CUENTA ASIGNADA</v>
          </cell>
        </row>
        <row r="5319">
          <cell r="J5319" t="str">
            <v>00 -00-00-00-</v>
          </cell>
          <cell r="L5319" t="str">
            <v>00 -00-00-00-</v>
          </cell>
          <cell r="O5319" t="str">
            <v>SIN CUENTA ASIGNADA</v>
          </cell>
        </row>
        <row r="5320">
          <cell r="J5320" t="str">
            <v>00 -00-00-00-</v>
          </cell>
          <cell r="L5320" t="str">
            <v>00 -00-00-00-</v>
          </cell>
          <cell r="O5320" t="str">
            <v>SIN CUENTA ASIGNADA</v>
          </cell>
        </row>
        <row r="5321">
          <cell r="J5321" t="str">
            <v>00 -00-00-00-</v>
          </cell>
          <cell r="L5321" t="str">
            <v>00 -00-00-00-</v>
          </cell>
          <cell r="O5321" t="str">
            <v>SIN CUENTA ASIGNADA</v>
          </cell>
        </row>
        <row r="5322">
          <cell r="J5322" t="str">
            <v>00 -00-00-00-</v>
          </cell>
          <cell r="L5322" t="str">
            <v>00 -00-00-00-</v>
          </cell>
          <cell r="O5322" t="str">
            <v>SIN CUENTA ASIGNADA</v>
          </cell>
        </row>
        <row r="5323">
          <cell r="J5323" t="str">
            <v>00 -00-00-00-</v>
          </cell>
          <cell r="L5323" t="str">
            <v>00 -00-00-00-</v>
          </cell>
          <cell r="O5323" t="str">
            <v>SIN CUENTA ASIGNADA</v>
          </cell>
        </row>
        <row r="5324">
          <cell r="J5324" t="str">
            <v>00 -00-00-00-</v>
          </cell>
          <cell r="L5324" t="str">
            <v>00 -00-00-00-</v>
          </cell>
          <cell r="O5324" t="str">
            <v>SIN CUENTA ASIGNADA</v>
          </cell>
        </row>
        <row r="5325">
          <cell r="J5325" t="str">
            <v>00 -00-00-00-</v>
          </cell>
          <cell r="L5325" t="str">
            <v>00 -00-00-00-</v>
          </cell>
          <cell r="O5325" t="str">
            <v>SIN CUENTA ASIGNADA</v>
          </cell>
        </row>
        <row r="5326">
          <cell r="J5326" t="str">
            <v>00 -00-00-00-</v>
          </cell>
          <cell r="L5326" t="str">
            <v>00 -00-00-00-</v>
          </cell>
          <cell r="O5326" t="str">
            <v>SIN CUENTA ASIGNADA</v>
          </cell>
        </row>
        <row r="5327">
          <cell r="J5327" t="str">
            <v>00 -00-00-00-</v>
          </cell>
          <cell r="L5327" t="str">
            <v>00 -00-00-00-</v>
          </cell>
          <cell r="O5327" t="str">
            <v>SIN CUENTA ASIGNADA</v>
          </cell>
        </row>
        <row r="5328">
          <cell r="J5328" t="str">
            <v>00 -00-00-00-</v>
          </cell>
          <cell r="L5328" t="str">
            <v>00 -00-00-00-</v>
          </cell>
          <cell r="O5328" t="str">
            <v>SIN CUENTA ASIGNADA</v>
          </cell>
        </row>
        <row r="5329">
          <cell r="J5329" t="str">
            <v>00 -00-00-00-</v>
          </cell>
          <cell r="L5329" t="str">
            <v>00 -00-00-00-</v>
          </cell>
          <cell r="O5329" t="str">
            <v>SIN CUENTA ASIGNADA</v>
          </cell>
        </row>
        <row r="5330">
          <cell r="J5330" t="str">
            <v>00 -00-00-00-</v>
          </cell>
          <cell r="L5330" t="str">
            <v>00 -00-00-00-</v>
          </cell>
          <cell r="O5330" t="str">
            <v>SIN CUENTA ASIGNADA</v>
          </cell>
        </row>
        <row r="5331">
          <cell r="J5331" t="str">
            <v>00 -00-00-00-</v>
          </cell>
          <cell r="L5331" t="str">
            <v>00 -00-00-00-</v>
          </cell>
          <cell r="O5331" t="str">
            <v>SIN CUENTA ASIGNADA</v>
          </cell>
        </row>
        <row r="5332">
          <cell r="J5332" t="str">
            <v>00 -00-00-00-</v>
          </cell>
          <cell r="L5332" t="str">
            <v>00 -00-00-00-</v>
          </cell>
          <cell r="O5332" t="str">
            <v>SIN CUENTA ASIGNADA</v>
          </cell>
        </row>
        <row r="5333">
          <cell r="J5333" t="str">
            <v>00 -00-00-00-</v>
          </cell>
          <cell r="L5333" t="str">
            <v>00 -00-00-00-</v>
          </cell>
          <cell r="O5333" t="str">
            <v>SIN CUENTA ASIGNADA</v>
          </cell>
        </row>
        <row r="5334">
          <cell r="J5334" t="str">
            <v>00 -00-00-00-</v>
          </cell>
          <cell r="L5334" t="str">
            <v>00 -00-00-00-</v>
          </cell>
          <cell r="O5334" t="str">
            <v>SIN CUENTA ASIGNADA</v>
          </cell>
        </row>
        <row r="5335">
          <cell r="J5335" t="str">
            <v>00 -00-00-00-</v>
          </cell>
          <cell r="L5335" t="str">
            <v>00 -00-00-00-</v>
          </cell>
          <cell r="O5335" t="str">
            <v>SIN CUENTA ASIGNADA</v>
          </cell>
        </row>
        <row r="5336">
          <cell r="J5336" t="str">
            <v>00 -00-00-00-</v>
          </cell>
          <cell r="L5336" t="str">
            <v>00 -00-00-00-</v>
          </cell>
          <cell r="O5336" t="str">
            <v>SIN CUENTA ASIGNADA</v>
          </cell>
        </row>
        <row r="5337">
          <cell r="J5337" t="str">
            <v>00 -00-00-00-</v>
          </cell>
          <cell r="L5337" t="str">
            <v>00 -00-00-00-</v>
          </cell>
          <cell r="O5337" t="str">
            <v>SIN CUENTA ASIGNADA</v>
          </cell>
        </row>
        <row r="5338">
          <cell r="J5338" t="str">
            <v>00 -00-00-00-</v>
          </cell>
          <cell r="L5338" t="str">
            <v>00 -00-00-00-</v>
          </cell>
          <cell r="O5338" t="str">
            <v>SIN CUENTA ASIGNADA</v>
          </cell>
        </row>
        <row r="5339">
          <cell r="J5339" t="str">
            <v>00 -00-00-00-</v>
          </cell>
          <cell r="L5339" t="str">
            <v>00 -00-00-00-</v>
          </cell>
          <cell r="O5339" t="str">
            <v>SIN CUENTA ASIGNADA</v>
          </cell>
        </row>
        <row r="5340">
          <cell r="J5340" t="str">
            <v>00 -00-00-00-</v>
          </cell>
          <cell r="L5340" t="str">
            <v>00 -00-00-00-</v>
          </cell>
          <cell r="O5340" t="str">
            <v>SIN CUENTA ASIGNADA</v>
          </cell>
        </row>
        <row r="5341">
          <cell r="J5341" t="str">
            <v>00 -00-00-00-</v>
          </cell>
          <cell r="L5341" t="str">
            <v>00 -00-00-00-</v>
          </cell>
          <cell r="O5341" t="str">
            <v>SIN CUENTA ASIGNADA</v>
          </cell>
        </row>
        <row r="5342">
          <cell r="J5342" t="str">
            <v>00 -00-00-00-</v>
          </cell>
          <cell r="L5342" t="str">
            <v>00 -00-00-00-</v>
          </cell>
          <cell r="O5342" t="str">
            <v>SIN CUENTA ASIGNADA</v>
          </cell>
        </row>
        <row r="5343">
          <cell r="J5343" t="str">
            <v>00 -00-00-00-</v>
          </cell>
          <cell r="L5343" t="str">
            <v>00 -00-00-00-</v>
          </cell>
          <cell r="O5343" t="str">
            <v>SIN CUENTA ASIGNADA</v>
          </cell>
        </row>
        <row r="5344">
          <cell r="J5344" t="str">
            <v>00 -00-00-00-</v>
          </cell>
          <cell r="L5344" t="str">
            <v>00 -00-00-00-</v>
          </cell>
          <cell r="O5344" t="str">
            <v>SIN CUENTA ASIGNADA</v>
          </cell>
        </row>
        <row r="5345">
          <cell r="J5345" t="str">
            <v>00 -00-00-00-</v>
          </cell>
          <cell r="L5345" t="str">
            <v>00 -00-00-00-</v>
          </cell>
          <cell r="O5345" t="str">
            <v>SIN CUENTA ASIGNADA</v>
          </cell>
        </row>
        <row r="5346">
          <cell r="J5346" t="str">
            <v>00 -00-00-00-</v>
          </cell>
          <cell r="L5346" t="str">
            <v>00 -00-00-00-</v>
          </cell>
          <cell r="O5346" t="str">
            <v>SIN CUENTA ASIGNADA</v>
          </cell>
        </row>
        <row r="5347">
          <cell r="J5347" t="str">
            <v>00 -00-00-00-</v>
          </cell>
          <cell r="L5347" t="str">
            <v>00 -00-00-00-</v>
          </cell>
          <cell r="O5347" t="str">
            <v>SIN CUENTA ASIGNADA</v>
          </cell>
        </row>
        <row r="5348">
          <cell r="J5348" t="str">
            <v>00 -00-00-00-</v>
          </cell>
          <cell r="L5348" t="str">
            <v>00 -00-00-00-</v>
          </cell>
          <cell r="O5348" t="str">
            <v>SIN CUENTA ASIGNADA</v>
          </cell>
        </row>
        <row r="5349">
          <cell r="J5349" t="str">
            <v>00 -00-00-00-</v>
          </cell>
          <cell r="L5349" t="str">
            <v>00 -00-00-00-</v>
          </cell>
          <cell r="O5349" t="str">
            <v>SIN CUENTA ASIGNADA</v>
          </cell>
        </row>
        <row r="5350">
          <cell r="J5350" t="str">
            <v>00 -00-00-00-</v>
          </cell>
          <cell r="L5350" t="str">
            <v>00 -00-00-00-</v>
          </cell>
          <cell r="O5350" t="str">
            <v>SIN CUENTA ASIGNADA</v>
          </cell>
        </row>
        <row r="5351">
          <cell r="J5351" t="str">
            <v>00 -00-00-00-</v>
          </cell>
          <cell r="L5351" t="str">
            <v>00 -00-00-00-</v>
          </cell>
          <cell r="O5351" t="str">
            <v>SIN CUENTA ASIGNADA</v>
          </cell>
        </row>
        <row r="5352">
          <cell r="J5352" t="str">
            <v>00 -00-00-00-</v>
          </cell>
          <cell r="L5352" t="str">
            <v>00 -00-00-00-</v>
          </cell>
          <cell r="O5352" t="str">
            <v>SIN CUENTA ASIGNADA</v>
          </cell>
        </row>
        <row r="5353">
          <cell r="J5353" t="str">
            <v>00 -00-00-00-</v>
          </cell>
          <cell r="L5353" t="str">
            <v>00 -00-00-00-</v>
          </cell>
          <cell r="O5353" t="str">
            <v>SIN CUENTA ASIGNADA</v>
          </cell>
        </row>
        <row r="5354">
          <cell r="J5354" t="str">
            <v>00 -00-00-00-</v>
          </cell>
          <cell r="L5354" t="str">
            <v>00 -00-00-00-</v>
          </cell>
          <cell r="O5354" t="str">
            <v>SIN CUENTA ASIGNADA</v>
          </cell>
        </row>
        <row r="5355">
          <cell r="J5355" t="str">
            <v>00 -00-00-00-</v>
          </cell>
          <cell r="L5355" t="str">
            <v>00 -00-00-00-</v>
          </cell>
          <cell r="O5355" t="str">
            <v>SIN CUENTA ASIGNADA</v>
          </cell>
        </row>
        <row r="5356">
          <cell r="J5356" t="str">
            <v>00 -00-00-00-</v>
          </cell>
          <cell r="L5356" t="str">
            <v>00 -00-00-00-</v>
          </cell>
          <cell r="O5356" t="str">
            <v>SIN CUENTA ASIGNADA</v>
          </cell>
        </row>
        <row r="5357">
          <cell r="J5357" t="str">
            <v>00 -00-00-00-</v>
          </cell>
          <cell r="L5357" t="str">
            <v>00 -00-00-00-</v>
          </cell>
          <cell r="O5357" t="str">
            <v>SIN CUENTA ASIGNADA</v>
          </cell>
        </row>
        <row r="5358">
          <cell r="J5358" t="str">
            <v>00 -00-00-00-</v>
          </cell>
          <cell r="L5358" t="str">
            <v>00 -00-00-00-</v>
          </cell>
          <cell r="O5358" t="str">
            <v>SIN CUENTA ASIGNADA</v>
          </cell>
        </row>
        <row r="5359">
          <cell r="J5359" t="str">
            <v>00 -00-00-00-</v>
          </cell>
          <cell r="L5359" t="str">
            <v>00 -00-00-00-</v>
          </cell>
          <cell r="O5359" t="str">
            <v>SIN CUENTA ASIGNADA</v>
          </cell>
        </row>
        <row r="5360">
          <cell r="J5360" t="str">
            <v>00 -00-00-00-</v>
          </cell>
          <cell r="L5360" t="str">
            <v>00 -00-00-00-</v>
          </cell>
          <cell r="O5360" t="str">
            <v>SIN CUENTA ASIGNADA</v>
          </cell>
        </row>
        <row r="5361">
          <cell r="J5361" t="str">
            <v>00 -00-00-00-</v>
          </cell>
          <cell r="L5361" t="str">
            <v>00 -00-00-00-</v>
          </cell>
          <cell r="O5361" t="str">
            <v>SIN CUENTA ASIGNADA</v>
          </cell>
        </row>
        <row r="5362">
          <cell r="J5362" t="str">
            <v>00 -00-00-00-</v>
          </cell>
          <cell r="L5362" t="str">
            <v>00 -00-00-00-</v>
          </cell>
          <cell r="O5362" t="str">
            <v>SIN CUENTA ASIGNADA</v>
          </cell>
        </row>
        <row r="5363">
          <cell r="J5363" t="str">
            <v>00 -00-00-00-</v>
          </cell>
          <cell r="L5363" t="str">
            <v>00 -00-00-00-</v>
          </cell>
          <cell r="O5363" t="str">
            <v>SIN CUENTA ASIGNADA</v>
          </cell>
        </row>
        <row r="5364">
          <cell r="J5364" t="str">
            <v>00 -00-00-00-</v>
          </cell>
          <cell r="L5364" t="str">
            <v>00 -00-00-00-</v>
          </cell>
          <cell r="O5364" t="str">
            <v>SIN CUENTA ASIGNADA</v>
          </cell>
        </row>
        <row r="5365">
          <cell r="J5365" t="str">
            <v>00 -00-00-00-</v>
          </cell>
          <cell r="L5365" t="str">
            <v>00 -00-00-00-</v>
          </cell>
          <cell r="O5365" t="str">
            <v>SIN CUENTA ASIGNADA</v>
          </cell>
        </row>
        <row r="5366">
          <cell r="J5366" t="str">
            <v>00 -00-00-00-</v>
          </cell>
          <cell r="L5366" t="str">
            <v>00 -00-00-00-</v>
          </cell>
          <cell r="O5366" t="str">
            <v>SIN CUENTA ASIGNADA</v>
          </cell>
        </row>
        <row r="5367">
          <cell r="J5367" t="str">
            <v>00 -00-00-00-</v>
          </cell>
          <cell r="L5367" t="str">
            <v>00 -00-00-00-</v>
          </cell>
          <cell r="O5367" t="str">
            <v>SIN CUENTA ASIGNADA</v>
          </cell>
        </row>
        <row r="5368">
          <cell r="J5368" t="str">
            <v>00 -00-00-00-</v>
          </cell>
          <cell r="L5368" t="str">
            <v>00 -00-00-00-</v>
          </cell>
          <cell r="O5368" t="str">
            <v>SIN CUENTA ASIGNADA</v>
          </cell>
        </row>
        <row r="5369">
          <cell r="J5369" t="str">
            <v>00 -00-00-00-</v>
          </cell>
          <cell r="L5369" t="str">
            <v>00 -00-00-00-</v>
          </cell>
          <cell r="O5369" t="str">
            <v>SIN CUENTA ASIGNADA</v>
          </cell>
        </row>
        <row r="5370">
          <cell r="J5370" t="str">
            <v>00 -00-00-00-</v>
          </cell>
          <cell r="L5370" t="str">
            <v>00 -00-00-00-</v>
          </cell>
          <cell r="O5370" t="str">
            <v>SIN CUENTA ASIGNADA</v>
          </cell>
        </row>
        <row r="5371">
          <cell r="J5371" t="str">
            <v>00 -00-00-00-</v>
          </cell>
          <cell r="L5371" t="str">
            <v>00 -00-00-00-</v>
          </cell>
          <cell r="O5371" t="str">
            <v>SIN CUENTA ASIGNADA</v>
          </cell>
        </row>
        <row r="5372">
          <cell r="J5372" t="str">
            <v>00 -00-00-00-</v>
          </cell>
          <cell r="L5372" t="str">
            <v>00 -00-00-00-</v>
          </cell>
          <cell r="O5372" t="str">
            <v>SIN CUENTA ASIGNADA</v>
          </cell>
        </row>
        <row r="5373">
          <cell r="J5373" t="str">
            <v>00 -00-00-00-</v>
          </cell>
          <cell r="L5373" t="str">
            <v>00 -00-00-00-</v>
          </cell>
          <cell r="O5373" t="str">
            <v>SIN CUENTA ASIGNADA</v>
          </cell>
        </row>
        <row r="5374">
          <cell r="J5374" t="str">
            <v>00 -00-00-00-</v>
          </cell>
          <cell r="L5374" t="str">
            <v>00 -00-00-00-</v>
          </cell>
          <cell r="O5374" t="str">
            <v>SIN CUENTA ASIGNADA</v>
          </cell>
        </row>
        <row r="5375">
          <cell r="J5375" t="str">
            <v>00 -00-00-00-</v>
          </cell>
          <cell r="L5375" t="str">
            <v>00 -00-00-00-</v>
          </cell>
          <cell r="O5375" t="str">
            <v>SIN CUENTA ASIGNADA</v>
          </cell>
        </row>
        <row r="5376">
          <cell r="J5376" t="str">
            <v>00 -00-00-00-</v>
          </cell>
          <cell r="L5376" t="str">
            <v>00 -00-00-00-</v>
          </cell>
          <cell r="O5376" t="str">
            <v>SIN CUENTA ASIGNADA</v>
          </cell>
        </row>
        <row r="5377">
          <cell r="J5377" t="str">
            <v>00 -00-00-00-</v>
          </cell>
          <cell r="L5377" t="str">
            <v>00 -00-00-00-</v>
          </cell>
          <cell r="O5377" t="str">
            <v>SIN CUENTA ASIGNADA</v>
          </cell>
        </row>
        <row r="5378">
          <cell r="J5378" t="str">
            <v>00 -00-00-00-</v>
          </cell>
          <cell r="L5378" t="str">
            <v>00 -00-00-00-</v>
          </cell>
          <cell r="O5378" t="str">
            <v>SIN CUENTA ASIGNADA</v>
          </cell>
        </row>
        <row r="5379">
          <cell r="J5379" t="str">
            <v>00 -00-00-00-</v>
          </cell>
          <cell r="L5379" t="str">
            <v>00 -00-00-00-</v>
          </cell>
          <cell r="O5379" t="str">
            <v>SIN CUENTA ASIGNADA</v>
          </cell>
        </row>
        <row r="5380">
          <cell r="J5380" t="str">
            <v>00 -00-00-00-</v>
          </cell>
          <cell r="L5380" t="str">
            <v>00 -00-00-00-</v>
          </cell>
          <cell r="O5380" t="str">
            <v>SIN CUENTA ASIGNADA</v>
          </cell>
        </row>
        <row r="5381">
          <cell r="J5381" t="str">
            <v>00 -00-00-00-</v>
          </cell>
          <cell r="L5381" t="str">
            <v>00 -00-00-00-</v>
          </cell>
          <cell r="O5381" t="str">
            <v>SIN CUENTA ASIGNADA</v>
          </cell>
        </row>
        <row r="5382">
          <cell r="J5382" t="str">
            <v>00 -00-00-00-</v>
          </cell>
          <cell r="L5382" t="str">
            <v>00 -00-00-00-</v>
          </cell>
          <cell r="O5382" t="str">
            <v>SIN CUENTA ASIGNADA</v>
          </cell>
        </row>
        <row r="5383">
          <cell r="J5383" t="str">
            <v>00 -00-00-00-</v>
          </cell>
          <cell r="L5383" t="str">
            <v>00 -00-00-00-</v>
          </cell>
          <cell r="O5383" t="str">
            <v>SIN CUENTA ASIGNADA</v>
          </cell>
        </row>
        <row r="5384">
          <cell r="J5384" t="str">
            <v>00 -00-00-00-</v>
          </cell>
          <cell r="L5384" t="str">
            <v>00 -00-00-00-</v>
          </cell>
          <cell r="O5384" t="str">
            <v>SIN CUENTA ASIGNADA</v>
          </cell>
        </row>
        <row r="5385">
          <cell r="J5385" t="str">
            <v>00 -00-00-00-</v>
          </cell>
          <cell r="L5385" t="str">
            <v>00 -00-00-00-</v>
          </cell>
          <cell r="O5385" t="str">
            <v>SIN CUENTA ASIGNADA</v>
          </cell>
        </row>
        <row r="5386">
          <cell r="J5386" t="str">
            <v>00 -00-00-00-</v>
          </cell>
          <cell r="L5386" t="str">
            <v>00 -00-00-00-</v>
          </cell>
          <cell r="O5386" t="str">
            <v>SIN CUENTA ASIGNADA</v>
          </cell>
        </row>
        <row r="5387">
          <cell r="J5387" t="str">
            <v>00 -00-00-00-</v>
          </cell>
          <cell r="L5387" t="str">
            <v>00 -00-00-00-</v>
          </cell>
          <cell r="O5387" t="str">
            <v>SIN CUENTA ASIGNADA</v>
          </cell>
        </row>
        <row r="5388">
          <cell r="J5388" t="str">
            <v>00 -00-00-00-</v>
          </cell>
          <cell r="L5388" t="str">
            <v>00 -00-00-00-</v>
          </cell>
          <cell r="O5388" t="str">
            <v>SIN CUENTA ASIGNADA</v>
          </cell>
        </row>
        <row r="5389">
          <cell r="J5389" t="str">
            <v>00 -00-00-00-</v>
          </cell>
          <cell r="L5389" t="str">
            <v>00 -00-00-00-</v>
          </cell>
          <cell r="O5389" t="str">
            <v>SIN CUENTA ASIGNADA</v>
          </cell>
        </row>
        <row r="5390">
          <cell r="J5390" t="str">
            <v>00 -00-00-00-</v>
          </cell>
          <cell r="L5390" t="str">
            <v>00 -00-00-00-</v>
          </cell>
          <cell r="O5390" t="str">
            <v>SIN CUENTA ASIGNADA</v>
          </cell>
        </row>
        <row r="5391">
          <cell r="J5391" t="str">
            <v>00 -00-00-00-</v>
          </cell>
          <cell r="L5391" t="str">
            <v>00 -00-00-00-</v>
          </cell>
          <cell r="O5391" t="str">
            <v>SIN CUENTA ASIGNADA</v>
          </cell>
        </row>
        <row r="5392">
          <cell r="J5392" t="str">
            <v>00 -00-00-00-</v>
          </cell>
          <cell r="L5392" t="str">
            <v>00 -00-00-00-</v>
          </cell>
          <cell r="O5392" t="str">
            <v>SIN CUENTA ASIGNADA</v>
          </cell>
        </row>
        <row r="5393">
          <cell r="J5393" t="str">
            <v>00 -00-00-00-</v>
          </cell>
          <cell r="L5393" t="str">
            <v>00 -00-00-00-</v>
          </cell>
          <cell r="O5393" t="str">
            <v>SIN CUENTA ASIGNADA</v>
          </cell>
        </row>
        <row r="5394">
          <cell r="J5394" t="str">
            <v>00 -00-00-00-</v>
          </cell>
          <cell r="L5394" t="str">
            <v>00 -00-00-00-</v>
          </cell>
          <cell r="O5394" t="str">
            <v>SIN CUENTA ASIGNADA</v>
          </cell>
        </row>
        <row r="5395">
          <cell r="J5395" t="str">
            <v>00 -00-00-00-</v>
          </cell>
          <cell r="L5395" t="str">
            <v>00 -00-00-00-</v>
          </cell>
          <cell r="O5395" t="str">
            <v>SIN CUENTA ASIGNADA</v>
          </cell>
        </row>
        <row r="5396">
          <cell r="J5396" t="str">
            <v>00 -00-00-00-</v>
          </cell>
          <cell r="L5396" t="str">
            <v>00 -00-00-00-</v>
          </cell>
          <cell r="O5396" t="str">
            <v>SIN CUENTA ASIGNADA</v>
          </cell>
        </row>
        <row r="5397">
          <cell r="J5397" t="str">
            <v>00 -00-00-00-</v>
          </cell>
          <cell r="L5397" t="str">
            <v>00 -00-00-00-</v>
          </cell>
          <cell r="O5397" t="str">
            <v>SIN CUENTA ASIGNADA</v>
          </cell>
        </row>
        <row r="5398">
          <cell r="J5398" t="str">
            <v>00 -00-00-00-</v>
          </cell>
          <cell r="L5398" t="str">
            <v>00 -00-00-00-</v>
          </cell>
          <cell r="O5398" t="str">
            <v>SIN CUENTA ASIGNADA</v>
          </cell>
        </row>
        <row r="5399">
          <cell r="J5399" t="str">
            <v>00 -00-00-00-</v>
          </cell>
          <cell r="L5399" t="str">
            <v>00 -00-00-00-</v>
          </cell>
          <cell r="O5399" t="str">
            <v>SIN CUENTA ASIGNADA</v>
          </cell>
        </row>
        <row r="5400">
          <cell r="J5400" t="str">
            <v>00 -00-00-00-</v>
          </cell>
          <cell r="L5400" t="str">
            <v>00 -00-00-00-</v>
          </cell>
          <cell r="O5400" t="str">
            <v>SIN CUENTA ASIGNADA</v>
          </cell>
        </row>
        <row r="5401">
          <cell r="J5401" t="str">
            <v>00 -00-00-00-</v>
          </cell>
          <cell r="L5401" t="str">
            <v>00 -00-00-00-</v>
          </cell>
          <cell r="O5401" t="str">
            <v>SIN CUENTA ASIGNADA</v>
          </cell>
        </row>
        <row r="5402">
          <cell r="J5402" t="str">
            <v>00 -00-00-00-</v>
          </cell>
          <cell r="L5402" t="str">
            <v>00 -00-00-00-</v>
          </cell>
          <cell r="O5402" t="str">
            <v>SIN CUENTA ASIGNADA</v>
          </cell>
        </row>
        <row r="5403">
          <cell r="J5403" t="str">
            <v>00 -00-00-00-</v>
          </cell>
          <cell r="L5403" t="str">
            <v>00 -00-00-00-</v>
          </cell>
          <cell r="O5403" t="str">
            <v>SIN CUENTA ASIGNADA</v>
          </cell>
        </row>
        <row r="5404">
          <cell r="J5404" t="str">
            <v>00 -00-00-00-</v>
          </cell>
          <cell r="L5404" t="str">
            <v>00 -00-00-00-</v>
          </cell>
          <cell r="O5404" t="str">
            <v>SIN CUENTA ASIGNADA</v>
          </cell>
        </row>
        <row r="5405">
          <cell r="J5405" t="str">
            <v>00 -00-00-00-</v>
          </cell>
          <cell r="L5405" t="str">
            <v>00 -00-00-00-</v>
          </cell>
          <cell r="O5405" t="str">
            <v>SIN CUENTA ASIGNADA</v>
          </cell>
        </row>
        <row r="5406">
          <cell r="J5406" t="str">
            <v>00 -00-00-00-</v>
          </cell>
          <cell r="L5406" t="str">
            <v>00 -00-00-00-</v>
          </cell>
          <cell r="O5406" t="str">
            <v>SIN CUENTA ASIGNADA</v>
          </cell>
        </row>
        <row r="5407">
          <cell r="J5407" t="str">
            <v>00 -00-00-00-</v>
          </cell>
          <cell r="L5407" t="str">
            <v>00 -00-00-00-</v>
          </cell>
          <cell r="O5407" t="str">
            <v>SIN CUENTA ASIGNADA</v>
          </cell>
        </row>
        <row r="5408">
          <cell r="J5408" t="str">
            <v>00 -00-00-00-</v>
          </cell>
          <cell r="L5408" t="str">
            <v>00 -00-00-00-</v>
          </cell>
          <cell r="O5408" t="str">
            <v>SIN CUENTA ASIGNADA</v>
          </cell>
        </row>
        <row r="5409">
          <cell r="J5409" t="str">
            <v>00 -00-00-00-</v>
          </cell>
          <cell r="L5409" t="str">
            <v>00 -00-00-00-</v>
          </cell>
          <cell r="O5409" t="str">
            <v>SIN CUENTA ASIGNADA</v>
          </cell>
        </row>
        <row r="5410">
          <cell r="J5410" t="str">
            <v>00 -00-00-00-</v>
          </cell>
          <cell r="L5410" t="str">
            <v>00 -00-00-00-</v>
          </cell>
          <cell r="O5410" t="str">
            <v>SIN CUENTA ASIGNADA</v>
          </cell>
        </row>
        <row r="5411">
          <cell r="J5411" t="str">
            <v>00 -00-00-00-</v>
          </cell>
          <cell r="L5411" t="str">
            <v>00 -00-00-00-</v>
          </cell>
          <cell r="O5411" t="str">
            <v>SIN CUENTA ASIGNADA</v>
          </cell>
        </row>
        <row r="5412">
          <cell r="J5412" t="str">
            <v>00 -00-00-00-</v>
          </cell>
          <cell r="L5412" t="str">
            <v>00 -00-00-00-</v>
          </cell>
          <cell r="O5412" t="str">
            <v>SIN CUENTA ASIGNADA</v>
          </cell>
        </row>
        <row r="5413">
          <cell r="J5413" t="str">
            <v>00 -00-00-00-</v>
          </cell>
          <cell r="L5413" t="str">
            <v>00 -00-00-00-</v>
          </cell>
          <cell r="O5413" t="str">
            <v>SIN CUENTA ASIGNADA</v>
          </cell>
        </row>
        <row r="5414">
          <cell r="J5414" t="str">
            <v>00 -00-00-00-</v>
          </cell>
          <cell r="L5414" t="str">
            <v>00 -00-00-00-</v>
          </cell>
          <cell r="O5414" t="str">
            <v>SIN CUENTA ASIGNADA</v>
          </cell>
        </row>
        <row r="5415">
          <cell r="J5415" t="str">
            <v>00 -00-00-00-</v>
          </cell>
          <cell r="L5415" t="str">
            <v>00 -00-00-00-</v>
          </cell>
          <cell r="O5415" t="str">
            <v>SIN CUENTA ASIGNADA</v>
          </cell>
        </row>
        <row r="5416">
          <cell r="J5416" t="str">
            <v>00 -00-00-00-</v>
          </cell>
          <cell r="L5416" t="str">
            <v>00 -00-00-00-</v>
          </cell>
          <cell r="O5416" t="str">
            <v>SIN CUENTA ASIGNADA</v>
          </cell>
        </row>
        <row r="5417">
          <cell r="J5417" t="str">
            <v>00 -00-00-00-</v>
          </cell>
          <cell r="L5417" t="str">
            <v>00 -00-00-00-</v>
          </cell>
          <cell r="O5417" t="str">
            <v>SIN CUENTA ASIGNADA</v>
          </cell>
        </row>
        <row r="5418">
          <cell r="J5418" t="str">
            <v>00 -00-00-00-</v>
          </cell>
          <cell r="L5418" t="str">
            <v>00 -00-00-00-</v>
          </cell>
          <cell r="O5418" t="str">
            <v>SIN CUENTA ASIGNADA</v>
          </cell>
        </row>
        <row r="5419">
          <cell r="J5419" t="str">
            <v>00 -00-00-00-</v>
          </cell>
          <cell r="L5419" t="str">
            <v>00 -00-00-00-</v>
          </cell>
          <cell r="O5419" t="str">
            <v>SIN CUENTA ASIGNADA</v>
          </cell>
        </row>
        <row r="5420">
          <cell r="J5420" t="str">
            <v>00 -00-00-00-</v>
          </cell>
          <cell r="L5420" t="str">
            <v>00 -00-00-00-</v>
          </cell>
          <cell r="O5420" t="str">
            <v>SIN CUENTA ASIGNADA</v>
          </cell>
        </row>
        <row r="5421">
          <cell r="J5421" t="str">
            <v>00 -00-00-00-</v>
          </cell>
          <cell r="L5421" t="str">
            <v>00 -00-00-00-</v>
          </cell>
          <cell r="O5421" t="str">
            <v>SIN CUENTA ASIGNADA</v>
          </cell>
        </row>
        <row r="5422">
          <cell r="J5422" t="str">
            <v>00 -00-00-00-</v>
          </cell>
          <cell r="L5422" t="str">
            <v>00 -00-00-00-</v>
          </cell>
          <cell r="O5422" t="str">
            <v>SIN CUENTA ASIGNADA</v>
          </cell>
        </row>
        <row r="5423">
          <cell r="J5423" t="str">
            <v>00 -00-00-00-</v>
          </cell>
          <cell r="L5423" t="str">
            <v>00 -00-00-00-</v>
          </cell>
          <cell r="O5423" t="str">
            <v>SIN CUENTA ASIGNADA</v>
          </cell>
        </row>
        <row r="5424">
          <cell r="J5424" t="str">
            <v>00 -00-00-00-</v>
          </cell>
          <cell r="L5424" t="str">
            <v>00 -00-00-00-</v>
          </cell>
          <cell r="O5424" t="str">
            <v>SIN CUENTA ASIGNADA</v>
          </cell>
        </row>
        <row r="5425">
          <cell r="J5425" t="str">
            <v>00 -00-00-00-</v>
          </cell>
          <cell r="L5425" t="str">
            <v>00 -00-00-00-</v>
          </cell>
          <cell r="O5425" t="str">
            <v>SIN CUENTA ASIGNADA</v>
          </cell>
        </row>
        <row r="5426">
          <cell r="J5426" t="str">
            <v>00 -00-00-00-</v>
          </cell>
          <cell r="L5426" t="str">
            <v>00 -00-00-00-</v>
          </cell>
          <cell r="O5426" t="str">
            <v>SIN CUENTA ASIGNADA</v>
          </cell>
        </row>
        <row r="5427">
          <cell r="J5427" t="str">
            <v>00 -00-00-00-</v>
          </cell>
          <cell r="L5427" t="str">
            <v>00 -00-00-00-</v>
          </cell>
          <cell r="O5427" t="str">
            <v>SIN CUENTA ASIGNADA</v>
          </cell>
        </row>
        <row r="5428">
          <cell r="J5428" t="str">
            <v>00 -00-00-00-</v>
          </cell>
          <cell r="L5428" t="str">
            <v>00 -00-00-00-</v>
          </cell>
          <cell r="O5428" t="str">
            <v>SIN CUENTA ASIGNADA</v>
          </cell>
        </row>
        <row r="5429">
          <cell r="J5429" t="str">
            <v>00 -00-00-00-</v>
          </cell>
          <cell r="L5429" t="str">
            <v>00 -00-00-00-</v>
          </cell>
          <cell r="O5429" t="str">
            <v>SIN CUENTA ASIGNADA</v>
          </cell>
        </row>
        <row r="5430">
          <cell r="J5430" t="str">
            <v>00 -00-00-00-</v>
          </cell>
          <cell r="L5430" t="str">
            <v>00 -00-00-00-</v>
          </cell>
          <cell r="O5430" t="str">
            <v>SIN CUENTA ASIGNADA</v>
          </cell>
        </row>
        <row r="5431">
          <cell r="J5431" t="str">
            <v>00 -00-00-00-</v>
          </cell>
          <cell r="L5431" t="str">
            <v>00 -00-00-00-</v>
          </cell>
          <cell r="O5431" t="str">
            <v>SIN CUENTA ASIGNADA</v>
          </cell>
        </row>
        <row r="5432">
          <cell r="J5432" t="str">
            <v>00 -00-00-00-</v>
          </cell>
          <cell r="L5432" t="str">
            <v>00 -00-00-00-</v>
          </cell>
          <cell r="O5432" t="str">
            <v>SIN CUENTA ASIGNADA</v>
          </cell>
        </row>
        <row r="5433">
          <cell r="J5433" t="str">
            <v>00 -00-00-00-</v>
          </cell>
          <cell r="L5433" t="str">
            <v>00 -00-00-00-</v>
          </cell>
          <cell r="O5433" t="str">
            <v>SIN CUENTA ASIGNADA</v>
          </cell>
        </row>
        <row r="5434">
          <cell r="J5434" t="str">
            <v>00 -00-00-00-</v>
          </cell>
          <cell r="L5434" t="str">
            <v>00 -00-00-00-</v>
          </cell>
          <cell r="O5434" t="str">
            <v>SIN CUENTA ASIGNADA</v>
          </cell>
        </row>
        <row r="5435">
          <cell r="J5435" t="str">
            <v>00 -00-00-00-</v>
          </cell>
          <cell r="L5435" t="str">
            <v>00 -00-00-00-</v>
          </cell>
          <cell r="O5435" t="str">
            <v>SIN CUENTA ASIGNADA</v>
          </cell>
        </row>
        <row r="5436">
          <cell r="J5436" t="str">
            <v>00 -00-00-00-</v>
          </cell>
          <cell r="L5436" t="str">
            <v>00 -00-00-00-</v>
          </cell>
          <cell r="O5436" t="str">
            <v>SIN CUENTA ASIGNADA</v>
          </cell>
        </row>
        <row r="5437">
          <cell r="J5437" t="str">
            <v>00 -00-00-00-</v>
          </cell>
          <cell r="L5437" t="str">
            <v>00 -00-00-00-</v>
          </cell>
          <cell r="O5437" t="str">
            <v>SIN CUENTA ASIGNADA</v>
          </cell>
        </row>
        <row r="5438">
          <cell r="J5438" t="str">
            <v>00 -00-00-00-</v>
          </cell>
          <cell r="L5438" t="str">
            <v>00 -00-00-00-</v>
          </cell>
          <cell r="O5438" t="str">
            <v>SIN CUENTA ASIGNADA</v>
          </cell>
        </row>
        <row r="5439">
          <cell r="J5439" t="str">
            <v>00 -00-00-00-</v>
          </cell>
          <cell r="L5439" t="str">
            <v>00 -00-00-00-</v>
          </cell>
          <cell r="O5439" t="str">
            <v>SIN CUENTA ASIGNADA</v>
          </cell>
        </row>
        <row r="5440">
          <cell r="J5440" t="str">
            <v>00 -00-00-00-</v>
          </cell>
          <cell r="L5440" t="str">
            <v>00 -00-00-00-</v>
          </cell>
          <cell r="O5440" t="str">
            <v>SIN CUENTA ASIGNADA</v>
          </cell>
        </row>
        <row r="5441">
          <cell r="J5441" t="str">
            <v>00 -00-00-00-</v>
          </cell>
          <cell r="L5441" t="str">
            <v>00 -00-00-00-</v>
          </cell>
          <cell r="O5441" t="str">
            <v>SIN CUENTA ASIGNADA</v>
          </cell>
        </row>
        <row r="5442">
          <cell r="J5442" t="str">
            <v>00 -00-00-00-</v>
          </cell>
          <cell r="L5442" t="str">
            <v>00 -00-00-00-</v>
          </cell>
          <cell r="O5442" t="str">
            <v>SIN CUENTA ASIGNADA</v>
          </cell>
        </row>
        <row r="5443">
          <cell r="J5443" t="str">
            <v>00 -00-00-00-</v>
          </cell>
          <cell r="L5443" t="str">
            <v>00 -00-00-00-</v>
          </cell>
          <cell r="O5443" t="str">
            <v>SIN CUENTA ASIGNADA</v>
          </cell>
        </row>
        <row r="5444">
          <cell r="J5444" t="str">
            <v>00 -00-00-00-</v>
          </cell>
          <cell r="L5444" t="str">
            <v>00 -00-00-00-</v>
          </cell>
          <cell r="O5444" t="str">
            <v>SIN CUENTA ASIGNADA</v>
          </cell>
        </row>
        <row r="5445">
          <cell r="J5445" t="str">
            <v>00 -00-00-00-</v>
          </cell>
          <cell r="L5445" t="str">
            <v>00 -00-00-00-</v>
          </cell>
          <cell r="O5445" t="str">
            <v>SIN CUENTA ASIGNADA</v>
          </cell>
        </row>
        <row r="5446">
          <cell r="J5446" t="str">
            <v>00 -00-00-00-</v>
          </cell>
          <cell r="L5446" t="str">
            <v>00 -00-00-00-</v>
          </cell>
          <cell r="O5446" t="str">
            <v>SIN CUENTA ASIGNADA</v>
          </cell>
        </row>
        <row r="5447">
          <cell r="J5447" t="str">
            <v>00 -00-00-00-</v>
          </cell>
          <cell r="L5447" t="str">
            <v>00 -00-00-00-</v>
          </cell>
          <cell r="O5447" t="str">
            <v>SIN CUENTA ASIGNADA</v>
          </cell>
        </row>
        <row r="5448">
          <cell r="J5448" t="str">
            <v>00 -00-00-00-</v>
          </cell>
          <cell r="L5448" t="str">
            <v>00 -00-00-00-</v>
          </cell>
          <cell r="O5448" t="str">
            <v>SIN CUENTA ASIGNADA</v>
          </cell>
        </row>
        <row r="5449">
          <cell r="J5449" t="str">
            <v>00 -00-00-00-</v>
          </cell>
          <cell r="L5449" t="str">
            <v>00 -00-00-00-</v>
          </cell>
          <cell r="O5449" t="str">
            <v>SIN CUENTA ASIGNADA</v>
          </cell>
        </row>
        <row r="5450">
          <cell r="J5450" t="str">
            <v>00 -00-00-00-</v>
          </cell>
          <cell r="L5450" t="str">
            <v>00 -00-00-00-</v>
          </cell>
          <cell r="O5450" t="str">
            <v>SIN CUENTA ASIGNADA</v>
          </cell>
        </row>
        <row r="5451">
          <cell r="J5451" t="str">
            <v>00 -00-00-00-</v>
          </cell>
          <cell r="L5451" t="str">
            <v>00 -00-00-00-</v>
          </cell>
          <cell r="O5451" t="str">
            <v>SIN CUENTA ASIGNADA</v>
          </cell>
        </row>
        <row r="5452">
          <cell r="J5452" t="str">
            <v>00 -00-00-00-</v>
          </cell>
          <cell r="L5452" t="str">
            <v>00 -00-00-00-</v>
          </cell>
          <cell r="O5452" t="str">
            <v>SIN CUENTA ASIGNADA</v>
          </cell>
        </row>
        <row r="5453">
          <cell r="J5453" t="str">
            <v>00 -00-00-00-</v>
          </cell>
          <cell r="L5453" t="str">
            <v>00 -00-00-00-</v>
          </cell>
          <cell r="O5453" t="str">
            <v>SIN CUENTA ASIGNADA</v>
          </cell>
        </row>
        <row r="5454">
          <cell r="J5454" t="str">
            <v>00 -00-00-00-</v>
          </cell>
          <cell r="L5454" t="str">
            <v>00 -00-00-00-</v>
          </cell>
          <cell r="O5454" t="str">
            <v>SIN CUENTA ASIGNADA</v>
          </cell>
        </row>
        <row r="5455">
          <cell r="J5455" t="str">
            <v>00 -00-00-00-</v>
          </cell>
          <cell r="L5455" t="str">
            <v>00 -00-00-00-</v>
          </cell>
          <cell r="O5455" t="str">
            <v>SIN CUENTA ASIGNADA</v>
          </cell>
        </row>
        <row r="5456">
          <cell r="J5456" t="str">
            <v>00 -00-00-00-</v>
          </cell>
          <cell r="L5456" t="str">
            <v>00 -00-00-00-</v>
          </cell>
          <cell r="O5456" t="str">
            <v>SIN CUENTA ASIGNADA</v>
          </cell>
        </row>
        <row r="5457">
          <cell r="J5457" t="str">
            <v>00 -00-00-00-</v>
          </cell>
          <cell r="L5457" t="str">
            <v>00 -00-00-00-</v>
          </cell>
          <cell r="O5457" t="str">
            <v>SIN CUENTA ASIGNADA</v>
          </cell>
        </row>
        <row r="5458">
          <cell r="J5458" t="str">
            <v>00 -00-00-00-</v>
          </cell>
          <cell r="L5458" t="str">
            <v>00 -00-00-00-</v>
          </cell>
          <cell r="O5458" t="str">
            <v>SIN CUENTA ASIGNADA</v>
          </cell>
        </row>
        <row r="5459">
          <cell r="J5459" t="str">
            <v>00 -00-00-00-</v>
          </cell>
          <cell r="L5459" t="str">
            <v>00 -00-00-00-</v>
          </cell>
          <cell r="O5459" t="str">
            <v>SIN CUENTA ASIGNADA</v>
          </cell>
        </row>
        <row r="5460">
          <cell r="J5460" t="str">
            <v>00 -00-00-00-</v>
          </cell>
          <cell r="L5460" t="str">
            <v>00 -00-00-00-</v>
          </cell>
          <cell r="O5460" t="str">
            <v>SIN CUENTA ASIGNADA</v>
          </cell>
        </row>
        <row r="5461">
          <cell r="J5461" t="str">
            <v>00 -00-00-00-</v>
          </cell>
          <cell r="L5461" t="str">
            <v>00 -00-00-00-</v>
          </cell>
          <cell r="O5461" t="str">
            <v>SIN CUENTA ASIGNADA</v>
          </cell>
        </row>
        <row r="5462">
          <cell r="J5462" t="str">
            <v>00 -00-00-00-</v>
          </cell>
          <cell r="L5462" t="str">
            <v>00 -00-00-00-</v>
          </cell>
          <cell r="O5462" t="str">
            <v>SIN CUENTA ASIGNADA</v>
          </cell>
        </row>
        <row r="5463">
          <cell r="J5463" t="str">
            <v>00 -00-00-00-</v>
          </cell>
          <cell r="L5463" t="str">
            <v>00 -00-00-00-</v>
          </cell>
          <cell r="O5463" t="str">
            <v>SIN CUENTA ASIGNADA</v>
          </cell>
        </row>
        <row r="5464">
          <cell r="J5464" t="str">
            <v>00 -00-00-00-</v>
          </cell>
          <cell r="L5464" t="str">
            <v>00 -00-00-00-</v>
          </cell>
          <cell r="O5464" t="str">
            <v>SIN CUENTA ASIGNADA</v>
          </cell>
        </row>
        <row r="5465">
          <cell r="J5465" t="str">
            <v>00 -00-00-00-</v>
          </cell>
          <cell r="L5465" t="str">
            <v>00 -00-00-00-</v>
          </cell>
          <cell r="O5465" t="str">
            <v>SIN CUENTA ASIGNADA</v>
          </cell>
        </row>
        <row r="5466">
          <cell r="J5466" t="str">
            <v>00 -00-00-00-</v>
          </cell>
          <cell r="L5466" t="str">
            <v>00 -00-00-00-</v>
          </cell>
          <cell r="O5466" t="str">
            <v>SIN CUENTA ASIGNADA</v>
          </cell>
        </row>
        <row r="5467">
          <cell r="J5467" t="str">
            <v>00 -00-00-00-</v>
          </cell>
          <cell r="L5467" t="str">
            <v>00 -00-00-00-</v>
          </cell>
          <cell r="O5467" t="str">
            <v>SIN CUENTA ASIGNADA</v>
          </cell>
        </row>
        <row r="5468">
          <cell r="J5468" t="str">
            <v>00 -00-00-00-</v>
          </cell>
          <cell r="L5468" t="str">
            <v>00 -00-00-00-</v>
          </cell>
          <cell r="O5468" t="str">
            <v>SIN CUENTA ASIGNADA</v>
          </cell>
        </row>
        <row r="5469">
          <cell r="J5469" t="str">
            <v>00 -00-00-00-</v>
          </cell>
          <cell r="L5469" t="str">
            <v>00 -00-00-00-</v>
          </cell>
          <cell r="O5469" t="str">
            <v>SIN CUENTA ASIGNADA</v>
          </cell>
        </row>
        <row r="5470">
          <cell r="J5470" t="str">
            <v>00 -00-00-00-</v>
          </cell>
          <cell r="L5470" t="str">
            <v>00 -00-00-00-</v>
          </cell>
          <cell r="O5470" t="str">
            <v>SIN CUENTA ASIGNADA</v>
          </cell>
        </row>
        <row r="5471">
          <cell r="J5471" t="str">
            <v>00 -00-00-00-</v>
          </cell>
          <cell r="L5471" t="str">
            <v>00 -00-00-00-</v>
          </cell>
          <cell r="O5471" t="str">
            <v>SIN CUENTA ASIGNADA</v>
          </cell>
        </row>
        <row r="5472">
          <cell r="J5472" t="str">
            <v>00 -00-00-00-</v>
          </cell>
          <cell r="L5472" t="str">
            <v>00 -00-00-00-</v>
          </cell>
          <cell r="O5472" t="str">
            <v>SIN CUENTA ASIGNADA</v>
          </cell>
        </row>
        <row r="5473">
          <cell r="J5473" t="str">
            <v>00 -00-00-00-</v>
          </cell>
          <cell r="L5473" t="str">
            <v>00 -00-00-00-</v>
          </cell>
          <cell r="O5473" t="str">
            <v>SIN CUENTA ASIGNADA</v>
          </cell>
        </row>
        <row r="5474">
          <cell r="J5474" t="str">
            <v>00 -00-00-00-</v>
          </cell>
          <cell r="L5474" t="str">
            <v>00 -00-00-00-</v>
          </cell>
          <cell r="O5474" t="str">
            <v>SIN CUENTA ASIGNADA</v>
          </cell>
        </row>
        <row r="5475">
          <cell r="J5475" t="str">
            <v>00 -00-00-00-</v>
          </cell>
          <cell r="L5475" t="str">
            <v>00 -00-00-00-</v>
          </cell>
          <cell r="O5475" t="str">
            <v>SIN CUENTA ASIGNADA</v>
          </cell>
        </row>
        <row r="5476">
          <cell r="J5476" t="str">
            <v>00 -00-00-00-</v>
          </cell>
          <cell r="L5476" t="str">
            <v>00 -00-00-00-</v>
          </cell>
          <cell r="O5476" t="str">
            <v>SIN CUENTA ASIGNADA</v>
          </cell>
        </row>
        <row r="5477">
          <cell r="J5477" t="str">
            <v>00 -00-00-00-</v>
          </cell>
          <cell r="L5477" t="str">
            <v>00 -00-00-00-</v>
          </cell>
          <cell r="O5477" t="str">
            <v>SIN CUENTA ASIGNADA</v>
          </cell>
        </row>
        <row r="5478">
          <cell r="J5478" t="str">
            <v>00 -00-00-00-</v>
          </cell>
          <cell r="L5478" t="str">
            <v>00 -00-00-00-</v>
          </cell>
          <cell r="O5478" t="str">
            <v>SIN CUENTA ASIGNADA</v>
          </cell>
        </row>
        <row r="5479">
          <cell r="J5479" t="str">
            <v>00 -00-00-00-</v>
          </cell>
          <cell r="L5479" t="str">
            <v>00 -00-00-00-</v>
          </cell>
          <cell r="O5479" t="str">
            <v>SIN CUENTA ASIGNADA</v>
          </cell>
        </row>
        <row r="5480">
          <cell r="J5480" t="str">
            <v>00 -00-00-00-</v>
          </cell>
          <cell r="L5480" t="str">
            <v>00 -00-00-00-</v>
          </cell>
          <cell r="O5480" t="str">
            <v>SIN CUENTA ASIGNADA</v>
          </cell>
        </row>
        <row r="5481">
          <cell r="J5481" t="str">
            <v>00 -00-00-00-</v>
          </cell>
          <cell r="L5481" t="str">
            <v>00 -00-00-00-</v>
          </cell>
          <cell r="O5481" t="str">
            <v>SIN CUENTA ASIGNADA</v>
          </cell>
        </row>
        <row r="5482">
          <cell r="J5482" t="str">
            <v>00 -00-00-00-</v>
          </cell>
          <cell r="L5482" t="str">
            <v>00 -00-00-00-</v>
          </cell>
          <cell r="O5482" t="str">
            <v>SIN CUENTA ASIGNADA</v>
          </cell>
        </row>
        <row r="5483">
          <cell r="J5483" t="str">
            <v>00 -00-00-00-</v>
          </cell>
          <cell r="L5483" t="str">
            <v>00 -00-00-00-</v>
          </cell>
          <cell r="O5483" t="str">
            <v>SIN CUENTA ASIGNADA</v>
          </cell>
        </row>
        <row r="5484">
          <cell r="J5484" t="str">
            <v>00 -00-00-00-</v>
          </cell>
          <cell r="L5484" t="str">
            <v>00 -00-00-00-</v>
          </cell>
          <cell r="O5484" t="str">
            <v>SIN CUENTA ASIGNADA</v>
          </cell>
        </row>
        <row r="5485">
          <cell r="J5485" t="str">
            <v>00 -00-00-00-</v>
          </cell>
          <cell r="L5485" t="str">
            <v>00 -00-00-00-</v>
          </cell>
          <cell r="O5485" t="str">
            <v>SIN CUENTA ASIGNADA</v>
          </cell>
        </row>
        <row r="5486">
          <cell r="J5486" t="str">
            <v>00 -00-00-00-</v>
          </cell>
          <cell r="L5486" t="str">
            <v>00 -00-00-00-</v>
          </cell>
          <cell r="O5486" t="str">
            <v>SIN CUENTA ASIGNADA</v>
          </cell>
        </row>
        <row r="5487">
          <cell r="J5487" t="str">
            <v>00 -00-00-00-</v>
          </cell>
          <cell r="L5487" t="str">
            <v>00 -00-00-00-</v>
          </cell>
          <cell r="O5487" t="str">
            <v>SIN CUENTA ASIGNADA</v>
          </cell>
        </row>
        <row r="5488">
          <cell r="J5488" t="str">
            <v>00 -00-00-00-</v>
          </cell>
          <cell r="L5488" t="str">
            <v>00 -00-00-00-</v>
          </cell>
          <cell r="O5488" t="str">
            <v>SIN CUENTA ASIGNADA</v>
          </cell>
        </row>
        <row r="5489">
          <cell r="J5489" t="str">
            <v>00 -00-00-00-</v>
          </cell>
          <cell r="L5489" t="str">
            <v>00 -00-00-00-</v>
          </cell>
          <cell r="O5489" t="str">
            <v>SIN CUENTA ASIGNADA</v>
          </cell>
        </row>
        <row r="5490">
          <cell r="J5490" t="str">
            <v>00 -00-00-00-</v>
          </cell>
          <cell r="L5490" t="str">
            <v>00 -00-00-00-</v>
          </cell>
          <cell r="O5490" t="str">
            <v>SIN CUENTA ASIGNADA</v>
          </cell>
        </row>
        <row r="5491">
          <cell r="J5491" t="str">
            <v>00 -00-00-00-</v>
          </cell>
          <cell r="L5491" t="str">
            <v>00 -00-00-00-</v>
          </cell>
          <cell r="O5491" t="str">
            <v>SIN CUENTA ASIGNADA</v>
          </cell>
        </row>
        <row r="5492">
          <cell r="J5492" t="str">
            <v>00 -00-00-00-</v>
          </cell>
          <cell r="L5492" t="str">
            <v>00 -00-00-00-</v>
          </cell>
          <cell r="O5492" t="str">
            <v>SIN CUENTA ASIGNADA</v>
          </cell>
        </row>
        <row r="5493">
          <cell r="J5493" t="str">
            <v>00 -00-00-00-</v>
          </cell>
          <cell r="L5493" t="str">
            <v>00 -00-00-00-</v>
          </cell>
          <cell r="O5493" t="str">
            <v>SIN CUENTA ASIGNADA</v>
          </cell>
        </row>
        <row r="5494">
          <cell r="J5494" t="str">
            <v>00 -00-00-00-</v>
          </cell>
          <cell r="L5494" t="str">
            <v>00 -00-00-00-</v>
          </cell>
          <cell r="O5494" t="str">
            <v>SIN CUENTA ASIGNADA</v>
          </cell>
        </row>
        <row r="5495">
          <cell r="J5495" t="str">
            <v>00 -00-00-00-</v>
          </cell>
          <cell r="L5495" t="str">
            <v>00 -00-00-00-</v>
          </cell>
          <cell r="O5495" t="str">
            <v>SIN CUENTA ASIGNADA</v>
          </cell>
        </row>
        <row r="5496">
          <cell r="J5496" t="str">
            <v>00 -00-00-00-</v>
          </cell>
          <cell r="L5496" t="str">
            <v>00 -00-00-00-</v>
          </cell>
          <cell r="O5496" t="str">
            <v>SIN CUENTA ASIGNADA</v>
          </cell>
        </row>
        <row r="5497">
          <cell r="J5497" t="str">
            <v>00 -00-00-00-</v>
          </cell>
          <cell r="L5497" t="str">
            <v>00 -00-00-00-</v>
          </cell>
          <cell r="O5497" t="str">
            <v>SIN CUENTA ASIGNADA</v>
          </cell>
        </row>
        <row r="5498">
          <cell r="J5498" t="str">
            <v>00 -00-00-00-</v>
          </cell>
          <cell r="L5498" t="str">
            <v>00 -00-00-00-</v>
          </cell>
          <cell r="O5498" t="str">
            <v>SIN CUENTA ASIGNADA</v>
          </cell>
        </row>
        <row r="5499">
          <cell r="J5499" t="str">
            <v>00 -00-00-00-</v>
          </cell>
          <cell r="L5499" t="str">
            <v>00 -00-00-00-</v>
          </cell>
          <cell r="O5499" t="str">
            <v>SIN CUENTA ASIGNADA</v>
          </cell>
        </row>
        <row r="5500">
          <cell r="J5500" t="str">
            <v>00 -00-00-00-</v>
          </cell>
          <cell r="L5500" t="str">
            <v>00 -00-00-00-</v>
          </cell>
          <cell r="O5500" t="str">
            <v>SIN CUENTA ASIGNADA</v>
          </cell>
        </row>
        <row r="5501">
          <cell r="J5501" t="str">
            <v>00 -00-00-00-</v>
          </cell>
          <cell r="L5501" t="str">
            <v>00 -00-00-00-</v>
          </cell>
          <cell r="O5501" t="str">
            <v>SIN CUENTA ASIGNADA</v>
          </cell>
        </row>
        <row r="5502">
          <cell r="J5502" t="str">
            <v>00 -00-00-00-</v>
          </cell>
          <cell r="L5502" t="str">
            <v>00 -00-00-00-</v>
          </cell>
          <cell r="O5502" t="str">
            <v>SIN CUENTA ASIGNADA</v>
          </cell>
        </row>
        <row r="5503">
          <cell r="J5503" t="str">
            <v>00 -00-00-00-</v>
          </cell>
          <cell r="L5503" t="str">
            <v>00 -00-00-00-</v>
          </cell>
          <cell r="O5503" t="str">
            <v>SIN CUENTA ASIGNADA</v>
          </cell>
        </row>
        <row r="5504">
          <cell r="J5504" t="str">
            <v>00 -00-00-00-</v>
          </cell>
          <cell r="L5504" t="str">
            <v>00 -00-00-00-</v>
          </cell>
          <cell r="O5504" t="str">
            <v>SIN CUENTA ASIGNADA</v>
          </cell>
        </row>
        <row r="5505">
          <cell r="J5505" t="str">
            <v>00 -00-00-00-</v>
          </cell>
          <cell r="L5505" t="str">
            <v>00 -00-00-00-</v>
          </cell>
          <cell r="O5505" t="str">
            <v>SIN CUENTA ASIGNADA</v>
          </cell>
        </row>
        <row r="5506">
          <cell r="J5506" t="str">
            <v>00 -00-00-00-</v>
          </cell>
          <cell r="L5506" t="str">
            <v>00 -00-00-00-</v>
          </cell>
          <cell r="O5506" t="str">
            <v>SIN CUENTA ASIGNADA</v>
          </cell>
        </row>
        <row r="5507">
          <cell r="J5507" t="str">
            <v>00 -00-00-00-</v>
          </cell>
          <cell r="L5507" t="str">
            <v>00 -00-00-00-</v>
          </cell>
          <cell r="O5507" t="str">
            <v>SIN CUENTA ASIGNADA</v>
          </cell>
        </row>
        <row r="5508">
          <cell r="J5508" t="str">
            <v>00 -00-00-00-</v>
          </cell>
          <cell r="L5508" t="str">
            <v>00 -00-00-00-</v>
          </cell>
          <cell r="O5508" t="str">
            <v>SIN CUENTA ASIGNADA</v>
          </cell>
        </row>
        <row r="5509">
          <cell r="J5509" t="str">
            <v>00 -00-00-00-</v>
          </cell>
          <cell r="L5509" t="str">
            <v>00 -00-00-00-</v>
          </cell>
          <cell r="O5509" t="str">
            <v>SIN CUENTA ASIGNADA</v>
          </cell>
        </row>
        <row r="5510">
          <cell r="J5510" t="str">
            <v>00 -00-00-00-</v>
          </cell>
          <cell r="L5510" t="str">
            <v>00 -00-00-00-</v>
          </cell>
          <cell r="O5510" t="str">
            <v>SIN CUENTA ASIGNADA</v>
          </cell>
        </row>
        <row r="5511">
          <cell r="J5511" t="str">
            <v>00 -00-00-00-</v>
          </cell>
          <cell r="L5511" t="str">
            <v>00 -00-00-00-</v>
          </cell>
          <cell r="O5511" t="str">
            <v>SIN CUENTA ASIGNADA</v>
          </cell>
        </row>
        <row r="5512">
          <cell r="J5512" t="str">
            <v>00 -00-00-00-</v>
          </cell>
          <cell r="L5512" t="str">
            <v>00 -00-00-00-</v>
          </cell>
          <cell r="O5512" t="str">
            <v>SIN CUENTA ASIGNADA</v>
          </cell>
        </row>
        <row r="5513">
          <cell r="J5513" t="str">
            <v>00 -00-00-00-</v>
          </cell>
          <cell r="L5513" t="str">
            <v>00 -00-00-00-</v>
          </cell>
          <cell r="O5513" t="str">
            <v>SIN CUENTA ASIGNADA</v>
          </cell>
        </row>
        <row r="5514">
          <cell r="J5514" t="str">
            <v>00 -00-00-00-</v>
          </cell>
          <cell r="L5514" t="str">
            <v>00 -00-00-00-</v>
          </cell>
          <cell r="O5514" t="str">
            <v>SIN CUENTA ASIGNADA</v>
          </cell>
        </row>
        <row r="5515">
          <cell r="J5515" t="str">
            <v>00 -00-00-00-</v>
          </cell>
          <cell r="L5515" t="str">
            <v>00 -00-00-00-</v>
          </cell>
          <cell r="O5515" t="str">
            <v>SIN CUENTA ASIGNADA</v>
          </cell>
        </row>
        <row r="5516">
          <cell r="J5516" t="str">
            <v>00 -00-00-00-</v>
          </cell>
          <cell r="L5516" t="str">
            <v>00 -00-00-00-</v>
          </cell>
          <cell r="O5516" t="str">
            <v>SIN CUENTA ASIGNADA</v>
          </cell>
        </row>
        <row r="5517">
          <cell r="J5517" t="str">
            <v>00 -00-00-00-</v>
          </cell>
          <cell r="L5517" t="str">
            <v>00 -00-00-00-</v>
          </cell>
          <cell r="O5517" t="str">
            <v>SIN CUENTA ASIGNADA</v>
          </cell>
        </row>
        <row r="5518">
          <cell r="J5518" t="str">
            <v>00 -00-00-00-</v>
          </cell>
          <cell r="L5518" t="str">
            <v>00 -00-00-00-</v>
          </cell>
          <cell r="O5518" t="str">
            <v>SIN CUENTA ASIGNADA</v>
          </cell>
        </row>
        <row r="5519">
          <cell r="J5519" t="str">
            <v>00 -00-00-00-</v>
          </cell>
          <cell r="L5519" t="str">
            <v>00 -00-00-00-</v>
          </cell>
          <cell r="O5519" t="str">
            <v>SIN CUENTA ASIGNADA</v>
          </cell>
        </row>
        <row r="5520">
          <cell r="J5520" t="str">
            <v>00 -00-00-00-</v>
          </cell>
          <cell r="L5520" t="str">
            <v>00 -00-00-00-</v>
          </cell>
          <cell r="O5520" t="str">
            <v>SIN CUENTA ASIGNADA</v>
          </cell>
        </row>
        <row r="5521">
          <cell r="J5521" t="str">
            <v>00 -00-00-00-</v>
          </cell>
          <cell r="L5521" t="str">
            <v>00 -00-00-00-</v>
          </cell>
          <cell r="O5521" t="str">
            <v>SIN CUENTA ASIGNADA</v>
          </cell>
        </row>
        <row r="5522">
          <cell r="J5522" t="str">
            <v>00 -00-00-00-</v>
          </cell>
          <cell r="L5522" t="str">
            <v>00 -00-00-00-</v>
          </cell>
          <cell r="O5522" t="str">
            <v>SIN CUENTA ASIGNADA</v>
          </cell>
        </row>
        <row r="5523">
          <cell r="J5523" t="str">
            <v>00 -00-00-00-</v>
          </cell>
          <cell r="L5523" t="str">
            <v>00 -00-00-00-</v>
          </cell>
          <cell r="O5523" t="str">
            <v>SIN CUENTA ASIGNADA</v>
          </cell>
        </row>
        <row r="5524">
          <cell r="J5524" t="str">
            <v>00 -00-00-00-</v>
          </cell>
          <cell r="L5524" t="str">
            <v>00 -00-00-00-</v>
          </cell>
          <cell r="O5524" t="str">
            <v>SIN CUENTA ASIGNADA</v>
          </cell>
        </row>
        <row r="5525">
          <cell r="J5525" t="str">
            <v>00 -00-00-00-</v>
          </cell>
          <cell r="L5525" t="str">
            <v>00 -00-00-00-</v>
          </cell>
          <cell r="O5525" t="str">
            <v>SIN CUENTA ASIGNADA</v>
          </cell>
        </row>
        <row r="5526">
          <cell r="J5526" t="str">
            <v>00 -00-00-00-</v>
          </cell>
          <cell r="L5526" t="str">
            <v>00 -00-00-00-</v>
          </cell>
          <cell r="O5526" t="str">
            <v>SIN CUENTA ASIGNADA</v>
          </cell>
        </row>
        <row r="5527">
          <cell r="J5527" t="str">
            <v>00 -00-00-00-</v>
          </cell>
          <cell r="L5527" t="str">
            <v>00 -00-00-00-</v>
          </cell>
          <cell r="O5527" t="str">
            <v>SIN CUENTA ASIGNADA</v>
          </cell>
        </row>
        <row r="5528">
          <cell r="J5528" t="str">
            <v>00 -00-00-00-</v>
          </cell>
          <cell r="L5528" t="str">
            <v>00 -00-00-00-</v>
          </cell>
          <cell r="O5528" t="str">
            <v>SIN CUENTA ASIGNADA</v>
          </cell>
        </row>
        <row r="5529">
          <cell r="J5529" t="str">
            <v>00 -00-00-00-</v>
          </cell>
          <cell r="L5529" t="str">
            <v>00 -00-00-00-</v>
          </cell>
          <cell r="O5529" t="str">
            <v>SIN CUENTA ASIGNADA</v>
          </cell>
        </row>
        <row r="5530">
          <cell r="J5530" t="str">
            <v>00 -00-00-00-</v>
          </cell>
          <cell r="L5530" t="str">
            <v>00 -00-00-00-</v>
          </cell>
          <cell r="O5530" t="str">
            <v>SIN CUENTA ASIGNADA</v>
          </cell>
        </row>
        <row r="5531">
          <cell r="J5531" t="str">
            <v>00 -00-00-00-</v>
          </cell>
          <cell r="L5531" t="str">
            <v>00 -00-00-00-</v>
          </cell>
          <cell r="O5531" t="str">
            <v>SIN CUENTA ASIGNADA</v>
          </cell>
        </row>
        <row r="5532">
          <cell r="J5532" t="str">
            <v>00 -00-00-00-</v>
          </cell>
          <cell r="L5532" t="str">
            <v>00 -00-00-00-</v>
          </cell>
          <cell r="O5532" t="str">
            <v>SIN CUENTA ASIGNADA</v>
          </cell>
        </row>
        <row r="5533">
          <cell r="J5533" t="str">
            <v>00 -00-00-00-</v>
          </cell>
          <cell r="L5533" t="str">
            <v>00 -00-00-00-</v>
          </cell>
          <cell r="O5533" t="str">
            <v>SIN CUENTA ASIGNADA</v>
          </cell>
        </row>
        <row r="5534">
          <cell r="J5534" t="str">
            <v>00 -00-00-00-</v>
          </cell>
          <cell r="L5534" t="str">
            <v>00 -00-00-00-</v>
          </cell>
          <cell r="O5534" t="str">
            <v>SIN CUENTA ASIGNADA</v>
          </cell>
        </row>
        <row r="5535">
          <cell r="J5535" t="str">
            <v>00 -00-00-00-</v>
          </cell>
          <cell r="L5535" t="str">
            <v>00 -00-00-00-</v>
          </cell>
          <cell r="O5535" t="str">
            <v>SIN CUENTA ASIGNADA</v>
          </cell>
        </row>
        <row r="5536">
          <cell r="J5536" t="str">
            <v>00 -00-00-00-</v>
          </cell>
          <cell r="L5536" t="str">
            <v>00 -00-00-00-</v>
          </cell>
          <cell r="O5536" t="str">
            <v>SIN CUENTA ASIGNADA</v>
          </cell>
        </row>
        <row r="5537">
          <cell r="J5537" t="str">
            <v>00 -00-00-00-</v>
          </cell>
          <cell r="L5537" t="str">
            <v>00 -00-00-00-</v>
          </cell>
          <cell r="O5537" t="str">
            <v>SIN CUENTA ASIGNADA</v>
          </cell>
        </row>
        <row r="5538">
          <cell r="J5538" t="str">
            <v>00 -00-00-00-</v>
          </cell>
          <cell r="L5538" t="str">
            <v>00 -00-00-00-</v>
          </cell>
          <cell r="O5538" t="str">
            <v>SIN CUENTA ASIGNADA</v>
          </cell>
        </row>
        <row r="5539">
          <cell r="J5539" t="str">
            <v>00 -00-00-00-</v>
          </cell>
          <cell r="L5539" t="str">
            <v>00 -00-00-00-</v>
          </cell>
          <cell r="O5539" t="str">
            <v>SIN CUENTA ASIGNADA</v>
          </cell>
        </row>
        <row r="5540">
          <cell r="J5540" t="str">
            <v>00 -00-00-00-</v>
          </cell>
          <cell r="L5540" t="str">
            <v>00 -00-00-00-</v>
          </cell>
          <cell r="O5540" t="str">
            <v>SIN CUENTA ASIGNADA</v>
          </cell>
        </row>
        <row r="5541">
          <cell r="J5541" t="str">
            <v>00 -00-00-00-</v>
          </cell>
          <cell r="L5541" t="str">
            <v>00 -00-00-00-</v>
          </cell>
          <cell r="O5541" t="str">
            <v>SIN CUENTA ASIGNADA</v>
          </cell>
        </row>
        <row r="5542">
          <cell r="J5542" t="str">
            <v>00 -00-00-00-</v>
          </cell>
          <cell r="L5542" t="str">
            <v>00 -00-00-00-</v>
          </cell>
          <cell r="O5542" t="str">
            <v>SIN CUENTA ASIGNADA</v>
          </cell>
        </row>
        <row r="5543">
          <cell r="J5543" t="str">
            <v>00 -00-00-00-</v>
          </cell>
          <cell r="L5543" t="str">
            <v>00 -00-00-00-</v>
          </cell>
          <cell r="O5543" t="str">
            <v>SIN CUENTA ASIGNADA</v>
          </cell>
        </row>
        <row r="5544">
          <cell r="J5544" t="str">
            <v>00 -00-00-00-</v>
          </cell>
          <cell r="L5544" t="str">
            <v>00 -00-00-00-</v>
          </cell>
          <cell r="O5544" t="str">
            <v>SIN CUENTA ASIGNADA</v>
          </cell>
        </row>
        <row r="5545">
          <cell r="J5545" t="str">
            <v>00 -00-00-00-</v>
          </cell>
          <cell r="L5545" t="str">
            <v>00 -00-00-00-</v>
          </cell>
          <cell r="O5545" t="str">
            <v>SIN CUENTA ASIGNADA</v>
          </cell>
        </row>
        <row r="5546">
          <cell r="J5546" t="str">
            <v>00 -00-00-00-</v>
          </cell>
          <cell r="L5546" t="str">
            <v>00 -00-00-00-</v>
          </cell>
          <cell r="O5546" t="str">
            <v>SIN CUENTA ASIGNADA</v>
          </cell>
        </row>
        <row r="5547">
          <cell r="J5547" t="str">
            <v>00 -00-00-00-</v>
          </cell>
          <cell r="L5547" t="str">
            <v>00 -00-00-00-</v>
          </cell>
          <cell r="O5547" t="str">
            <v>SIN CUENTA ASIGNADA</v>
          </cell>
        </row>
        <row r="5548">
          <cell r="J5548" t="str">
            <v>00 -00-00-00-</v>
          </cell>
          <cell r="L5548" t="str">
            <v>00 -00-00-00-</v>
          </cell>
          <cell r="O5548" t="str">
            <v>SIN CUENTA ASIGNADA</v>
          </cell>
        </row>
        <row r="5549">
          <cell r="J5549" t="str">
            <v>00 -00-00-00-</v>
          </cell>
          <cell r="L5549" t="str">
            <v>00 -00-00-00-</v>
          </cell>
          <cell r="O5549" t="str">
            <v>SIN CUENTA ASIGNADA</v>
          </cell>
        </row>
        <row r="5550">
          <cell r="J5550" t="str">
            <v>00 -00-00-00-</v>
          </cell>
          <cell r="L5550" t="str">
            <v>00 -00-00-00-</v>
          </cell>
          <cell r="O5550" t="str">
            <v>SIN CUENTA ASIGNADA</v>
          </cell>
        </row>
        <row r="5551">
          <cell r="J5551" t="str">
            <v>00 -00-00-00-</v>
          </cell>
          <cell r="L5551" t="str">
            <v>00 -00-00-00-</v>
          </cell>
          <cell r="O5551" t="str">
            <v>SIN CUENTA ASIGNADA</v>
          </cell>
        </row>
        <row r="5552">
          <cell r="J5552" t="str">
            <v>00 -00-00-00-</v>
          </cell>
          <cell r="L5552" t="str">
            <v>00 -00-00-00-</v>
          </cell>
          <cell r="O5552" t="str">
            <v>SIN CUENTA ASIGNADA</v>
          </cell>
        </row>
        <row r="5553">
          <cell r="J5553" t="str">
            <v>00 -00-00-00-</v>
          </cell>
          <cell r="L5553" t="str">
            <v>00 -00-00-00-</v>
          </cell>
          <cell r="O5553" t="str">
            <v>SIN CUENTA ASIGNADA</v>
          </cell>
        </row>
        <row r="5554">
          <cell r="J5554" t="str">
            <v>00 -00-00-00-</v>
          </cell>
          <cell r="L5554" t="str">
            <v>00 -00-00-00-</v>
          </cell>
          <cell r="O5554" t="str">
            <v>SIN CUENTA ASIGNADA</v>
          </cell>
        </row>
        <row r="5555">
          <cell r="J5555" t="str">
            <v>00 -00-00-00-</v>
          </cell>
          <cell r="L5555" t="str">
            <v>00 -00-00-00-</v>
          </cell>
          <cell r="O5555" t="str">
            <v>SIN CUENTA ASIGNADA</v>
          </cell>
        </row>
        <row r="5556">
          <cell r="J5556" t="str">
            <v>00 -00-00-00-</v>
          </cell>
          <cell r="L5556" t="str">
            <v>00 -00-00-00-</v>
          </cell>
          <cell r="O5556" t="str">
            <v>SIN CUENTA ASIGNADA</v>
          </cell>
        </row>
        <row r="5557">
          <cell r="J5557" t="str">
            <v>00 -00-00-00-</v>
          </cell>
          <cell r="L5557" t="str">
            <v>00 -00-00-00-</v>
          </cell>
          <cell r="O5557" t="str">
            <v>SIN CUENTA ASIGNADA</v>
          </cell>
        </row>
        <row r="5558">
          <cell r="J5558" t="str">
            <v>00 -00-00-00-</v>
          </cell>
          <cell r="L5558" t="str">
            <v>00 -00-00-00-</v>
          </cell>
          <cell r="O5558" t="str">
            <v>SIN CUENTA ASIGNADA</v>
          </cell>
        </row>
        <row r="5559">
          <cell r="J5559" t="str">
            <v>00 -00-00-00-</v>
          </cell>
          <cell r="L5559" t="str">
            <v>00 -00-00-00-</v>
          </cell>
          <cell r="O5559" t="str">
            <v>SIN CUENTA ASIGNADA</v>
          </cell>
        </row>
        <row r="5560">
          <cell r="J5560" t="str">
            <v>00 -00-00-00-</v>
          </cell>
          <cell r="L5560" t="str">
            <v>00 -00-00-00-</v>
          </cell>
          <cell r="O5560" t="str">
            <v>SIN CUENTA ASIGNADA</v>
          </cell>
        </row>
        <row r="5561">
          <cell r="J5561" t="str">
            <v>00 -00-00-00-</v>
          </cell>
          <cell r="L5561" t="str">
            <v>00 -00-00-00-</v>
          </cell>
          <cell r="O5561" t="str">
            <v>SIN CUENTA ASIGNADA</v>
          </cell>
        </row>
        <row r="5562">
          <cell r="J5562" t="str">
            <v>00 -00-00-00-</v>
          </cell>
          <cell r="L5562" t="str">
            <v>00 -00-00-00-</v>
          </cell>
          <cell r="O5562" t="str">
            <v>SIN CUENTA ASIGNADA</v>
          </cell>
        </row>
        <row r="5563">
          <cell r="J5563" t="str">
            <v>00 -00-00-00-</v>
          </cell>
          <cell r="L5563" t="str">
            <v>00 -00-00-00-</v>
          </cell>
          <cell r="O5563" t="str">
            <v>SIN CUENTA ASIGNADA</v>
          </cell>
        </row>
        <row r="5564">
          <cell r="J5564" t="str">
            <v>00 -00-00-00-</v>
          </cell>
          <cell r="L5564" t="str">
            <v>00 -00-00-00-</v>
          </cell>
          <cell r="O5564" t="str">
            <v>SIN CUENTA ASIGNADA</v>
          </cell>
        </row>
        <row r="5565">
          <cell r="J5565" t="str">
            <v>00 -00-00-00-</v>
          </cell>
          <cell r="L5565" t="str">
            <v>00 -00-00-00-</v>
          </cell>
          <cell r="O5565" t="str">
            <v>SIN CUENTA ASIGNADA</v>
          </cell>
        </row>
        <row r="5566">
          <cell r="J5566" t="str">
            <v>00 -00-00-00-</v>
          </cell>
          <cell r="L5566" t="str">
            <v>00 -00-00-00-</v>
          </cell>
          <cell r="O5566" t="str">
            <v>SIN CUENTA ASIGNADA</v>
          </cell>
        </row>
        <row r="5567">
          <cell r="J5567" t="str">
            <v>00 -00-00-00-</v>
          </cell>
          <cell r="L5567" t="str">
            <v>00 -00-00-00-</v>
          </cell>
          <cell r="O5567" t="str">
            <v>SIN CUENTA ASIGNADA</v>
          </cell>
        </row>
        <row r="5568">
          <cell r="J5568" t="str">
            <v>00 -00-00-00-</v>
          </cell>
          <cell r="L5568" t="str">
            <v>00 -00-00-00-</v>
          </cell>
          <cell r="O5568" t="str">
            <v>SIN CUENTA ASIGNADA</v>
          </cell>
        </row>
        <row r="5569">
          <cell r="J5569" t="str">
            <v>00 -00-00-00-</v>
          </cell>
          <cell r="L5569" t="str">
            <v>00 -00-00-00-</v>
          </cell>
          <cell r="O5569" t="str">
            <v>SIN CUENTA ASIGNADA</v>
          </cell>
        </row>
        <row r="5570">
          <cell r="J5570" t="str">
            <v>00 -00-00-00-</v>
          </cell>
          <cell r="L5570" t="str">
            <v>00 -00-00-00-</v>
          </cell>
          <cell r="O5570" t="str">
            <v>SIN CUENTA ASIGNADA</v>
          </cell>
        </row>
        <row r="5571">
          <cell r="J5571" t="str">
            <v>00 -00-00-00-</v>
          </cell>
          <cell r="L5571" t="str">
            <v>00 -00-00-00-</v>
          </cell>
          <cell r="O5571" t="str">
            <v>SIN CUENTA ASIGNADA</v>
          </cell>
        </row>
        <row r="5572">
          <cell r="J5572" t="str">
            <v>00 -00-00-00-</v>
          </cell>
          <cell r="L5572" t="str">
            <v>00 -00-00-00-</v>
          </cell>
          <cell r="O5572" t="str">
            <v>SIN CUENTA ASIGNADA</v>
          </cell>
        </row>
        <row r="5573">
          <cell r="J5573" t="str">
            <v>00 -00-00-00-</v>
          </cell>
          <cell r="L5573" t="str">
            <v>00 -00-00-00-</v>
          </cell>
          <cell r="O5573" t="str">
            <v>SIN CUENTA ASIGNADA</v>
          </cell>
        </row>
        <row r="5574">
          <cell r="J5574" t="str">
            <v>00 -00-00-00-</v>
          </cell>
          <cell r="L5574" t="str">
            <v>00 -00-00-00-</v>
          </cell>
          <cell r="O5574" t="str">
            <v>SIN CUENTA ASIGNADA</v>
          </cell>
        </row>
        <row r="5575">
          <cell r="J5575" t="str">
            <v>00 -00-00-00-</v>
          </cell>
          <cell r="L5575" t="str">
            <v>00 -00-00-00-</v>
          </cell>
          <cell r="O5575" t="str">
            <v>SIN CUENTA ASIGNADA</v>
          </cell>
        </row>
        <row r="5576">
          <cell r="J5576" t="str">
            <v>00 -00-00-00-</v>
          </cell>
          <cell r="L5576" t="str">
            <v>00 -00-00-00-</v>
          </cell>
          <cell r="O5576" t="str">
            <v>SIN CUENTA ASIGNADA</v>
          </cell>
        </row>
        <row r="5577">
          <cell r="J5577" t="str">
            <v>00 -00-00-00-</v>
          </cell>
          <cell r="L5577" t="str">
            <v>00 -00-00-00-</v>
          </cell>
          <cell r="O5577" t="str">
            <v>SIN CUENTA ASIGNADA</v>
          </cell>
        </row>
        <row r="5578">
          <cell r="J5578" t="str">
            <v>00 -00-00-00-</v>
          </cell>
          <cell r="L5578" t="str">
            <v>00 -00-00-00-</v>
          </cell>
          <cell r="O5578" t="str">
            <v>SIN CUENTA ASIGNADA</v>
          </cell>
        </row>
        <row r="5579">
          <cell r="J5579" t="str">
            <v>00 -00-00-00-</v>
          </cell>
          <cell r="L5579" t="str">
            <v>00 -00-00-00-</v>
          </cell>
          <cell r="O5579" t="str">
            <v>SIN CUENTA ASIGNADA</v>
          </cell>
        </row>
        <row r="5580">
          <cell r="J5580" t="str">
            <v>00 -00-00-00-</v>
          </cell>
          <cell r="L5580" t="str">
            <v>00 -00-00-00-</v>
          </cell>
          <cell r="O5580" t="str">
            <v>SIN CUENTA ASIGNADA</v>
          </cell>
        </row>
        <row r="5581">
          <cell r="J5581" t="str">
            <v>00 -00-00-00-</v>
          </cell>
          <cell r="L5581" t="str">
            <v>00 -00-00-00-</v>
          </cell>
          <cell r="O5581" t="str">
            <v>SIN CUENTA ASIGNADA</v>
          </cell>
        </row>
        <row r="5582">
          <cell r="J5582" t="str">
            <v>00 -00-00-00-</v>
          </cell>
          <cell r="L5582" t="str">
            <v>00 -00-00-00-</v>
          </cell>
          <cell r="O5582" t="str">
            <v>SIN CUENTA ASIGNADA</v>
          </cell>
        </row>
        <row r="5583">
          <cell r="J5583" t="str">
            <v>00 -00-00-00-</v>
          </cell>
          <cell r="L5583" t="str">
            <v>00 -00-00-00-</v>
          </cell>
          <cell r="O5583" t="str">
            <v>SIN CUENTA ASIGNADA</v>
          </cell>
        </row>
        <row r="5584">
          <cell r="J5584" t="str">
            <v>00 -00-00-00-</v>
          </cell>
          <cell r="L5584" t="str">
            <v>00 -00-00-00-</v>
          </cell>
          <cell r="O5584" t="str">
            <v>SIN CUENTA ASIGNADA</v>
          </cell>
        </row>
        <row r="5585">
          <cell r="J5585" t="str">
            <v>00 -00-00-00-</v>
          </cell>
          <cell r="L5585" t="str">
            <v>00 -00-00-00-</v>
          </cell>
          <cell r="O5585" t="str">
            <v>SIN CUENTA ASIGNADA</v>
          </cell>
        </row>
        <row r="5586">
          <cell r="J5586" t="str">
            <v>00 -00-00-00-</v>
          </cell>
          <cell r="L5586" t="str">
            <v>00 -00-00-00-</v>
          </cell>
          <cell r="O5586" t="str">
            <v>SIN CUENTA ASIGNADA</v>
          </cell>
        </row>
        <row r="5587">
          <cell r="J5587" t="str">
            <v>00 -00-00-00-</v>
          </cell>
          <cell r="L5587" t="str">
            <v>00 -00-00-00-</v>
          </cell>
          <cell r="O5587" t="str">
            <v>SIN CUENTA ASIGNADA</v>
          </cell>
        </row>
        <row r="5588">
          <cell r="J5588" t="str">
            <v>00 -00-00-00-</v>
          </cell>
          <cell r="L5588" t="str">
            <v>00 -00-00-00-</v>
          </cell>
          <cell r="O5588" t="str">
            <v>SIN CUENTA ASIGNADA</v>
          </cell>
        </row>
        <row r="5589">
          <cell r="J5589" t="str">
            <v>00 -00-00-00-</v>
          </cell>
          <cell r="L5589" t="str">
            <v>00 -00-00-00-</v>
          </cell>
          <cell r="O5589" t="str">
            <v>SIN CUENTA ASIGNADA</v>
          </cell>
        </row>
        <row r="5590">
          <cell r="J5590" t="str">
            <v>00 -00-00-00-</v>
          </cell>
          <cell r="L5590" t="str">
            <v>00 -00-00-00-</v>
          </cell>
          <cell r="O5590" t="str">
            <v>SIN CUENTA ASIGNADA</v>
          </cell>
        </row>
        <row r="5591">
          <cell r="J5591" t="str">
            <v>00 -00-00-00-</v>
          </cell>
          <cell r="L5591" t="str">
            <v>00 -00-00-00-</v>
          </cell>
          <cell r="O5591" t="str">
            <v>SIN CUENTA ASIGNADA</v>
          </cell>
        </row>
        <row r="5592">
          <cell r="J5592" t="str">
            <v>00 -00-00-00-</v>
          </cell>
          <cell r="L5592" t="str">
            <v>00 -00-00-00-</v>
          </cell>
          <cell r="O5592" t="str">
            <v>SIN CUENTA ASIGNADA</v>
          </cell>
        </row>
        <row r="5593">
          <cell r="J5593" t="str">
            <v>00 -00-00-00-</v>
          </cell>
          <cell r="L5593" t="str">
            <v>00 -00-00-00-</v>
          </cell>
          <cell r="O5593" t="str">
            <v>SIN CUENTA ASIGNADA</v>
          </cell>
        </row>
        <row r="5594">
          <cell r="J5594" t="str">
            <v>00 -00-00-00-</v>
          </cell>
          <cell r="L5594" t="str">
            <v>00 -00-00-00-</v>
          </cell>
          <cell r="O5594" t="str">
            <v>SIN CUENTA ASIGNADA</v>
          </cell>
        </row>
        <row r="5595">
          <cell r="J5595" t="str">
            <v>00 -00-00-00-</v>
          </cell>
          <cell r="L5595" t="str">
            <v>00 -00-00-00-</v>
          </cell>
          <cell r="O5595" t="str">
            <v>SIN CUENTA ASIGNADA</v>
          </cell>
        </row>
        <row r="5596">
          <cell r="J5596" t="str">
            <v>00 -00-00-00-</v>
          </cell>
          <cell r="L5596" t="str">
            <v>00 -00-00-00-</v>
          </cell>
          <cell r="O5596" t="str">
            <v>SIN CUENTA ASIGNADA</v>
          </cell>
        </row>
        <row r="5597">
          <cell r="J5597" t="str">
            <v>00 -00-00-00-</v>
          </cell>
          <cell r="L5597" t="str">
            <v>00 -00-00-00-</v>
          </cell>
          <cell r="O5597" t="str">
            <v>SIN CUENTA ASIGNADA</v>
          </cell>
        </row>
        <row r="5598">
          <cell r="J5598" t="str">
            <v>00 -00-00-00-</v>
          </cell>
          <cell r="L5598" t="str">
            <v>00 -00-00-00-</v>
          </cell>
          <cell r="O5598" t="str">
            <v>SIN CUENTA ASIGNADA</v>
          </cell>
        </row>
        <row r="5599">
          <cell r="J5599" t="str">
            <v>00 -00-00-00-</v>
          </cell>
          <cell r="L5599" t="str">
            <v>00 -00-00-00-</v>
          </cell>
          <cell r="O5599" t="str">
            <v>SIN CUENTA ASIGNADA</v>
          </cell>
        </row>
        <row r="5600">
          <cell r="J5600" t="str">
            <v>00 -00-00-00-</v>
          </cell>
          <cell r="L5600" t="str">
            <v>00 -00-00-00-</v>
          </cell>
          <cell r="O5600" t="str">
            <v>SIN CUENTA ASIGNADA</v>
          </cell>
        </row>
        <row r="5601">
          <cell r="J5601" t="str">
            <v>00 -00-00-00-</v>
          </cell>
          <cell r="L5601" t="str">
            <v>00 -00-00-00-</v>
          </cell>
          <cell r="O5601" t="str">
            <v>SIN CUENTA ASIGNADA</v>
          </cell>
        </row>
        <row r="5602">
          <cell r="J5602" t="str">
            <v>00 -00-00-00-</v>
          </cell>
          <cell r="L5602" t="str">
            <v>00 -00-00-00-</v>
          </cell>
          <cell r="O5602" t="str">
            <v>SIN CUENTA ASIGNADA</v>
          </cell>
        </row>
        <row r="5603">
          <cell r="J5603" t="str">
            <v>00 -00-00-00-</v>
          </cell>
          <cell r="L5603" t="str">
            <v>00 -00-00-00-</v>
          </cell>
          <cell r="O5603" t="str">
            <v>SIN CUENTA ASIGNADA</v>
          </cell>
        </row>
        <row r="5604">
          <cell r="J5604" t="str">
            <v>00 -00-00-00-</v>
          </cell>
          <cell r="L5604" t="str">
            <v>00 -00-00-00-</v>
          </cell>
          <cell r="O5604" t="str">
            <v>SIN CUENTA ASIGNADA</v>
          </cell>
        </row>
        <row r="5605">
          <cell r="J5605" t="str">
            <v>00 -00-00-00-</v>
          </cell>
          <cell r="L5605" t="str">
            <v>00 -00-00-00-</v>
          </cell>
          <cell r="O5605" t="str">
            <v>SIN CUENTA ASIGNADA</v>
          </cell>
        </row>
        <row r="5606">
          <cell r="J5606" t="str">
            <v>00 -00-00-00-</v>
          </cell>
          <cell r="L5606" t="str">
            <v>00 -00-00-00-</v>
          </cell>
          <cell r="O5606" t="str">
            <v>SIN CUENTA ASIGNADA</v>
          </cell>
        </row>
        <row r="5607">
          <cell r="J5607" t="str">
            <v>00 -00-00-00-</v>
          </cell>
          <cell r="L5607" t="str">
            <v>00 -00-00-00-</v>
          </cell>
          <cell r="O5607" t="str">
            <v>SIN CUENTA ASIGNADA</v>
          </cell>
        </row>
        <row r="5608">
          <cell r="J5608" t="str">
            <v>00 -00-00-00-</v>
          </cell>
          <cell r="L5608" t="str">
            <v>00 -00-00-00-</v>
          </cell>
          <cell r="O5608" t="str">
            <v>SIN CUENTA ASIGNADA</v>
          </cell>
        </row>
        <row r="5609">
          <cell r="J5609" t="str">
            <v>00 -00-00-00-</v>
          </cell>
          <cell r="L5609" t="str">
            <v>00 -00-00-00-</v>
          </cell>
          <cell r="O5609" t="str">
            <v>SIN CUENTA ASIGNADA</v>
          </cell>
        </row>
        <row r="5610">
          <cell r="J5610" t="str">
            <v>00 -00-00-00-</v>
          </cell>
          <cell r="L5610" t="str">
            <v>00 -00-00-00-</v>
          </cell>
          <cell r="O5610" t="str">
            <v>SIN CUENTA ASIGNADA</v>
          </cell>
        </row>
        <row r="5611">
          <cell r="J5611" t="str">
            <v>00 -00-00-00-</v>
          </cell>
          <cell r="L5611" t="str">
            <v>00 -00-00-00-</v>
          </cell>
          <cell r="O5611" t="str">
            <v>SIN CUENTA ASIGNADA</v>
          </cell>
        </row>
        <row r="5612">
          <cell r="J5612" t="str">
            <v>00 -00-00-00-</v>
          </cell>
          <cell r="L5612" t="str">
            <v>00 -00-00-00-</v>
          </cell>
          <cell r="O5612" t="str">
            <v>SIN CUENTA ASIGNADA</v>
          </cell>
        </row>
        <row r="5613">
          <cell r="J5613" t="str">
            <v>00 -00-00-00-</v>
          </cell>
          <cell r="L5613" t="str">
            <v>00 -00-00-00-</v>
          </cell>
          <cell r="O5613" t="str">
            <v>SIN CUENTA ASIGNADA</v>
          </cell>
        </row>
        <row r="5614">
          <cell r="J5614" t="str">
            <v>00 -00-00-00-</v>
          </cell>
          <cell r="L5614" t="str">
            <v>00 -00-00-00-</v>
          </cell>
          <cell r="O5614" t="str">
            <v>SIN CUENTA ASIGNADA</v>
          </cell>
        </row>
        <row r="5615">
          <cell r="J5615" t="str">
            <v>00 -00-00-00-</v>
          </cell>
          <cell r="L5615" t="str">
            <v>00 -00-00-00-</v>
          </cell>
          <cell r="O5615" t="str">
            <v>SIN CUENTA ASIGNADA</v>
          </cell>
        </row>
        <row r="5616">
          <cell r="J5616" t="str">
            <v>00 -00-00-00-</v>
          </cell>
          <cell r="L5616" t="str">
            <v>00 -00-00-00-</v>
          </cell>
          <cell r="O5616" t="str">
            <v>SIN CUENTA ASIGNADA</v>
          </cell>
        </row>
        <row r="5617">
          <cell r="J5617" t="str">
            <v>00 -00-00-00-</v>
          </cell>
          <cell r="L5617" t="str">
            <v>00 -00-00-00-</v>
          </cell>
          <cell r="O5617" t="str">
            <v>SIN CUENTA ASIGNADA</v>
          </cell>
        </row>
        <row r="5618">
          <cell r="J5618" t="str">
            <v>00 -00-00-00-</v>
          </cell>
          <cell r="L5618" t="str">
            <v>00 -00-00-00-</v>
          </cell>
          <cell r="O5618" t="str">
            <v>SIN CUENTA ASIGNADA</v>
          </cell>
        </row>
        <row r="5619">
          <cell r="J5619" t="str">
            <v>00 -00-00-00-</v>
          </cell>
          <cell r="L5619" t="str">
            <v>00 -00-00-00-</v>
          </cell>
          <cell r="O5619" t="str">
            <v>SIN CUENTA ASIGNADA</v>
          </cell>
        </row>
        <row r="5620">
          <cell r="J5620" t="str">
            <v>00 -00-00-00-</v>
          </cell>
          <cell r="L5620" t="str">
            <v>00 -00-00-00-</v>
          </cell>
          <cell r="O5620" t="str">
            <v>SIN CUENTA ASIGNADA</v>
          </cell>
        </row>
        <row r="5621">
          <cell r="J5621" t="str">
            <v>00 -00-00-00-</v>
          </cell>
          <cell r="L5621" t="str">
            <v>00 -00-00-00-</v>
          </cell>
          <cell r="O5621" t="str">
            <v>SIN CUENTA ASIGNADA</v>
          </cell>
        </row>
        <row r="5622">
          <cell r="J5622" t="str">
            <v>00 -00-00-00-</v>
          </cell>
          <cell r="L5622" t="str">
            <v>00 -00-00-00-</v>
          </cell>
          <cell r="O5622" t="str">
            <v>SIN CUENTA ASIGNADA</v>
          </cell>
        </row>
        <row r="5623">
          <cell r="J5623" t="str">
            <v>00 -00-00-00-</v>
          </cell>
          <cell r="L5623" t="str">
            <v>00 -00-00-00-</v>
          </cell>
          <cell r="O5623" t="str">
            <v>SIN CUENTA ASIGNADA</v>
          </cell>
        </row>
        <row r="5624">
          <cell r="J5624" t="str">
            <v>00 -00-00-00-</v>
          </cell>
          <cell r="L5624" t="str">
            <v>00 -00-00-00-</v>
          </cell>
          <cell r="O5624" t="str">
            <v>SIN CUENTA ASIGNADA</v>
          </cell>
        </row>
        <row r="5625">
          <cell r="J5625" t="str">
            <v>00 -00-00-00-</v>
          </cell>
          <cell r="L5625" t="str">
            <v>00 -00-00-00-</v>
          </cell>
          <cell r="O5625" t="str">
            <v>SIN CUENTA ASIGNADA</v>
          </cell>
        </row>
        <row r="5626">
          <cell r="J5626" t="str">
            <v>00 -00-00-00-</v>
          </cell>
          <cell r="L5626" t="str">
            <v>00 -00-00-00-</v>
          </cell>
          <cell r="O5626" t="str">
            <v>SIN CUENTA ASIGNADA</v>
          </cell>
        </row>
        <row r="5627">
          <cell r="J5627" t="str">
            <v>00 -00-00-00-</v>
          </cell>
          <cell r="L5627" t="str">
            <v>00 -00-00-00-</v>
          </cell>
          <cell r="O5627" t="str">
            <v>SIN CUENTA ASIGNADA</v>
          </cell>
        </row>
        <row r="5628">
          <cell r="J5628" t="str">
            <v>00 -00-00-00-</v>
          </cell>
          <cell r="L5628" t="str">
            <v>00 -00-00-00-</v>
          </cell>
          <cell r="O5628" t="str">
            <v>SIN CUENTA ASIGNADA</v>
          </cell>
        </row>
        <row r="5629">
          <cell r="J5629" t="str">
            <v>00 -00-00-00-</v>
          </cell>
          <cell r="L5629" t="str">
            <v>00 -00-00-00-</v>
          </cell>
          <cell r="O5629" t="str">
            <v>SIN CUENTA ASIGNADA</v>
          </cell>
        </row>
        <row r="5630">
          <cell r="J5630" t="str">
            <v>00 -00-00-00-</v>
          </cell>
          <cell r="L5630" t="str">
            <v>00 -00-00-00-</v>
          </cell>
          <cell r="O5630" t="str">
            <v>SIN CUENTA ASIGNADA</v>
          </cell>
        </row>
        <row r="5631">
          <cell r="J5631" t="str">
            <v>00 -00-00-00-</v>
          </cell>
          <cell r="L5631" t="str">
            <v>00 -00-00-00-</v>
          </cell>
          <cell r="O5631" t="str">
            <v>SIN CUENTA ASIGNADA</v>
          </cell>
        </row>
        <row r="5632">
          <cell r="J5632" t="str">
            <v>00 -00-00-00-</v>
          </cell>
          <cell r="L5632" t="str">
            <v>00 -00-00-00-</v>
          </cell>
          <cell r="O5632" t="str">
            <v>SIN CUENTA ASIGNADA</v>
          </cell>
        </row>
        <row r="5633">
          <cell r="J5633" t="str">
            <v>00 -00-00-00-</v>
          </cell>
          <cell r="L5633" t="str">
            <v>00 -00-00-00-</v>
          </cell>
          <cell r="O5633" t="str">
            <v>SIN CUENTA ASIGNADA</v>
          </cell>
        </row>
        <row r="5634">
          <cell r="J5634" t="str">
            <v>00 -00-00-00-</v>
          </cell>
          <cell r="L5634" t="str">
            <v>00 -00-00-00-</v>
          </cell>
          <cell r="O5634" t="str">
            <v>SIN CUENTA ASIGNADA</v>
          </cell>
        </row>
        <row r="5635">
          <cell r="J5635" t="str">
            <v>00 -00-00-00-</v>
          </cell>
          <cell r="L5635" t="str">
            <v>00 -00-00-00-</v>
          </cell>
          <cell r="O5635" t="str">
            <v>SIN CUENTA ASIGNADA</v>
          </cell>
        </row>
        <row r="5636">
          <cell r="J5636" t="str">
            <v>00 -00-00-00-</v>
          </cell>
          <cell r="L5636" t="str">
            <v>00 -00-00-00-</v>
          </cell>
          <cell r="O5636" t="str">
            <v>SIN CUENTA ASIGNADA</v>
          </cell>
        </row>
        <row r="5637">
          <cell r="J5637" t="str">
            <v>00 -00-00-00-</v>
          </cell>
          <cell r="L5637" t="str">
            <v>00 -00-00-00-</v>
          </cell>
          <cell r="O5637" t="str">
            <v>SIN CUENTA ASIGNADA</v>
          </cell>
        </row>
        <row r="5638">
          <cell r="J5638" t="str">
            <v>00 -00-00-00-</v>
          </cell>
          <cell r="L5638" t="str">
            <v>00 -00-00-00-</v>
          </cell>
          <cell r="O5638" t="str">
            <v>SIN CUENTA ASIGNADA</v>
          </cell>
        </row>
        <row r="5639">
          <cell r="J5639" t="str">
            <v>00 -00-00-00-</v>
          </cell>
          <cell r="L5639" t="str">
            <v>00 -00-00-00-</v>
          </cell>
          <cell r="O5639" t="str">
            <v>SIN CUENTA ASIGNADA</v>
          </cell>
        </row>
        <row r="5640">
          <cell r="J5640" t="str">
            <v>00 -00-00-00-</v>
          </cell>
          <cell r="L5640" t="str">
            <v>00 -00-00-00-</v>
          </cell>
          <cell r="O5640" t="str">
            <v>SIN CUENTA ASIGNADA</v>
          </cell>
        </row>
        <row r="5641">
          <cell r="J5641" t="str">
            <v>00 -00-00-00-</v>
          </cell>
          <cell r="L5641" t="str">
            <v>00 -00-00-00-</v>
          </cell>
          <cell r="O5641" t="str">
            <v>SIN CUENTA ASIGNADA</v>
          </cell>
        </row>
        <row r="5642">
          <cell r="J5642" t="str">
            <v>00 -00-00-00-</v>
          </cell>
          <cell r="L5642" t="str">
            <v>00 -00-00-00-</v>
          </cell>
          <cell r="O5642" t="str">
            <v>SIN CUENTA ASIGNADA</v>
          </cell>
        </row>
        <row r="5643">
          <cell r="J5643" t="str">
            <v>00 -00-00-00-</v>
          </cell>
          <cell r="L5643" t="str">
            <v>00 -00-00-00-</v>
          </cell>
          <cell r="O5643" t="str">
            <v>SIN CUENTA ASIGNADA</v>
          </cell>
        </row>
        <row r="5644">
          <cell r="J5644" t="str">
            <v>00 -00-00-00-</v>
          </cell>
          <cell r="L5644" t="str">
            <v>00 -00-00-00-</v>
          </cell>
          <cell r="O5644" t="str">
            <v>SIN CUENTA ASIGNADA</v>
          </cell>
        </row>
        <row r="5645">
          <cell r="J5645" t="str">
            <v>00 -00-00-00-</v>
          </cell>
          <cell r="L5645" t="str">
            <v>00 -00-00-00-</v>
          </cell>
          <cell r="O5645" t="str">
            <v>SIN CUENTA ASIGNADA</v>
          </cell>
        </row>
        <row r="5646">
          <cell r="J5646" t="str">
            <v>00 -00-00-00-</v>
          </cell>
          <cell r="L5646" t="str">
            <v>00 -00-00-00-</v>
          </cell>
          <cell r="O5646" t="str">
            <v>SIN CUENTA ASIGNADA</v>
          </cell>
        </row>
        <row r="5647">
          <cell r="J5647" t="str">
            <v>00 -00-00-00-</v>
          </cell>
          <cell r="L5647" t="str">
            <v>00 -00-00-00-</v>
          </cell>
          <cell r="O5647" t="str">
            <v>SIN CUENTA ASIGNADA</v>
          </cell>
        </row>
        <row r="5648">
          <cell r="J5648" t="str">
            <v>00 -00-00-00-</v>
          </cell>
          <cell r="L5648" t="str">
            <v>00 -00-00-00-</v>
          </cell>
          <cell r="O5648" t="str">
            <v>SIN CUENTA ASIGNADA</v>
          </cell>
        </row>
        <row r="5649">
          <cell r="J5649" t="str">
            <v>00 -00-00-00-</v>
          </cell>
          <cell r="L5649" t="str">
            <v>00 -00-00-00-</v>
          </cell>
          <cell r="O5649" t="str">
            <v>SIN CUENTA ASIGNADA</v>
          </cell>
        </row>
        <row r="5650">
          <cell r="J5650" t="str">
            <v>00 -00-00-00-</v>
          </cell>
          <cell r="L5650" t="str">
            <v>00 -00-00-00-</v>
          </cell>
          <cell r="O5650" t="str">
            <v>SIN CUENTA ASIGNADA</v>
          </cell>
        </row>
        <row r="5651">
          <cell r="J5651" t="str">
            <v>00 -00-00-00-</v>
          </cell>
          <cell r="L5651" t="str">
            <v>00 -00-00-00-</v>
          </cell>
          <cell r="O5651" t="str">
            <v>SIN CUENTA ASIGNADA</v>
          </cell>
        </row>
        <row r="5652">
          <cell r="J5652" t="str">
            <v>00 -00-00-00-</v>
          </cell>
          <cell r="L5652" t="str">
            <v>00 -00-00-00-</v>
          </cell>
          <cell r="O5652" t="str">
            <v>SIN CUENTA ASIGNADA</v>
          </cell>
        </row>
        <row r="5653">
          <cell r="J5653" t="str">
            <v>00 -00-00-00-</v>
          </cell>
          <cell r="L5653" t="str">
            <v>00 -00-00-00-</v>
          </cell>
          <cell r="O5653" t="str">
            <v>SIN CUENTA ASIGNADA</v>
          </cell>
        </row>
        <row r="5654">
          <cell r="J5654" t="str">
            <v>00 -00-00-00-</v>
          </cell>
          <cell r="L5654" t="str">
            <v>00 -00-00-00-</v>
          </cell>
          <cell r="O5654" t="str">
            <v>SIN CUENTA ASIGNADA</v>
          </cell>
        </row>
        <row r="5655">
          <cell r="J5655" t="str">
            <v>00 -00-00-00-</v>
          </cell>
          <cell r="L5655" t="str">
            <v>00 -00-00-00-</v>
          </cell>
          <cell r="O5655" t="str">
            <v>SIN CUENTA ASIGNADA</v>
          </cell>
        </row>
        <row r="5656">
          <cell r="J5656" t="str">
            <v>00 -00-00-00-</v>
          </cell>
          <cell r="L5656" t="str">
            <v>00 -00-00-00-</v>
          </cell>
          <cell r="O5656" t="str">
            <v>SIN CUENTA ASIGNADA</v>
          </cell>
        </row>
        <row r="5657">
          <cell r="J5657" t="str">
            <v>00 -00-00-00-</v>
          </cell>
          <cell r="L5657" t="str">
            <v>00 -00-00-00-</v>
          </cell>
          <cell r="O5657" t="str">
            <v>SIN CUENTA ASIGNADA</v>
          </cell>
        </row>
        <row r="5658">
          <cell r="J5658" t="str">
            <v>00 -00-00-00-</v>
          </cell>
          <cell r="L5658" t="str">
            <v>00 -00-00-00-</v>
          </cell>
          <cell r="O5658" t="str">
            <v>SIN CUENTA ASIGNADA</v>
          </cell>
        </row>
        <row r="5659">
          <cell r="J5659" t="str">
            <v>00 -00-00-00-</v>
          </cell>
          <cell r="L5659" t="str">
            <v>00 -00-00-00-</v>
          </cell>
          <cell r="O5659" t="str">
            <v>SIN CUENTA ASIGNADA</v>
          </cell>
        </row>
        <row r="5660">
          <cell r="J5660" t="str">
            <v>00 -00-00-00-</v>
          </cell>
          <cell r="L5660" t="str">
            <v>00 -00-00-00-</v>
          </cell>
          <cell r="O5660" t="str">
            <v>SIN CUENTA ASIGNADA</v>
          </cell>
        </row>
        <row r="5661">
          <cell r="J5661" t="str">
            <v>00 -00-00-00-</v>
          </cell>
          <cell r="L5661" t="str">
            <v>00 -00-00-00-</v>
          </cell>
          <cell r="O5661" t="str">
            <v>SIN CUENTA ASIGNADA</v>
          </cell>
        </row>
        <row r="5662">
          <cell r="J5662" t="str">
            <v>00 -00-00-00-</v>
          </cell>
          <cell r="L5662" t="str">
            <v>00 -00-00-00-</v>
          </cell>
          <cell r="O5662" t="str">
            <v>SIN CUENTA ASIGNADA</v>
          </cell>
        </row>
        <row r="5663">
          <cell r="J5663" t="str">
            <v>00 -00-00-00-</v>
          </cell>
          <cell r="L5663" t="str">
            <v>00 -00-00-00-</v>
          </cell>
          <cell r="O5663" t="str">
            <v>SIN CUENTA ASIGNADA</v>
          </cell>
        </row>
        <row r="5664">
          <cell r="J5664" t="str">
            <v>00 -00-00-00-</v>
          </cell>
          <cell r="L5664" t="str">
            <v>00 -00-00-00-</v>
          </cell>
          <cell r="O5664" t="str">
            <v>SIN CUENTA ASIGNADA</v>
          </cell>
        </row>
        <row r="5665">
          <cell r="J5665" t="str">
            <v>00 -00-00-00-</v>
          </cell>
          <cell r="L5665" t="str">
            <v>00 -00-00-00-</v>
          </cell>
          <cell r="O5665" t="str">
            <v>SIN CUENTA ASIGNADA</v>
          </cell>
        </row>
        <row r="5666">
          <cell r="J5666" t="str">
            <v>00 -00-00-00-</v>
          </cell>
          <cell r="L5666" t="str">
            <v>00 -00-00-00-</v>
          </cell>
          <cell r="O5666" t="str">
            <v>SIN CUENTA ASIGNADA</v>
          </cell>
        </row>
        <row r="5667">
          <cell r="J5667" t="str">
            <v>00 -00-00-00-</v>
          </cell>
          <cell r="L5667" t="str">
            <v>00 -00-00-00-</v>
          </cell>
          <cell r="O5667" t="str">
            <v>SIN CUENTA ASIGNADA</v>
          </cell>
        </row>
        <row r="5668">
          <cell r="J5668" t="str">
            <v>00 -00-00-00-</v>
          </cell>
          <cell r="L5668" t="str">
            <v>00 -00-00-00-</v>
          </cell>
          <cell r="O5668" t="str">
            <v>SIN CUENTA ASIGNADA</v>
          </cell>
        </row>
        <row r="5669">
          <cell r="J5669" t="str">
            <v>00 -00-00-00-</v>
          </cell>
          <cell r="L5669" t="str">
            <v>00 -00-00-00-</v>
          </cell>
          <cell r="O5669" t="str">
            <v>SIN CUENTA ASIGNADA</v>
          </cell>
        </row>
        <row r="5670">
          <cell r="J5670" t="str">
            <v>00 -00-00-00-</v>
          </cell>
          <cell r="L5670" t="str">
            <v>00 -00-00-00-</v>
          </cell>
          <cell r="O5670" t="str">
            <v>SIN CUENTA ASIGNADA</v>
          </cell>
        </row>
        <row r="5671">
          <cell r="J5671" t="str">
            <v>00 -00-00-00-</v>
          </cell>
          <cell r="L5671" t="str">
            <v>00 -00-00-00-</v>
          </cell>
          <cell r="O5671" t="str">
            <v>SIN CUENTA ASIGNADA</v>
          </cell>
        </row>
        <row r="5672">
          <cell r="J5672" t="str">
            <v>00 -00-00-00-</v>
          </cell>
          <cell r="L5672" t="str">
            <v>00 -00-00-00-</v>
          </cell>
          <cell r="O5672" t="str">
            <v>SIN CUENTA ASIGNADA</v>
          </cell>
        </row>
        <row r="5673">
          <cell r="J5673" t="str">
            <v>00 -00-00-00-</v>
          </cell>
          <cell r="L5673" t="str">
            <v>00 -00-00-00-</v>
          </cell>
          <cell r="O5673" t="str">
            <v>SIN CUENTA ASIGNADA</v>
          </cell>
        </row>
        <row r="5674">
          <cell r="J5674" t="str">
            <v>00 -00-00-00-</v>
          </cell>
          <cell r="L5674" t="str">
            <v>00 -00-00-00-</v>
          </cell>
          <cell r="O5674" t="str">
            <v>SIN CUENTA ASIGNADA</v>
          </cell>
        </row>
        <row r="5675">
          <cell r="J5675" t="str">
            <v>00 -00-00-00-</v>
          </cell>
          <cell r="L5675" t="str">
            <v>00 -00-00-00-</v>
          </cell>
          <cell r="O5675" t="str">
            <v>SIN CUENTA ASIGNADA</v>
          </cell>
        </row>
        <row r="5676">
          <cell r="J5676" t="str">
            <v>00 -00-00-00-</v>
          </cell>
          <cell r="L5676" t="str">
            <v>00 -00-00-00-</v>
          </cell>
          <cell r="O5676" t="str">
            <v>SIN CUENTA ASIGNADA</v>
          </cell>
        </row>
        <row r="5677">
          <cell r="J5677" t="str">
            <v>00 -00-00-00-</v>
          </cell>
          <cell r="L5677" t="str">
            <v>00 -00-00-00-</v>
          </cell>
          <cell r="O5677" t="str">
            <v>SIN CUENTA ASIGNADA</v>
          </cell>
        </row>
        <row r="5678">
          <cell r="J5678" t="str">
            <v>00 -00-00-00-</v>
          </cell>
          <cell r="L5678" t="str">
            <v>00 -00-00-00-</v>
          </cell>
          <cell r="O5678" t="str">
            <v>SIN CUENTA ASIGNADA</v>
          </cell>
        </row>
        <row r="5679">
          <cell r="J5679" t="str">
            <v>00 -00-00-00-</v>
          </cell>
          <cell r="L5679" t="str">
            <v>00 -00-00-00-</v>
          </cell>
          <cell r="O5679" t="str">
            <v>SIN CUENTA ASIGNADA</v>
          </cell>
        </row>
        <row r="5680">
          <cell r="J5680" t="str">
            <v>00 -00-00-00-</v>
          </cell>
          <cell r="L5680" t="str">
            <v>00 -00-00-00-</v>
          </cell>
          <cell r="O5680" t="str">
            <v>SIN CUENTA ASIGNADA</v>
          </cell>
        </row>
        <row r="5681">
          <cell r="J5681" t="str">
            <v>00 -00-00-00-</v>
          </cell>
          <cell r="L5681" t="str">
            <v>00 -00-00-00-</v>
          </cell>
          <cell r="O5681" t="str">
            <v>SIN CUENTA ASIGNADA</v>
          </cell>
        </row>
        <row r="5682">
          <cell r="J5682" t="str">
            <v>00 -00-00-00-</v>
          </cell>
          <cell r="L5682" t="str">
            <v>00 -00-00-00-</v>
          </cell>
          <cell r="O5682" t="str">
            <v>SIN CUENTA ASIGNADA</v>
          </cell>
        </row>
        <row r="5683">
          <cell r="J5683" t="str">
            <v>00 -00-00-00-</v>
          </cell>
          <cell r="L5683" t="str">
            <v>00 -00-00-00-</v>
          </cell>
          <cell r="O5683" t="str">
            <v>SIN CUENTA ASIGNADA</v>
          </cell>
        </row>
        <row r="5684">
          <cell r="J5684" t="str">
            <v>00 -00-00-00-</v>
          </cell>
          <cell r="L5684" t="str">
            <v>00 -00-00-00-</v>
          </cell>
          <cell r="O5684" t="str">
            <v>SIN CUENTA ASIGNADA</v>
          </cell>
        </row>
        <row r="5685">
          <cell r="J5685" t="str">
            <v>00 -00-00-00-</v>
          </cell>
          <cell r="L5685" t="str">
            <v>00 -00-00-00-</v>
          </cell>
          <cell r="O5685" t="str">
            <v>SIN CUENTA ASIGNADA</v>
          </cell>
        </row>
        <row r="5686">
          <cell r="J5686" t="str">
            <v>00 -00-00-00-</v>
          </cell>
          <cell r="L5686" t="str">
            <v>00 -00-00-00-</v>
          </cell>
          <cell r="O5686" t="str">
            <v>SIN CUENTA ASIGNADA</v>
          </cell>
        </row>
        <row r="5687">
          <cell r="J5687" t="str">
            <v>00 -00-00-00-</v>
          </cell>
          <cell r="L5687" t="str">
            <v>00 -00-00-00-</v>
          </cell>
          <cell r="O5687" t="str">
            <v>SIN CUENTA ASIGNADA</v>
          </cell>
        </row>
        <row r="5688">
          <cell r="J5688" t="str">
            <v>00 -00-00-00-</v>
          </cell>
          <cell r="L5688" t="str">
            <v>00 -00-00-00-</v>
          </cell>
          <cell r="O5688" t="str">
            <v>SIN CUENTA ASIGNADA</v>
          </cell>
        </row>
        <row r="5689">
          <cell r="J5689" t="str">
            <v>00 -00-00-00-</v>
          </cell>
          <cell r="L5689" t="str">
            <v>00 -00-00-00-</v>
          </cell>
          <cell r="O5689" t="str">
            <v>SIN CUENTA ASIGNADA</v>
          </cell>
        </row>
        <row r="5690">
          <cell r="J5690" t="str">
            <v>00 -00-00-00-</v>
          </cell>
          <cell r="L5690" t="str">
            <v>00 -00-00-00-</v>
          </cell>
          <cell r="O5690" t="str">
            <v>SIN CUENTA ASIGNADA</v>
          </cell>
        </row>
        <row r="5691">
          <cell r="J5691" t="str">
            <v>00 -00-00-00-</v>
          </cell>
          <cell r="L5691" t="str">
            <v>00 -00-00-00-</v>
          </cell>
          <cell r="O5691" t="str">
            <v>SIN CUENTA ASIGNADA</v>
          </cell>
        </row>
        <row r="5692">
          <cell r="J5692" t="str">
            <v>00 -00-00-00-</v>
          </cell>
          <cell r="L5692" t="str">
            <v>00 -00-00-00-</v>
          </cell>
          <cell r="O5692" t="str">
            <v>SIN CUENTA ASIGNADA</v>
          </cell>
        </row>
        <row r="5693">
          <cell r="J5693" t="str">
            <v>00 -00-00-00-</v>
          </cell>
          <cell r="L5693" t="str">
            <v>00 -00-00-00-</v>
          </cell>
          <cell r="O5693" t="str">
            <v>SIN CUENTA ASIGNADA</v>
          </cell>
        </row>
        <row r="5694">
          <cell r="J5694" t="str">
            <v>00 -00-00-00-</v>
          </cell>
          <cell r="L5694" t="str">
            <v>00 -00-00-00-</v>
          </cell>
          <cell r="O5694" t="str">
            <v>SIN CUENTA ASIGNADA</v>
          </cell>
        </row>
        <row r="5695">
          <cell r="J5695" t="str">
            <v>00 -00-00-00-</v>
          </cell>
          <cell r="L5695" t="str">
            <v>00 -00-00-00-</v>
          </cell>
          <cell r="O5695" t="str">
            <v>SIN CUENTA ASIGNADA</v>
          </cell>
        </row>
        <row r="5696">
          <cell r="J5696" t="str">
            <v>00 -00-00-00-</v>
          </cell>
          <cell r="L5696" t="str">
            <v>00 -00-00-00-</v>
          </cell>
          <cell r="O5696" t="str">
            <v>SIN CUENTA ASIGNADA</v>
          </cell>
        </row>
        <row r="5697">
          <cell r="J5697" t="str">
            <v>00 -00-00-00-</v>
          </cell>
          <cell r="L5697" t="str">
            <v>00 -00-00-00-</v>
          </cell>
          <cell r="O5697" t="str">
            <v>SIN CUENTA ASIGNADA</v>
          </cell>
        </row>
        <row r="5698">
          <cell r="J5698" t="str">
            <v>00 -00-00-00-</v>
          </cell>
          <cell r="L5698" t="str">
            <v>00 -00-00-00-</v>
          </cell>
          <cell r="O5698" t="str">
            <v>SIN CUENTA ASIGNADA</v>
          </cell>
        </row>
        <row r="5699">
          <cell r="J5699" t="str">
            <v>00 -00-00-00-</v>
          </cell>
          <cell r="L5699" t="str">
            <v>00 -00-00-00-</v>
          </cell>
          <cell r="O5699" t="str">
            <v>SIN CUENTA ASIGNADA</v>
          </cell>
        </row>
        <row r="5700">
          <cell r="J5700" t="str">
            <v>00 -00-00-00-</v>
          </cell>
          <cell r="L5700" t="str">
            <v>00 -00-00-00-</v>
          </cell>
          <cell r="O5700" t="str">
            <v>SIN CUENTA ASIGNADA</v>
          </cell>
        </row>
        <row r="5701">
          <cell r="J5701" t="str">
            <v>00 -00-00-00-</v>
          </cell>
          <cell r="L5701" t="str">
            <v>00 -00-00-00-</v>
          </cell>
          <cell r="O5701" t="str">
            <v>SIN CUENTA ASIGNADA</v>
          </cell>
        </row>
        <row r="5702">
          <cell r="J5702" t="str">
            <v>00 -00-00-00-</v>
          </cell>
          <cell r="L5702" t="str">
            <v>00 -00-00-00-</v>
          </cell>
          <cell r="O5702" t="str">
            <v>SIN CUENTA ASIGNADA</v>
          </cell>
        </row>
        <row r="5703">
          <cell r="J5703" t="str">
            <v>00 -00-00-00-</v>
          </cell>
          <cell r="L5703" t="str">
            <v>00 -00-00-00-</v>
          </cell>
          <cell r="O5703" t="str">
            <v>SIN CUENTA ASIGNADA</v>
          </cell>
        </row>
        <row r="5704">
          <cell r="J5704" t="str">
            <v>00 -00-00-00-</v>
          </cell>
          <cell r="L5704" t="str">
            <v>00 -00-00-00-</v>
          </cell>
          <cell r="O5704" t="str">
            <v>SIN CUENTA ASIGNADA</v>
          </cell>
        </row>
        <row r="5705">
          <cell r="J5705" t="str">
            <v>00 -00-00-00-</v>
          </cell>
          <cell r="L5705" t="str">
            <v>00 -00-00-00-</v>
          </cell>
          <cell r="O5705" t="str">
            <v>SIN CUENTA ASIGNADA</v>
          </cell>
        </row>
        <row r="5706">
          <cell r="J5706" t="str">
            <v>00 -00-00-00-</v>
          </cell>
          <cell r="L5706" t="str">
            <v>00 -00-00-00-</v>
          </cell>
          <cell r="O5706" t="str">
            <v>SIN CUENTA ASIGNADA</v>
          </cell>
        </row>
        <row r="5707">
          <cell r="J5707" t="str">
            <v>00 -00-00-00-</v>
          </cell>
          <cell r="L5707" t="str">
            <v>00 -00-00-00-</v>
          </cell>
          <cell r="O5707" t="str">
            <v>SIN CUENTA ASIGNADA</v>
          </cell>
        </row>
        <row r="5708">
          <cell r="J5708" t="str">
            <v>00 -00-00-00-</v>
          </cell>
          <cell r="L5708" t="str">
            <v>00 -00-00-00-</v>
          </cell>
          <cell r="O5708" t="str">
            <v>SIN CUENTA ASIGNADA</v>
          </cell>
        </row>
        <row r="5709">
          <cell r="J5709" t="str">
            <v>00 -00-00-00-</v>
          </cell>
          <cell r="L5709" t="str">
            <v>00 -00-00-00-</v>
          </cell>
          <cell r="O5709" t="str">
            <v>SIN CUENTA ASIGNADA</v>
          </cell>
        </row>
        <row r="5710">
          <cell r="J5710" t="str">
            <v>00 -00-00-00-</v>
          </cell>
          <cell r="L5710" t="str">
            <v>00 -00-00-00-</v>
          </cell>
          <cell r="O5710" t="str">
            <v>SIN CUENTA ASIGNADA</v>
          </cell>
        </row>
        <row r="5711">
          <cell r="J5711" t="str">
            <v>00 -00-00-00-</v>
          </cell>
          <cell r="L5711" t="str">
            <v>00 -00-00-00-</v>
          </cell>
          <cell r="O5711" t="str">
            <v>SIN CUENTA ASIGNADA</v>
          </cell>
        </row>
        <row r="5712">
          <cell r="J5712" t="str">
            <v>00 -00-00-00-</v>
          </cell>
          <cell r="L5712" t="str">
            <v>00 -00-00-00-</v>
          </cell>
          <cell r="O5712" t="str">
            <v>SIN CUENTA ASIGNADA</v>
          </cell>
        </row>
        <row r="5713">
          <cell r="J5713" t="str">
            <v>00 -00-00-00-</v>
          </cell>
          <cell r="L5713" t="str">
            <v>00 -00-00-00-</v>
          </cell>
          <cell r="O5713" t="str">
            <v>SIN CUENTA ASIGNADA</v>
          </cell>
        </row>
        <row r="5714">
          <cell r="J5714" t="str">
            <v>00 -00-00-00-</v>
          </cell>
          <cell r="L5714" t="str">
            <v>00 -00-00-00-</v>
          </cell>
          <cell r="O5714" t="str">
            <v>SIN CUENTA ASIGNADA</v>
          </cell>
        </row>
        <row r="5715">
          <cell r="J5715" t="str">
            <v>00 -00-00-00-</v>
          </cell>
          <cell r="L5715" t="str">
            <v>00 -00-00-00-</v>
          </cell>
          <cell r="O5715" t="str">
            <v>SIN CUENTA ASIGNADA</v>
          </cell>
        </row>
        <row r="5716">
          <cell r="J5716" t="str">
            <v>00 -00-00-00-</v>
          </cell>
          <cell r="L5716" t="str">
            <v>00 -00-00-00-</v>
          </cell>
          <cell r="O5716" t="str">
            <v>SIN CUENTA ASIGNADA</v>
          </cell>
        </row>
        <row r="5717">
          <cell r="J5717" t="str">
            <v>00 -00-00-00-</v>
          </cell>
          <cell r="L5717" t="str">
            <v>00 -00-00-00-</v>
          </cell>
          <cell r="O5717" t="str">
            <v>SIN CUENTA ASIGNADA</v>
          </cell>
        </row>
        <row r="5718">
          <cell r="J5718" t="str">
            <v>00 -00-00-00-</v>
          </cell>
          <cell r="L5718" t="str">
            <v>00 -00-00-00-</v>
          </cell>
          <cell r="O5718" t="str">
            <v>SIN CUENTA ASIGNADA</v>
          </cell>
        </row>
        <row r="5719">
          <cell r="J5719" t="str">
            <v>00 -00-00-00-</v>
          </cell>
          <cell r="L5719" t="str">
            <v>00 -00-00-00-</v>
          </cell>
          <cell r="O5719" t="str">
            <v>SIN CUENTA ASIGNADA</v>
          </cell>
        </row>
        <row r="5720">
          <cell r="J5720" t="str">
            <v>00 -00-00-00-</v>
          </cell>
          <cell r="L5720" t="str">
            <v>00 -00-00-00-</v>
          </cell>
          <cell r="O5720" t="str">
            <v>SIN CUENTA ASIGNADA</v>
          </cell>
        </row>
        <row r="5721">
          <cell r="J5721" t="str">
            <v>00 -00-00-00-</v>
          </cell>
          <cell r="L5721" t="str">
            <v>00 -00-00-00-</v>
          </cell>
          <cell r="O5721" t="str">
            <v>SIN CUENTA ASIGNADA</v>
          </cell>
        </row>
        <row r="5722">
          <cell r="J5722" t="str">
            <v>00 -00-00-00-</v>
          </cell>
          <cell r="L5722" t="str">
            <v>00 -00-00-00-</v>
          </cell>
          <cell r="O5722" t="str">
            <v>SIN CUENTA ASIGNADA</v>
          </cell>
        </row>
        <row r="5723">
          <cell r="J5723" t="str">
            <v>00 -00-00-00-</v>
          </cell>
          <cell r="L5723" t="str">
            <v>00 -00-00-00-</v>
          </cell>
          <cell r="O5723" t="str">
            <v>SIN CUENTA ASIGNADA</v>
          </cell>
        </row>
        <row r="5724">
          <cell r="J5724" t="str">
            <v>00 -00-00-00-</v>
          </cell>
          <cell r="L5724" t="str">
            <v>00 -00-00-00-</v>
          </cell>
          <cell r="O5724" t="str">
            <v>SIN CUENTA ASIGNADA</v>
          </cell>
        </row>
        <row r="5725">
          <cell r="J5725" t="str">
            <v>00 -00-00-00-</v>
          </cell>
          <cell r="L5725" t="str">
            <v>00 -00-00-00-</v>
          </cell>
          <cell r="O5725" t="str">
            <v>SIN CUENTA ASIGNADA</v>
          </cell>
        </row>
        <row r="5726">
          <cell r="J5726" t="str">
            <v>00 -00-00-00-</v>
          </cell>
          <cell r="L5726" t="str">
            <v>00 -00-00-00-</v>
          </cell>
          <cell r="O5726" t="str">
            <v>SIN CUENTA ASIGNADA</v>
          </cell>
        </row>
        <row r="5727">
          <cell r="J5727" t="str">
            <v>00 -00-00-00-</v>
          </cell>
          <cell r="L5727" t="str">
            <v>00 -00-00-00-</v>
          </cell>
          <cell r="O5727" t="str">
            <v>SIN CUENTA ASIGNADA</v>
          </cell>
        </row>
        <row r="5728">
          <cell r="J5728" t="str">
            <v>00 -00-00-00-</v>
          </cell>
          <cell r="L5728" t="str">
            <v>00 -00-00-00-</v>
          </cell>
          <cell r="O5728" t="str">
            <v>SIN CUENTA ASIGNADA</v>
          </cell>
        </row>
        <row r="5729">
          <cell r="J5729" t="str">
            <v>00 -00-00-00-</v>
          </cell>
          <cell r="L5729" t="str">
            <v>00 -00-00-00-</v>
          </cell>
          <cell r="O5729" t="str">
            <v>SIN CUENTA ASIGNADA</v>
          </cell>
        </row>
        <row r="5730">
          <cell r="J5730" t="str">
            <v>00 -00-00-00-</v>
          </cell>
          <cell r="L5730" t="str">
            <v>00 -00-00-00-</v>
          </cell>
          <cell r="O5730" t="str">
            <v>SIN CUENTA ASIGNADA</v>
          </cell>
        </row>
        <row r="5731">
          <cell r="J5731" t="str">
            <v>00 -00-00-00-</v>
          </cell>
          <cell r="L5731" t="str">
            <v>00 -00-00-00-</v>
          </cell>
          <cell r="O5731" t="str">
            <v>SIN CUENTA ASIGNADA</v>
          </cell>
        </row>
        <row r="5732">
          <cell r="J5732" t="str">
            <v>00 -00-00-00-</v>
          </cell>
          <cell r="L5732" t="str">
            <v>00 -00-00-00-</v>
          </cell>
          <cell r="O5732" t="str">
            <v>SIN CUENTA ASIGNADA</v>
          </cell>
        </row>
        <row r="5733">
          <cell r="J5733" t="str">
            <v>00 -00-00-00-</v>
          </cell>
          <cell r="L5733" t="str">
            <v>00 -00-00-00-</v>
          </cell>
          <cell r="O5733" t="str">
            <v>SIN CUENTA ASIGNADA</v>
          </cell>
        </row>
        <row r="5734">
          <cell r="J5734" t="str">
            <v>00 -00-00-00-</v>
          </cell>
          <cell r="L5734" t="str">
            <v>00 -00-00-00-</v>
          </cell>
          <cell r="O5734" t="str">
            <v>SIN CUENTA ASIGNADA</v>
          </cell>
        </row>
        <row r="5735">
          <cell r="J5735" t="str">
            <v>00 -00-00-00-</v>
          </cell>
          <cell r="L5735" t="str">
            <v>00 -00-00-00-</v>
          </cell>
          <cell r="O5735" t="str">
            <v>SIN CUENTA ASIGNADA</v>
          </cell>
        </row>
        <row r="5736">
          <cell r="J5736" t="str">
            <v>00 -00-00-00-</v>
          </cell>
          <cell r="L5736" t="str">
            <v>00 -00-00-00-</v>
          </cell>
          <cell r="O5736" t="str">
            <v>SIN CUENTA ASIGNADA</v>
          </cell>
        </row>
        <row r="5737">
          <cell r="J5737" t="str">
            <v>00 -00-00-00-</v>
          </cell>
          <cell r="L5737" t="str">
            <v>00 -00-00-00-</v>
          </cell>
          <cell r="O5737" t="str">
            <v>SIN CUENTA ASIGNADA</v>
          </cell>
        </row>
        <row r="5738">
          <cell r="J5738" t="str">
            <v>00 -00-00-00-</v>
          </cell>
          <cell r="L5738" t="str">
            <v>00 -00-00-00-</v>
          </cell>
          <cell r="O5738" t="str">
            <v>SIN CUENTA ASIGNADA</v>
          </cell>
        </row>
        <row r="5739">
          <cell r="J5739" t="str">
            <v>00 -00-00-00-</v>
          </cell>
          <cell r="L5739" t="str">
            <v>00 -00-00-00-</v>
          </cell>
          <cell r="O5739" t="str">
            <v>SIN CUENTA ASIGNADA</v>
          </cell>
        </row>
        <row r="5740">
          <cell r="J5740" t="str">
            <v>00 -00-00-00-</v>
          </cell>
          <cell r="L5740" t="str">
            <v>00 -00-00-00-</v>
          </cell>
          <cell r="O5740" t="str">
            <v>SIN CUENTA ASIGNADA</v>
          </cell>
        </row>
        <row r="5741">
          <cell r="J5741" t="str">
            <v>00 -00-00-00-</v>
          </cell>
          <cell r="L5741" t="str">
            <v>00 -00-00-00-</v>
          </cell>
          <cell r="O5741" t="str">
            <v>SIN CUENTA ASIGNADA</v>
          </cell>
        </row>
        <row r="5742">
          <cell r="J5742" t="str">
            <v>00 -00-00-00-</v>
          </cell>
          <cell r="L5742" t="str">
            <v>00 -00-00-00-</v>
          </cell>
          <cell r="O5742" t="str">
            <v>SIN CUENTA ASIGNADA</v>
          </cell>
        </row>
        <row r="5743">
          <cell r="J5743" t="str">
            <v>00 -00-00-00-</v>
          </cell>
          <cell r="L5743" t="str">
            <v>00 -00-00-00-</v>
          </cell>
          <cell r="O5743" t="str">
            <v>SIN CUENTA ASIGNADA</v>
          </cell>
        </row>
        <row r="5744">
          <cell r="J5744" t="str">
            <v>00 -00-00-00-</v>
          </cell>
          <cell r="L5744" t="str">
            <v>00 -00-00-00-</v>
          </cell>
          <cell r="O5744" t="str">
            <v>SIN CUENTA ASIGNADA</v>
          </cell>
        </row>
        <row r="5745">
          <cell r="J5745" t="str">
            <v>00 -00-00-00-</v>
          </cell>
          <cell r="L5745" t="str">
            <v>00 -00-00-00-</v>
          </cell>
          <cell r="O5745" t="str">
            <v>SIN CUENTA ASIGNADA</v>
          </cell>
        </row>
        <row r="5746">
          <cell r="J5746" t="str">
            <v>00 -00-00-00-</v>
          </cell>
          <cell r="L5746" t="str">
            <v>00 -00-00-00-</v>
          </cell>
          <cell r="O5746" t="str">
            <v>SIN CUENTA ASIGNADA</v>
          </cell>
        </row>
        <row r="5747">
          <cell r="J5747" t="str">
            <v>00 -00-00-00-</v>
          </cell>
          <cell r="L5747" t="str">
            <v>00 -00-00-00-</v>
          </cell>
          <cell r="O5747" t="str">
            <v>SIN CUENTA ASIGNADA</v>
          </cell>
        </row>
        <row r="5748">
          <cell r="J5748" t="str">
            <v>00 -00-00-00-</v>
          </cell>
          <cell r="L5748" t="str">
            <v>00 -00-00-00-</v>
          </cell>
          <cell r="O5748" t="str">
            <v>SIN CUENTA ASIGNADA</v>
          </cell>
        </row>
        <row r="5749">
          <cell r="J5749" t="str">
            <v>00 -00-00-00-</v>
          </cell>
          <cell r="L5749" t="str">
            <v>00 -00-00-00-</v>
          </cell>
          <cell r="O5749" t="str">
            <v>SIN CUENTA ASIGNADA</v>
          </cell>
        </row>
        <row r="5750">
          <cell r="J5750" t="str">
            <v>00 -00-00-00-</v>
          </cell>
          <cell r="L5750" t="str">
            <v>00 -00-00-00-</v>
          </cell>
          <cell r="O5750" t="str">
            <v>SIN CUENTA ASIGNADA</v>
          </cell>
        </row>
        <row r="5751">
          <cell r="J5751" t="str">
            <v>00 -00-00-00-</v>
          </cell>
          <cell r="L5751" t="str">
            <v>00 -00-00-00-</v>
          </cell>
          <cell r="O5751" t="str">
            <v>SIN CUENTA ASIGNADA</v>
          </cell>
        </row>
        <row r="5752">
          <cell r="J5752" t="str">
            <v>00 -00-00-00-</v>
          </cell>
          <cell r="L5752" t="str">
            <v>00 -00-00-00-</v>
          </cell>
          <cell r="O5752" t="str">
            <v>SIN CUENTA ASIGNADA</v>
          </cell>
        </row>
        <row r="5753">
          <cell r="J5753" t="str">
            <v>00 -00-00-00-</v>
          </cell>
          <cell r="L5753" t="str">
            <v>00 -00-00-00-</v>
          </cell>
          <cell r="O5753" t="str">
            <v>SIN CUENTA ASIGNADA</v>
          </cell>
        </row>
        <row r="5754">
          <cell r="J5754" t="str">
            <v>00 -00-00-00-</v>
          </cell>
          <cell r="L5754" t="str">
            <v>00 -00-00-00-</v>
          </cell>
          <cell r="O5754" t="str">
            <v>SIN CUENTA ASIGNADA</v>
          </cell>
        </row>
        <row r="5755">
          <cell r="J5755" t="str">
            <v>00 -00-00-00-</v>
          </cell>
          <cell r="L5755" t="str">
            <v>00 -00-00-00-</v>
          </cell>
          <cell r="O5755" t="str">
            <v>SIN CUENTA ASIGNADA</v>
          </cell>
        </row>
        <row r="5756">
          <cell r="J5756" t="str">
            <v>00 -00-00-00-</v>
          </cell>
          <cell r="L5756" t="str">
            <v>00 -00-00-00-</v>
          </cell>
          <cell r="O5756" t="str">
            <v>SIN CUENTA ASIGNADA</v>
          </cell>
        </row>
        <row r="5757">
          <cell r="J5757" t="str">
            <v>00 -00-00-00-</v>
          </cell>
          <cell r="L5757" t="str">
            <v>00 -00-00-00-</v>
          </cell>
          <cell r="O5757" t="str">
            <v>SIN CUENTA ASIGNADA</v>
          </cell>
        </row>
        <row r="5758">
          <cell r="J5758" t="str">
            <v>00 -00-00-00-</v>
          </cell>
          <cell r="L5758" t="str">
            <v>00 -00-00-00-</v>
          </cell>
          <cell r="O5758" t="str">
            <v>SIN CUENTA ASIGNADA</v>
          </cell>
        </row>
        <row r="5759">
          <cell r="J5759" t="str">
            <v>00 -00-00-00-</v>
          </cell>
          <cell r="L5759" t="str">
            <v>00 -00-00-00-</v>
          </cell>
          <cell r="O5759" t="str">
            <v>SIN CUENTA ASIGNADA</v>
          </cell>
        </row>
        <row r="5760">
          <cell r="J5760" t="str">
            <v>00 -00-00-00-</v>
          </cell>
          <cell r="L5760" t="str">
            <v>00 -00-00-00-</v>
          </cell>
          <cell r="O5760" t="str">
            <v>SIN CUENTA ASIGNADA</v>
          </cell>
        </row>
        <row r="5761">
          <cell r="J5761" t="str">
            <v>00 -00-00-00-</v>
          </cell>
          <cell r="L5761" t="str">
            <v>00 -00-00-00-</v>
          </cell>
          <cell r="O5761" t="str">
            <v>SIN CUENTA ASIGNADA</v>
          </cell>
        </row>
        <row r="5762">
          <cell r="J5762" t="str">
            <v>00 -00-00-00-</v>
          </cell>
          <cell r="L5762" t="str">
            <v>00 -00-00-00-</v>
          </cell>
          <cell r="O5762" t="str">
            <v>SIN CUENTA ASIGNADA</v>
          </cell>
        </row>
        <row r="5763">
          <cell r="J5763" t="str">
            <v>00 -00-00-00-</v>
          </cell>
          <cell r="L5763" t="str">
            <v>00 -00-00-00-</v>
          </cell>
          <cell r="O5763" t="str">
            <v>SIN CUENTA ASIGNADA</v>
          </cell>
        </row>
        <row r="5764">
          <cell r="J5764" t="str">
            <v>00 -00-00-00-</v>
          </cell>
          <cell r="L5764" t="str">
            <v>00 -00-00-00-</v>
          </cell>
          <cell r="O5764" t="str">
            <v>SIN CUENTA ASIGNADA</v>
          </cell>
        </row>
        <row r="5765">
          <cell r="J5765" t="str">
            <v>00 -00-00-00-</v>
          </cell>
          <cell r="L5765" t="str">
            <v>00 -00-00-00-</v>
          </cell>
          <cell r="O5765" t="str">
            <v>SIN CUENTA ASIGNADA</v>
          </cell>
        </row>
        <row r="5766">
          <cell r="J5766" t="str">
            <v>00 -00-00-00-</v>
          </cell>
          <cell r="L5766" t="str">
            <v>00 -00-00-00-</v>
          </cell>
          <cell r="O5766" t="str">
            <v>SIN CUENTA ASIGNADA</v>
          </cell>
        </row>
        <row r="5767">
          <cell r="J5767" t="str">
            <v>00 -00-00-00-</v>
          </cell>
          <cell r="L5767" t="str">
            <v>00 -00-00-00-</v>
          </cell>
          <cell r="O5767" t="str">
            <v>SIN CUENTA ASIGNADA</v>
          </cell>
        </row>
        <row r="5768">
          <cell r="J5768" t="str">
            <v>00 -00-00-00-</v>
          </cell>
          <cell r="L5768" t="str">
            <v>00 -00-00-00-</v>
          </cell>
          <cell r="O5768" t="str">
            <v>SIN CUENTA ASIGNADA</v>
          </cell>
        </row>
        <row r="5769">
          <cell r="J5769" t="str">
            <v>00 -00-00-00-</v>
          </cell>
          <cell r="L5769" t="str">
            <v>00 -00-00-00-</v>
          </cell>
          <cell r="O5769" t="str">
            <v>SIN CUENTA ASIGNADA</v>
          </cell>
        </row>
        <row r="5770">
          <cell r="J5770" t="str">
            <v>00 -00-00-00-</v>
          </cell>
          <cell r="L5770" t="str">
            <v>00 -00-00-00-</v>
          </cell>
          <cell r="O5770" t="str">
            <v>SIN CUENTA ASIGNADA</v>
          </cell>
        </row>
        <row r="5771">
          <cell r="J5771" t="str">
            <v>00 -00-00-00-</v>
          </cell>
          <cell r="L5771" t="str">
            <v>00 -00-00-00-</v>
          </cell>
          <cell r="O5771" t="str">
            <v>SIN CUENTA ASIGNADA</v>
          </cell>
        </row>
        <row r="5772">
          <cell r="J5772" t="str">
            <v>00 -00-00-00-</v>
          </cell>
          <cell r="L5772" t="str">
            <v>00 -00-00-00-</v>
          </cell>
          <cell r="O5772" t="str">
            <v>SIN CUENTA ASIGNADA</v>
          </cell>
        </row>
        <row r="5773">
          <cell r="J5773" t="str">
            <v>00 -00-00-00-</v>
          </cell>
          <cell r="L5773" t="str">
            <v>00 -00-00-00-</v>
          </cell>
          <cell r="O5773" t="str">
            <v>SIN CUENTA ASIGNADA</v>
          </cell>
        </row>
        <row r="5774">
          <cell r="J5774" t="str">
            <v>00 -00-00-00-</v>
          </cell>
          <cell r="L5774" t="str">
            <v>00 -00-00-00-</v>
          </cell>
          <cell r="O5774" t="str">
            <v>SIN CUENTA ASIGNADA</v>
          </cell>
        </row>
        <row r="5775">
          <cell r="J5775" t="str">
            <v>00 -00-00-00-</v>
          </cell>
          <cell r="L5775" t="str">
            <v>00 -00-00-00-</v>
          </cell>
          <cell r="O5775" t="str">
            <v>SIN CUENTA ASIGNADA</v>
          </cell>
        </row>
        <row r="5776">
          <cell r="J5776" t="str">
            <v>00 -00-00-00-</v>
          </cell>
          <cell r="L5776" t="str">
            <v>00 -00-00-00-</v>
          </cell>
          <cell r="O5776" t="str">
            <v>SIN CUENTA ASIGNADA</v>
          </cell>
        </row>
        <row r="5777">
          <cell r="J5777" t="str">
            <v>00 -00-00-00-</v>
          </cell>
          <cell r="L5777" t="str">
            <v>00 -00-00-00-</v>
          </cell>
          <cell r="O5777" t="str">
            <v>SIN CUENTA ASIGNADA</v>
          </cell>
        </row>
        <row r="5778">
          <cell r="J5778" t="str">
            <v>00 -00-00-00-</v>
          </cell>
          <cell r="L5778" t="str">
            <v>00 -00-00-00-</v>
          </cell>
          <cell r="O5778" t="str">
            <v>SIN CUENTA ASIGNADA</v>
          </cell>
        </row>
        <row r="5779">
          <cell r="J5779" t="str">
            <v>00 -00-00-00-</v>
          </cell>
          <cell r="L5779" t="str">
            <v>00 -00-00-00-</v>
          </cell>
          <cell r="O5779" t="str">
            <v>SIN CUENTA ASIGNADA</v>
          </cell>
        </row>
        <row r="5780">
          <cell r="J5780" t="str">
            <v>00 -00-00-00-</v>
          </cell>
          <cell r="L5780" t="str">
            <v>00 -00-00-00-</v>
          </cell>
          <cell r="O5780" t="str">
            <v>SIN CUENTA ASIGNADA</v>
          </cell>
        </row>
        <row r="5781">
          <cell r="J5781" t="str">
            <v>00 -00-00-00-</v>
          </cell>
          <cell r="L5781" t="str">
            <v>00 -00-00-00-</v>
          </cell>
          <cell r="O5781" t="str">
            <v>SIN CUENTA ASIGNADA</v>
          </cell>
        </row>
        <row r="5782">
          <cell r="J5782" t="str">
            <v>00 -00-00-00-</v>
          </cell>
          <cell r="L5782" t="str">
            <v>00 -00-00-00-</v>
          </cell>
          <cell r="O5782" t="str">
            <v>SIN CUENTA ASIGNADA</v>
          </cell>
        </row>
        <row r="5783">
          <cell r="J5783" t="str">
            <v>00 -00-00-00-</v>
          </cell>
          <cell r="L5783" t="str">
            <v>00 -00-00-00-</v>
          </cell>
          <cell r="O5783" t="str">
            <v>SIN CUENTA ASIGNADA</v>
          </cell>
        </row>
        <row r="5784">
          <cell r="J5784" t="str">
            <v>00 -00-00-00-</v>
          </cell>
          <cell r="L5784" t="str">
            <v>00 -00-00-00-</v>
          </cell>
          <cell r="O5784" t="str">
            <v>SIN CUENTA ASIGNADA</v>
          </cell>
        </row>
        <row r="5785">
          <cell r="J5785" t="str">
            <v>00 -00-00-00-</v>
          </cell>
          <cell r="L5785" t="str">
            <v>00 -00-00-00-</v>
          </cell>
          <cell r="O5785" t="str">
            <v>SIN CUENTA ASIGNADA</v>
          </cell>
        </row>
        <row r="5786">
          <cell r="J5786" t="str">
            <v>00 -00-00-00-</v>
          </cell>
          <cell r="L5786" t="str">
            <v>00 -00-00-00-</v>
          </cell>
          <cell r="O5786" t="str">
            <v>SIN CUENTA ASIGNADA</v>
          </cell>
        </row>
        <row r="5787">
          <cell r="J5787" t="str">
            <v>00 -00-00-00-</v>
          </cell>
          <cell r="L5787" t="str">
            <v>00 -00-00-00-</v>
          </cell>
          <cell r="O5787" t="str">
            <v>SIN CUENTA ASIGNADA</v>
          </cell>
        </row>
        <row r="5788">
          <cell r="J5788" t="str">
            <v>00 -00-00-00-</v>
          </cell>
          <cell r="L5788" t="str">
            <v>00 -00-00-00-</v>
          </cell>
          <cell r="O5788" t="str">
            <v>SIN CUENTA ASIGNADA</v>
          </cell>
        </row>
        <row r="5789">
          <cell r="J5789" t="str">
            <v>00 -00-00-00-</v>
          </cell>
          <cell r="L5789" t="str">
            <v>00 -00-00-00-</v>
          </cell>
          <cell r="O5789" t="str">
            <v>SIN CUENTA ASIGNADA</v>
          </cell>
        </row>
        <row r="5790">
          <cell r="J5790" t="str">
            <v>00 -00-00-00-</v>
          </cell>
          <cell r="L5790" t="str">
            <v>00 -00-00-00-</v>
          </cell>
          <cell r="O5790" t="str">
            <v>SIN CUENTA ASIGNADA</v>
          </cell>
        </row>
        <row r="5791">
          <cell r="J5791" t="str">
            <v>00 -00-00-00-</v>
          </cell>
          <cell r="L5791" t="str">
            <v>00 -00-00-00-</v>
          </cell>
          <cell r="O5791" t="str">
            <v>SIN CUENTA ASIGNADA</v>
          </cell>
        </row>
        <row r="5792">
          <cell r="J5792" t="str">
            <v>00 -00-00-00-</v>
          </cell>
          <cell r="L5792" t="str">
            <v>00 -00-00-00-</v>
          </cell>
          <cell r="O5792" t="str">
            <v>SIN CUENTA ASIGNADA</v>
          </cell>
        </row>
        <row r="5793">
          <cell r="J5793" t="str">
            <v>00 -00-00-00-</v>
          </cell>
          <cell r="L5793" t="str">
            <v>00 -00-00-00-</v>
          </cell>
          <cell r="O5793" t="str">
            <v>SIN CUENTA ASIGNADA</v>
          </cell>
        </row>
        <row r="5794">
          <cell r="J5794" t="str">
            <v>00 -00-00-00-</v>
          </cell>
          <cell r="L5794" t="str">
            <v>00 -00-00-00-</v>
          </cell>
          <cell r="O5794" t="str">
            <v>SIN CUENTA ASIGNADA</v>
          </cell>
        </row>
        <row r="5795">
          <cell r="J5795" t="str">
            <v>00 -00-00-00-</v>
          </cell>
          <cell r="L5795" t="str">
            <v>00 -00-00-00-</v>
          </cell>
          <cell r="O5795" t="str">
            <v>SIN CUENTA ASIGNADA</v>
          </cell>
        </row>
        <row r="5796">
          <cell r="J5796" t="str">
            <v>00 -00-00-00-</v>
          </cell>
          <cell r="L5796" t="str">
            <v>00 -00-00-00-</v>
          </cell>
          <cell r="O5796" t="str">
            <v>SIN CUENTA ASIGNADA</v>
          </cell>
        </row>
        <row r="5797">
          <cell r="J5797" t="str">
            <v>00 -00-00-00-</v>
          </cell>
          <cell r="L5797" t="str">
            <v>00 -00-00-00-</v>
          </cell>
          <cell r="O5797" t="str">
            <v>SIN CUENTA ASIGNADA</v>
          </cell>
        </row>
        <row r="5798">
          <cell r="J5798" t="str">
            <v>00 -00-00-00-</v>
          </cell>
          <cell r="L5798" t="str">
            <v>00 -00-00-00-</v>
          </cell>
          <cell r="O5798" t="str">
            <v>SIN CUENTA ASIGNADA</v>
          </cell>
        </row>
        <row r="5799">
          <cell r="J5799" t="str">
            <v>00 -00-00-00-</v>
          </cell>
          <cell r="L5799" t="str">
            <v>00 -00-00-00-</v>
          </cell>
          <cell r="O5799" t="str">
            <v>SIN CUENTA ASIGNADA</v>
          </cell>
        </row>
        <row r="5800">
          <cell r="J5800" t="str">
            <v>00 -00-00-00-</v>
          </cell>
          <cell r="L5800" t="str">
            <v>00 -00-00-00-</v>
          </cell>
          <cell r="O5800" t="str">
            <v>SIN CUENTA ASIGNADA</v>
          </cell>
        </row>
        <row r="5801">
          <cell r="J5801" t="str">
            <v>00 -00-00-00-</v>
          </cell>
          <cell r="L5801" t="str">
            <v>00 -00-00-00-</v>
          </cell>
          <cell r="O5801" t="str">
            <v>SIN CUENTA ASIGNADA</v>
          </cell>
        </row>
        <row r="5802">
          <cell r="J5802" t="str">
            <v>00 -00-00-00-</v>
          </cell>
          <cell r="L5802" t="str">
            <v>00 -00-00-00-</v>
          </cell>
          <cell r="O5802" t="str">
            <v>SIN CUENTA ASIGNADA</v>
          </cell>
        </row>
        <row r="5803">
          <cell r="J5803" t="str">
            <v>00 -00-00-00-</v>
          </cell>
          <cell r="L5803" t="str">
            <v>00 -00-00-00-</v>
          </cell>
          <cell r="O5803" t="str">
            <v>SIN CUENTA ASIGNADA</v>
          </cell>
        </row>
        <row r="5804">
          <cell r="J5804" t="str">
            <v>00 -00-00-00-</v>
          </cell>
          <cell r="L5804" t="str">
            <v>00 -00-00-00-</v>
          </cell>
          <cell r="O5804" t="str">
            <v>SIN CUENTA ASIGNADA</v>
          </cell>
        </row>
        <row r="5805">
          <cell r="J5805" t="str">
            <v>00 -00-00-00-</v>
          </cell>
          <cell r="L5805" t="str">
            <v>00 -00-00-00-</v>
          </cell>
          <cell r="O5805" t="str">
            <v>SIN CUENTA ASIGNADA</v>
          </cell>
        </row>
        <row r="5806">
          <cell r="J5806" t="str">
            <v>00 -00-00-00-</v>
          </cell>
          <cell r="L5806" t="str">
            <v>00 -00-00-00-</v>
          </cell>
          <cell r="O5806" t="str">
            <v>SIN CUENTA ASIGNADA</v>
          </cell>
        </row>
        <row r="5807">
          <cell r="J5807" t="str">
            <v>00 -00-00-00-</v>
          </cell>
          <cell r="L5807" t="str">
            <v>00 -00-00-00-</v>
          </cell>
          <cell r="O5807" t="str">
            <v>SIN CUENTA ASIGNADA</v>
          </cell>
        </row>
        <row r="5808">
          <cell r="J5808" t="str">
            <v>00 -00-00-00-</v>
          </cell>
          <cell r="L5808" t="str">
            <v>00 -00-00-00-</v>
          </cell>
          <cell r="O5808" t="str">
            <v>SIN CUENTA ASIGNADA</v>
          </cell>
        </row>
        <row r="5809">
          <cell r="J5809" t="str">
            <v>00 -00-00-00-</v>
          </cell>
          <cell r="L5809" t="str">
            <v>00 -00-00-00-</v>
          </cell>
          <cell r="O5809" t="str">
            <v>SIN CUENTA ASIGNADA</v>
          </cell>
        </row>
        <row r="5810">
          <cell r="J5810" t="str">
            <v>00 -00-00-00-</v>
          </cell>
          <cell r="L5810" t="str">
            <v>00 -00-00-00-</v>
          </cell>
          <cell r="O5810" t="str">
            <v>SIN CUENTA ASIGNADA</v>
          </cell>
        </row>
        <row r="5811">
          <cell r="J5811" t="str">
            <v>00 -00-00-00-</v>
          </cell>
          <cell r="L5811" t="str">
            <v>00 -00-00-00-</v>
          </cell>
          <cell r="O5811" t="str">
            <v>SIN CUENTA ASIGNADA</v>
          </cell>
        </row>
        <row r="5812">
          <cell r="J5812" t="str">
            <v>00 -00-00-00-</v>
          </cell>
          <cell r="L5812" t="str">
            <v>00 -00-00-00-</v>
          </cell>
          <cell r="O5812" t="str">
            <v>SIN CUENTA ASIGNADA</v>
          </cell>
        </row>
        <row r="5813">
          <cell r="J5813" t="str">
            <v>00 -00-00-00-</v>
          </cell>
          <cell r="L5813" t="str">
            <v>00 -00-00-00-</v>
          </cell>
          <cell r="O5813" t="str">
            <v>SIN CUENTA ASIGNADA</v>
          </cell>
        </row>
        <row r="5814">
          <cell r="J5814" t="str">
            <v>00 -00-00-00-</v>
          </cell>
          <cell r="L5814" t="str">
            <v>00 -00-00-00-</v>
          </cell>
          <cell r="O5814" t="str">
            <v>SIN CUENTA ASIGNADA</v>
          </cell>
        </row>
        <row r="5815">
          <cell r="J5815" t="str">
            <v>00 -00-00-00-</v>
          </cell>
          <cell r="L5815" t="str">
            <v>00 -00-00-00-</v>
          </cell>
          <cell r="O5815" t="str">
            <v>SIN CUENTA ASIGNADA</v>
          </cell>
        </row>
        <row r="5816">
          <cell r="J5816" t="str">
            <v>00 -00-00-00-</v>
          </cell>
          <cell r="L5816" t="str">
            <v>00 -00-00-00-</v>
          </cell>
          <cell r="O5816" t="str">
            <v>SIN CUENTA ASIGNADA</v>
          </cell>
        </row>
        <row r="5817">
          <cell r="J5817" t="str">
            <v>00 -00-00-00-</v>
          </cell>
          <cell r="L5817" t="str">
            <v>00 -00-00-00-</v>
          </cell>
          <cell r="O5817" t="str">
            <v>SIN CUENTA ASIGNADA</v>
          </cell>
        </row>
        <row r="5818">
          <cell r="J5818" t="str">
            <v>00 -00-00-00-</v>
          </cell>
          <cell r="L5818" t="str">
            <v>00 -00-00-00-</v>
          </cell>
          <cell r="O5818" t="str">
            <v>SIN CUENTA ASIGNADA</v>
          </cell>
        </row>
        <row r="5819">
          <cell r="J5819" t="str">
            <v>00 -00-00-00-</v>
          </cell>
          <cell r="L5819" t="str">
            <v>00 -00-00-00-</v>
          </cell>
          <cell r="O5819" t="str">
            <v>SIN CUENTA ASIGNADA</v>
          </cell>
        </row>
        <row r="5820">
          <cell r="J5820" t="str">
            <v>00 -00-00-00-</v>
          </cell>
          <cell r="L5820" t="str">
            <v>00 -00-00-00-</v>
          </cell>
          <cell r="O5820" t="str">
            <v>SIN CUENTA ASIGNADA</v>
          </cell>
        </row>
        <row r="5821">
          <cell r="J5821" t="str">
            <v>00 -00-00-00-</v>
          </cell>
          <cell r="L5821" t="str">
            <v>00 -00-00-00-</v>
          </cell>
          <cell r="O5821" t="str">
            <v>SIN CUENTA ASIGNADA</v>
          </cell>
        </row>
        <row r="5822">
          <cell r="J5822" t="str">
            <v>00 -00-00-00-</v>
          </cell>
          <cell r="L5822" t="str">
            <v>00 -00-00-00-</v>
          </cell>
          <cell r="O5822" t="str">
            <v>SIN CUENTA ASIGNADA</v>
          </cell>
        </row>
        <row r="5823">
          <cell r="J5823" t="str">
            <v>00 -00-00-00-</v>
          </cell>
          <cell r="L5823" t="str">
            <v>00 -00-00-00-</v>
          </cell>
          <cell r="O5823" t="str">
            <v>SIN CUENTA ASIGNADA</v>
          </cell>
        </row>
        <row r="5824">
          <cell r="J5824" t="str">
            <v>00 -00-00-00-</v>
          </cell>
          <cell r="L5824" t="str">
            <v>00 -00-00-00-</v>
          </cell>
          <cell r="O5824" t="str">
            <v>SIN CUENTA ASIGNADA</v>
          </cell>
        </row>
        <row r="5825">
          <cell r="J5825" t="str">
            <v>00 -00-00-00-</v>
          </cell>
          <cell r="L5825" t="str">
            <v>00 -00-00-00-</v>
          </cell>
          <cell r="O5825" t="str">
            <v>SIN CUENTA ASIGNADA</v>
          </cell>
        </row>
        <row r="5826">
          <cell r="J5826" t="str">
            <v>00 -00-00-00-</v>
          </cell>
          <cell r="L5826" t="str">
            <v>00 -00-00-00-</v>
          </cell>
          <cell r="O5826" t="str">
            <v>SIN CUENTA ASIGNADA</v>
          </cell>
        </row>
        <row r="5827">
          <cell r="J5827" t="str">
            <v>00 -00-00-00-</v>
          </cell>
          <cell r="L5827" t="str">
            <v>00 -00-00-00-</v>
          </cell>
          <cell r="O5827" t="str">
            <v>SIN CUENTA ASIGNADA</v>
          </cell>
        </row>
        <row r="5828">
          <cell r="J5828" t="str">
            <v>00 -00-00-00-</v>
          </cell>
          <cell r="L5828" t="str">
            <v>00 -00-00-00-</v>
          </cell>
          <cell r="O5828" t="str">
            <v>SIN CUENTA ASIGNADA</v>
          </cell>
        </row>
        <row r="5829">
          <cell r="J5829" t="str">
            <v>00 -00-00-00-</v>
          </cell>
          <cell r="L5829" t="str">
            <v>00 -00-00-00-</v>
          </cell>
          <cell r="O5829" t="str">
            <v>SIN CUENTA ASIGNADA</v>
          </cell>
        </row>
        <row r="5830">
          <cell r="J5830" t="str">
            <v>00 -00-00-00-</v>
          </cell>
          <cell r="L5830" t="str">
            <v>00 -00-00-00-</v>
          </cell>
          <cell r="O5830" t="str">
            <v>SIN CUENTA ASIGNADA</v>
          </cell>
        </row>
        <row r="5831">
          <cell r="J5831" t="str">
            <v>00 -00-00-00-</v>
          </cell>
          <cell r="L5831" t="str">
            <v>00 -00-00-00-</v>
          </cell>
          <cell r="O5831" t="str">
            <v>SIN CUENTA ASIGNADA</v>
          </cell>
        </row>
        <row r="5832">
          <cell r="J5832" t="str">
            <v>00 -00-00-00-</v>
          </cell>
          <cell r="L5832" t="str">
            <v>00 -00-00-00-</v>
          </cell>
          <cell r="O5832" t="str">
            <v>SIN CUENTA ASIGNADA</v>
          </cell>
        </row>
        <row r="5833">
          <cell r="J5833" t="str">
            <v>00 -00-00-00-</v>
          </cell>
          <cell r="L5833" t="str">
            <v>00 -00-00-00-</v>
          </cell>
          <cell r="O5833" t="str">
            <v>SIN CUENTA ASIGNADA</v>
          </cell>
        </row>
        <row r="5834">
          <cell r="J5834" t="str">
            <v>00 -00-00-00-</v>
          </cell>
          <cell r="L5834" t="str">
            <v>00 -00-00-00-</v>
          </cell>
          <cell r="O5834" t="str">
            <v>SIN CUENTA ASIGNADA</v>
          </cell>
        </row>
        <row r="5835">
          <cell r="J5835" t="str">
            <v>00 -00-00-00-</v>
          </cell>
          <cell r="L5835" t="str">
            <v>00 -00-00-00-</v>
          </cell>
          <cell r="O5835" t="str">
            <v>SIN CUENTA ASIGNADA</v>
          </cell>
        </row>
        <row r="5836">
          <cell r="J5836" t="str">
            <v>00 -00-00-00-</v>
          </cell>
          <cell r="L5836" t="str">
            <v>00 -00-00-00-</v>
          </cell>
          <cell r="O5836" t="str">
            <v>SIN CUENTA ASIGNADA</v>
          </cell>
        </row>
        <row r="5837">
          <cell r="J5837" t="str">
            <v>00 -00-00-00-</v>
          </cell>
          <cell r="L5837" t="str">
            <v>00 -00-00-00-</v>
          </cell>
          <cell r="O5837" t="str">
            <v>SIN CUENTA ASIGNADA</v>
          </cell>
        </row>
        <row r="5838">
          <cell r="J5838" t="str">
            <v>00 -00-00-00-</v>
          </cell>
          <cell r="L5838" t="str">
            <v>00 -00-00-00-</v>
          </cell>
          <cell r="O5838" t="str">
            <v>SIN CUENTA ASIGNADA</v>
          </cell>
        </row>
        <row r="5839">
          <cell r="J5839" t="str">
            <v>00 -00-00-00-</v>
          </cell>
          <cell r="L5839" t="str">
            <v>00 -00-00-00-</v>
          </cell>
          <cell r="O5839" t="str">
            <v>SIN CUENTA ASIGNADA</v>
          </cell>
        </row>
        <row r="5840">
          <cell r="J5840" t="str">
            <v>00 -00-00-00-</v>
          </cell>
          <cell r="L5840" t="str">
            <v>00 -00-00-00-</v>
          </cell>
          <cell r="O5840" t="str">
            <v>SIN CUENTA ASIGNADA</v>
          </cell>
        </row>
        <row r="5841">
          <cell r="J5841" t="str">
            <v>00 -00-00-00-</v>
          </cell>
          <cell r="L5841" t="str">
            <v>00 -00-00-00-</v>
          </cell>
          <cell r="O5841" t="str">
            <v>SIN CUENTA ASIGNADA</v>
          </cell>
        </row>
        <row r="5842">
          <cell r="J5842" t="str">
            <v>00 -00-00-00-</v>
          </cell>
          <cell r="L5842" t="str">
            <v>00 -00-00-00-</v>
          </cell>
          <cell r="O5842" t="str">
            <v>SIN CUENTA ASIGNADA</v>
          </cell>
        </row>
        <row r="5843">
          <cell r="J5843" t="str">
            <v>00 -00-00-00-</v>
          </cell>
          <cell r="L5843" t="str">
            <v>00 -00-00-00-</v>
          </cell>
          <cell r="O5843" t="str">
            <v>SIN CUENTA ASIGNADA</v>
          </cell>
        </row>
        <row r="5844">
          <cell r="J5844" t="str">
            <v>00 -00-00-00-</v>
          </cell>
          <cell r="L5844" t="str">
            <v>00 -00-00-00-</v>
          </cell>
          <cell r="O5844" t="str">
            <v>SIN CUENTA ASIGNADA</v>
          </cell>
        </row>
        <row r="5845">
          <cell r="J5845" t="str">
            <v>00 -00-00-00-</v>
          </cell>
          <cell r="L5845" t="str">
            <v>00 -00-00-00-</v>
          </cell>
          <cell r="O5845" t="str">
            <v>SIN CUENTA ASIGNADA</v>
          </cell>
        </row>
        <row r="5846">
          <cell r="J5846" t="str">
            <v>00 -00-00-00-</v>
          </cell>
          <cell r="L5846" t="str">
            <v>00 -00-00-00-</v>
          </cell>
          <cell r="O5846" t="str">
            <v>SIN CUENTA ASIGNADA</v>
          </cell>
        </row>
        <row r="5847">
          <cell r="J5847" t="str">
            <v>00 -00-00-00-</v>
          </cell>
          <cell r="L5847" t="str">
            <v>00 -00-00-00-</v>
          </cell>
          <cell r="O5847" t="str">
            <v>SIN CUENTA ASIGNADA</v>
          </cell>
        </row>
        <row r="5848">
          <cell r="J5848" t="str">
            <v>00 -00-00-00-</v>
          </cell>
          <cell r="L5848" t="str">
            <v>00 -00-00-00-</v>
          </cell>
          <cell r="O5848" t="str">
            <v>SIN CUENTA ASIGNADA</v>
          </cell>
        </row>
        <row r="5849">
          <cell r="J5849" t="str">
            <v>00 -00-00-00-</v>
          </cell>
          <cell r="L5849" t="str">
            <v>00 -00-00-00-</v>
          </cell>
          <cell r="O5849" t="str">
            <v>SIN CUENTA ASIGNADA</v>
          </cell>
        </row>
        <row r="5850">
          <cell r="J5850" t="str">
            <v>00 -00-00-00-</v>
          </cell>
          <cell r="L5850" t="str">
            <v>00 -00-00-00-</v>
          </cell>
          <cell r="O5850" t="str">
            <v>SIN CUENTA ASIGNADA</v>
          </cell>
        </row>
        <row r="5851">
          <cell r="J5851" t="str">
            <v>00 -00-00-00-</v>
          </cell>
          <cell r="L5851" t="str">
            <v>00 -00-00-00-</v>
          </cell>
          <cell r="O5851" t="str">
            <v>SIN CUENTA ASIGNADA</v>
          </cell>
        </row>
        <row r="5852">
          <cell r="J5852" t="str">
            <v>00 -00-00-00-</v>
          </cell>
          <cell r="L5852" t="str">
            <v>00 -00-00-00-</v>
          </cell>
          <cell r="O5852" t="str">
            <v>SIN CUENTA ASIGNADA</v>
          </cell>
        </row>
        <row r="5853">
          <cell r="J5853" t="str">
            <v>00 -00-00-00-</v>
          </cell>
          <cell r="L5853" t="str">
            <v>00 -00-00-00-</v>
          </cell>
          <cell r="O5853" t="str">
            <v>SIN CUENTA ASIGNADA</v>
          </cell>
        </row>
        <row r="5854">
          <cell r="J5854" t="str">
            <v>00 -00-00-00-</v>
          </cell>
          <cell r="L5854" t="str">
            <v>00 -00-00-00-</v>
          </cell>
          <cell r="O5854" t="str">
            <v>SIN CUENTA ASIGNADA</v>
          </cell>
        </row>
        <row r="5855">
          <cell r="J5855" t="str">
            <v>00 -00-00-00-</v>
          </cell>
          <cell r="L5855" t="str">
            <v>00 -00-00-00-</v>
          </cell>
          <cell r="O5855" t="str">
            <v>SIN CUENTA ASIGNADA</v>
          </cell>
        </row>
        <row r="5856">
          <cell r="J5856" t="str">
            <v>00 -00-00-00-</v>
          </cell>
          <cell r="L5856" t="str">
            <v>00 -00-00-00-</v>
          </cell>
          <cell r="O5856" t="str">
            <v>SIN CUENTA ASIGNADA</v>
          </cell>
        </row>
        <row r="5857">
          <cell r="J5857" t="str">
            <v>00 -00-00-00-</v>
          </cell>
          <cell r="L5857" t="str">
            <v>00 -00-00-00-</v>
          </cell>
          <cell r="O5857" t="str">
            <v>SIN CUENTA ASIGNADA</v>
          </cell>
        </row>
        <row r="5858">
          <cell r="J5858" t="str">
            <v>00 -00-00-00-</v>
          </cell>
          <cell r="L5858" t="str">
            <v>00 -00-00-00-</v>
          </cell>
          <cell r="O5858" t="str">
            <v>SIN CUENTA ASIGNADA</v>
          </cell>
        </row>
        <row r="5859">
          <cell r="J5859" t="str">
            <v>00 -00-00-00-</v>
          </cell>
          <cell r="L5859" t="str">
            <v>00 -00-00-00-</v>
          </cell>
          <cell r="O5859" t="str">
            <v>SIN CUENTA ASIGNADA</v>
          </cell>
        </row>
        <row r="5860">
          <cell r="J5860" t="str">
            <v>00 -00-00-00-</v>
          </cell>
          <cell r="L5860" t="str">
            <v>00 -00-00-00-</v>
          </cell>
          <cell r="O5860" t="str">
            <v>SIN CUENTA ASIGNADA</v>
          </cell>
        </row>
        <row r="5861">
          <cell r="J5861" t="str">
            <v>00 -00-00-00-</v>
          </cell>
          <cell r="L5861" t="str">
            <v>00 -00-00-00-</v>
          </cell>
          <cell r="O5861" t="str">
            <v>SIN CUENTA ASIGNADA</v>
          </cell>
        </row>
        <row r="5862">
          <cell r="J5862" t="str">
            <v>00 -00-00-00-</v>
          </cell>
          <cell r="L5862" t="str">
            <v>00 -00-00-00-</v>
          </cell>
          <cell r="O5862" t="str">
            <v>SIN CUENTA ASIGNADA</v>
          </cell>
        </row>
        <row r="5863">
          <cell r="J5863" t="str">
            <v>00 -00-00-00-</v>
          </cell>
          <cell r="L5863" t="str">
            <v>00 -00-00-00-</v>
          </cell>
          <cell r="O5863" t="str">
            <v>SIN CUENTA ASIGNADA</v>
          </cell>
        </row>
        <row r="5864">
          <cell r="J5864" t="str">
            <v>00 -00-00-00-</v>
          </cell>
          <cell r="L5864" t="str">
            <v>00 -00-00-00-</v>
          </cell>
          <cell r="O5864" t="str">
            <v>SIN CUENTA ASIGNADA</v>
          </cell>
        </row>
        <row r="5865">
          <cell r="J5865" t="str">
            <v>00 -00-00-00-</v>
          </cell>
          <cell r="L5865" t="str">
            <v>00 -00-00-00-</v>
          </cell>
          <cell r="O5865" t="str">
            <v>SIN CUENTA ASIGNADA</v>
          </cell>
        </row>
        <row r="5866">
          <cell r="J5866" t="str">
            <v>00 -00-00-00-</v>
          </cell>
          <cell r="L5866" t="str">
            <v>00 -00-00-00-</v>
          </cell>
          <cell r="O5866" t="str">
            <v>SIN CUENTA ASIGNADA</v>
          </cell>
        </row>
        <row r="5867">
          <cell r="J5867" t="str">
            <v>00 -00-00-00-</v>
          </cell>
          <cell r="L5867" t="str">
            <v>00 -00-00-00-</v>
          </cell>
          <cell r="O5867" t="str">
            <v>SIN CUENTA ASIGNADA</v>
          </cell>
        </row>
        <row r="5868">
          <cell r="J5868" t="str">
            <v>00 -00-00-00-</v>
          </cell>
          <cell r="L5868" t="str">
            <v>00 -00-00-00-</v>
          </cell>
          <cell r="O5868" t="str">
            <v>SIN CUENTA ASIGNADA</v>
          </cell>
        </row>
        <row r="5869">
          <cell r="J5869" t="str">
            <v>00 -00-00-00-</v>
          </cell>
          <cell r="L5869" t="str">
            <v>00 -00-00-00-</v>
          </cell>
          <cell r="O5869" t="str">
            <v>SIN CUENTA ASIGNADA</v>
          </cell>
        </row>
        <row r="5870">
          <cell r="J5870" t="str">
            <v>00 -00-00-00-</v>
          </cell>
          <cell r="L5870" t="str">
            <v>00 -00-00-00-</v>
          </cell>
          <cell r="O5870" t="str">
            <v>SIN CUENTA ASIGNADA</v>
          </cell>
        </row>
        <row r="5871">
          <cell r="J5871" t="str">
            <v>00 -00-00-00-</v>
          </cell>
          <cell r="L5871" t="str">
            <v>00 -00-00-00-</v>
          </cell>
          <cell r="O5871" t="str">
            <v>SIN CUENTA ASIGNADA</v>
          </cell>
        </row>
        <row r="5872">
          <cell r="J5872" t="str">
            <v>00 -00-00-00-</v>
          </cell>
          <cell r="L5872" t="str">
            <v>00 -00-00-00-</v>
          </cell>
          <cell r="O5872" t="str">
            <v>SIN CUENTA ASIGNADA</v>
          </cell>
        </row>
        <row r="5873">
          <cell r="J5873" t="str">
            <v>00 -00-00-00-</v>
          </cell>
          <cell r="L5873" t="str">
            <v>00 -00-00-00-</v>
          </cell>
          <cell r="O5873" t="str">
            <v>SIN CUENTA ASIGNADA</v>
          </cell>
        </row>
        <row r="5874">
          <cell r="J5874" t="str">
            <v>00 -00-00-00-</v>
          </cell>
          <cell r="L5874" t="str">
            <v>00 -00-00-00-</v>
          </cell>
          <cell r="O5874" t="str">
            <v>SIN CUENTA ASIGNADA</v>
          </cell>
        </row>
        <row r="5875">
          <cell r="J5875" t="str">
            <v>00 -00-00-00-</v>
          </cell>
          <cell r="L5875" t="str">
            <v>00 -00-00-00-</v>
          </cell>
          <cell r="O5875" t="str">
            <v>SIN CUENTA ASIGNADA</v>
          </cell>
        </row>
        <row r="5876">
          <cell r="J5876" t="str">
            <v>00 -00-00-00-</v>
          </cell>
          <cell r="L5876" t="str">
            <v>00 -00-00-00-</v>
          </cell>
          <cell r="O5876" t="str">
            <v>SIN CUENTA ASIGNADA</v>
          </cell>
        </row>
        <row r="5877">
          <cell r="J5877" t="str">
            <v>00 -00-00-00-</v>
          </cell>
          <cell r="L5877" t="str">
            <v>00 -00-00-00-</v>
          </cell>
          <cell r="O5877" t="str">
            <v>SIN CUENTA ASIGNADA</v>
          </cell>
        </row>
        <row r="5878">
          <cell r="J5878" t="str">
            <v>00 -00-00-00-</v>
          </cell>
          <cell r="L5878" t="str">
            <v>00 -00-00-00-</v>
          </cell>
          <cell r="O5878" t="str">
            <v>SIN CUENTA ASIGNADA</v>
          </cell>
        </row>
        <row r="5879">
          <cell r="J5879" t="str">
            <v>00 -00-00-00-</v>
          </cell>
          <cell r="L5879" t="str">
            <v>00 -00-00-00-</v>
          </cell>
          <cell r="O5879" t="str">
            <v>SIN CUENTA ASIGNADA</v>
          </cell>
        </row>
        <row r="5880">
          <cell r="J5880" t="str">
            <v>00 -00-00-00-</v>
          </cell>
          <cell r="L5880" t="str">
            <v>00 -00-00-00-</v>
          </cell>
          <cell r="O5880" t="str">
            <v>SIN CUENTA ASIGNADA</v>
          </cell>
        </row>
        <row r="5881">
          <cell r="J5881" t="str">
            <v>00 -00-00-00-</v>
          </cell>
          <cell r="L5881" t="str">
            <v>00 -00-00-00-</v>
          </cell>
          <cell r="O5881" t="str">
            <v>SIN CUENTA ASIGNADA</v>
          </cell>
        </row>
        <row r="5882">
          <cell r="J5882" t="str">
            <v>00 -00-00-00-</v>
          </cell>
          <cell r="L5882" t="str">
            <v>00 -00-00-00-</v>
          </cell>
          <cell r="O5882" t="str">
            <v>SIN CUENTA ASIGNADA</v>
          </cell>
        </row>
        <row r="5883">
          <cell r="J5883" t="str">
            <v>00 -00-00-00-</v>
          </cell>
          <cell r="L5883" t="str">
            <v>00 -00-00-00-</v>
          </cell>
          <cell r="O5883" t="str">
            <v>SIN CUENTA ASIGNADA</v>
          </cell>
        </row>
        <row r="5884">
          <cell r="J5884" t="str">
            <v>00 -00-00-00-</v>
          </cell>
          <cell r="L5884" t="str">
            <v>00 -00-00-00-</v>
          </cell>
          <cell r="O5884" t="str">
            <v>SIN CUENTA ASIGNADA</v>
          </cell>
        </row>
        <row r="5885">
          <cell r="J5885" t="str">
            <v>00 -00-00-00-</v>
          </cell>
          <cell r="L5885" t="str">
            <v>00 -00-00-00-</v>
          </cell>
          <cell r="O5885" t="str">
            <v>SIN CUENTA ASIGNADA</v>
          </cell>
        </row>
        <row r="5886">
          <cell r="J5886" t="str">
            <v>00 -00-00-00-</v>
          </cell>
          <cell r="L5886" t="str">
            <v>00 -00-00-00-</v>
          </cell>
          <cell r="O5886" t="str">
            <v>SIN CUENTA ASIGNADA</v>
          </cell>
        </row>
        <row r="5887">
          <cell r="J5887" t="str">
            <v>00 -00-00-00-</v>
          </cell>
          <cell r="L5887" t="str">
            <v>00 -00-00-00-</v>
          </cell>
          <cell r="O5887" t="str">
            <v>SIN CUENTA ASIGNADA</v>
          </cell>
        </row>
        <row r="5888">
          <cell r="J5888" t="str">
            <v>00 -00-00-00-</v>
          </cell>
          <cell r="L5888" t="str">
            <v>00 -00-00-00-</v>
          </cell>
          <cell r="O5888" t="str">
            <v>SIN CUENTA ASIGNADA</v>
          </cell>
        </row>
        <row r="5889">
          <cell r="J5889" t="str">
            <v>00 -00-00-00-</v>
          </cell>
          <cell r="L5889" t="str">
            <v>00 -00-00-00-</v>
          </cell>
          <cell r="O5889" t="str">
            <v>SIN CUENTA ASIGNADA</v>
          </cell>
        </row>
        <row r="5890">
          <cell r="J5890" t="str">
            <v>00 -00-00-00-</v>
          </cell>
          <cell r="L5890" t="str">
            <v>00 -00-00-00-</v>
          </cell>
          <cell r="O5890" t="str">
            <v>SIN CUENTA ASIGNADA</v>
          </cell>
        </row>
        <row r="5891">
          <cell r="J5891" t="str">
            <v>00 -00-00-00-</v>
          </cell>
          <cell r="L5891" t="str">
            <v>00 -00-00-00-</v>
          </cell>
          <cell r="O5891" t="str">
            <v>SIN CUENTA ASIGNADA</v>
          </cell>
        </row>
        <row r="5892">
          <cell r="J5892" t="str">
            <v>00 -00-00-00-</v>
          </cell>
          <cell r="L5892" t="str">
            <v>00 -00-00-00-</v>
          </cell>
          <cell r="O5892" t="str">
            <v>SIN CUENTA ASIGNADA</v>
          </cell>
        </row>
        <row r="5893">
          <cell r="J5893" t="str">
            <v>00 -00-00-00-</v>
          </cell>
          <cell r="L5893" t="str">
            <v>00 -00-00-00-</v>
          </cell>
          <cell r="O5893" t="str">
            <v>SIN CUENTA ASIGNADA</v>
          </cell>
        </row>
        <row r="5894">
          <cell r="J5894" t="str">
            <v>00 -00-00-00-</v>
          </cell>
          <cell r="L5894" t="str">
            <v>00 -00-00-00-</v>
          </cell>
          <cell r="O5894" t="str">
            <v>SIN CUENTA ASIGNADA</v>
          </cell>
        </row>
        <row r="5895">
          <cell r="J5895" t="str">
            <v>00 -00-00-00-</v>
          </cell>
          <cell r="L5895" t="str">
            <v>00 -00-00-00-</v>
          </cell>
          <cell r="O5895" t="str">
            <v>SIN CUENTA ASIGNADA</v>
          </cell>
        </row>
        <row r="5896">
          <cell r="J5896" t="str">
            <v>00 -00-00-00-</v>
          </cell>
          <cell r="L5896" t="str">
            <v>00 -00-00-00-</v>
          </cell>
          <cell r="O5896" t="str">
            <v>SIN CUENTA ASIGNADA</v>
          </cell>
        </row>
        <row r="5897">
          <cell r="J5897" t="str">
            <v>00 -00-00-00-</v>
          </cell>
          <cell r="L5897" t="str">
            <v>00 -00-00-00-</v>
          </cell>
          <cell r="O5897" t="str">
            <v>SIN CUENTA ASIGNADA</v>
          </cell>
        </row>
        <row r="5898">
          <cell r="J5898" t="str">
            <v>00 -00-00-00-</v>
          </cell>
          <cell r="L5898" t="str">
            <v>00 -00-00-00-</v>
          </cell>
          <cell r="O5898" t="str">
            <v>SIN CUENTA ASIGNADA</v>
          </cell>
        </row>
        <row r="5899">
          <cell r="J5899" t="str">
            <v>00 -00-00-00-</v>
          </cell>
          <cell r="L5899" t="str">
            <v>00 -00-00-00-</v>
          </cell>
          <cell r="O5899" t="str">
            <v>SIN CUENTA ASIGNADA</v>
          </cell>
        </row>
        <row r="5900">
          <cell r="J5900" t="str">
            <v>00 -00-00-00-</v>
          </cell>
          <cell r="L5900" t="str">
            <v>00 -00-00-00-</v>
          </cell>
          <cell r="O5900" t="str">
            <v>SIN CUENTA ASIGNADA</v>
          </cell>
        </row>
        <row r="5901">
          <cell r="J5901" t="str">
            <v>00 -00-00-00-</v>
          </cell>
          <cell r="L5901" t="str">
            <v>00 -00-00-00-</v>
          </cell>
          <cell r="O5901" t="str">
            <v>SIN CUENTA ASIGNADA</v>
          </cell>
        </row>
        <row r="5902">
          <cell r="J5902" t="str">
            <v>00 -00-00-00-</v>
          </cell>
          <cell r="L5902" t="str">
            <v>00 -00-00-00-</v>
          </cell>
          <cell r="O5902" t="str">
            <v>SIN CUENTA ASIGNADA</v>
          </cell>
        </row>
        <row r="5903">
          <cell r="J5903" t="str">
            <v>00 -00-00-00-</v>
          </cell>
          <cell r="L5903" t="str">
            <v>00 -00-00-00-</v>
          </cell>
          <cell r="O5903" t="str">
            <v>SIN CUENTA ASIGNADA</v>
          </cell>
        </row>
        <row r="5904">
          <cell r="J5904" t="str">
            <v>00 -00-00-00-</v>
          </cell>
          <cell r="L5904" t="str">
            <v>00 -00-00-00-</v>
          </cell>
          <cell r="O5904" t="str">
            <v>SIN CUENTA ASIGNADA</v>
          </cell>
        </row>
        <row r="5905">
          <cell r="J5905" t="str">
            <v>00 -00-00-00-</v>
          </cell>
          <cell r="L5905" t="str">
            <v>00 -00-00-00-</v>
          </cell>
          <cell r="O5905" t="str">
            <v>SIN CUENTA ASIGNADA</v>
          </cell>
        </row>
        <row r="5906">
          <cell r="J5906" t="str">
            <v>00 -00-00-00-</v>
          </cell>
          <cell r="L5906" t="str">
            <v>00 -00-00-00-</v>
          </cell>
          <cell r="O5906" t="str">
            <v>SIN CUENTA ASIGNADA</v>
          </cell>
        </row>
        <row r="5907">
          <cell r="J5907" t="str">
            <v>00 -00-00-00-</v>
          </cell>
          <cell r="L5907" t="str">
            <v>00 -00-00-00-</v>
          </cell>
          <cell r="O5907" t="str">
            <v>SIN CUENTA ASIGNADA</v>
          </cell>
        </row>
        <row r="5908">
          <cell r="J5908" t="str">
            <v>00 -00-00-00-</v>
          </cell>
          <cell r="L5908" t="str">
            <v>00 -00-00-00-</v>
          </cell>
          <cell r="O5908" t="str">
            <v>SIN CUENTA ASIGNADA</v>
          </cell>
        </row>
        <row r="5909">
          <cell r="J5909" t="str">
            <v>00 -00-00-00-</v>
          </cell>
          <cell r="L5909" t="str">
            <v>00 -00-00-00-</v>
          </cell>
          <cell r="O5909" t="str">
            <v>SIN CUENTA ASIGNADA</v>
          </cell>
        </row>
        <row r="5910">
          <cell r="J5910" t="str">
            <v>00 -00-00-00-</v>
          </cell>
          <cell r="L5910" t="str">
            <v>00 -00-00-00-</v>
          </cell>
          <cell r="O5910" t="str">
            <v>SIN CUENTA ASIGNADA</v>
          </cell>
        </row>
        <row r="5911">
          <cell r="J5911" t="str">
            <v>00 -00-00-00-</v>
          </cell>
          <cell r="L5911" t="str">
            <v>00 -00-00-00-</v>
          </cell>
          <cell r="O5911" t="str">
            <v>SIN CUENTA ASIGNADA</v>
          </cell>
        </row>
        <row r="5912">
          <cell r="J5912" t="str">
            <v>00 -00-00-00-</v>
          </cell>
          <cell r="L5912" t="str">
            <v>00 -00-00-00-</v>
          </cell>
          <cell r="O5912" t="str">
            <v>SIN CUENTA ASIGNADA</v>
          </cell>
        </row>
        <row r="5913">
          <cell r="J5913" t="str">
            <v>00 -00-00-00-</v>
          </cell>
          <cell r="L5913" t="str">
            <v>00 -00-00-00-</v>
          </cell>
          <cell r="O5913" t="str">
            <v>SIN CUENTA ASIGNADA</v>
          </cell>
        </row>
        <row r="5914">
          <cell r="J5914" t="str">
            <v>00 -00-00-00-</v>
          </cell>
          <cell r="L5914" t="str">
            <v>00 -00-00-00-</v>
          </cell>
          <cell r="O5914" t="str">
            <v>SIN CUENTA ASIGNADA</v>
          </cell>
        </row>
        <row r="5915">
          <cell r="J5915" t="str">
            <v>00 -00-00-00-</v>
          </cell>
          <cell r="L5915" t="str">
            <v>00 -00-00-00-</v>
          </cell>
          <cell r="O5915" t="str">
            <v>SIN CUENTA ASIGNADA</v>
          </cell>
        </row>
        <row r="5916">
          <cell r="J5916" t="str">
            <v>00 -00-00-00-</v>
          </cell>
          <cell r="L5916" t="str">
            <v>00 -00-00-00-</v>
          </cell>
          <cell r="O5916" t="str">
            <v>SIN CUENTA ASIGNADA</v>
          </cell>
        </row>
        <row r="5917">
          <cell r="J5917" t="str">
            <v>00 -00-00-00-</v>
          </cell>
          <cell r="L5917" t="str">
            <v>00 -00-00-00-</v>
          </cell>
          <cell r="O5917" t="str">
            <v>SIN CUENTA ASIGNADA</v>
          </cell>
        </row>
        <row r="5918">
          <cell r="J5918" t="str">
            <v>00 -00-00-00-</v>
          </cell>
          <cell r="L5918" t="str">
            <v>00 -00-00-00-</v>
          </cell>
          <cell r="O5918" t="str">
            <v>SIN CUENTA ASIGNADA</v>
          </cell>
        </row>
        <row r="5919">
          <cell r="J5919" t="str">
            <v>00 -00-00-00-</v>
          </cell>
          <cell r="L5919" t="str">
            <v>00 -00-00-00-</v>
          </cell>
          <cell r="O5919" t="str">
            <v>SIN CUENTA ASIGNADA</v>
          </cell>
        </row>
        <row r="5920">
          <cell r="J5920" t="str">
            <v>00 -00-00-00-</v>
          </cell>
          <cell r="L5920" t="str">
            <v>00 -00-00-00-</v>
          </cell>
          <cell r="O5920" t="str">
            <v>SIN CUENTA ASIGNADA</v>
          </cell>
        </row>
        <row r="5921">
          <cell r="J5921" t="str">
            <v>00 -00-00-00-</v>
          </cell>
          <cell r="L5921" t="str">
            <v>00 -00-00-00-</v>
          </cell>
          <cell r="O5921" t="str">
            <v>SIN CUENTA ASIGNADA</v>
          </cell>
        </row>
        <row r="5922">
          <cell r="J5922" t="str">
            <v>00 -00-00-00-</v>
          </cell>
          <cell r="L5922" t="str">
            <v>00 -00-00-00-</v>
          </cell>
          <cell r="O5922" t="str">
            <v>SIN CUENTA ASIGNADA</v>
          </cell>
        </row>
        <row r="5923">
          <cell r="J5923" t="str">
            <v>00 -00-00-00-</v>
          </cell>
          <cell r="L5923" t="str">
            <v>00 -00-00-00-</v>
          </cell>
          <cell r="O5923" t="str">
            <v>SIN CUENTA ASIGNADA</v>
          </cell>
        </row>
        <row r="5924">
          <cell r="J5924" t="str">
            <v>00 -00-00-00-</v>
          </cell>
          <cell r="L5924" t="str">
            <v>00 -00-00-00-</v>
          </cell>
          <cell r="O5924" t="str">
            <v>SIN CUENTA ASIGNADA</v>
          </cell>
        </row>
        <row r="5925">
          <cell r="J5925" t="str">
            <v>00 -00-00-00-</v>
          </cell>
          <cell r="L5925" t="str">
            <v>00 -00-00-00-</v>
          </cell>
          <cell r="O5925" t="str">
            <v>SIN CUENTA ASIGNADA</v>
          </cell>
        </row>
        <row r="5926">
          <cell r="J5926" t="str">
            <v>00 -00-00-00-</v>
          </cell>
          <cell r="L5926" t="str">
            <v>00 -00-00-00-</v>
          </cell>
          <cell r="O5926" t="str">
            <v>SIN CUENTA ASIGNADA</v>
          </cell>
        </row>
        <row r="5927">
          <cell r="J5927" t="str">
            <v>00 -00-00-00-</v>
          </cell>
          <cell r="L5927" t="str">
            <v>00 -00-00-00-</v>
          </cell>
          <cell r="O5927" t="str">
            <v>SIN CUENTA ASIGNADA</v>
          </cell>
        </row>
        <row r="5928">
          <cell r="J5928" t="str">
            <v>00 -00-00-00-</v>
          </cell>
          <cell r="L5928" t="str">
            <v>00 -00-00-00-</v>
          </cell>
          <cell r="O5928" t="str">
            <v>SIN CUENTA ASIGNADA</v>
          </cell>
        </row>
        <row r="5929">
          <cell r="J5929" t="str">
            <v>00 -00-00-00-</v>
          </cell>
          <cell r="L5929" t="str">
            <v>00 -00-00-00-</v>
          </cell>
          <cell r="O5929" t="str">
            <v>SIN CUENTA ASIGNADA</v>
          </cell>
        </row>
        <row r="5930">
          <cell r="J5930" t="str">
            <v>00 -00-00-00-</v>
          </cell>
          <cell r="L5930" t="str">
            <v>00 -00-00-00-</v>
          </cell>
          <cell r="O5930" t="str">
            <v>SIN CUENTA ASIGNADA</v>
          </cell>
        </row>
        <row r="5931">
          <cell r="J5931" t="str">
            <v>00 -00-00-00-</v>
          </cell>
          <cell r="L5931" t="str">
            <v>00 -00-00-00-</v>
          </cell>
          <cell r="O5931" t="str">
            <v>SIN CUENTA ASIGNADA</v>
          </cell>
        </row>
        <row r="5932">
          <cell r="J5932" t="str">
            <v>00 -00-00-00-</v>
          </cell>
          <cell r="L5932" t="str">
            <v>00 -00-00-00-</v>
          </cell>
          <cell r="O5932" t="str">
            <v>SIN CUENTA ASIGNADA</v>
          </cell>
        </row>
        <row r="5933">
          <cell r="J5933" t="str">
            <v>00 -00-00-00-</v>
          </cell>
          <cell r="L5933" t="str">
            <v>00 -00-00-00-</v>
          </cell>
          <cell r="O5933" t="str">
            <v>SIN CUENTA ASIGNADA</v>
          </cell>
        </row>
        <row r="5934">
          <cell r="J5934" t="str">
            <v>00 -00-00-00-</v>
          </cell>
          <cell r="L5934" t="str">
            <v>00 -00-00-00-</v>
          </cell>
          <cell r="O5934" t="str">
            <v>SIN CUENTA ASIGNADA</v>
          </cell>
        </row>
        <row r="5935">
          <cell r="J5935" t="str">
            <v>00 -00-00-00-</v>
          </cell>
          <cell r="L5935" t="str">
            <v>00 -00-00-00-</v>
          </cell>
          <cell r="O5935" t="str">
            <v>SIN CUENTA ASIGNADA</v>
          </cell>
        </row>
        <row r="5936">
          <cell r="J5936" t="str">
            <v>00 -00-00-00-</v>
          </cell>
          <cell r="L5936" t="str">
            <v>00 -00-00-00-</v>
          </cell>
          <cell r="O5936" t="str">
            <v>SIN CUENTA ASIGNADA</v>
          </cell>
        </row>
        <row r="5937">
          <cell r="J5937" t="str">
            <v>00 -00-00-00-</v>
          </cell>
          <cell r="L5937" t="str">
            <v>00 -00-00-00-</v>
          </cell>
          <cell r="O5937" t="str">
            <v>SIN CUENTA ASIGNADA</v>
          </cell>
        </row>
        <row r="5938">
          <cell r="J5938" t="str">
            <v>00 -00-00-00-</v>
          </cell>
          <cell r="L5938" t="str">
            <v>00 -00-00-00-</v>
          </cell>
          <cell r="O5938" t="str">
            <v>SIN CUENTA ASIGNADA</v>
          </cell>
        </row>
        <row r="5939">
          <cell r="J5939" t="str">
            <v>00 -00-00-00-</v>
          </cell>
          <cell r="L5939" t="str">
            <v>00 -00-00-00-</v>
          </cell>
          <cell r="O5939" t="str">
            <v>SIN CUENTA ASIGNADA</v>
          </cell>
        </row>
        <row r="5940">
          <cell r="J5940" t="str">
            <v>00 -00-00-00-</v>
          </cell>
          <cell r="L5940" t="str">
            <v>00 -00-00-00-</v>
          </cell>
          <cell r="O5940" t="str">
            <v>SIN CUENTA ASIGNADA</v>
          </cell>
        </row>
        <row r="5941">
          <cell r="J5941" t="str">
            <v>00 -00-00-00-</v>
          </cell>
          <cell r="L5941" t="str">
            <v>00 -00-00-00-</v>
          </cell>
          <cell r="O5941" t="str">
            <v>SIN CUENTA ASIGNADA</v>
          </cell>
        </row>
        <row r="5942">
          <cell r="J5942" t="str">
            <v>00 -00-00-00-</v>
          </cell>
          <cell r="L5942" t="str">
            <v>00 -00-00-00-</v>
          </cell>
          <cell r="O5942" t="str">
            <v>SIN CUENTA ASIGNADA</v>
          </cell>
        </row>
        <row r="5943">
          <cell r="J5943" t="str">
            <v>00 -00-00-00-</v>
          </cell>
          <cell r="L5943" t="str">
            <v>00 -00-00-00-</v>
          </cell>
          <cell r="O5943" t="str">
            <v>SIN CUENTA ASIGNADA</v>
          </cell>
        </row>
        <row r="5944">
          <cell r="J5944" t="str">
            <v>00 -00-00-00-</v>
          </cell>
          <cell r="L5944" t="str">
            <v>00 -00-00-00-</v>
          </cell>
          <cell r="O5944" t="str">
            <v>SIN CUENTA ASIGNADA</v>
          </cell>
        </row>
        <row r="5945">
          <cell r="J5945" t="str">
            <v>00 -00-00-00-</v>
          </cell>
          <cell r="L5945" t="str">
            <v>00 -00-00-00-</v>
          </cell>
          <cell r="O5945" t="str">
            <v>SIN CUENTA ASIGNADA</v>
          </cell>
        </row>
        <row r="5946">
          <cell r="J5946" t="str">
            <v>00 -00-00-00-</v>
          </cell>
          <cell r="L5946" t="str">
            <v>00 -00-00-00-</v>
          </cell>
          <cell r="O5946" t="str">
            <v>SIN CUENTA ASIGNADA</v>
          </cell>
        </row>
        <row r="5947">
          <cell r="J5947" t="str">
            <v>00 -00-00-00-</v>
          </cell>
          <cell r="L5947" t="str">
            <v>00 -00-00-00-</v>
          </cell>
          <cell r="O5947" t="str">
            <v>SIN CUENTA ASIGNADA</v>
          </cell>
        </row>
        <row r="5948">
          <cell r="J5948" t="str">
            <v>00 -00-00-00-</v>
          </cell>
          <cell r="L5948" t="str">
            <v>00 -00-00-00-</v>
          </cell>
          <cell r="O5948" t="str">
            <v>SIN CUENTA ASIGNADA</v>
          </cell>
        </row>
        <row r="5949">
          <cell r="J5949" t="str">
            <v>00 -00-00-00-</v>
          </cell>
          <cell r="L5949" t="str">
            <v>00 -00-00-00-</v>
          </cell>
          <cell r="O5949" t="str">
            <v>SIN CUENTA ASIGNADA</v>
          </cell>
        </row>
        <row r="5950">
          <cell r="J5950" t="str">
            <v>00 -00-00-00-</v>
          </cell>
          <cell r="L5950" t="str">
            <v>00 -00-00-00-</v>
          </cell>
          <cell r="O5950" t="str">
            <v>SIN CUENTA ASIGNADA</v>
          </cell>
        </row>
        <row r="5951">
          <cell r="J5951" t="str">
            <v>00 -00-00-00-</v>
          </cell>
          <cell r="L5951" t="str">
            <v>00 -00-00-00-</v>
          </cell>
          <cell r="O5951" t="str">
            <v>SIN CUENTA ASIGNADA</v>
          </cell>
        </row>
        <row r="5952">
          <cell r="J5952" t="str">
            <v>00 -00-00-00-</v>
          </cell>
          <cell r="L5952" t="str">
            <v>00 -00-00-00-</v>
          </cell>
          <cell r="O5952" t="str">
            <v>SIN CUENTA ASIGNADA</v>
          </cell>
        </row>
        <row r="5953">
          <cell r="J5953" t="str">
            <v>00 -00-00-00-</v>
          </cell>
          <cell r="L5953" t="str">
            <v>00 -00-00-00-</v>
          </cell>
          <cell r="O5953" t="str">
            <v>SIN CUENTA ASIGNADA</v>
          </cell>
        </row>
        <row r="5954">
          <cell r="J5954" t="str">
            <v>00 -00-00-00-</v>
          </cell>
          <cell r="L5954" t="str">
            <v>00 -00-00-00-</v>
          </cell>
          <cell r="O5954" t="str">
            <v>SIN CUENTA ASIGNADA</v>
          </cell>
        </row>
        <row r="5955">
          <cell r="J5955" t="str">
            <v>00 -00-00-00-</v>
          </cell>
          <cell r="L5955" t="str">
            <v>00 -00-00-00-</v>
          </cell>
          <cell r="O5955" t="str">
            <v>SIN CUENTA ASIGNADA</v>
          </cell>
        </row>
        <row r="5956">
          <cell r="J5956" t="str">
            <v>00 -00-00-00-</v>
          </cell>
          <cell r="L5956" t="str">
            <v>00 -00-00-00-</v>
          </cell>
          <cell r="O5956" t="str">
            <v>SIN CUENTA ASIGNADA</v>
          </cell>
        </row>
        <row r="5957">
          <cell r="J5957" t="str">
            <v>00 -00-00-00-</v>
          </cell>
          <cell r="L5957" t="str">
            <v>00 -00-00-00-</v>
          </cell>
          <cell r="O5957" t="str">
            <v>SIN CUENTA ASIGNADA</v>
          </cell>
        </row>
        <row r="5958">
          <cell r="J5958" t="str">
            <v>00 -00-00-00-</v>
          </cell>
          <cell r="L5958" t="str">
            <v>00 -00-00-00-</v>
          </cell>
          <cell r="O5958" t="str">
            <v>SIN CUENTA ASIGNADA</v>
          </cell>
        </row>
        <row r="5959">
          <cell r="J5959" t="str">
            <v>00 -00-00-00-</v>
          </cell>
          <cell r="L5959" t="str">
            <v>00 -00-00-00-</v>
          </cell>
          <cell r="O5959" t="str">
            <v>SIN CUENTA ASIGNADA</v>
          </cell>
        </row>
        <row r="5960">
          <cell r="J5960" t="str">
            <v>00 -00-00-00-</v>
          </cell>
          <cell r="L5960" t="str">
            <v>00 -00-00-00-</v>
          </cell>
          <cell r="O5960" t="str">
            <v>SIN CUENTA ASIGNADA</v>
          </cell>
        </row>
        <row r="5961">
          <cell r="J5961" t="str">
            <v>00 -00-00-00-</v>
          </cell>
          <cell r="L5961" t="str">
            <v>00 -00-00-00-</v>
          </cell>
          <cell r="O5961" t="str">
            <v>SIN CUENTA ASIGNADA</v>
          </cell>
        </row>
        <row r="5962">
          <cell r="J5962" t="str">
            <v>00 -00-00-00-</v>
          </cell>
          <cell r="L5962" t="str">
            <v>00 -00-00-00-</v>
          </cell>
          <cell r="O5962" t="str">
            <v>SIN CUENTA ASIGNADA</v>
          </cell>
        </row>
        <row r="5963">
          <cell r="J5963" t="str">
            <v>00 -00-00-00-</v>
          </cell>
          <cell r="L5963" t="str">
            <v>00 -00-00-00-</v>
          </cell>
          <cell r="O5963" t="str">
            <v>SIN CUENTA ASIGNADA</v>
          </cell>
        </row>
        <row r="5964">
          <cell r="J5964" t="str">
            <v>00 -00-00-00-</v>
          </cell>
          <cell r="L5964" t="str">
            <v>00 -00-00-00-</v>
          </cell>
          <cell r="O5964" t="str">
            <v>SIN CUENTA ASIGNADA</v>
          </cell>
        </row>
        <row r="5965">
          <cell r="J5965" t="str">
            <v>00 -00-00-00-</v>
          </cell>
          <cell r="L5965" t="str">
            <v>00 -00-00-00-</v>
          </cell>
          <cell r="O5965" t="str">
            <v>SIN CUENTA ASIGNADA</v>
          </cell>
        </row>
        <row r="5966">
          <cell r="J5966" t="str">
            <v>00 -00-00-00-</v>
          </cell>
          <cell r="L5966" t="str">
            <v>00 -00-00-00-</v>
          </cell>
          <cell r="O5966" t="str">
            <v>SIN CUENTA ASIGNADA</v>
          </cell>
        </row>
        <row r="5967">
          <cell r="J5967" t="str">
            <v>00 -00-00-00-</v>
          </cell>
          <cell r="L5967" t="str">
            <v>00 -00-00-00-</v>
          </cell>
          <cell r="O5967" t="str">
            <v>SIN CUENTA ASIGNADA</v>
          </cell>
        </row>
        <row r="5968">
          <cell r="J5968" t="str">
            <v>00 -00-00-00-</v>
          </cell>
          <cell r="L5968" t="str">
            <v>00 -00-00-00-</v>
          </cell>
          <cell r="O5968" t="str">
            <v>SIN CUENTA ASIGNADA</v>
          </cell>
        </row>
        <row r="5969">
          <cell r="J5969" t="str">
            <v>00 -00-00-00-</v>
          </cell>
          <cell r="L5969" t="str">
            <v>00 -00-00-00-</v>
          </cell>
          <cell r="O5969" t="str">
            <v>SIN CUENTA ASIGNADA</v>
          </cell>
        </row>
        <row r="5970">
          <cell r="J5970" t="str">
            <v>00 -00-00-00-</v>
          </cell>
          <cell r="L5970" t="str">
            <v>00 -00-00-00-</v>
          </cell>
          <cell r="O5970" t="str">
            <v>SIN CUENTA ASIGNADA</v>
          </cell>
        </row>
        <row r="5971">
          <cell r="J5971" t="str">
            <v>00 -00-00-00-</v>
          </cell>
          <cell r="L5971" t="str">
            <v>00 -00-00-00-</v>
          </cell>
          <cell r="O5971" t="str">
            <v>SIN CUENTA ASIGNADA</v>
          </cell>
        </row>
        <row r="5972">
          <cell r="J5972" t="str">
            <v>00 -00-00-00-</v>
          </cell>
          <cell r="L5972" t="str">
            <v>00 -00-00-00-</v>
          </cell>
          <cell r="O5972" t="str">
            <v>SIN CUENTA ASIGNADA</v>
          </cell>
        </row>
        <row r="5973">
          <cell r="J5973" t="str">
            <v>00 -00-00-00-</v>
          </cell>
          <cell r="L5973" t="str">
            <v>00 -00-00-00-</v>
          </cell>
          <cell r="O5973" t="str">
            <v>SIN CUENTA ASIGNADA</v>
          </cell>
        </row>
        <row r="5974">
          <cell r="J5974" t="str">
            <v>00 -00-00-00-</v>
          </cell>
          <cell r="L5974" t="str">
            <v>00 -00-00-00-</v>
          </cell>
          <cell r="O5974" t="str">
            <v>SIN CUENTA ASIGNADA</v>
          </cell>
        </row>
        <row r="5975">
          <cell r="J5975" t="str">
            <v>00 -00-00-00-</v>
          </cell>
          <cell r="L5975" t="str">
            <v>00 -00-00-00-</v>
          </cell>
          <cell r="O5975" t="str">
            <v>SIN CUENTA ASIGNADA</v>
          </cell>
        </row>
        <row r="5976">
          <cell r="J5976" t="str">
            <v>00 -00-00-00-</v>
          </cell>
          <cell r="L5976" t="str">
            <v>00 -00-00-00-</v>
          </cell>
          <cell r="O5976" t="str">
            <v>SIN CUENTA ASIGNADA</v>
          </cell>
        </row>
        <row r="5977">
          <cell r="J5977" t="str">
            <v>00 -00-00-00-</v>
          </cell>
          <cell r="L5977" t="str">
            <v>00 -00-00-00-</v>
          </cell>
          <cell r="O5977" t="str">
            <v>SIN CUENTA ASIGNADA</v>
          </cell>
        </row>
        <row r="5978">
          <cell r="J5978" t="str">
            <v>00 -00-00-00-</v>
          </cell>
          <cell r="L5978" t="str">
            <v>00 -00-00-00-</v>
          </cell>
          <cell r="O5978" t="str">
            <v>SIN CUENTA ASIGNADA</v>
          </cell>
        </row>
        <row r="5979">
          <cell r="J5979" t="str">
            <v>00 -00-00-00-</v>
          </cell>
          <cell r="L5979" t="str">
            <v>00 -00-00-00-</v>
          </cell>
          <cell r="O5979" t="str">
            <v>SIN CUENTA ASIGNADA</v>
          </cell>
        </row>
        <row r="5980">
          <cell r="J5980" t="str">
            <v>00 -00-00-00-</v>
          </cell>
          <cell r="L5980" t="str">
            <v>00 -00-00-00-</v>
          </cell>
          <cell r="O5980" t="str">
            <v>SIN CUENTA ASIGNADA</v>
          </cell>
        </row>
        <row r="5981">
          <cell r="J5981" t="str">
            <v>00 -00-00-00-</v>
          </cell>
          <cell r="L5981" t="str">
            <v>00 -00-00-00-</v>
          </cell>
          <cell r="O5981" t="str">
            <v>SIN CUENTA ASIGNADA</v>
          </cell>
        </row>
        <row r="5982">
          <cell r="J5982" t="str">
            <v>00 -00-00-00-</v>
          </cell>
          <cell r="L5982" t="str">
            <v>00 -00-00-00-</v>
          </cell>
          <cell r="O5982" t="str">
            <v>SIN CUENTA ASIGNADA</v>
          </cell>
        </row>
        <row r="5983">
          <cell r="J5983" t="str">
            <v>00 -00-00-00-</v>
          </cell>
          <cell r="L5983" t="str">
            <v>00 -00-00-00-</v>
          </cell>
          <cell r="O5983" t="str">
            <v>SIN CUENTA ASIGNADA</v>
          </cell>
        </row>
        <row r="5984">
          <cell r="J5984" t="str">
            <v>00 -00-00-00-</v>
          </cell>
          <cell r="L5984" t="str">
            <v>00 -00-00-00-</v>
          </cell>
          <cell r="O5984" t="str">
            <v>SIN CUENTA ASIGNADA</v>
          </cell>
        </row>
        <row r="5985">
          <cell r="J5985" t="str">
            <v>00 -00-00-00-</v>
          </cell>
          <cell r="L5985" t="str">
            <v>00 -00-00-00-</v>
          </cell>
          <cell r="O5985" t="str">
            <v>SIN CUENTA ASIGNADA</v>
          </cell>
        </row>
        <row r="5986">
          <cell r="J5986" t="str">
            <v>00 -00-00-00-</v>
          </cell>
          <cell r="L5986" t="str">
            <v>00 -00-00-00-</v>
          </cell>
          <cell r="O5986" t="str">
            <v>SIN CUENTA ASIGNADA</v>
          </cell>
        </row>
        <row r="5987">
          <cell r="J5987" t="str">
            <v>00 -00-00-00-</v>
          </cell>
          <cell r="L5987" t="str">
            <v>00 -00-00-00-</v>
          </cell>
          <cell r="O5987" t="str">
            <v>SIN CUENTA ASIGNADA</v>
          </cell>
        </row>
        <row r="5988">
          <cell r="J5988" t="str">
            <v>00 -00-00-00-</v>
          </cell>
          <cell r="L5988" t="str">
            <v>00 -00-00-00-</v>
          </cell>
          <cell r="O5988" t="str">
            <v>SIN CUENTA ASIGNADA</v>
          </cell>
        </row>
        <row r="5989">
          <cell r="J5989" t="str">
            <v>00 -00-00-00-</v>
          </cell>
          <cell r="L5989" t="str">
            <v>00 -00-00-00-</v>
          </cell>
          <cell r="O5989" t="str">
            <v>SIN CUENTA ASIGNADA</v>
          </cell>
        </row>
        <row r="5990">
          <cell r="J5990" t="str">
            <v>00 -00-00-00-</v>
          </cell>
          <cell r="L5990" t="str">
            <v>00 -00-00-00-</v>
          </cell>
          <cell r="O5990" t="str">
            <v>SIN CUENTA ASIGNADA</v>
          </cell>
        </row>
        <row r="5991">
          <cell r="J5991" t="str">
            <v>00 -00-00-00-</v>
          </cell>
          <cell r="L5991" t="str">
            <v>00 -00-00-00-</v>
          </cell>
          <cell r="O5991" t="str">
            <v>SIN CUENTA ASIGNADA</v>
          </cell>
        </row>
        <row r="5992">
          <cell r="J5992" t="str">
            <v>00 -00-00-00-</v>
          </cell>
          <cell r="L5992" t="str">
            <v>00 -00-00-00-</v>
          </cell>
          <cell r="O5992" t="str">
            <v>SIN CUENTA ASIGNADA</v>
          </cell>
        </row>
        <row r="5993">
          <cell r="J5993" t="str">
            <v>00 -00-00-00-</v>
          </cell>
          <cell r="L5993" t="str">
            <v>00 -00-00-00-</v>
          </cell>
          <cell r="O5993" t="str">
            <v>SIN CUENTA ASIGNADA</v>
          </cell>
        </row>
        <row r="5994">
          <cell r="J5994" t="str">
            <v>00 -00-00-00-</v>
          </cell>
          <cell r="L5994" t="str">
            <v>00 -00-00-00-</v>
          </cell>
          <cell r="O5994" t="str">
            <v>SIN CUENTA ASIGNADA</v>
          </cell>
        </row>
        <row r="5995">
          <cell r="J5995" t="str">
            <v>00 -00-00-00-</v>
          </cell>
          <cell r="L5995" t="str">
            <v>00 -00-00-00-</v>
          </cell>
          <cell r="O5995" t="str">
            <v>SIN CUENTA ASIGNADA</v>
          </cell>
        </row>
        <row r="5996">
          <cell r="J5996" t="str">
            <v>00 -00-00-00-</v>
          </cell>
          <cell r="L5996" t="str">
            <v>00 -00-00-00-</v>
          </cell>
          <cell r="O5996" t="str">
            <v>SIN CUENTA ASIGNADA</v>
          </cell>
        </row>
        <row r="5997">
          <cell r="J5997" t="str">
            <v>00 -00-00-00-</v>
          </cell>
          <cell r="L5997" t="str">
            <v>00 -00-00-00-</v>
          </cell>
          <cell r="O5997" t="str">
            <v>SIN CUENTA ASIGNADA</v>
          </cell>
        </row>
        <row r="5998">
          <cell r="J5998" t="str">
            <v>00 -00-00-00-</v>
          </cell>
          <cell r="L5998" t="str">
            <v>00 -00-00-00-</v>
          </cell>
          <cell r="O5998" t="str">
            <v>SIN CUENTA ASIGNADA</v>
          </cell>
        </row>
        <row r="5999">
          <cell r="J5999" t="str">
            <v>00 -00-00-00-</v>
          </cell>
          <cell r="L5999" t="str">
            <v>00 -00-00-00-</v>
          </cell>
          <cell r="O5999" t="str">
            <v>SIN CUENTA ASIGNADA</v>
          </cell>
        </row>
        <row r="6000">
          <cell r="J6000" t="str">
            <v>00 -00-00-00-</v>
          </cell>
          <cell r="L6000" t="str">
            <v>00 -00-00-00-</v>
          </cell>
          <cell r="O6000" t="str">
            <v>SIN CUENTA ASIGNADA</v>
          </cell>
        </row>
        <row r="6001">
          <cell r="J6001" t="str">
            <v>00 -00-00-00-</v>
          </cell>
          <cell r="L6001" t="str">
            <v>00 -00-00-00-</v>
          </cell>
          <cell r="O6001" t="str">
            <v>SIN CUENTA ASIGNADA</v>
          </cell>
        </row>
        <row r="6002">
          <cell r="J6002" t="str">
            <v>00 -00-00-00-</v>
          </cell>
          <cell r="L6002" t="str">
            <v>00 -00-00-00-</v>
          </cell>
          <cell r="O6002" t="str">
            <v>SIN CUENTA ASIGNADA</v>
          </cell>
        </row>
        <row r="6003">
          <cell r="J6003" t="str">
            <v>00 -00-00-00-</v>
          </cell>
          <cell r="L6003" t="str">
            <v>00 -00-00-00-</v>
          </cell>
          <cell r="O6003" t="str">
            <v>SIN CUENTA ASIGNADA</v>
          </cell>
        </row>
        <row r="6004">
          <cell r="J6004" t="str">
            <v>00 -00-00-00-</v>
          </cell>
          <cell r="L6004" t="str">
            <v>00 -00-00-00-</v>
          </cell>
          <cell r="O6004" t="str">
            <v>SIN CUENTA ASIGNADA</v>
          </cell>
        </row>
        <row r="6005">
          <cell r="J6005" t="str">
            <v>00 -00-00-00-</v>
          </cell>
          <cell r="L6005" t="str">
            <v>00 -00-00-00-</v>
          </cell>
          <cell r="O6005" t="str">
            <v>SIN CUENTA ASIGNADA</v>
          </cell>
        </row>
        <row r="6006">
          <cell r="J6006" t="str">
            <v>00 -00-00-00-</v>
          </cell>
          <cell r="L6006" t="str">
            <v>00 -00-00-00-</v>
          </cell>
          <cell r="O6006" t="str">
            <v>SIN CUENTA ASIGNADA</v>
          </cell>
        </row>
        <row r="6007">
          <cell r="J6007" t="str">
            <v>00 -00-00-00-</v>
          </cell>
          <cell r="L6007" t="str">
            <v>00 -00-00-00-</v>
          </cell>
          <cell r="O6007" t="str">
            <v>SIN CUENTA ASIGNADA</v>
          </cell>
        </row>
        <row r="6008">
          <cell r="J6008" t="str">
            <v>00 -00-00-00-</v>
          </cell>
          <cell r="L6008" t="str">
            <v>00 -00-00-00-</v>
          </cell>
          <cell r="O6008" t="str">
            <v>SIN CUENTA ASIGNADA</v>
          </cell>
        </row>
        <row r="6009">
          <cell r="J6009" t="str">
            <v>00 -00-00-00-</v>
          </cell>
          <cell r="L6009" t="str">
            <v>00 -00-00-00-</v>
          </cell>
          <cell r="O6009" t="str">
            <v>SIN CUENTA ASIGNADA</v>
          </cell>
        </row>
        <row r="6010">
          <cell r="J6010" t="str">
            <v>00 -00-00-00-</v>
          </cell>
          <cell r="L6010" t="str">
            <v>00 -00-00-00-</v>
          </cell>
          <cell r="O6010" t="str">
            <v>SIN CUENTA ASIGNADA</v>
          </cell>
        </row>
        <row r="6011">
          <cell r="J6011" t="str">
            <v>00 -00-00-00-</v>
          </cell>
          <cell r="L6011" t="str">
            <v>00 -00-00-00-</v>
          </cell>
          <cell r="O6011" t="str">
            <v>SIN CUENTA ASIGNADA</v>
          </cell>
        </row>
        <row r="6012">
          <cell r="J6012" t="str">
            <v>00 -00-00-00-</v>
          </cell>
          <cell r="L6012" t="str">
            <v>00 -00-00-00-</v>
          </cell>
          <cell r="O6012" t="str">
            <v>SIN CUENTA ASIGNADA</v>
          </cell>
        </row>
        <row r="6013">
          <cell r="J6013" t="str">
            <v>00 -00-00-00-</v>
          </cell>
          <cell r="L6013" t="str">
            <v>00 -00-00-00-</v>
          </cell>
          <cell r="O6013" t="str">
            <v>SIN CUENTA ASIGNADA</v>
          </cell>
        </row>
        <row r="6014">
          <cell r="J6014" t="str">
            <v>00 -00-00-00-</v>
          </cell>
          <cell r="L6014" t="str">
            <v>00 -00-00-00-</v>
          </cell>
          <cell r="O6014" t="str">
            <v>SIN CUENTA ASIGNADA</v>
          </cell>
        </row>
        <row r="6015">
          <cell r="J6015" t="str">
            <v>00 -00-00-00-</v>
          </cell>
          <cell r="L6015" t="str">
            <v>00 -00-00-00-</v>
          </cell>
          <cell r="O6015" t="str">
            <v>SIN CUENTA ASIGNADA</v>
          </cell>
        </row>
        <row r="6016">
          <cell r="J6016" t="str">
            <v>00 -00-00-00-</v>
          </cell>
          <cell r="L6016" t="str">
            <v>00 -00-00-00-</v>
          </cell>
          <cell r="O6016" t="str">
            <v>SIN CUENTA ASIGNADA</v>
          </cell>
        </row>
        <row r="6017">
          <cell r="J6017" t="str">
            <v>00 -00-00-00-</v>
          </cell>
          <cell r="L6017" t="str">
            <v>00 -00-00-00-</v>
          </cell>
          <cell r="O6017" t="str">
            <v>SIN CUENTA ASIGNADA</v>
          </cell>
        </row>
        <row r="6018">
          <cell r="J6018" t="str">
            <v>00 -00-00-00-</v>
          </cell>
          <cell r="L6018" t="str">
            <v>00 -00-00-00-</v>
          </cell>
          <cell r="O6018" t="str">
            <v>SIN CUENTA ASIGNADA</v>
          </cell>
        </row>
        <row r="6019">
          <cell r="J6019" t="str">
            <v>00 -00-00-00-</v>
          </cell>
          <cell r="L6019" t="str">
            <v>00 -00-00-00-</v>
          </cell>
          <cell r="O6019" t="str">
            <v>SIN CUENTA ASIGNADA</v>
          </cell>
        </row>
        <row r="6020">
          <cell r="J6020" t="str">
            <v>00 -00-00-00-</v>
          </cell>
          <cell r="L6020" t="str">
            <v>00 -00-00-00-</v>
          </cell>
          <cell r="O6020" t="str">
            <v>SIN CUENTA ASIGNADA</v>
          </cell>
        </row>
        <row r="6021">
          <cell r="J6021" t="str">
            <v>00 -00-00-00-</v>
          </cell>
          <cell r="L6021" t="str">
            <v>00 -00-00-00-</v>
          </cell>
          <cell r="O6021" t="str">
            <v>SIN CUENTA ASIGNADA</v>
          </cell>
        </row>
        <row r="6022">
          <cell r="J6022" t="str">
            <v>00 -00-00-00-</v>
          </cell>
          <cell r="L6022" t="str">
            <v>00 -00-00-00-</v>
          </cell>
          <cell r="O6022" t="str">
            <v>SIN CUENTA ASIGNADA</v>
          </cell>
        </row>
        <row r="6023">
          <cell r="J6023" t="str">
            <v>00 -00-00-00-</v>
          </cell>
          <cell r="L6023" t="str">
            <v>00 -00-00-00-</v>
          </cell>
          <cell r="O6023" t="str">
            <v>SIN CUENTA ASIGNADA</v>
          </cell>
        </row>
        <row r="6024">
          <cell r="J6024" t="str">
            <v>00 -00-00-00-</v>
          </cell>
          <cell r="L6024" t="str">
            <v>00 -00-00-00-</v>
          </cell>
          <cell r="O6024" t="str">
            <v>SIN CUENTA ASIGNADA</v>
          </cell>
        </row>
        <row r="6025">
          <cell r="J6025" t="str">
            <v>00 -00-00-00-</v>
          </cell>
          <cell r="L6025" t="str">
            <v>00 -00-00-00-</v>
          </cell>
          <cell r="O6025" t="str">
            <v>SIN CUENTA ASIGNADA</v>
          </cell>
        </row>
        <row r="6026">
          <cell r="J6026" t="str">
            <v>00 -00-00-00-</v>
          </cell>
          <cell r="L6026" t="str">
            <v>00 -00-00-00-</v>
          </cell>
          <cell r="O6026" t="str">
            <v>SIN CUENTA ASIGNADA</v>
          </cell>
        </row>
        <row r="6027">
          <cell r="J6027" t="str">
            <v>00 -00-00-00-</v>
          </cell>
          <cell r="L6027" t="str">
            <v>00 -00-00-00-</v>
          </cell>
          <cell r="O6027" t="str">
            <v>SIN CUENTA ASIGNADA</v>
          </cell>
        </row>
        <row r="6028">
          <cell r="J6028" t="str">
            <v>00 -00-00-00-</v>
          </cell>
          <cell r="L6028" t="str">
            <v>00 -00-00-00-</v>
          </cell>
          <cell r="O6028" t="str">
            <v>SIN CUENTA ASIGNADA</v>
          </cell>
        </row>
        <row r="6029">
          <cell r="J6029" t="str">
            <v>00 -00-00-00-</v>
          </cell>
          <cell r="L6029" t="str">
            <v>00 -00-00-00-</v>
          </cell>
          <cell r="O6029" t="str">
            <v>SIN CUENTA ASIGNADA</v>
          </cell>
        </row>
        <row r="6030">
          <cell r="J6030" t="str">
            <v>00 -00-00-00-</v>
          </cell>
          <cell r="L6030" t="str">
            <v>00 -00-00-00-</v>
          </cell>
          <cell r="O6030" t="str">
            <v>SIN CUENTA ASIGNADA</v>
          </cell>
        </row>
        <row r="6031">
          <cell r="J6031" t="str">
            <v>00 -00-00-00-</v>
          </cell>
          <cell r="L6031" t="str">
            <v>00 -00-00-00-</v>
          </cell>
          <cell r="O6031" t="str">
            <v>SIN CUENTA ASIGNADA</v>
          </cell>
        </row>
        <row r="6032">
          <cell r="J6032" t="str">
            <v>00 -00-00-00-</v>
          </cell>
          <cell r="L6032" t="str">
            <v>00 -00-00-00-</v>
          </cell>
          <cell r="O6032" t="str">
            <v>SIN CUENTA ASIGNADA</v>
          </cell>
        </row>
        <row r="6033">
          <cell r="J6033" t="str">
            <v>00 -00-00-00-</v>
          </cell>
          <cell r="L6033" t="str">
            <v>00 -00-00-00-</v>
          </cell>
          <cell r="O6033" t="str">
            <v>SIN CUENTA ASIGNADA</v>
          </cell>
        </row>
        <row r="6034">
          <cell r="J6034" t="str">
            <v>00 -00-00-00-</v>
          </cell>
          <cell r="L6034" t="str">
            <v>00 -00-00-00-</v>
          </cell>
          <cell r="O6034" t="str">
            <v>SIN CUENTA ASIGNADA</v>
          </cell>
        </row>
        <row r="6035">
          <cell r="J6035" t="str">
            <v>00 -00-00-00-</v>
          </cell>
          <cell r="L6035" t="str">
            <v>00 -00-00-00-</v>
          </cell>
          <cell r="O6035" t="str">
            <v>SIN CUENTA ASIGNADA</v>
          </cell>
        </row>
        <row r="6036">
          <cell r="J6036" t="str">
            <v>00 -00-00-00-</v>
          </cell>
          <cell r="L6036" t="str">
            <v>00 -00-00-00-</v>
          </cell>
          <cell r="O6036" t="str">
            <v>SIN CUENTA ASIGNADA</v>
          </cell>
        </row>
        <row r="6037">
          <cell r="J6037" t="str">
            <v>00 -00-00-00-</v>
          </cell>
          <cell r="L6037" t="str">
            <v>00 -00-00-00-</v>
          </cell>
          <cell r="O6037" t="str">
            <v>SIN CUENTA ASIGNADA</v>
          </cell>
        </row>
        <row r="6038">
          <cell r="J6038" t="str">
            <v>00 -00-00-00-</v>
          </cell>
          <cell r="L6038" t="str">
            <v>00 -00-00-00-</v>
          </cell>
          <cell r="O6038" t="str">
            <v>SIN CUENTA ASIGNADA</v>
          </cell>
        </row>
        <row r="6039">
          <cell r="J6039" t="str">
            <v>00 -00-00-00-</v>
          </cell>
          <cell r="L6039" t="str">
            <v>00 -00-00-00-</v>
          </cell>
          <cell r="O6039" t="str">
            <v>SIN CUENTA ASIGNADA</v>
          </cell>
        </row>
        <row r="6040">
          <cell r="J6040" t="str">
            <v>00 -00-00-00-</v>
          </cell>
          <cell r="L6040" t="str">
            <v>00 -00-00-00-</v>
          </cell>
          <cell r="O6040" t="str">
            <v>SIN CUENTA ASIGNADA</v>
          </cell>
        </row>
        <row r="6041">
          <cell r="J6041" t="str">
            <v>00 -00-00-00-</v>
          </cell>
          <cell r="L6041" t="str">
            <v>00 -00-00-00-</v>
          </cell>
          <cell r="O6041" t="str">
            <v>SIN CUENTA ASIGNADA</v>
          </cell>
        </row>
        <row r="6042">
          <cell r="J6042" t="str">
            <v>00 -00-00-00-</v>
          </cell>
          <cell r="L6042" t="str">
            <v>00 -00-00-00-</v>
          </cell>
          <cell r="O6042" t="str">
            <v>SIN CUENTA ASIGNADA</v>
          </cell>
        </row>
        <row r="6043">
          <cell r="J6043" t="str">
            <v>00 -00-00-00-</v>
          </cell>
          <cell r="L6043" t="str">
            <v>00 -00-00-00-</v>
          </cell>
          <cell r="O6043" t="str">
            <v>SIN CUENTA ASIGNADA</v>
          </cell>
        </row>
        <row r="6044">
          <cell r="J6044" t="str">
            <v>00 -00-00-00-</v>
          </cell>
          <cell r="L6044" t="str">
            <v>00 -00-00-00-</v>
          </cell>
          <cell r="O6044" t="str">
            <v>SIN CUENTA ASIGNADA</v>
          </cell>
        </row>
        <row r="6045">
          <cell r="J6045" t="str">
            <v>00 -00-00-00-</v>
          </cell>
          <cell r="L6045" t="str">
            <v>00 -00-00-00-</v>
          </cell>
          <cell r="O6045" t="str">
            <v>SIN CUENTA ASIGNADA</v>
          </cell>
        </row>
        <row r="6046">
          <cell r="J6046" t="str">
            <v>00 -00-00-00-</v>
          </cell>
          <cell r="L6046" t="str">
            <v>00 -00-00-00-</v>
          </cell>
          <cell r="O6046" t="str">
            <v>SIN CUENTA ASIGNADA</v>
          </cell>
        </row>
        <row r="6047">
          <cell r="J6047" t="str">
            <v>00 -00-00-00-</v>
          </cell>
          <cell r="L6047" t="str">
            <v>00 -00-00-00-</v>
          </cell>
          <cell r="O6047" t="str">
            <v>SIN CUENTA ASIGNADA</v>
          </cell>
        </row>
        <row r="6048">
          <cell r="J6048" t="str">
            <v>00 -00-00-00-</v>
          </cell>
          <cell r="L6048" t="str">
            <v>00 -00-00-00-</v>
          </cell>
          <cell r="O6048" t="str">
            <v>SIN CUENTA ASIGNADA</v>
          </cell>
        </row>
        <row r="6049">
          <cell r="J6049" t="str">
            <v>00 -00-00-00-</v>
          </cell>
          <cell r="L6049" t="str">
            <v>00 -00-00-00-</v>
          </cell>
          <cell r="O6049" t="str">
            <v>SIN CUENTA ASIGNADA</v>
          </cell>
        </row>
        <row r="6050">
          <cell r="J6050" t="str">
            <v>00 -00-00-00-</v>
          </cell>
          <cell r="L6050" t="str">
            <v>00 -00-00-00-</v>
          </cell>
          <cell r="O6050" t="str">
            <v>SIN CUENTA ASIGNADA</v>
          </cell>
        </row>
        <row r="6051">
          <cell r="J6051" t="str">
            <v>00 -00-00-00-</v>
          </cell>
          <cell r="L6051" t="str">
            <v>00 -00-00-00-</v>
          </cell>
          <cell r="O6051" t="str">
            <v>SIN CUENTA ASIGNADA</v>
          </cell>
        </row>
        <row r="6052">
          <cell r="J6052" t="str">
            <v>00 -00-00-00-</v>
          </cell>
          <cell r="L6052" t="str">
            <v>00 -00-00-00-</v>
          </cell>
          <cell r="O6052" t="str">
            <v>SIN CUENTA ASIGNADA</v>
          </cell>
        </row>
        <row r="6053">
          <cell r="J6053" t="str">
            <v>00 -00-00-00-</v>
          </cell>
          <cell r="L6053" t="str">
            <v>00 -00-00-00-</v>
          </cell>
          <cell r="O6053" t="str">
            <v>SIN CUENTA ASIGNADA</v>
          </cell>
        </row>
        <row r="6054">
          <cell r="J6054" t="str">
            <v>00 -00-00-00-</v>
          </cell>
          <cell r="L6054" t="str">
            <v>00 -00-00-00-</v>
          </cell>
          <cell r="O6054" t="str">
            <v>SIN CUENTA ASIGNADA</v>
          </cell>
        </row>
        <row r="6055">
          <cell r="J6055" t="str">
            <v>00 -00-00-00-</v>
          </cell>
          <cell r="L6055" t="str">
            <v>00 -00-00-00-</v>
          </cell>
          <cell r="O6055" t="str">
            <v>SIN CUENTA ASIGNADA</v>
          </cell>
        </row>
        <row r="6056">
          <cell r="J6056" t="str">
            <v>00 -00-00-00-</v>
          </cell>
          <cell r="L6056" t="str">
            <v>00 -00-00-00-</v>
          </cell>
          <cell r="O6056" t="str">
            <v>SIN CUENTA ASIGNADA</v>
          </cell>
        </row>
        <row r="6057">
          <cell r="J6057" t="str">
            <v>00 -00-00-00-</v>
          </cell>
          <cell r="L6057" t="str">
            <v>00 -00-00-00-</v>
          </cell>
          <cell r="O6057" t="str">
            <v>SIN CUENTA ASIGNADA</v>
          </cell>
        </row>
        <row r="6058">
          <cell r="J6058" t="str">
            <v>00 -00-00-00-</v>
          </cell>
          <cell r="L6058" t="str">
            <v>00 -00-00-00-</v>
          </cell>
          <cell r="O6058" t="str">
            <v>SIN CUENTA ASIGNADA</v>
          </cell>
        </row>
        <row r="6059">
          <cell r="J6059" t="str">
            <v>00 -00-00-00-</v>
          </cell>
          <cell r="L6059" t="str">
            <v>00 -00-00-00-</v>
          </cell>
          <cell r="O6059" t="str">
            <v>SIN CUENTA ASIGNADA</v>
          </cell>
        </row>
        <row r="6060">
          <cell r="J6060" t="str">
            <v>00 -00-00-00-</v>
          </cell>
          <cell r="L6060" t="str">
            <v>00 -00-00-00-</v>
          </cell>
          <cell r="O6060" t="str">
            <v>SIN CUENTA ASIGNADA</v>
          </cell>
        </row>
        <row r="6061">
          <cell r="J6061" t="str">
            <v>00 -00-00-00-</v>
          </cell>
          <cell r="L6061" t="str">
            <v>00 -00-00-00-</v>
          </cell>
          <cell r="O6061" t="str">
            <v>SIN CUENTA ASIGNADA</v>
          </cell>
        </row>
        <row r="6062">
          <cell r="J6062" t="str">
            <v>00 -00-00-00-</v>
          </cell>
          <cell r="L6062" t="str">
            <v>00 -00-00-00-</v>
          </cell>
          <cell r="O6062" t="str">
            <v>SIN CUENTA ASIGNADA</v>
          </cell>
        </row>
        <row r="6063">
          <cell r="J6063" t="str">
            <v>00 -00-00-00-</v>
          </cell>
          <cell r="L6063" t="str">
            <v>00 -00-00-00-</v>
          </cell>
          <cell r="O6063" t="str">
            <v>SIN CUENTA ASIGNADA</v>
          </cell>
        </row>
        <row r="6064">
          <cell r="J6064" t="str">
            <v>00 -00-00-00-</v>
          </cell>
          <cell r="L6064" t="str">
            <v>00 -00-00-00-</v>
          </cell>
          <cell r="O6064" t="str">
            <v>SIN CUENTA ASIGNADA</v>
          </cell>
        </row>
        <row r="6065">
          <cell r="J6065" t="str">
            <v>00 -00-00-00-</v>
          </cell>
          <cell r="L6065" t="str">
            <v>00 -00-00-00-</v>
          </cell>
          <cell r="O6065" t="str">
            <v>SIN CUENTA ASIGNADA</v>
          </cell>
        </row>
        <row r="6066">
          <cell r="J6066" t="str">
            <v>00 -00-00-00-</v>
          </cell>
          <cell r="L6066" t="str">
            <v>00 -00-00-00-</v>
          </cell>
          <cell r="O6066" t="str">
            <v>SIN CUENTA ASIGNADA</v>
          </cell>
        </row>
        <row r="6067">
          <cell r="J6067" t="str">
            <v>00 -00-00-00-</v>
          </cell>
          <cell r="L6067" t="str">
            <v>00 -00-00-00-</v>
          </cell>
          <cell r="O6067" t="str">
            <v>SIN CUENTA ASIGNADA</v>
          </cell>
        </row>
        <row r="6068">
          <cell r="J6068" t="str">
            <v>00 -00-00-00-</v>
          </cell>
          <cell r="L6068" t="str">
            <v>00 -00-00-00-</v>
          </cell>
          <cell r="O6068" t="str">
            <v>SIN CUENTA ASIGNADA</v>
          </cell>
        </row>
        <row r="6069">
          <cell r="J6069" t="str">
            <v>00 -00-00-00-</v>
          </cell>
          <cell r="L6069" t="str">
            <v>00 -00-00-00-</v>
          </cell>
          <cell r="O6069" t="str">
            <v>SIN CUENTA ASIGNADA</v>
          </cell>
        </row>
        <row r="6070">
          <cell r="J6070" t="str">
            <v>00 -00-00-00-</v>
          </cell>
          <cell r="L6070" t="str">
            <v>00 -00-00-00-</v>
          </cell>
          <cell r="O6070" t="str">
            <v>SIN CUENTA ASIGNADA</v>
          </cell>
        </row>
        <row r="6071">
          <cell r="J6071" t="str">
            <v>00 -00-00-00-</v>
          </cell>
          <cell r="L6071" t="str">
            <v>00 -00-00-00-</v>
          </cell>
          <cell r="O6071" t="str">
            <v>SIN CUENTA ASIGNADA</v>
          </cell>
        </row>
        <row r="6072">
          <cell r="J6072" t="str">
            <v>00 -00-00-00-</v>
          </cell>
          <cell r="L6072" t="str">
            <v>00 -00-00-00-</v>
          </cell>
          <cell r="O6072" t="str">
            <v>SIN CUENTA ASIGNADA</v>
          </cell>
        </row>
        <row r="6073">
          <cell r="J6073" t="str">
            <v>00 -00-00-00-</v>
          </cell>
          <cell r="L6073" t="str">
            <v>00 -00-00-00-</v>
          </cell>
          <cell r="O6073" t="str">
            <v>SIN CUENTA ASIGNADA</v>
          </cell>
        </row>
        <row r="6074">
          <cell r="J6074" t="str">
            <v>00 -00-00-00-</v>
          </cell>
          <cell r="L6074" t="str">
            <v>00 -00-00-00-</v>
          </cell>
          <cell r="O6074" t="str">
            <v>SIN CUENTA ASIGNADA</v>
          </cell>
        </row>
        <row r="6075">
          <cell r="J6075" t="str">
            <v>00 -00-00-00-</v>
          </cell>
          <cell r="L6075" t="str">
            <v>00 -00-00-00-</v>
          </cell>
          <cell r="O6075" t="str">
            <v>SIN CUENTA ASIGNADA</v>
          </cell>
        </row>
        <row r="6076">
          <cell r="J6076" t="str">
            <v>00 -00-00-00-</v>
          </cell>
          <cell r="L6076" t="str">
            <v>00 -00-00-00-</v>
          </cell>
          <cell r="O6076" t="str">
            <v>SIN CUENTA ASIGNADA</v>
          </cell>
        </row>
        <row r="6077">
          <cell r="J6077" t="str">
            <v>00 -00-00-00-</v>
          </cell>
          <cell r="L6077" t="str">
            <v>00 -00-00-00-</v>
          </cell>
          <cell r="O6077" t="str">
            <v>SIN CUENTA ASIGNADA</v>
          </cell>
        </row>
        <row r="6078">
          <cell r="J6078" t="str">
            <v>00 -00-00-00-</v>
          </cell>
          <cell r="L6078" t="str">
            <v>00 -00-00-00-</v>
          </cell>
          <cell r="O6078" t="str">
            <v>SIN CUENTA ASIGNADA</v>
          </cell>
        </row>
        <row r="6079">
          <cell r="J6079" t="str">
            <v>00 -00-00-00-</v>
          </cell>
          <cell r="L6079" t="str">
            <v>00 -00-00-00-</v>
          </cell>
          <cell r="O6079" t="str">
            <v>SIN CUENTA ASIGNADA</v>
          </cell>
        </row>
        <row r="6080">
          <cell r="J6080" t="str">
            <v>00 -00-00-00-</v>
          </cell>
          <cell r="L6080" t="str">
            <v>00 -00-00-00-</v>
          </cell>
          <cell r="O6080" t="str">
            <v>SIN CUENTA ASIGNADA</v>
          </cell>
        </row>
        <row r="6081">
          <cell r="J6081" t="str">
            <v>00 -00-00-00-</v>
          </cell>
          <cell r="L6081" t="str">
            <v>00 -00-00-00-</v>
          </cell>
          <cell r="O6081" t="str">
            <v>SIN CUENTA ASIGNADA</v>
          </cell>
        </row>
        <row r="6082">
          <cell r="J6082" t="str">
            <v>00 -00-00-00-</v>
          </cell>
          <cell r="L6082" t="str">
            <v>00 -00-00-00-</v>
          </cell>
          <cell r="O6082" t="str">
            <v>SIN CUENTA ASIGNADA</v>
          </cell>
        </row>
        <row r="6083">
          <cell r="J6083" t="str">
            <v>00 -00-00-00-</v>
          </cell>
          <cell r="L6083" t="str">
            <v>00 -00-00-00-</v>
          </cell>
          <cell r="O6083" t="str">
            <v>SIN CUENTA ASIGNADA</v>
          </cell>
        </row>
        <row r="6084">
          <cell r="J6084" t="str">
            <v>00 -00-00-00-</v>
          </cell>
          <cell r="L6084" t="str">
            <v>00 -00-00-00-</v>
          </cell>
          <cell r="O6084" t="str">
            <v>SIN CUENTA ASIGNADA</v>
          </cell>
        </row>
        <row r="6085">
          <cell r="J6085" t="str">
            <v>00 -00-00-00-</v>
          </cell>
          <cell r="L6085" t="str">
            <v>00 -00-00-00-</v>
          </cell>
          <cell r="O6085" t="str">
            <v>SIN CUENTA ASIGNADA</v>
          </cell>
        </row>
        <row r="6086">
          <cell r="J6086" t="str">
            <v>00 -00-00-00-</v>
          </cell>
          <cell r="L6086" t="str">
            <v>00 -00-00-00-</v>
          </cell>
          <cell r="O6086" t="str">
            <v>SIN CUENTA ASIGNADA</v>
          </cell>
        </row>
        <row r="6087">
          <cell r="J6087" t="str">
            <v>00 -00-00-00-</v>
          </cell>
          <cell r="L6087" t="str">
            <v>00 -00-00-00-</v>
          </cell>
          <cell r="O6087" t="str">
            <v>SIN CUENTA ASIGNADA</v>
          </cell>
        </row>
        <row r="6088">
          <cell r="J6088" t="str">
            <v>00 -00-00-00-</v>
          </cell>
          <cell r="L6088" t="str">
            <v>00 -00-00-00-</v>
          </cell>
          <cell r="O6088" t="str">
            <v>SIN CUENTA ASIGNADA</v>
          </cell>
        </row>
        <row r="6089">
          <cell r="J6089" t="str">
            <v>00 -00-00-00-</v>
          </cell>
          <cell r="L6089" t="str">
            <v>00 -00-00-00-</v>
          </cell>
          <cell r="O6089" t="str">
            <v>SIN CUENTA ASIGNADA</v>
          </cell>
        </row>
        <row r="6090">
          <cell r="J6090" t="str">
            <v>00 -00-00-00-</v>
          </cell>
          <cell r="L6090" t="str">
            <v>00 -00-00-00-</v>
          </cell>
          <cell r="O6090" t="str">
            <v>SIN CUENTA ASIGNADA</v>
          </cell>
        </row>
        <row r="6091">
          <cell r="J6091" t="str">
            <v>00 -00-00-00-</v>
          </cell>
          <cell r="L6091" t="str">
            <v>00 -00-00-00-</v>
          </cell>
          <cell r="O6091" t="str">
            <v>SIN CUENTA ASIGNADA</v>
          </cell>
        </row>
        <row r="6092">
          <cell r="J6092" t="str">
            <v>00 -00-00-00-</v>
          </cell>
          <cell r="L6092" t="str">
            <v>00 -00-00-00-</v>
          </cell>
          <cell r="O6092" t="str">
            <v>SIN CUENTA ASIGNADA</v>
          </cell>
        </row>
        <row r="6093">
          <cell r="J6093" t="str">
            <v>00 -00-00-00-</v>
          </cell>
          <cell r="L6093" t="str">
            <v>00 -00-00-00-</v>
          </cell>
          <cell r="O6093" t="str">
            <v>SIN CUENTA ASIGNADA</v>
          </cell>
        </row>
        <row r="6094">
          <cell r="J6094" t="str">
            <v>00 -00-00-00-</v>
          </cell>
          <cell r="L6094" t="str">
            <v>00 -00-00-00-</v>
          </cell>
          <cell r="O6094" t="str">
            <v>SIN CUENTA ASIGNADA</v>
          </cell>
        </row>
        <row r="6095">
          <cell r="J6095" t="str">
            <v>00 -00-00-00-</v>
          </cell>
          <cell r="L6095" t="str">
            <v>00 -00-00-00-</v>
          </cell>
          <cell r="O6095" t="str">
            <v>SIN CUENTA ASIGNADA</v>
          </cell>
        </row>
        <row r="6096">
          <cell r="J6096" t="str">
            <v>00 -00-00-00-</v>
          </cell>
          <cell r="L6096" t="str">
            <v>00 -00-00-00-</v>
          </cell>
          <cell r="O6096" t="str">
            <v>SIN CUENTA ASIGNADA</v>
          </cell>
        </row>
        <row r="6097">
          <cell r="J6097" t="str">
            <v>00 -00-00-00-</v>
          </cell>
          <cell r="L6097" t="str">
            <v>00 -00-00-00-</v>
          </cell>
          <cell r="O6097" t="str">
            <v>SIN CUENTA ASIGNADA</v>
          </cell>
        </row>
        <row r="6098">
          <cell r="J6098" t="str">
            <v>00 -00-00-00-</v>
          </cell>
          <cell r="L6098" t="str">
            <v>00 -00-00-00-</v>
          </cell>
          <cell r="O6098" t="str">
            <v>SIN CUENTA ASIGNADA</v>
          </cell>
        </row>
        <row r="6099">
          <cell r="J6099" t="str">
            <v>00 -00-00-00-</v>
          </cell>
          <cell r="L6099" t="str">
            <v>00 -00-00-00-</v>
          </cell>
          <cell r="O6099" t="str">
            <v>SIN CUENTA ASIGNADA</v>
          </cell>
        </row>
        <row r="6100">
          <cell r="J6100" t="str">
            <v>00 -00-00-00-</v>
          </cell>
          <cell r="L6100" t="str">
            <v>00 -00-00-00-</v>
          </cell>
          <cell r="O6100" t="str">
            <v>SIN CUENTA ASIGNADA</v>
          </cell>
        </row>
        <row r="6101">
          <cell r="J6101" t="str">
            <v>00 -00-00-00-</v>
          </cell>
          <cell r="L6101" t="str">
            <v>00 -00-00-00-</v>
          </cell>
          <cell r="O6101" t="str">
            <v>SIN CUENTA ASIGNADA</v>
          </cell>
        </row>
        <row r="6102">
          <cell r="J6102" t="str">
            <v>00 -00-00-00-</v>
          </cell>
          <cell r="L6102" t="str">
            <v>00 -00-00-00-</v>
          </cell>
          <cell r="O6102" t="str">
            <v>SIN CUENTA ASIGNADA</v>
          </cell>
        </row>
        <row r="6103">
          <cell r="J6103" t="str">
            <v>00 -00-00-00-</v>
          </cell>
          <cell r="L6103" t="str">
            <v>00 -00-00-00-</v>
          </cell>
          <cell r="O6103" t="str">
            <v>SIN CUENTA ASIGNADA</v>
          </cell>
        </row>
        <row r="6104">
          <cell r="J6104" t="str">
            <v>00 -00-00-00-</v>
          </cell>
          <cell r="L6104" t="str">
            <v>00 -00-00-00-</v>
          </cell>
          <cell r="O6104" t="str">
            <v>SIN CUENTA ASIGNADA</v>
          </cell>
        </row>
        <row r="6105">
          <cell r="J6105" t="str">
            <v>00 -00-00-00-</v>
          </cell>
          <cell r="L6105" t="str">
            <v>00 -00-00-00-</v>
          </cell>
          <cell r="O6105" t="str">
            <v>SIN CUENTA ASIGNADA</v>
          </cell>
        </row>
        <row r="6106">
          <cell r="J6106" t="str">
            <v>00 -00-00-00-</v>
          </cell>
          <cell r="L6106" t="str">
            <v>00 -00-00-00-</v>
          </cell>
          <cell r="O6106" t="str">
            <v>SIN CUENTA ASIGNADA</v>
          </cell>
        </row>
        <row r="6107">
          <cell r="J6107" t="str">
            <v>00 -00-00-00-</v>
          </cell>
          <cell r="L6107" t="str">
            <v>00 -00-00-00-</v>
          </cell>
          <cell r="O6107" t="str">
            <v>SIN CUENTA ASIGNADA</v>
          </cell>
        </row>
        <row r="6108">
          <cell r="J6108" t="str">
            <v>00 -00-00-00-</v>
          </cell>
          <cell r="L6108" t="str">
            <v>00 -00-00-00-</v>
          </cell>
          <cell r="O6108" t="str">
            <v>SIN CUENTA ASIGNADA</v>
          </cell>
        </row>
        <row r="6109">
          <cell r="J6109" t="str">
            <v>00 -00-00-00-</v>
          </cell>
          <cell r="L6109" t="str">
            <v>00 -00-00-00-</v>
          </cell>
          <cell r="O6109" t="str">
            <v>SIN CUENTA ASIGNADA</v>
          </cell>
        </row>
        <row r="6110">
          <cell r="J6110" t="str">
            <v>00 -00-00-00-</v>
          </cell>
          <cell r="L6110" t="str">
            <v>00 -00-00-00-</v>
          </cell>
          <cell r="O6110" t="str">
            <v>SIN CUENTA ASIGNADA</v>
          </cell>
        </row>
        <row r="6111">
          <cell r="J6111" t="str">
            <v>00 -00-00-00-</v>
          </cell>
          <cell r="L6111" t="str">
            <v>00 -00-00-00-</v>
          </cell>
          <cell r="O6111" t="str">
            <v>SIN CUENTA ASIGNADA</v>
          </cell>
        </row>
        <row r="6112">
          <cell r="J6112" t="str">
            <v>00 -00-00-00-</v>
          </cell>
          <cell r="L6112" t="str">
            <v>00 -00-00-00-</v>
          </cell>
          <cell r="O6112" t="str">
            <v>SIN CUENTA ASIGNADA</v>
          </cell>
        </row>
        <row r="6113">
          <cell r="J6113" t="str">
            <v>00 -00-00-00-</v>
          </cell>
          <cell r="L6113" t="str">
            <v>00 -00-00-00-</v>
          </cell>
          <cell r="O6113" t="str">
            <v>SIN CUENTA ASIGNADA</v>
          </cell>
        </row>
        <row r="6114">
          <cell r="J6114" t="str">
            <v>00 -00-00-00-</v>
          </cell>
          <cell r="L6114" t="str">
            <v>00 -00-00-00-</v>
          </cell>
          <cell r="O6114" t="str">
            <v>SIN CUENTA ASIGNADA</v>
          </cell>
        </row>
        <row r="6115">
          <cell r="J6115" t="str">
            <v>00 -00-00-00-</v>
          </cell>
          <cell r="L6115" t="str">
            <v>00 -00-00-00-</v>
          </cell>
          <cell r="O6115" t="str">
            <v>SIN CUENTA ASIGNADA</v>
          </cell>
        </row>
        <row r="6116">
          <cell r="J6116" t="str">
            <v>00 -00-00-00-</v>
          </cell>
          <cell r="L6116" t="str">
            <v>00 -00-00-00-</v>
          </cell>
          <cell r="O6116" t="str">
            <v>SIN CUENTA ASIGNADA</v>
          </cell>
        </row>
        <row r="6117">
          <cell r="J6117" t="str">
            <v>00 -00-00-00-</v>
          </cell>
          <cell r="L6117" t="str">
            <v>00 -00-00-00-</v>
          </cell>
          <cell r="O6117" t="str">
            <v>SIN CUENTA ASIGNADA</v>
          </cell>
        </row>
        <row r="6118">
          <cell r="J6118" t="str">
            <v>00 -00-00-00-</v>
          </cell>
          <cell r="L6118" t="str">
            <v>00 -00-00-00-</v>
          </cell>
          <cell r="O6118" t="str">
            <v>SIN CUENTA ASIGNADA</v>
          </cell>
        </row>
        <row r="6119">
          <cell r="J6119" t="str">
            <v>00 -00-00-00-</v>
          </cell>
          <cell r="L6119" t="str">
            <v>00 -00-00-00-</v>
          </cell>
          <cell r="O6119" t="str">
            <v>SIN CUENTA ASIGNADA</v>
          </cell>
        </row>
        <row r="6120">
          <cell r="J6120" t="str">
            <v>00 -00-00-00-</v>
          </cell>
          <cell r="L6120" t="str">
            <v>00 -00-00-00-</v>
          </cell>
          <cell r="O6120" t="str">
            <v>SIN CUENTA ASIGNADA</v>
          </cell>
        </row>
        <row r="6121">
          <cell r="J6121" t="str">
            <v>00 -00-00-00-</v>
          </cell>
          <cell r="L6121" t="str">
            <v>00 -00-00-00-</v>
          </cell>
          <cell r="O6121" t="str">
            <v>SIN CUENTA ASIGNADA</v>
          </cell>
        </row>
        <row r="6122">
          <cell r="J6122" t="str">
            <v>00 -00-00-00-</v>
          </cell>
          <cell r="L6122" t="str">
            <v>00 -00-00-00-</v>
          </cell>
          <cell r="O6122" t="str">
            <v>SIN CUENTA ASIGNADA</v>
          </cell>
        </row>
        <row r="6123">
          <cell r="J6123" t="str">
            <v>00 -00-00-00-</v>
          </cell>
          <cell r="L6123" t="str">
            <v>00 -00-00-00-</v>
          </cell>
          <cell r="O6123" t="str">
            <v>SIN CUENTA ASIGNADA</v>
          </cell>
        </row>
        <row r="6124">
          <cell r="J6124" t="str">
            <v>00 -00-00-00-</v>
          </cell>
          <cell r="L6124" t="str">
            <v>00 -00-00-00-</v>
          </cell>
          <cell r="O6124" t="str">
            <v>SIN CUENTA ASIGNADA</v>
          </cell>
        </row>
        <row r="6125">
          <cell r="J6125" t="str">
            <v>00 -00-00-00-</v>
          </cell>
          <cell r="L6125" t="str">
            <v>00 -00-00-00-</v>
          </cell>
          <cell r="O6125" t="str">
            <v>SIN CUENTA ASIGNADA</v>
          </cell>
        </row>
        <row r="6126">
          <cell r="J6126" t="str">
            <v>00 -00-00-00-</v>
          </cell>
          <cell r="L6126" t="str">
            <v>00 -00-00-00-</v>
          </cell>
          <cell r="O6126" t="str">
            <v>SIN CUENTA ASIGNADA</v>
          </cell>
        </row>
        <row r="6127">
          <cell r="J6127" t="str">
            <v>00 -00-00-00-</v>
          </cell>
          <cell r="L6127" t="str">
            <v>00 -00-00-00-</v>
          </cell>
          <cell r="O6127" t="str">
            <v>SIN CUENTA ASIGNADA</v>
          </cell>
        </row>
        <row r="6128">
          <cell r="J6128" t="str">
            <v>00 -00-00-00-</v>
          </cell>
          <cell r="L6128" t="str">
            <v>00 -00-00-00-</v>
          </cell>
          <cell r="O6128" t="str">
            <v>SIN CUENTA ASIGNADA</v>
          </cell>
        </row>
        <row r="6129">
          <cell r="J6129" t="str">
            <v>00 -00-00-00-</v>
          </cell>
          <cell r="L6129" t="str">
            <v>00 -00-00-00-</v>
          </cell>
          <cell r="O6129" t="str">
            <v>SIN CUENTA ASIGNADA</v>
          </cell>
        </row>
        <row r="6130">
          <cell r="J6130" t="str">
            <v>00 -00-00-00-</v>
          </cell>
          <cell r="L6130" t="str">
            <v>00 -00-00-00-</v>
          </cell>
          <cell r="O6130" t="str">
            <v>SIN CUENTA ASIGNADA</v>
          </cell>
        </row>
        <row r="6131">
          <cell r="J6131" t="str">
            <v>00 -00-00-00-</v>
          </cell>
          <cell r="L6131" t="str">
            <v>00 -00-00-00-</v>
          </cell>
          <cell r="O6131" t="str">
            <v>SIN CUENTA ASIGNADA</v>
          </cell>
        </row>
        <row r="6132">
          <cell r="J6132" t="str">
            <v>00 -00-00-00-</v>
          </cell>
          <cell r="L6132" t="str">
            <v>00 -00-00-00-</v>
          </cell>
          <cell r="O6132" t="str">
            <v>SIN CUENTA ASIGNADA</v>
          </cell>
        </row>
        <row r="6133">
          <cell r="J6133" t="str">
            <v>00 -00-00-00-</v>
          </cell>
          <cell r="L6133" t="str">
            <v>00 -00-00-00-</v>
          </cell>
          <cell r="O6133" t="str">
            <v>SIN CUENTA ASIGNADA</v>
          </cell>
        </row>
        <row r="6134">
          <cell r="J6134" t="str">
            <v>00 -00-00-00-</v>
          </cell>
          <cell r="L6134" t="str">
            <v>00 -00-00-00-</v>
          </cell>
          <cell r="O6134" t="str">
            <v>SIN CUENTA ASIGNADA</v>
          </cell>
        </row>
        <row r="6135">
          <cell r="J6135" t="str">
            <v>00 -00-00-00-</v>
          </cell>
          <cell r="L6135" t="str">
            <v>00 -00-00-00-</v>
          </cell>
          <cell r="O6135" t="str">
            <v>SIN CUENTA ASIGNADA</v>
          </cell>
        </row>
        <row r="6136">
          <cell r="J6136" t="str">
            <v>00 -00-00-00-</v>
          </cell>
          <cell r="L6136" t="str">
            <v>00 -00-00-00-</v>
          </cell>
          <cell r="O6136" t="str">
            <v>SIN CUENTA ASIGNADA</v>
          </cell>
        </row>
        <row r="6137">
          <cell r="J6137" t="str">
            <v>00 -00-00-00-</v>
          </cell>
          <cell r="L6137" t="str">
            <v>00 -00-00-00-</v>
          </cell>
          <cell r="O6137" t="str">
            <v>SIN CUENTA ASIGNADA</v>
          </cell>
        </row>
        <row r="6138">
          <cell r="J6138" t="str">
            <v>00 -00-00-00-</v>
          </cell>
          <cell r="L6138" t="str">
            <v>00 -00-00-00-</v>
          </cell>
          <cell r="O6138" t="str">
            <v>SIN CUENTA ASIGNADA</v>
          </cell>
        </row>
        <row r="6139">
          <cell r="J6139" t="str">
            <v>00 -00-00-00-</v>
          </cell>
          <cell r="L6139" t="str">
            <v>00 -00-00-00-</v>
          </cell>
          <cell r="O6139" t="str">
            <v>SIN CUENTA ASIGNADA</v>
          </cell>
        </row>
        <row r="6140">
          <cell r="J6140" t="str">
            <v>00 -00-00-00-</v>
          </cell>
          <cell r="L6140" t="str">
            <v>00 -00-00-00-</v>
          </cell>
          <cell r="O6140" t="str">
            <v>SIN CUENTA ASIGNADA</v>
          </cell>
        </row>
        <row r="6141">
          <cell r="J6141" t="str">
            <v>00 -00-00-00-</v>
          </cell>
          <cell r="L6141" t="str">
            <v>00 -00-00-00-</v>
          </cell>
          <cell r="O6141" t="str">
            <v>SIN CUENTA ASIGNADA</v>
          </cell>
        </row>
        <row r="6142">
          <cell r="J6142" t="str">
            <v>00 -00-00-00-</v>
          </cell>
          <cell r="L6142" t="str">
            <v>00 -00-00-00-</v>
          </cell>
          <cell r="O6142" t="str">
            <v>SIN CUENTA ASIGNADA</v>
          </cell>
        </row>
        <row r="6143">
          <cell r="J6143" t="str">
            <v>00 -00-00-00-</v>
          </cell>
          <cell r="L6143" t="str">
            <v>00 -00-00-00-</v>
          </cell>
          <cell r="O6143" t="str">
            <v>SIN CUENTA ASIGNADA</v>
          </cell>
        </row>
        <row r="6144">
          <cell r="J6144" t="str">
            <v>00 -00-00-00-</v>
          </cell>
          <cell r="L6144" t="str">
            <v>00 -00-00-00-</v>
          </cell>
          <cell r="O6144" t="str">
            <v>SIN CUENTA ASIGNADA</v>
          </cell>
        </row>
        <row r="6145">
          <cell r="J6145" t="str">
            <v>00 -00-00-00-</v>
          </cell>
          <cell r="L6145" t="str">
            <v>00 -00-00-00-</v>
          </cell>
          <cell r="O6145" t="str">
            <v>SIN CUENTA ASIGNADA</v>
          </cell>
        </row>
        <row r="6146">
          <cell r="J6146" t="str">
            <v>00 -00-00-00-</v>
          </cell>
          <cell r="L6146" t="str">
            <v>00 -00-00-00-</v>
          </cell>
          <cell r="O6146" t="str">
            <v>SIN CUENTA ASIGNADA</v>
          </cell>
        </row>
        <row r="6147">
          <cell r="J6147" t="str">
            <v>00 -00-00-00-</v>
          </cell>
          <cell r="L6147" t="str">
            <v>00 -00-00-00-</v>
          </cell>
          <cell r="O6147" t="str">
            <v>SIN CUENTA ASIGNADA</v>
          </cell>
        </row>
        <row r="6148">
          <cell r="J6148" t="str">
            <v>00 -00-00-00-</v>
          </cell>
          <cell r="L6148" t="str">
            <v>00 -00-00-00-</v>
          </cell>
          <cell r="O6148" t="str">
            <v>SIN CUENTA ASIGNADA</v>
          </cell>
        </row>
        <row r="6149">
          <cell r="J6149" t="str">
            <v>00 -00-00-00-</v>
          </cell>
          <cell r="L6149" t="str">
            <v>00 -00-00-00-</v>
          </cell>
          <cell r="O6149" t="str">
            <v>SIN CUENTA ASIGNADA</v>
          </cell>
        </row>
        <row r="6150">
          <cell r="J6150" t="str">
            <v>00 -00-00-00-</v>
          </cell>
          <cell r="L6150" t="str">
            <v>00 -00-00-00-</v>
          </cell>
          <cell r="O6150" t="str">
            <v>SIN CUENTA ASIGNADA</v>
          </cell>
        </row>
        <row r="6151">
          <cell r="J6151" t="str">
            <v>00 -00-00-00-</v>
          </cell>
          <cell r="L6151" t="str">
            <v>00 -00-00-00-</v>
          </cell>
          <cell r="O6151" t="str">
            <v>SIN CUENTA ASIGNADA</v>
          </cell>
        </row>
        <row r="6152">
          <cell r="J6152" t="str">
            <v>00 -00-00-00-</v>
          </cell>
          <cell r="L6152" t="str">
            <v>00 -00-00-00-</v>
          </cell>
          <cell r="O6152" t="str">
            <v>SIN CUENTA ASIGNADA</v>
          </cell>
        </row>
        <row r="6153">
          <cell r="J6153" t="str">
            <v>00 -00-00-00-</v>
          </cell>
          <cell r="L6153" t="str">
            <v>00 -00-00-00-</v>
          </cell>
          <cell r="O6153" t="str">
            <v>SIN CUENTA ASIGNADA</v>
          </cell>
        </row>
        <row r="6154">
          <cell r="J6154" t="str">
            <v>00 -00-00-00-</v>
          </cell>
          <cell r="L6154" t="str">
            <v>00 -00-00-00-</v>
          </cell>
          <cell r="O6154" t="str">
            <v>SIN CUENTA ASIGNADA</v>
          </cell>
        </row>
        <row r="6155">
          <cell r="J6155" t="str">
            <v>00 -00-00-00-</v>
          </cell>
          <cell r="L6155" t="str">
            <v>00 -00-00-00-</v>
          </cell>
          <cell r="O6155" t="str">
            <v>SIN CUENTA ASIGNADA</v>
          </cell>
        </row>
        <row r="6156">
          <cell r="J6156" t="str">
            <v>00 -00-00-00-</v>
          </cell>
          <cell r="L6156" t="str">
            <v>00 -00-00-00-</v>
          </cell>
          <cell r="O6156" t="str">
            <v>SIN CUENTA ASIGNADA</v>
          </cell>
        </row>
        <row r="6157">
          <cell r="J6157" t="str">
            <v>00 -00-00-00-</v>
          </cell>
          <cell r="L6157" t="str">
            <v>00 -00-00-00-</v>
          </cell>
          <cell r="O6157" t="str">
            <v>SIN CUENTA ASIGNADA</v>
          </cell>
        </row>
        <row r="6158">
          <cell r="J6158" t="str">
            <v>00 -00-00-00-</v>
          </cell>
          <cell r="L6158" t="str">
            <v>00 -00-00-00-</v>
          </cell>
          <cell r="O6158" t="str">
            <v>SIN CUENTA ASIGNADA</v>
          </cell>
        </row>
        <row r="6159">
          <cell r="J6159" t="str">
            <v>00 -00-00-00-</v>
          </cell>
          <cell r="L6159" t="str">
            <v>00 -00-00-00-</v>
          </cell>
          <cell r="O6159" t="str">
            <v>SIN CUENTA ASIGNADA</v>
          </cell>
        </row>
        <row r="6160">
          <cell r="J6160" t="str">
            <v>00 -00-00-00-</v>
          </cell>
          <cell r="L6160" t="str">
            <v>00 -00-00-00-</v>
          </cell>
          <cell r="O6160" t="str">
            <v>SIN CUENTA ASIGNADA</v>
          </cell>
        </row>
        <row r="6161">
          <cell r="J6161" t="str">
            <v>00 -00-00-00-</v>
          </cell>
          <cell r="L6161" t="str">
            <v>00 -00-00-00-</v>
          </cell>
          <cell r="O6161" t="str">
            <v>SIN CUENTA ASIGNADA</v>
          </cell>
        </row>
        <row r="6162">
          <cell r="J6162" t="str">
            <v>00 -00-00-00-</v>
          </cell>
          <cell r="L6162" t="str">
            <v>00 -00-00-00-</v>
          </cell>
          <cell r="O6162" t="str">
            <v>SIN CUENTA ASIGNADA</v>
          </cell>
        </row>
        <row r="6163">
          <cell r="J6163" t="str">
            <v>00 -00-00-00-</v>
          </cell>
          <cell r="L6163" t="str">
            <v>00 -00-00-00-</v>
          </cell>
          <cell r="O6163" t="str">
            <v>SIN CUENTA ASIGNADA</v>
          </cell>
        </row>
        <row r="6164">
          <cell r="J6164" t="str">
            <v>00 -00-00-00-</v>
          </cell>
          <cell r="L6164" t="str">
            <v>00 -00-00-00-</v>
          </cell>
          <cell r="O6164" t="str">
            <v>SIN CUENTA ASIGNADA</v>
          </cell>
        </row>
        <row r="6165">
          <cell r="J6165" t="str">
            <v>00 -00-00-00-</v>
          </cell>
          <cell r="L6165" t="str">
            <v>00 -00-00-00-</v>
          </cell>
          <cell r="O6165" t="str">
            <v>SIN CUENTA ASIGNADA</v>
          </cell>
        </row>
        <row r="6166">
          <cell r="J6166" t="str">
            <v>00 -00-00-00-</v>
          </cell>
          <cell r="L6166" t="str">
            <v>00 -00-00-00-</v>
          </cell>
          <cell r="O6166" t="str">
            <v>SIN CUENTA ASIGNADA</v>
          </cell>
        </row>
        <row r="6167">
          <cell r="J6167" t="str">
            <v>00 -00-00-00-</v>
          </cell>
          <cell r="L6167" t="str">
            <v>00 -00-00-00-</v>
          </cell>
          <cell r="O6167" t="str">
            <v>SIN CUENTA ASIGNADA</v>
          </cell>
        </row>
        <row r="6168">
          <cell r="J6168" t="str">
            <v>00 -00-00-00-</v>
          </cell>
          <cell r="L6168" t="str">
            <v>00 -00-00-00-</v>
          </cell>
          <cell r="O6168" t="str">
            <v>SIN CUENTA ASIGNADA</v>
          </cell>
        </row>
        <row r="6169">
          <cell r="J6169" t="str">
            <v>00 -00-00-00-</v>
          </cell>
          <cell r="L6169" t="str">
            <v>00 -00-00-00-</v>
          </cell>
          <cell r="O6169" t="str">
            <v>SIN CUENTA ASIGNADA</v>
          </cell>
        </row>
        <row r="6170">
          <cell r="J6170" t="str">
            <v>00 -00-00-00-</v>
          </cell>
          <cell r="L6170" t="str">
            <v>00 -00-00-00-</v>
          </cell>
          <cell r="O6170" t="str">
            <v>SIN CUENTA ASIGNADA</v>
          </cell>
        </row>
        <row r="6171">
          <cell r="J6171" t="str">
            <v>00 -00-00-00-</v>
          </cell>
          <cell r="L6171" t="str">
            <v>00 -00-00-00-</v>
          </cell>
          <cell r="O6171" t="str">
            <v>SIN CUENTA ASIGNADA</v>
          </cell>
        </row>
        <row r="6172">
          <cell r="J6172" t="str">
            <v>00 -00-00-00-</v>
          </cell>
          <cell r="L6172" t="str">
            <v>00 -00-00-00-</v>
          </cell>
          <cell r="O6172" t="str">
            <v>SIN CUENTA ASIGNADA</v>
          </cell>
        </row>
        <row r="6173">
          <cell r="J6173" t="str">
            <v>00 -00-00-00-</v>
          </cell>
          <cell r="L6173" t="str">
            <v>00 -00-00-00-</v>
          </cell>
          <cell r="O6173" t="str">
            <v>SIN CUENTA ASIGNADA</v>
          </cell>
        </row>
        <row r="6174">
          <cell r="J6174" t="str">
            <v>00 -00-00-00-</v>
          </cell>
          <cell r="L6174" t="str">
            <v>00 -00-00-00-</v>
          </cell>
          <cell r="O6174" t="str">
            <v>SIN CUENTA ASIGNADA</v>
          </cell>
        </row>
        <row r="6175">
          <cell r="J6175" t="str">
            <v>00 -00-00-00-</v>
          </cell>
          <cell r="L6175" t="str">
            <v>00 -00-00-00-</v>
          </cell>
          <cell r="O6175" t="str">
            <v>SIN CUENTA ASIGNADA</v>
          </cell>
        </row>
        <row r="6176">
          <cell r="J6176" t="str">
            <v>00 -00-00-00-</v>
          </cell>
          <cell r="L6176" t="str">
            <v>00 -00-00-00-</v>
          </cell>
          <cell r="O6176" t="str">
            <v>SIN CUENTA ASIGNADA</v>
          </cell>
        </row>
        <row r="6177">
          <cell r="J6177" t="str">
            <v>00 -00-00-00-</v>
          </cell>
          <cell r="L6177" t="str">
            <v>00 -00-00-00-</v>
          </cell>
          <cell r="O6177" t="str">
            <v>SIN CUENTA ASIGNADA</v>
          </cell>
        </row>
        <row r="6178">
          <cell r="J6178" t="str">
            <v>00 -00-00-00-</v>
          </cell>
          <cell r="L6178" t="str">
            <v>00 -00-00-00-</v>
          </cell>
          <cell r="O6178" t="str">
            <v>SIN CUENTA ASIGNADA</v>
          </cell>
        </row>
        <row r="6179">
          <cell r="J6179" t="str">
            <v>00 -00-00-00-</v>
          </cell>
          <cell r="L6179" t="str">
            <v>00 -00-00-00-</v>
          </cell>
          <cell r="O6179" t="str">
            <v>SIN CUENTA ASIGNADA</v>
          </cell>
        </row>
        <row r="6180">
          <cell r="J6180" t="str">
            <v>00 -00-00-00-</v>
          </cell>
          <cell r="L6180" t="str">
            <v>00 -00-00-00-</v>
          </cell>
          <cell r="O6180" t="str">
            <v>SIN CUENTA ASIGNADA</v>
          </cell>
        </row>
        <row r="6181">
          <cell r="J6181" t="str">
            <v>00 -00-00-00-</v>
          </cell>
          <cell r="L6181" t="str">
            <v>00 -00-00-00-</v>
          </cell>
          <cell r="O6181" t="str">
            <v>SIN CUENTA ASIGNADA</v>
          </cell>
        </row>
        <row r="6182">
          <cell r="J6182" t="str">
            <v>00 -00-00-00-</v>
          </cell>
          <cell r="L6182" t="str">
            <v>00 -00-00-00-</v>
          </cell>
          <cell r="O6182" t="str">
            <v>SIN CUENTA ASIGNADA</v>
          </cell>
        </row>
        <row r="6183">
          <cell r="J6183" t="str">
            <v>00 -00-00-00-</v>
          </cell>
          <cell r="L6183" t="str">
            <v>00 -00-00-00-</v>
          </cell>
          <cell r="O6183" t="str">
            <v>SIN CUENTA ASIGNADA</v>
          </cell>
        </row>
        <row r="6184">
          <cell r="J6184" t="str">
            <v>00 -00-00-00-</v>
          </cell>
          <cell r="L6184" t="str">
            <v>00 -00-00-00-</v>
          </cell>
          <cell r="O6184" t="str">
            <v>SIN CUENTA ASIGNADA</v>
          </cell>
        </row>
        <row r="6185">
          <cell r="J6185" t="str">
            <v>00 -00-00-00-</v>
          </cell>
          <cell r="L6185" t="str">
            <v>00 -00-00-00-</v>
          </cell>
          <cell r="O6185" t="str">
            <v>SIN CUENTA ASIGNADA</v>
          </cell>
        </row>
        <row r="6186">
          <cell r="J6186" t="str">
            <v>00 -00-00-00-</v>
          </cell>
          <cell r="L6186" t="str">
            <v>00 -00-00-00-</v>
          </cell>
          <cell r="O6186" t="str">
            <v>SIN CUENTA ASIGNADA</v>
          </cell>
        </row>
        <row r="6187">
          <cell r="J6187" t="str">
            <v>00 -00-00-00-</v>
          </cell>
          <cell r="L6187" t="str">
            <v>00 -00-00-00-</v>
          </cell>
          <cell r="O6187" t="str">
            <v>SIN CUENTA ASIGNADA</v>
          </cell>
        </row>
        <row r="6188">
          <cell r="J6188" t="str">
            <v>00 -00-00-00-</v>
          </cell>
          <cell r="L6188" t="str">
            <v>00 -00-00-00-</v>
          </cell>
          <cell r="O6188" t="str">
            <v>SIN CUENTA ASIGNADA</v>
          </cell>
        </row>
        <row r="6189">
          <cell r="J6189" t="str">
            <v>00 -00-00-00-</v>
          </cell>
          <cell r="L6189" t="str">
            <v>00 -00-00-00-</v>
          </cell>
          <cell r="O6189" t="str">
            <v>SIN CUENTA ASIGNADA</v>
          </cell>
        </row>
        <row r="6190">
          <cell r="J6190" t="str">
            <v>00 -00-00-00-</v>
          </cell>
          <cell r="L6190" t="str">
            <v>00 -00-00-00-</v>
          </cell>
          <cell r="O6190" t="str">
            <v>SIN CUENTA ASIGNADA</v>
          </cell>
        </row>
        <row r="6191">
          <cell r="J6191" t="str">
            <v>00 -00-00-00-</v>
          </cell>
          <cell r="L6191" t="str">
            <v>00 -00-00-00-</v>
          </cell>
          <cell r="O6191" t="str">
            <v>SIN CUENTA ASIGNADA</v>
          </cell>
        </row>
        <row r="6192">
          <cell r="J6192" t="str">
            <v>00 -00-00-00-</v>
          </cell>
          <cell r="L6192" t="str">
            <v>00 -00-00-00-</v>
          </cell>
          <cell r="O6192" t="str">
            <v>SIN CUENTA ASIGNADA</v>
          </cell>
        </row>
        <row r="6193">
          <cell r="J6193" t="str">
            <v>00 -00-00-00-</v>
          </cell>
          <cell r="L6193" t="str">
            <v>00 -00-00-00-</v>
          </cell>
          <cell r="O6193" t="str">
            <v>SIN CUENTA ASIGNADA</v>
          </cell>
        </row>
        <row r="6194">
          <cell r="J6194" t="str">
            <v>00 -00-00-00-</v>
          </cell>
          <cell r="L6194" t="str">
            <v>00 -00-00-00-</v>
          </cell>
          <cell r="O6194" t="str">
            <v>SIN CUENTA ASIGNADA</v>
          </cell>
        </row>
        <row r="6195">
          <cell r="J6195" t="str">
            <v>00 -00-00-00-</v>
          </cell>
          <cell r="L6195" t="str">
            <v>00 -00-00-00-</v>
          </cell>
          <cell r="O6195" t="str">
            <v>SIN CUENTA ASIGNADA</v>
          </cell>
        </row>
        <row r="6196">
          <cell r="J6196" t="str">
            <v>00 -00-00-00-</v>
          </cell>
          <cell r="L6196" t="str">
            <v>00 -00-00-00-</v>
          </cell>
          <cell r="O6196" t="str">
            <v>SIN CUENTA ASIGNADA</v>
          </cell>
        </row>
        <row r="6197">
          <cell r="J6197" t="str">
            <v>00 -00-00-00-</v>
          </cell>
          <cell r="L6197" t="str">
            <v>00 -00-00-00-</v>
          </cell>
          <cell r="O6197" t="str">
            <v>SIN CUENTA ASIGNADA</v>
          </cell>
        </row>
        <row r="6198">
          <cell r="J6198" t="str">
            <v>00 -00-00-00-</v>
          </cell>
          <cell r="L6198" t="str">
            <v>00 -00-00-00-</v>
          </cell>
          <cell r="O6198" t="str">
            <v>SIN CUENTA ASIGNADA</v>
          </cell>
        </row>
        <row r="6199">
          <cell r="J6199" t="str">
            <v>00 -00-00-00-</v>
          </cell>
          <cell r="L6199" t="str">
            <v>00 -00-00-00-</v>
          </cell>
          <cell r="O6199" t="str">
            <v>SIN CUENTA ASIGNADA</v>
          </cell>
        </row>
        <row r="6200">
          <cell r="J6200" t="str">
            <v>00 -00-00-00-</v>
          </cell>
          <cell r="L6200" t="str">
            <v>00 -00-00-00-</v>
          </cell>
          <cell r="O6200" t="str">
            <v>SIN CUENTA ASIGNADA</v>
          </cell>
        </row>
        <row r="6201">
          <cell r="J6201" t="str">
            <v>00 -00-00-00-</v>
          </cell>
          <cell r="L6201" t="str">
            <v>00 -00-00-00-</v>
          </cell>
          <cell r="O6201" t="str">
            <v>SIN CUENTA ASIGNADA</v>
          </cell>
        </row>
        <row r="6202">
          <cell r="J6202" t="str">
            <v>00 -00-00-00-</v>
          </cell>
          <cell r="L6202" t="str">
            <v>00 -00-00-00-</v>
          </cell>
          <cell r="O6202" t="str">
            <v>SIN CUENTA ASIGNADA</v>
          </cell>
        </row>
        <row r="6203">
          <cell r="J6203" t="str">
            <v>00 -00-00-00-</v>
          </cell>
          <cell r="L6203" t="str">
            <v>00 -00-00-00-</v>
          </cell>
          <cell r="O6203" t="str">
            <v>SIN CUENTA ASIGNADA</v>
          </cell>
        </row>
        <row r="6204">
          <cell r="J6204" t="str">
            <v>00 -00-00-00-</v>
          </cell>
          <cell r="L6204" t="str">
            <v>00 -00-00-00-</v>
          </cell>
          <cell r="O6204" t="str">
            <v>SIN CUENTA ASIGNADA</v>
          </cell>
        </row>
        <row r="6205">
          <cell r="J6205" t="str">
            <v>00 -00-00-00-</v>
          </cell>
          <cell r="L6205" t="str">
            <v>00 -00-00-00-</v>
          </cell>
          <cell r="O6205" t="str">
            <v>SIN CUENTA ASIGNADA</v>
          </cell>
        </row>
        <row r="6206">
          <cell r="J6206" t="str">
            <v>00 -00-00-00-</v>
          </cell>
          <cell r="L6206" t="str">
            <v>00 -00-00-00-</v>
          </cell>
          <cell r="O6206" t="str">
            <v>SIN CUENTA ASIGNADA</v>
          </cell>
        </row>
        <row r="6207">
          <cell r="J6207" t="str">
            <v>00 -00-00-00-</v>
          </cell>
          <cell r="L6207" t="str">
            <v>00 -00-00-00-</v>
          </cell>
          <cell r="O6207" t="str">
            <v>SIN CUENTA ASIGNADA</v>
          </cell>
        </row>
        <row r="6208">
          <cell r="J6208" t="str">
            <v>00 -00-00-00-</v>
          </cell>
          <cell r="L6208" t="str">
            <v>00 -00-00-00-</v>
          </cell>
          <cell r="O6208" t="str">
            <v>SIN CUENTA ASIGNADA</v>
          </cell>
        </row>
        <row r="6209">
          <cell r="J6209" t="str">
            <v>00 -00-00-00-</v>
          </cell>
          <cell r="L6209" t="str">
            <v>00 -00-00-00-</v>
          </cell>
          <cell r="O6209" t="str">
            <v>SIN CUENTA ASIGNADA</v>
          </cell>
        </row>
        <row r="6210">
          <cell r="J6210" t="str">
            <v>00 -00-00-00-</v>
          </cell>
          <cell r="L6210" t="str">
            <v>00 -00-00-00-</v>
          </cell>
          <cell r="O6210" t="str">
            <v>SIN CUENTA ASIGNADA</v>
          </cell>
        </row>
        <row r="6211">
          <cell r="J6211" t="str">
            <v>00 -00-00-00-</v>
          </cell>
          <cell r="L6211" t="str">
            <v>00 -00-00-00-</v>
          </cell>
          <cell r="O6211" t="str">
            <v>SIN CUENTA ASIGNADA</v>
          </cell>
        </row>
        <row r="6212">
          <cell r="J6212" t="str">
            <v>00 -00-00-00-</v>
          </cell>
          <cell r="L6212" t="str">
            <v>00 -00-00-00-</v>
          </cell>
          <cell r="O6212" t="str">
            <v>SIN CUENTA ASIGNADA</v>
          </cell>
        </row>
        <row r="6213">
          <cell r="J6213" t="str">
            <v>00 -00-00-00-</v>
          </cell>
          <cell r="L6213" t="str">
            <v>00 -00-00-00-</v>
          </cell>
          <cell r="O6213" t="str">
            <v>SIN CUENTA ASIGNADA</v>
          </cell>
        </row>
        <row r="6214">
          <cell r="J6214" t="str">
            <v>00 -00-00-00-</v>
          </cell>
          <cell r="L6214" t="str">
            <v>00 -00-00-00-</v>
          </cell>
          <cell r="O6214" t="str">
            <v>SIN CUENTA ASIGNADA</v>
          </cell>
        </row>
        <row r="6215">
          <cell r="J6215" t="str">
            <v>00 -00-00-00-</v>
          </cell>
          <cell r="L6215" t="str">
            <v>00 -00-00-00-</v>
          </cell>
          <cell r="O6215" t="str">
            <v>SIN CUENTA ASIGNADA</v>
          </cell>
        </row>
        <row r="6216">
          <cell r="J6216" t="str">
            <v>00 -00-00-00-</v>
          </cell>
          <cell r="L6216" t="str">
            <v>00 -00-00-00-</v>
          </cell>
          <cell r="O6216" t="str">
            <v>SIN CUENTA ASIGNADA</v>
          </cell>
        </row>
        <row r="6217">
          <cell r="J6217" t="str">
            <v>00 -00-00-00-</v>
          </cell>
          <cell r="L6217" t="str">
            <v>00 -00-00-00-</v>
          </cell>
          <cell r="O6217" t="str">
            <v>SIN CUENTA ASIGNADA</v>
          </cell>
        </row>
        <row r="6218">
          <cell r="J6218" t="str">
            <v>00 -00-00-00-</v>
          </cell>
          <cell r="L6218" t="str">
            <v>00 -00-00-00-</v>
          </cell>
          <cell r="O6218" t="str">
            <v>SIN CUENTA ASIGNADA</v>
          </cell>
        </row>
        <row r="6219">
          <cell r="J6219" t="str">
            <v>00 -00-00-00-</v>
          </cell>
          <cell r="L6219" t="str">
            <v>00 -00-00-00-</v>
          </cell>
          <cell r="O6219" t="str">
            <v>SIN CUENTA ASIGNADA</v>
          </cell>
        </row>
        <row r="6220">
          <cell r="J6220" t="str">
            <v>00 -00-00-00-</v>
          </cell>
          <cell r="L6220" t="str">
            <v>00 -00-00-00-</v>
          </cell>
          <cell r="O6220" t="str">
            <v>SIN CUENTA ASIGNADA</v>
          </cell>
        </row>
        <row r="6221">
          <cell r="J6221" t="str">
            <v>00 -00-00-00-</v>
          </cell>
          <cell r="L6221" t="str">
            <v>00 -00-00-00-</v>
          </cell>
          <cell r="O6221" t="str">
            <v>SIN CUENTA ASIGNADA</v>
          </cell>
        </row>
        <row r="6222">
          <cell r="J6222" t="str">
            <v>00 -00-00-00-</v>
          </cell>
          <cell r="L6222" t="str">
            <v>00 -00-00-00-</v>
          </cell>
          <cell r="O6222" t="str">
            <v>SIN CUENTA ASIGNADA</v>
          </cell>
        </row>
        <row r="6223">
          <cell r="J6223" t="str">
            <v>00 -00-00-00-</v>
          </cell>
          <cell r="L6223" t="str">
            <v>00 -00-00-00-</v>
          </cell>
          <cell r="O6223" t="str">
            <v>SIN CUENTA ASIGNADA</v>
          </cell>
        </row>
        <row r="6224">
          <cell r="J6224" t="str">
            <v>00 -00-00-00-</v>
          </cell>
          <cell r="L6224" t="str">
            <v>00 -00-00-00-</v>
          </cell>
          <cell r="O6224" t="str">
            <v>SIN CUENTA ASIGNADA</v>
          </cell>
        </row>
        <row r="6225">
          <cell r="J6225" t="str">
            <v>00 -00-00-00-</v>
          </cell>
          <cell r="L6225" t="str">
            <v>00 -00-00-00-</v>
          </cell>
          <cell r="O6225" t="str">
            <v>SIN CUENTA ASIGNADA</v>
          </cell>
        </row>
        <row r="6226">
          <cell r="J6226" t="str">
            <v>00 -00-00-00-</v>
          </cell>
          <cell r="L6226" t="str">
            <v>00 -00-00-00-</v>
          </cell>
          <cell r="O6226" t="str">
            <v>SIN CUENTA ASIGNADA</v>
          </cell>
        </row>
        <row r="6227">
          <cell r="J6227" t="str">
            <v>00 -00-00-00-</v>
          </cell>
          <cell r="L6227" t="str">
            <v>00 -00-00-00-</v>
          </cell>
          <cell r="O6227" t="str">
            <v>SIN CUENTA ASIGNADA</v>
          </cell>
        </row>
        <row r="6228">
          <cell r="J6228" t="str">
            <v>00 -00-00-00-</v>
          </cell>
          <cell r="L6228" t="str">
            <v>00 -00-00-00-</v>
          </cell>
          <cell r="O6228" t="str">
            <v>SIN CUENTA ASIGNADA</v>
          </cell>
        </row>
        <row r="6229">
          <cell r="J6229" t="str">
            <v>00 -00-00-00-</v>
          </cell>
          <cell r="L6229" t="str">
            <v>00 -00-00-00-</v>
          </cell>
          <cell r="O6229" t="str">
            <v>SIN CUENTA ASIGNADA</v>
          </cell>
        </row>
        <row r="6230">
          <cell r="J6230" t="str">
            <v>00 -00-00-00-</v>
          </cell>
          <cell r="L6230" t="str">
            <v>00 -00-00-00-</v>
          </cell>
          <cell r="O6230" t="str">
            <v>SIN CUENTA ASIGNADA</v>
          </cell>
        </row>
        <row r="6231">
          <cell r="J6231" t="str">
            <v>00 -00-00-00-</v>
          </cell>
          <cell r="L6231" t="str">
            <v>00 -00-00-00-</v>
          </cell>
          <cell r="O6231" t="str">
            <v>SIN CUENTA ASIGNADA</v>
          </cell>
        </row>
        <row r="6232">
          <cell r="J6232" t="str">
            <v>00 -00-00-00-</v>
          </cell>
          <cell r="L6232" t="str">
            <v>00 -00-00-00-</v>
          </cell>
          <cell r="O6232" t="str">
            <v>SIN CUENTA ASIGNADA</v>
          </cell>
        </row>
        <row r="6233">
          <cell r="J6233" t="str">
            <v>00 -00-00-00-</v>
          </cell>
          <cell r="L6233" t="str">
            <v>00 -00-00-00-</v>
          </cell>
          <cell r="O6233" t="str">
            <v>SIN CUENTA ASIGNADA</v>
          </cell>
        </row>
        <row r="6234">
          <cell r="J6234" t="str">
            <v>00 -00-00-00-</v>
          </cell>
          <cell r="L6234" t="str">
            <v>00 -00-00-00-</v>
          </cell>
          <cell r="O6234" t="str">
            <v>SIN CUENTA ASIGNADA</v>
          </cell>
        </row>
        <row r="6235">
          <cell r="J6235" t="str">
            <v>00 -00-00-00-</v>
          </cell>
          <cell r="L6235" t="str">
            <v>00 -00-00-00-</v>
          </cell>
          <cell r="O6235" t="str">
            <v>SIN CUENTA ASIGNADA</v>
          </cell>
        </row>
        <row r="6236">
          <cell r="J6236" t="str">
            <v>00 -00-00-00-</v>
          </cell>
          <cell r="L6236" t="str">
            <v>00 -00-00-00-</v>
          </cell>
          <cell r="O6236" t="str">
            <v>SIN CUENTA ASIGNADA</v>
          </cell>
        </row>
        <row r="6237">
          <cell r="J6237" t="str">
            <v>00 -00-00-00-</v>
          </cell>
          <cell r="L6237" t="str">
            <v>00 -00-00-00-</v>
          </cell>
          <cell r="O6237" t="str">
            <v>SIN CUENTA ASIGNADA</v>
          </cell>
        </row>
        <row r="6238">
          <cell r="J6238" t="str">
            <v>00 -00-00-00-</v>
          </cell>
          <cell r="L6238" t="str">
            <v>00 -00-00-00-</v>
          </cell>
          <cell r="O6238" t="str">
            <v>SIN CUENTA ASIGNADA</v>
          </cell>
        </row>
        <row r="6239">
          <cell r="J6239" t="str">
            <v>00 -00-00-00-</v>
          </cell>
          <cell r="L6239" t="str">
            <v>00 -00-00-00-</v>
          </cell>
          <cell r="O6239" t="str">
            <v>SIN CUENTA ASIGNADA</v>
          </cell>
        </row>
        <row r="6240">
          <cell r="J6240" t="str">
            <v>00 -00-00-00-</v>
          </cell>
          <cell r="L6240" t="str">
            <v>00 -00-00-00-</v>
          </cell>
          <cell r="O6240" t="str">
            <v>SIN CUENTA ASIGNADA</v>
          </cell>
        </row>
        <row r="6241">
          <cell r="J6241" t="str">
            <v>00 -00-00-00-</v>
          </cell>
          <cell r="L6241" t="str">
            <v>00 -00-00-00-</v>
          </cell>
          <cell r="O6241" t="str">
            <v>SIN CUENTA ASIGNADA</v>
          </cell>
        </row>
        <row r="6242">
          <cell r="J6242" t="str">
            <v>00 -00-00-00-</v>
          </cell>
          <cell r="L6242" t="str">
            <v>00 -00-00-00-</v>
          </cell>
          <cell r="O6242" t="str">
            <v>SIN CUENTA ASIGNADA</v>
          </cell>
        </row>
        <row r="6243">
          <cell r="J6243" t="str">
            <v>00 -00-00-00-</v>
          </cell>
          <cell r="L6243" t="str">
            <v>00 -00-00-00-</v>
          </cell>
          <cell r="O6243" t="str">
            <v>SIN CUENTA ASIGNADA</v>
          </cell>
        </row>
        <row r="6244">
          <cell r="J6244" t="str">
            <v>00 -00-00-00-</v>
          </cell>
          <cell r="L6244" t="str">
            <v>00 -00-00-00-</v>
          </cell>
          <cell r="O6244" t="str">
            <v>SIN CUENTA ASIGNADA</v>
          </cell>
        </row>
        <row r="6245">
          <cell r="J6245" t="str">
            <v>00 -00-00-00-</v>
          </cell>
          <cell r="L6245" t="str">
            <v>00 -00-00-00-</v>
          </cell>
          <cell r="O6245" t="str">
            <v>SIN CUENTA ASIGNADA</v>
          </cell>
        </row>
        <row r="6246">
          <cell r="J6246" t="str">
            <v>00 -00-00-00-</v>
          </cell>
          <cell r="L6246" t="str">
            <v>00 -00-00-00-</v>
          </cell>
          <cell r="O6246" t="str">
            <v>SIN CUENTA ASIGNADA</v>
          </cell>
        </row>
        <row r="6247">
          <cell r="J6247" t="str">
            <v>00 -00-00-00-</v>
          </cell>
          <cell r="L6247" t="str">
            <v>00 -00-00-00-</v>
          </cell>
          <cell r="O6247" t="str">
            <v>SIN CUENTA ASIGNADA</v>
          </cell>
        </row>
        <row r="6248">
          <cell r="J6248" t="str">
            <v>00 -00-00-00-</v>
          </cell>
          <cell r="L6248" t="str">
            <v>00 -00-00-00-</v>
          </cell>
          <cell r="O6248" t="str">
            <v>SIN CUENTA ASIGNADA</v>
          </cell>
        </row>
        <row r="6249">
          <cell r="J6249" t="str">
            <v>00 -00-00-00-</v>
          </cell>
          <cell r="L6249" t="str">
            <v>00 -00-00-00-</v>
          </cell>
          <cell r="O6249" t="str">
            <v>SIN CUENTA ASIGNADA</v>
          </cell>
        </row>
        <row r="6250">
          <cell r="J6250" t="str">
            <v>00 -00-00-00-</v>
          </cell>
          <cell r="L6250" t="str">
            <v>00 -00-00-00-</v>
          </cell>
          <cell r="O6250" t="str">
            <v>SIN CUENTA ASIGNADA</v>
          </cell>
        </row>
        <row r="6251">
          <cell r="J6251" t="str">
            <v>00 -00-00-00-</v>
          </cell>
          <cell r="L6251" t="str">
            <v>00 -00-00-00-</v>
          </cell>
          <cell r="O6251" t="str">
            <v>SIN CUENTA ASIGNADA</v>
          </cell>
        </row>
        <row r="6252">
          <cell r="J6252" t="str">
            <v>00 -00-00-00-</v>
          </cell>
          <cell r="L6252" t="str">
            <v>00 -00-00-00-</v>
          </cell>
          <cell r="O6252" t="str">
            <v>SIN CUENTA ASIGNADA</v>
          </cell>
        </row>
        <row r="6253">
          <cell r="J6253" t="str">
            <v>00 -00-00-00-</v>
          </cell>
          <cell r="L6253" t="str">
            <v>00 -00-00-00-</v>
          </cell>
          <cell r="O6253" t="str">
            <v>SIN CUENTA ASIGNADA</v>
          </cell>
        </row>
        <row r="6254">
          <cell r="J6254" t="str">
            <v>00 -00-00-00-</v>
          </cell>
          <cell r="L6254" t="str">
            <v>00 -00-00-00-</v>
          </cell>
          <cell r="O6254" t="str">
            <v>SIN CUENTA ASIGNADA</v>
          </cell>
        </row>
        <row r="6255">
          <cell r="J6255" t="str">
            <v>00 -00-00-00-</v>
          </cell>
          <cell r="L6255" t="str">
            <v>00 -00-00-00-</v>
          </cell>
          <cell r="O6255" t="str">
            <v>SIN CUENTA ASIGNADA</v>
          </cell>
        </row>
        <row r="6256">
          <cell r="J6256" t="str">
            <v>00 -00-00-00-</v>
          </cell>
          <cell r="L6256" t="str">
            <v>00 -00-00-00-</v>
          </cell>
          <cell r="O6256" t="str">
            <v>SIN CUENTA ASIGNADA</v>
          </cell>
        </row>
        <row r="6257">
          <cell r="J6257" t="str">
            <v>00 -00-00-00-</v>
          </cell>
          <cell r="L6257" t="str">
            <v>00 -00-00-00-</v>
          </cell>
          <cell r="O6257" t="str">
            <v>SIN CUENTA ASIGNADA</v>
          </cell>
        </row>
        <row r="6258">
          <cell r="J6258" t="str">
            <v>00 -00-00-00-</v>
          </cell>
          <cell r="L6258" t="str">
            <v>00 -00-00-00-</v>
          </cell>
          <cell r="O6258" t="str">
            <v>SIN CUENTA ASIGNADA</v>
          </cell>
        </row>
        <row r="6259">
          <cell r="J6259" t="str">
            <v>00 -00-00-00-</v>
          </cell>
          <cell r="L6259" t="str">
            <v>00 -00-00-00-</v>
          </cell>
          <cell r="O6259" t="str">
            <v>SIN CUENTA ASIGNADA</v>
          </cell>
        </row>
        <row r="6260">
          <cell r="J6260" t="str">
            <v>00 -00-00-00-</v>
          </cell>
          <cell r="L6260" t="str">
            <v>00 -00-00-00-</v>
          </cell>
          <cell r="O6260" t="str">
            <v>SIN CUENTA ASIGNADA</v>
          </cell>
        </row>
        <row r="6261">
          <cell r="J6261" t="str">
            <v>00 -00-00-00-</v>
          </cell>
          <cell r="L6261" t="str">
            <v>00 -00-00-00-</v>
          </cell>
          <cell r="O6261" t="str">
            <v>SIN CUENTA ASIGNADA</v>
          </cell>
        </row>
        <row r="6262">
          <cell r="J6262" t="str">
            <v>00 -00-00-00-</v>
          </cell>
          <cell r="L6262" t="str">
            <v>00 -00-00-00-</v>
          </cell>
          <cell r="O6262" t="str">
            <v>SIN CUENTA ASIGNADA</v>
          </cell>
        </row>
        <row r="6263">
          <cell r="J6263" t="str">
            <v>00 -00-00-00-</v>
          </cell>
          <cell r="L6263" t="str">
            <v>00 -00-00-00-</v>
          </cell>
          <cell r="O6263" t="str">
            <v>SIN CUENTA ASIGNADA</v>
          </cell>
        </row>
        <row r="6264">
          <cell r="J6264" t="str">
            <v>00 -00-00-00-</v>
          </cell>
          <cell r="L6264" t="str">
            <v>00 -00-00-00-</v>
          </cell>
          <cell r="O6264" t="str">
            <v>SIN CUENTA ASIGNADA</v>
          </cell>
        </row>
        <row r="6265">
          <cell r="J6265" t="str">
            <v>00 -00-00-00-</v>
          </cell>
          <cell r="L6265" t="str">
            <v>00 -00-00-00-</v>
          </cell>
          <cell r="O6265" t="str">
            <v>SIN CUENTA ASIGNADA</v>
          </cell>
        </row>
        <row r="6266">
          <cell r="J6266" t="str">
            <v>00 -00-00-00-</v>
          </cell>
          <cell r="L6266" t="str">
            <v>00 -00-00-00-</v>
          </cell>
          <cell r="O6266" t="str">
            <v>SIN CUENTA ASIGNADA</v>
          </cell>
        </row>
        <row r="6267">
          <cell r="J6267" t="str">
            <v>00 -00-00-00-</v>
          </cell>
          <cell r="L6267" t="str">
            <v>00 -00-00-00-</v>
          </cell>
          <cell r="O6267" t="str">
            <v>SIN CUENTA ASIGNADA</v>
          </cell>
        </row>
        <row r="6268">
          <cell r="J6268" t="str">
            <v>00 -00-00-00-</v>
          </cell>
          <cell r="L6268" t="str">
            <v>00 -00-00-00-</v>
          </cell>
          <cell r="O6268" t="str">
            <v>SIN CUENTA ASIGNADA</v>
          </cell>
        </row>
        <row r="6269">
          <cell r="J6269" t="str">
            <v>00 -00-00-00-</v>
          </cell>
          <cell r="L6269" t="str">
            <v>00 -00-00-00-</v>
          </cell>
          <cell r="O6269" t="str">
            <v>SIN CUENTA ASIGNADA</v>
          </cell>
        </row>
        <row r="6270">
          <cell r="J6270" t="str">
            <v>00 -00-00-00-</v>
          </cell>
          <cell r="L6270" t="str">
            <v>00 -00-00-00-</v>
          </cell>
          <cell r="O6270" t="str">
            <v>SIN CUENTA ASIGNADA</v>
          </cell>
        </row>
        <row r="6271">
          <cell r="J6271" t="str">
            <v>00 -00-00-00-</v>
          </cell>
          <cell r="L6271" t="str">
            <v>00 -00-00-00-</v>
          </cell>
          <cell r="O6271" t="str">
            <v>SIN CUENTA ASIGNADA</v>
          </cell>
        </row>
        <row r="6272">
          <cell r="J6272" t="str">
            <v>00 -00-00-00-</v>
          </cell>
          <cell r="L6272" t="str">
            <v>00 -00-00-00-</v>
          </cell>
          <cell r="O6272" t="str">
            <v>SIN CUENTA ASIGNADA</v>
          </cell>
        </row>
        <row r="6273">
          <cell r="J6273" t="str">
            <v>00 -00-00-00-</v>
          </cell>
          <cell r="L6273" t="str">
            <v>00 -00-00-00-</v>
          </cell>
          <cell r="O6273" t="str">
            <v>SIN CUENTA ASIGNADA</v>
          </cell>
        </row>
        <row r="6274">
          <cell r="J6274" t="str">
            <v>00 -00-00-00-</v>
          </cell>
          <cell r="L6274" t="str">
            <v>00 -00-00-00-</v>
          </cell>
          <cell r="O6274" t="str">
            <v>SIN CUENTA ASIGNADA</v>
          </cell>
        </row>
        <row r="6275">
          <cell r="J6275" t="str">
            <v>00 -00-00-00-</v>
          </cell>
          <cell r="L6275" t="str">
            <v>00 -00-00-00-</v>
          </cell>
          <cell r="O6275" t="str">
            <v>SIN CUENTA ASIGNADA</v>
          </cell>
        </row>
        <row r="6276">
          <cell r="J6276" t="str">
            <v>00 -00-00-00-</v>
          </cell>
          <cell r="L6276" t="str">
            <v>00 -00-00-00-</v>
          </cell>
          <cell r="O6276" t="str">
            <v>SIN CUENTA ASIGNADA</v>
          </cell>
        </row>
        <row r="6277">
          <cell r="J6277" t="str">
            <v>00 -00-00-00-</v>
          </cell>
          <cell r="L6277" t="str">
            <v>00 -00-00-00-</v>
          </cell>
          <cell r="O6277" t="str">
            <v>SIN CUENTA ASIGNADA</v>
          </cell>
        </row>
        <row r="6278">
          <cell r="J6278" t="str">
            <v>00 -00-00-00-</v>
          </cell>
          <cell r="L6278" t="str">
            <v>00 -00-00-00-</v>
          </cell>
          <cell r="O6278" t="str">
            <v>SIN CUENTA ASIGNADA</v>
          </cell>
        </row>
        <row r="6279">
          <cell r="J6279" t="str">
            <v>00 -00-00-00-</v>
          </cell>
          <cell r="L6279" t="str">
            <v>00 -00-00-00-</v>
          </cell>
          <cell r="O6279" t="str">
            <v>SIN CUENTA ASIGNADA</v>
          </cell>
        </row>
        <row r="6280">
          <cell r="J6280" t="str">
            <v>00 -00-00-00-</v>
          </cell>
          <cell r="L6280" t="str">
            <v>00 -00-00-00-</v>
          </cell>
          <cell r="O6280" t="str">
            <v>SIN CUENTA ASIGNADA</v>
          </cell>
        </row>
        <row r="6281">
          <cell r="J6281" t="str">
            <v>00 -00-00-00-</v>
          </cell>
          <cell r="L6281" t="str">
            <v>00 -00-00-00-</v>
          </cell>
          <cell r="O6281" t="str">
            <v>SIN CUENTA ASIGNADA</v>
          </cell>
        </row>
        <row r="6282">
          <cell r="J6282" t="str">
            <v>00 -00-00-00-</v>
          </cell>
          <cell r="L6282" t="str">
            <v>00 -00-00-00-</v>
          </cell>
          <cell r="O6282" t="str">
            <v>SIN CUENTA ASIGNADA</v>
          </cell>
        </row>
        <row r="6283">
          <cell r="J6283" t="str">
            <v>00 -00-00-00-</v>
          </cell>
          <cell r="L6283" t="str">
            <v>00 -00-00-00-</v>
          </cell>
          <cell r="O6283" t="str">
            <v>SIN CUENTA ASIGNADA</v>
          </cell>
        </row>
        <row r="6284">
          <cell r="J6284" t="str">
            <v>00 -00-00-00-</v>
          </cell>
          <cell r="L6284" t="str">
            <v>00 -00-00-00-</v>
          </cell>
          <cell r="O6284" t="str">
            <v>SIN CUENTA ASIGNADA</v>
          </cell>
        </row>
        <row r="6285">
          <cell r="J6285" t="str">
            <v>00 -00-00-00-</v>
          </cell>
          <cell r="L6285" t="str">
            <v>00 -00-00-00-</v>
          </cell>
          <cell r="O6285" t="str">
            <v>SIN CUENTA ASIGNADA</v>
          </cell>
        </row>
        <row r="6286">
          <cell r="J6286" t="str">
            <v>00 -00-00-00-</v>
          </cell>
          <cell r="L6286" t="str">
            <v>00 -00-00-00-</v>
          </cell>
          <cell r="O6286" t="str">
            <v>SIN CUENTA ASIGNADA</v>
          </cell>
        </row>
        <row r="6287">
          <cell r="J6287" t="str">
            <v>00 -00-00-00-</v>
          </cell>
          <cell r="L6287" t="str">
            <v>00 -00-00-00-</v>
          </cell>
          <cell r="O6287" t="str">
            <v>SIN CUENTA ASIGNADA</v>
          </cell>
        </row>
        <row r="6288">
          <cell r="J6288" t="str">
            <v>00 -00-00-00-</v>
          </cell>
          <cell r="L6288" t="str">
            <v>00 -00-00-00-</v>
          </cell>
          <cell r="O6288" t="str">
            <v>SIN CUENTA ASIGNADA</v>
          </cell>
        </row>
        <row r="6289">
          <cell r="J6289" t="str">
            <v>00 -00-00-00-</v>
          </cell>
          <cell r="L6289" t="str">
            <v>00 -00-00-00-</v>
          </cell>
          <cell r="O6289" t="str">
            <v>SIN CUENTA ASIGNADA</v>
          </cell>
        </row>
        <row r="6290">
          <cell r="J6290" t="str">
            <v>00 -00-00-00-</v>
          </cell>
          <cell r="L6290" t="str">
            <v>00 -00-00-00-</v>
          </cell>
          <cell r="O6290" t="str">
            <v>SIN CUENTA ASIGNADA</v>
          </cell>
        </row>
        <row r="6291">
          <cell r="J6291" t="str">
            <v>00 -00-00-00-</v>
          </cell>
          <cell r="L6291" t="str">
            <v>00 -00-00-00-</v>
          </cell>
          <cell r="O6291" t="str">
            <v>SIN CUENTA ASIGNADA</v>
          </cell>
        </row>
        <row r="6292">
          <cell r="J6292" t="str">
            <v>00 -00-00-00-</v>
          </cell>
          <cell r="L6292" t="str">
            <v>00 -00-00-00-</v>
          </cell>
          <cell r="O6292" t="str">
            <v>SIN CUENTA ASIGNADA</v>
          </cell>
        </row>
        <row r="6293">
          <cell r="J6293" t="str">
            <v>00 -00-00-00-</v>
          </cell>
          <cell r="L6293" t="str">
            <v>00 -00-00-00-</v>
          </cell>
          <cell r="O6293" t="str">
            <v>SIN CUENTA ASIGNADA</v>
          </cell>
        </row>
        <row r="6294">
          <cell r="J6294" t="str">
            <v>00 -00-00-00-</v>
          </cell>
          <cell r="L6294" t="str">
            <v>00 -00-00-00-</v>
          </cell>
          <cell r="O6294" t="str">
            <v>SIN CUENTA ASIGNADA</v>
          </cell>
        </row>
        <row r="6295">
          <cell r="J6295" t="str">
            <v>00 -00-00-00-</v>
          </cell>
          <cell r="L6295" t="str">
            <v>00 -00-00-00-</v>
          </cell>
          <cell r="O6295" t="str">
            <v>SIN CUENTA ASIGNADA</v>
          </cell>
        </row>
        <row r="6296">
          <cell r="J6296" t="str">
            <v>00 -00-00-00-</v>
          </cell>
          <cell r="L6296" t="str">
            <v>00 -00-00-00-</v>
          </cell>
          <cell r="O6296" t="str">
            <v>SIN CUENTA ASIGNADA</v>
          </cell>
        </row>
        <row r="6297">
          <cell r="J6297" t="str">
            <v>00 -00-00-00-</v>
          </cell>
          <cell r="L6297" t="str">
            <v>00 -00-00-00-</v>
          </cell>
          <cell r="O6297" t="str">
            <v>SIN CUENTA ASIGNADA</v>
          </cell>
        </row>
        <row r="6298">
          <cell r="J6298" t="str">
            <v>00 -00-00-00-</v>
          </cell>
          <cell r="L6298" t="str">
            <v>00 -00-00-00-</v>
          </cell>
          <cell r="O6298" t="str">
            <v>SIN CUENTA ASIGNADA</v>
          </cell>
        </row>
        <row r="6299">
          <cell r="J6299" t="str">
            <v>00 -00-00-00-</v>
          </cell>
          <cell r="L6299" t="str">
            <v>00 -00-00-00-</v>
          </cell>
          <cell r="O6299" t="str">
            <v>SIN CUENTA ASIGNADA</v>
          </cell>
        </row>
        <row r="6300">
          <cell r="J6300" t="str">
            <v>00 -00-00-00-</v>
          </cell>
          <cell r="L6300" t="str">
            <v>00 -00-00-00-</v>
          </cell>
          <cell r="O6300" t="str">
            <v>SIN CUENTA ASIGNADA</v>
          </cell>
        </row>
        <row r="6301">
          <cell r="J6301" t="str">
            <v>00 -00-00-00-</v>
          </cell>
          <cell r="L6301" t="str">
            <v>00 -00-00-00-</v>
          </cell>
          <cell r="O6301" t="str">
            <v>SIN CUENTA ASIGNADA</v>
          </cell>
        </row>
        <row r="6302">
          <cell r="J6302" t="str">
            <v>00 -00-00-00-</v>
          </cell>
          <cell r="L6302" t="str">
            <v>00 -00-00-00-</v>
          </cell>
          <cell r="O6302" t="str">
            <v>SIN CUENTA ASIGNADA</v>
          </cell>
        </row>
        <row r="6303">
          <cell r="J6303" t="str">
            <v>00 -00-00-00-</v>
          </cell>
          <cell r="L6303" t="str">
            <v>00 -00-00-00-</v>
          </cell>
          <cell r="O6303" t="str">
            <v>SIN CUENTA ASIGNADA</v>
          </cell>
        </row>
        <row r="6304">
          <cell r="J6304" t="str">
            <v>00 -00-00-00-</v>
          </cell>
          <cell r="L6304" t="str">
            <v>00 -00-00-00-</v>
          </cell>
          <cell r="O6304" t="str">
            <v>SIN CUENTA ASIGNADA</v>
          </cell>
        </row>
        <row r="6305">
          <cell r="J6305" t="str">
            <v>00 -00-00-00-</v>
          </cell>
          <cell r="L6305" t="str">
            <v>00 -00-00-00-</v>
          </cell>
          <cell r="O6305" t="str">
            <v>SIN CUENTA ASIGNADA</v>
          </cell>
        </row>
        <row r="6306">
          <cell r="J6306" t="str">
            <v>00 -00-00-00-</v>
          </cell>
          <cell r="L6306" t="str">
            <v>00 -00-00-00-</v>
          </cell>
          <cell r="O6306" t="str">
            <v>SIN CUENTA ASIGNADA</v>
          </cell>
        </row>
        <row r="6307">
          <cell r="J6307" t="str">
            <v>00 -00-00-00-</v>
          </cell>
          <cell r="L6307" t="str">
            <v>00 -00-00-00-</v>
          </cell>
          <cell r="O6307" t="str">
            <v>SIN CUENTA ASIGNADA</v>
          </cell>
        </row>
        <row r="6308">
          <cell r="J6308" t="str">
            <v>00 -00-00-00-</v>
          </cell>
          <cell r="L6308" t="str">
            <v>00 -00-00-00-</v>
          </cell>
          <cell r="O6308" t="str">
            <v>SIN CUENTA ASIGNADA</v>
          </cell>
        </row>
        <row r="6309">
          <cell r="J6309" t="str">
            <v>00 -00-00-00-</v>
          </cell>
          <cell r="L6309" t="str">
            <v>00 -00-00-00-</v>
          </cell>
          <cell r="O6309" t="str">
            <v>SIN CUENTA ASIGNADA</v>
          </cell>
        </row>
        <row r="6310">
          <cell r="J6310" t="str">
            <v>00 -00-00-00-</v>
          </cell>
          <cell r="L6310" t="str">
            <v>00 -00-00-00-</v>
          </cell>
          <cell r="O6310" t="str">
            <v>SIN CUENTA ASIGNADA</v>
          </cell>
        </row>
        <row r="6311">
          <cell r="J6311" t="str">
            <v>00 -00-00-00-</v>
          </cell>
          <cell r="L6311" t="str">
            <v>00 -00-00-00-</v>
          </cell>
          <cell r="O6311" t="str">
            <v>SIN CUENTA ASIGNADA</v>
          </cell>
        </row>
        <row r="6312">
          <cell r="J6312" t="str">
            <v>00 -00-00-00-</v>
          </cell>
          <cell r="L6312" t="str">
            <v>00 -00-00-00-</v>
          </cell>
          <cell r="O6312" t="str">
            <v>SIN CUENTA ASIGNADA</v>
          </cell>
        </row>
        <row r="6313">
          <cell r="J6313" t="str">
            <v>00 -00-00-00-</v>
          </cell>
          <cell r="L6313" t="str">
            <v>00 -00-00-00-</v>
          </cell>
          <cell r="O6313" t="str">
            <v>SIN CUENTA ASIGNADA</v>
          </cell>
        </row>
        <row r="6314">
          <cell r="J6314" t="str">
            <v>00 -00-00-00-</v>
          </cell>
          <cell r="L6314" t="str">
            <v>00 -00-00-00-</v>
          </cell>
          <cell r="O6314" t="str">
            <v>SIN CUENTA ASIGNADA</v>
          </cell>
        </row>
        <row r="6315">
          <cell r="J6315" t="str">
            <v>00 -00-00-00-</v>
          </cell>
          <cell r="L6315" t="str">
            <v>00 -00-00-00-</v>
          </cell>
          <cell r="O6315" t="str">
            <v>SIN CUENTA ASIGNADA</v>
          </cell>
        </row>
        <row r="6316">
          <cell r="J6316" t="str">
            <v>00 -00-00-00-</v>
          </cell>
          <cell r="L6316" t="str">
            <v>00 -00-00-00-</v>
          </cell>
          <cell r="O6316" t="str">
            <v>SIN CUENTA ASIGNADA</v>
          </cell>
        </row>
        <row r="6317">
          <cell r="J6317" t="str">
            <v>00 -00-00-00-</v>
          </cell>
          <cell r="L6317" t="str">
            <v>00 -00-00-00-</v>
          </cell>
          <cell r="O6317" t="str">
            <v>SIN CUENTA ASIGNADA</v>
          </cell>
        </row>
        <row r="6318">
          <cell r="J6318" t="str">
            <v>00 -00-00-00-</v>
          </cell>
          <cell r="L6318" t="str">
            <v>00 -00-00-00-</v>
          </cell>
          <cell r="O6318" t="str">
            <v>SIN CUENTA ASIGNADA</v>
          </cell>
        </row>
        <row r="6319">
          <cell r="J6319" t="str">
            <v>00 -00-00-00-</v>
          </cell>
          <cell r="L6319" t="str">
            <v>00 -00-00-00-</v>
          </cell>
          <cell r="O6319" t="str">
            <v>SIN CUENTA ASIGNADA</v>
          </cell>
        </row>
        <row r="6320">
          <cell r="J6320" t="str">
            <v>00 -00-00-00-</v>
          </cell>
          <cell r="L6320" t="str">
            <v>00 -00-00-00-</v>
          </cell>
          <cell r="O6320" t="str">
            <v>SIN CUENTA ASIGNADA</v>
          </cell>
        </row>
        <row r="6321">
          <cell r="J6321" t="str">
            <v>00 -00-00-00-</v>
          </cell>
          <cell r="L6321" t="str">
            <v>00 -00-00-00-</v>
          </cell>
          <cell r="O6321" t="str">
            <v>SIN CUENTA ASIGNADA</v>
          </cell>
        </row>
        <row r="6322">
          <cell r="J6322" t="str">
            <v>00 -00-00-00-</v>
          </cell>
          <cell r="L6322" t="str">
            <v>00 -00-00-00-</v>
          </cell>
          <cell r="O6322" t="str">
            <v>SIN CUENTA ASIGNADA</v>
          </cell>
        </row>
        <row r="6323">
          <cell r="J6323" t="str">
            <v>00 -00-00-00-</v>
          </cell>
          <cell r="L6323" t="str">
            <v>00 -00-00-00-</v>
          </cell>
          <cell r="O6323" t="str">
            <v>SIN CUENTA ASIGNADA</v>
          </cell>
        </row>
        <row r="6324">
          <cell r="J6324" t="str">
            <v>00 -00-00-00-</v>
          </cell>
          <cell r="L6324" t="str">
            <v>00 -00-00-00-</v>
          </cell>
          <cell r="O6324" t="str">
            <v>SIN CUENTA ASIGNADA</v>
          </cell>
        </row>
        <row r="6325">
          <cell r="J6325" t="str">
            <v>00 -00-00-00-</v>
          </cell>
          <cell r="L6325" t="str">
            <v>00 -00-00-00-</v>
          </cell>
          <cell r="O6325" t="str">
            <v>SIN CUENTA ASIGNADA</v>
          </cell>
        </row>
        <row r="6326">
          <cell r="J6326" t="str">
            <v>00 -00-00-00-</v>
          </cell>
          <cell r="L6326" t="str">
            <v>00 -00-00-00-</v>
          </cell>
          <cell r="O6326" t="str">
            <v>SIN CUENTA ASIGNADA</v>
          </cell>
        </row>
        <row r="6327">
          <cell r="J6327" t="str">
            <v>00 -00-00-00-</v>
          </cell>
          <cell r="L6327" t="str">
            <v>00 -00-00-00-</v>
          </cell>
          <cell r="O6327" t="str">
            <v>SIN CUENTA ASIGNADA</v>
          </cell>
        </row>
        <row r="6328">
          <cell r="J6328" t="str">
            <v>00 -00-00-00-</v>
          </cell>
          <cell r="L6328" t="str">
            <v>00 -00-00-00-</v>
          </cell>
          <cell r="O6328" t="str">
            <v>SIN CUENTA ASIGNADA</v>
          </cell>
        </row>
        <row r="6329">
          <cell r="J6329" t="str">
            <v>00 -00-00-00-</v>
          </cell>
          <cell r="L6329" t="str">
            <v>00 -00-00-00-</v>
          </cell>
          <cell r="O6329" t="str">
            <v>SIN CUENTA ASIGNADA</v>
          </cell>
        </row>
        <row r="6330">
          <cell r="J6330" t="str">
            <v>00 -00-00-00-</v>
          </cell>
          <cell r="L6330" t="str">
            <v>00 -00-00-00-</v>
          </cell>
          <cell r="O6330" t="str">
            <v>SIN CUENTA ASIGNADA</v>
          </cell>
        </row>
        <row r="6331">
          <cell r="J6331" t="str">
            <v>00 -00-00-00-</v>
          </cell>
          <cell r="L6331" t="str">
            <v>00 -00-00-00-</v>
          </cell>
          <cell r="O6331" t="str">
            <v>SIN CUENTA ASIGNADA</v>
          </cell>
        </row>
        <row r="6332">
          <cell r="J6332" t="str">
            <v>00 -00-00-00-</v>
          </cell>
          <cell r="L6332" t="str">
            <v>00 -00-00-00-</v>
          </cell>
          <cell r="O6332" t="str">
            <v>SIN CUENTA ASIGNADA</v>
          </cell>
        </row>
        <row r="6333">
          <cell r="J6333" t="str">
            <v>00 -00-00-00-</v>
          </cell>
          <cell r="L6333" t="str">
            <v>00 -00-00-00-</v>
          </cell>
          <cell r="O6333" t="str">
            <v>SIN CUENTA ASIGNADA</v>
          </cell>
        </row>
        <row r="6334">
          <cell r="J6334" t="str">
            <v>00 -00-00-00-</v>
          </cell>
          <cell r="L6334" t="str">
            <v>00 -00-00-00-</v>
          </cell>
          <cell r="O6334" t="str">
            <v>SIN CUENTA ASIGNADA</v>
          </cell>
        </row>
        <row r="6335">
          <cell r="J6335" t="str">
            <v>00 -00-00-00-</v>
          </cell>
          <cell r="L6335" t="str">
            <v>00 -00-00-00-</v>
          </cell>
          <cell r="O6335" t="str">
            <v>SIN CUENTA ASIGNADA</v>
          </cell>
        </row>
        <row r="6336">
          <cell r="J6336" t="str">
            <v>00 -00-00-00-</v>
          </cell>
          <cell r="L6336" t="str">
            <v>00 -00-00-00-</v>
          </cell>
          <cell r="O6336" t="str">
            <v>SIN CUENTA ASIGNADA</v>
          </cell>
        </row>
        <row r="6337">
          <cell r="J6337" t="str">
            <v>00 -00-00-00-</v>
          </cell>
          <cell r="L6337" t="str">
            <v>00 -00-00-00-</v>
          </cell>
          <cell r="O6337" t="str">
            <v>SIN CUENTA ASIGNADA</v>
          </cell>
        </row>
        <row r="6338">
          <cell r="J6338" t="str">
            <v>00 -00-00-00-</v>
          </cell>
          <cell r="L6338" t="str">
            <v>00 -00-00-00-</v>
          </cell>
          <cell r="O6338" t="str">
            <v>SIN CUENTA ASIGNADA</v>
          </cell>
        </row>
        <row r="6339">
          <cell r="J6339" t="str">
            <v>00 -00-00-00-</v>
          </cell>
          <cell r="L6339" t="str">
            <v>00 -00-00-00-</v>
          </cell>
          <cell r="O6339" t="str">
            <v>SIN CUENTA ASIGNADA</v>
          </cell>
        </row>
        <row r="6340">
          <cell r="J6340" t="str">
            <v>00 -00-00-00-</v>
          </cell>
          <cell r="L6340" t="str">
            <v>00 -00-00-00-</v>
          </cell>
          <cell r="O6340" t="str">
            <v>SIN CUENTA ASIGNADA</v>
          </cell>
        </row>
        <row r="6341">
          <cell r="J6341" t="str">
            <v>00 -00-00-00-</v>
          </cell>
          <cell r="L6341" t="str">
            <v>00 -00-00-00-</v>
          </cell>
          <cell r="O6341" t="str">
            <v>SIN CUENTA ASIGNADA</v>
          </cell>
        </row>
        <row r="6342">
          <cell r="J6342" t="str">
            <v>00 -00-00-00-</v>
          </cell>
          <cell r="L6342" t="str">
            <v>00 -00-00-00-</v>
          </cell>
          <cell r="O6342" t="str">
            <v>SIN CUENTA ASIGNADA</v>
          </cell>
        </row>
        <row r="6343">
          <cell r="J6343" t="str">
            <v>00 -00-00-00-</v>
          </cell>
          <cell r="L6343" t="str">
            <v>00 -00-00-00-</v>
          </cell>
          <cell r="O6343" t="str">
            <v>SIN CUENTA ASIGNADA</v>
          </cell>
        </row>
        <row r="6344">
          <cell r="J6344" t="str">
            <v>00 -00-00-00-</v>
          </cell>
          <cell r="L6344" t="str">
            <v>00 -00-00-00-</v>
          </cell>
          <cell r="O6344" t="str">
            <v>SIN CUENTA ASIGNADA</v>
          </cell>
        </row>
        <row r="6345">
          <cell r="J6345" t="str">
            <v>00 -00-00-00-</v>
          </cell>
          <cell r="L6345" t="str">
            <v>00 -00-00-00-</v>
          </cell>
          <cell r="O6345" t="str">
            <v>SIN CUENTA ASIGNADA</v>
          </cell>
        </row>
        <row r="6346">
          <cell r="J6346" t="str">
            <v>00 -00-00-00-</v>
          </cell>
          <cell r="L6346" t="str">
            <v>00 -00-00-00-</v>
          </cell>
          <cell r="O6346" t="str">
            <v>SIN CUENTA ASIGNADA</v>
          </cell>
        </row>
        <row r="6347">
          <cell r="J6347" t="str">
            <v>00 -00-00-00-</v>
          </cell>
          <cell r="L6347" t="str">
            <v>00 -00-00-00-</v>
          </cell>
          <cell r="O6347" t="str">
            <v>SIN CUENTA ASIGNADA</v>
          </cell>
        </row>
        <row r="6348">
          <cell r="J6348" t="str">
            <v>00 -00-00-00-</v>
          </cell>
          <cell r="L6348" t="str">
            <v>00 -00-00-00-</v>
          </cell>
          <cell r="O6348" t="str">
            <v>SIN CUENTA ASIGNADA</v>
          </cell>
        </row>
        <row r="6349">
          <cell r="J6349" t="str">
            <v>00 -00-00-00-</v>
          </cell>
          <cell r="L6349" t="str">
            <v>00 -00-00-00-</v>
          </cell>
          <cell r="O6349" t="str">
            <v>SIN CUENTA ASIGNADA</v>
          </cell>
        </row>
        <row r="6350">
          <cell r="J6350" t="str">
            <v>00 -00-00-00-</v>
          </cell>
          <cell r="L6350" t="str">
            <v>00 -00-00-00-</v>
          </cell>
          <cell r="O6350" t="str">
            <v>SIN CUENTA ASIGNADA</v>
          </cell>
        </row>
        <row r="6351">
          <cell r="J6351" t="str">
            <v>00 -00-00-00-</v>
          </cell>
          <cell r="L6351" t="str">
            <v>00 -00-00-00-</v>
          </cell>
          <cell r="O6351" t="str">
            <v>SIN CUENTA ASIGNADA</v>
          </cell>
        </row>
        <row r="6352">
          <cell r="J6352" t="str">
            <v>00 -00-00-00-</v>
          </cell>
          <cell r="L6352" t="str">
            <v>00 -00-00-00-</v>
          </cell>
          <cell r="O6352" t="str">
            <v>SIN CUENTA ASIGNADA</v>
          </cell>
        </row>
        <row r="6353">
          <cell r="J6353" t="str">
            <v>00 -00-00-00-</v>
          </cell>
          <cell r="L6353" t="str">
            <v>00 -00-00-00-</v>
          </cell>
          <cell r="O6353" t="str">
            <v>SIN CUENTA ASIGNADA</v>
          </cell>
        </row>
        <row r="6354">
          <cell r="J6354" t="str">
            <v>00 -00-00-00-</v>
          </cell>
          <cell r="L6354" t="str">
            <v>00 -00-00-00-</v>
          </cell>
          <cell r="O6354" t="str">
            <v>SIN CUENTA ASIGNADA</v>
          </cell>
        </row>
        <row r="6355">
          <cell r="J6355" t="str">
            <v>00 -00-00-00-</v>
          </cell>
          <cell r="L6355" t="str">
            <v>00 -00-00-00-</v>
          </cell>
          <cell r="O6355" t="str">
            <v>SIN CUENTA ASIGNADA</v>
          </cell>
        </row>
        <row r="6356">
          <cell r="J6356" t="str">
            <v>00 -00-00-00-</v>
          </cell>
          <cell r="L6356" t="str">
            <v>00 -00-00-00-</v>
          </cell>
          <cell r="O6356" t="str">
            <v>SIN CUENTA ASIGNADA</v>
          </cell>
        </row>
        <row r="6357">
          <cell r="J6357" t="str">
            <v>00 -00-00-00-</v>
          </cell>
          <cell r="L6357" t="str">
            <v>00 -00-00-00-</v>
          </cell>
          <cell r="O6357" t="str">
            <v>SIN CUENTA ASIGNADA</v>
          </cell>
        </row>
        <row r="6358">
          <cell r="J6358" t="str">
            <v>00 -00-00-00-</v>
          </cell>
          <cell r="L6358" t="str">
            <v>00 -00-00-00-</v>
          </cell>
          <cell r="O6358" t="str">
            <v>SIN CUENTA ASIGNADA</v>
          </cell>
        </row>
        <row r="6359">
          <cell r="J6359" t="str">
            <v>00 -00-00-00-</v>
          </cell>
          <cell r="L6359" t="str">
            <v>00 -00-00-00-</v>
          </cell>
          <cell r="O6359" t="str">
            <v>SIN CUENTA ASIGNADA</v>
          </cell>
        </row>
        <row r="6360">
          <cell r="J6360" t="str">
            <v>00 -00-00-00-</v>
          </cell>
          <cell r="L6360" t="str">
            <v>00 -00-00-00-</v>
          </cell>
          <cell r="O6360" t="str">
            <v>SIN CUENTA ASIGNADA</v>
          </cell>
        </row>
        <row r="6361">
          <cell r="J6361" t="str">
            <v>00 -00-00-00-</v>
          </cell>
          <cell r="L6361" t="str">
            <v>00 -00-00-00-</v>
          </cell>
          <cell r="O6361" t="str">
            <v>SIN CUENTA ASIGNADA</v>
          </cell>
        </row>
        <row r="6362">
          <cell r="J6362" t="str">
            <v>00 -00-00-00-</v>
          </cell>
          <cell r="L6362" t="str">
            <v>00 -00-00-00-</v>
          </cell>
          <cell r="O6362" t="str">
            <v>SIN CUENTA ASIGNADA</v>
          </cell>
        </row>
        <row r="6363">
          <cell r="J6363" t="str">
            <v>00 -00-00-00-</v>
          </cell>
          <cell r="L6363" t="str">
            <v>00 -00-00-00-</v>
          </cell>
          <cell r="O6363" t="str">
            <v>SIN CUENTA ASIGNADA</v>
          </cell>
        </row>
        <row r="6364">
          <cell r="J6364" t="str">
            <v>00 -00-00-00-</v>
          </cell>
          <cell r="L6364" t="str">
            <v>00 -00-00-00-</v>
          </cell>
          <cell r="O6364" t="str">
            <v>SIN CUENTA ASIGNADA</v>
          </cell>
        </row>
        <row r="6365">
          <cell r="J6365" t="str">
            <v>00 -00-00-00-</v>
          </cell>
          <cell r="L6365" t="str">
            <v>00 -00-00-00-</v>
          </cell>
          <cell r="O6365" t="str">
            <v>SIN CUENTA ASIGNADA</v>
          </cell>
        </row>
        <row r="6366">
          <cell r="J6366" t="str">
            <v>00 -00-00-00-</v>
          </cell>
          <cell r="L6366" t="str">
            <v>00 -00-00-00-</v>
          </cell>
          <cell r="O6366" t="str">
            <v>SIN CUENTA ASIGNADA</v>
          </cell>
        </row>
        <row r="6367">
          <cell r="J6367" t="str">
            <v>00 -00-00-00-</v>
          </cell>
          <cell r="L6367" t="str">
            <v>00 -00-00-00-</v>
          </cell>
          <cell r="O6367" t="str">
            <v>SIN CUENTA ASIGNADA</v>
          </cell>
        </row>
        <row r="6368">
          <cell r="J6368" t="str">
            <v>00 -00-00-00-</v>
          </cell>
          <cell r="L6368" t="str">
            <v>00 -00-00-00-</v>
          </cell>
          <cell r="O6368" t="str">
            <v>SIN CUENTA ASIGNADA</v>
          </cell>
        </row>
        <row r="6369">
          <cell r="J6369" t="str">
            <v>00 -00-00-00-</v>
          </cell>
          <cell r="L6369" t="str">
            <v>00 -00-00-00-</v>
          </cell>
          <cell r="O6369" t="str">
            <v>SIN CUENTA ASIGNADA</v>
          </cell>
        </row>
        <row r="6370">
          <cell r="J6370" t="str">
            <v>00 -00-00-00-</v>
          </cell>
          <cell r="L6370" t="str">
            <v>00 -00-00-00-</v>
          </cell>
          <cell r="O6370" t="str">
            <v>SIN CUENTA ASIGNADA</v>
          </cell>
        </row>
        <row r="6371">
          <cell r="J6371" t="str">
            <v>00 -00-00-00-</v>
          </cell>
          <cell r="L6371" t="str">
            <v>00 -00-00-00-</v>
          </cell>
          <cell r="O6371" t="str">
            <v>SIN CUENTA ASIGNADA</v>
          </cell>
        </row>
        <row r="6372">
          <cell r="J6372" t="str">
            <v>00 -00-00-00-</v>
          </cell>
          <cell r="L6372" t="str">
            <v>00 -00-00-00-</v>
          </cell>
          <cell r="O6372" t="str">
            <v>SIN CUENTA ASIGNADA</v>
          </cell>
        </row>
        <row r="6373">
          <cell r="J6373" t="str">
            <v>00 -00-00-00-</v>
          </cell>
          <cell r="L6373" t="str">
            <v>00 -00-00-00-</v>
          </cell>
          <cell r="O6373" t="str">
            <v>SIN CUENTA ASIGNADA</v>
          </cell>
        </row>
        <row r="6374">
          <cell r="J6374" t="str">
            <v>00 -00-00-00-</v>
          </cell>
          <cell r="L6374" t="str">
            <v>00 -00-00-00-</v>
          </cell>
          <cell r="O6374" t="str">
            <v>SIN CUENTA ASIGNADA</v>
          </cell>
        </row>
        <row r="6375">
          <cell r="J6375" t="str">
            <v>00 -00-00-00-</v>
          </cell>
          <cell r="L6375" t="str">
            <v>00 -00-00-00-</v>
          </cell>
          <cell r="O6375" t="str">
            <v>SIN CUENTA ASIGNADA</v>
          </cell>
        </row>
        <row r="6376">
          <cell r="J6376" t="str">
            <v>00 -00-00-00-</v>
          </cell>
          <cell r="L6376" t="str">
            <v>00 -00-00-00-</v>
          </cell>
          <cell r="O6376" t="str">
            <v>SIN CUENTA ASIGNADA</v>
          </cell>
        </row>
        <row r="6377">
          <cell r="J6377" t="str">
            <v>00 -00-00-00-</v>
          </cell>
          <cell r="L6377" t="str">
            <v>00 -00-00-00-</v>
          </cell>
          <cell r="O6377" t="str">
            <v>SIN CUENTA ASIGNADA</v>
          </cell>
        </row>
        <row r="6378">
          <cell r="J6378" t="str">
            <v>00 -00-00-00-</v>
          </cell>
          <cell r="L6378" t="str">
            <v>00 -00-00-00-</v>
          </cell>
          <cell r="O6378" t="str">
            <v>SIN CUENTA ASIGNADA</v>
          </cell>
        </row>
        <row r="6379">
          <cell r="J6379" t="str">
            <v>00 -00-00-00-</v>
          </cell>
          <cell r="L6379" t="str">
            <v>00 -00-00-00-</v>
          </cell>
          <cell r="O6379" t="str">
            <v>SIN CUENTA ASIGNADA</v>
          </cell>
        </row>
        <row r="6380">
          <cell r="J6380" t="str">
            <v>00 -00-00-00-</v>
          </cell>
          <cell r="L6380" t="str">
            <v>00 -00-00-00-</v>
          </cell>
          <cell r="O6380" t="str">
            <v>SIN CUENTA ASIGNADA</v>
          </cell>
        </row>
        <row r="6381">
          <cell r="J6381" t="str">
            <v>00 -00-00-00-</v>
          </cell>
          <cell r="L6381" t="str">
            <v>00 -00-00-00-</v>
          </cell>
          <cell r="O6381" t="str">
            <v>SIN CUENTA ASIGNADA</v>
          </cell>
        </row>
        <row r="6382">
          <cell r="J6382" t="str">
            <v>00 -00-00-00-</v>
          </cell>
          <cell r="L6382" t="str">
            <v>00 -00-00-00-</v>
          </cell>
          <cell r="O6382" t="str">
            <v>SIN CUENTA ASIGNADA</v>
          </cell>
        </row>
        <row r="6383">
          <cell r="J6383" t="str">
            <v>00 -00-00-00-</v>
          </cell>
          <cell r="L6383" t="str">
            <v>00 -00-00-00-</v>
          </cell>
          <cell r="O6383" t="str">
            <v>SIN CUENTA ASIGNADA</v>
          </cell>
        </row>
        <row r="6384">
          <cell r="J6384" t="str">
            <v>00 -00-00-00-</v>
          </cell>
          <cell r="L6384" t="str">
            <v>00 -00-00-00-</v>
          </cell>
          <cell r="O6384" t="str">
            <v>SIN CUENTA ASIGNADA</v>
          </cell>
        </row>
        <row r="6385">
          <cell r="J6385" t="str">
            <v>00 -00-00-00-</v>
          </cell>
          <cell r="L6385" t="str">
            <v>00 -00-00-00-</v>
          </cell>
          <cell r="O6385" t="str">
            <v>SIN CUENTA ASIGNADA</v>
          </cell>
        </row>
        <row r="6386">
          <cell r="J6386" t="str">
            <v>00 -00-00-00-</v>
          </cell>
          <cell r="L6386" t="str">
            <v>00 -00-00-00-</v>
          </cell>
          <cell r="O6386" t="str">
            <v>SIN CUENTA ASIGNADA</v>
          </cell>
        </row>
        <row r="6387">
          <cell r="J6387" t="str">
            <v>00 -00-00-00-</v>
          </cell>
          <cell r="L6387" t="str">
            <v>00 -00-00-00-</v>
          </cell>
          <cell r="O6387" t="str">
            <v>SIN CUENTA ASIGNADA</v>
          </cell>
        </row>
        <row r="6388">
          <cell r="J6388" t="str">
            <v>00 -00-00-00-</v>
          </cell>
          <cell r="L6388" t="str">
            <v>00 -00-00-00-</v>
          </cell>
          <cell r="O6388" t="str">
            <v>SIN CUENTA ASIGNADA</v>
          </cell>
        </row>
        <row r="6389">
          <cell r="J6389" t="str">
            <v>00 -00-00-00-</v>
          </cell>
          <cell r="L6389" t="str">
            <v>00 -00-00-00-</v>
          </cell>
          <cell r="O6389" t="str">
            <v>SIN CUENTA ASIGNADA</v>
          </cell>
        </row>
        <row r="6390">
          <cell r="J6390" t="str">
            <v>00 -00-00-00-</v>
          </cell>
          <cell r="L6390" t="str">
            <v>00 -00-00-00-</v>
          </cell>
          <cell r="O6390" t="str">
            <v>SIN CUENTA ASIGNADA</v>
          </cell>
        </row>
        <row r="6391">
          <cell r="J6391" t="str">
            <v>00 -00-00-00-</v>
          </cell>
          <cell r="L6391" t="str">
            <v>00 -00-00-00-</v>
          </cell>
          <cell r="O6391" t="str">
            <v>SIN CUENTA ASIGNADA</v>
          </cell>
        </row>
        <row r="6392">
          <cell r="J6392" t="str">
            <v>00 -00-00-00-</v>
          </cell>
          <cell r="L6392" t="str">
            <v>00 -00-00-00-</v>
          </cell>
          <cell r="O6392" t="str">
            <v>SIN CUENTA ASIGNADA</v>
          </cell>
        </row>
        <row r="6393">
          <cell r="J6393" t="str">
            <v>00 -00-00-00-</v>
          </cell>
          <cell r="L6393" t="str">
            <v>00 -00-00-00-</v>
          </cell>
          <cell r="O6393" t="str">
            <v>SIN CUENTA ASIGNADA</v>
          </cell>
        </row>
        <row r="6394">
          <cell r="J6394" t="str">
            <v>00 -00-00-00-</v>
          </cell>
          <cell r="L6394" t="str">
            <v>00 -00-00-00-</v>
          </cell>
          <cell r="O6394" t="str">
            <v>SIN CUENTA ASIGNADA</v>
          </cell>
        </row>
        <row r="6395">
          <cell r="J6395" t="str">
            <v>00 -00-00-00-</v>
          </cell>
          <cell r="L6395" t="str">
            <v>00 -00-00-00-</v>
          </cell>
          <cell r="O6395" t="str">
            <v>SIN CUENTA ASIGNADA</v>
          </cell>
        </row>
        <row r="6396">
          <cell r="J6396" t="str">
            <v>00 -00-00-00-</v>
          </cell>
          <cell r="L6396" t="str">
            <v>00 -00-00-00-</v>
          </cell>
          <cell r="O6396" t="str">
            <v>SIN CUENTA ASIGNADA</v>
          </cell>
        </row>
        <row r="6397">
          <cell r="J6397" t="str">
            <v>00 -00-00-00-</v>
          </cell>
          <cell r="L6397" t="str">
            <v>00 -00-00-00-</v>
          </cell>
          <cell r="O6397" t="str">
            <v>SIN CUENTA ASIGNADA</v>
          </cell>
        </row>
        <row r="6398">
          <cell r="J6398" t="str">
            <v>00 -00-00-00-</v>
          </cell>
          <cell r="L6398" t="str">
            <v>00 -00-00-00-</v>
          </cell>
          <cell r="O6398" t="str">
            <v>SIN CUENTA ASIGNADA</v>
          </cell>
        </row>
        <row r="6399">
          <cell r="J6399" t="str">
            <v>00 -00-00-00-</v>
          </cell>
          <cell r="L6399" t="str">
            <v>00 -00-00-00-</v>
          </cell>
          <cell r="O6399" t="str">
            <v>SIN CUENTA ASIGNADA</v>
          </cell>
        </row>
        <row r="6400">
          <cell r="J6400" t="str">
            <v>00 -00-00-00-</v>
          </cell>
          <cell r="L6400" t="str">
            <v>00 -00-00-00-</v>
          </cell>
          <cell r="O6400" t="str">
            <v>SIN CUENTA ASIGNADA</v>
          </cell>
        </row>
        <row r="6401">
          <cell r="J6401" t="str">
            <v>00 -00-00-00-</v>
          </cell>
          <cell r="L6401" t="str">
            <v>00 -00-00-00-</v>
          </cell>
          <cell r="O6401" t="str">
            <v>SIN CUENTA ASIGNADA</v>
          </cell>
        </row>
        <row r="6402">
          <cell r="J6402" t="str">
            <v>00 -00-00-00-</v>
          </cell>
          <cell r="L6402" t="str">
            <v>00 -00-00-00-</v>
          </cell>
          <cell r="O6402" t="str">
            <v>SIN CUENTA ASIGNADA</v>
          </cell>
        </row>
        <row r="6403">
          <cell r="J6403" t="str">
            <v>00 -00-00-00-</v>
          </cell>
          <cell r="L6403" t="str">
            <v>00 -00-00-00-</v>
          </cell>
          <cell r="O6403" t="str">
            <v>SIN CUENTA ASIGNADA</v>
          </cell>
        </row>
        <row r="6404">
          <cell r="J6404" t="str">
            <v>00 -00-00-00-</v>
          </cell>
          <cell r="L6404" t="str">
            <v>00 -00-00-00-</v>
          </cell>
          <cell r="O6404" t="str">
            <v>SIN CUENTA ASIGNADA</v>
          </cell>
        </row>
        <row r="6405">
          <cell r="J6405" t="str">
            <v>00 -00-00-00-</v>
          </cell>
          <cell r="L6405" t="str">
            <v>00 -00-00-00-</v>
          </cell>
          <cell r="O6405" t="str">
            <v>SIN CUENTA ASIGNADA</v>
          </cell>
        </row>
        <row r="6406">
          <cell r="J6406" t="str">
            <v>00 -00-00-00-</v>
          </cell>
          <cell r="L6406" t="str">
            <v>00 -00-00-00-</v>
          </cell>
          <cell r="O6406" t="str">
            <v>SIN CUENTA ASIGNADA</v>
          </cell>
        </row>
        <row r="6407">
          <cell r="J6407" t="str">
            <v>00 -00-00-00-</v>
          </cell>
          <cell r="L6407" t="str">
            <v>00 -00-00-00-</v>
          </cell>
          <cell r="O6407" t="str">
            <v>SIN CUENTA ASIGNADA</v>
          </cell>
        </row>
        <row r="6408">
          <cell r="J6408" t="str">
            <v>00 -00-00-00-</v>
          </cell>
          <cell r="L6408" t="str">
            <v>00 -00-00-00-</v>
          </cell>
          <cell r="O6408" t="str">
            <v>SIN CUENTA ASIGNADA</v>
          </cell>
        </row>
        <row r="6409">
          <cell r="J6409" t="str">
            <v>00 -00-00-00-</v>
          </cell>
          <cell r="L6409" t="str">
            <v>00 -00-00-00-</v>
          </cell>
          <cell r="O6409" t="str">
            <v>SIN CUENTA ASIGNADA</v>
          </cell>
        </row>
        <row r="6410">
          <cell r="J6410" t="str">
            <v>00 -00-00-00-</v>
          </cell>
          <cell r="L6410" t="str">
            <v>00 -00-00-00-</v>
          </cell>
          <cell r="O6410" t="str">
            <v>SIN CUENTA ASIGNADA</v>
          </cell>
        </row>
        <row r="6411">
          <cell r="J6411" t="str">
            <v>00 -00-00-00-</v>
          </cell>
          <cell r="L6411" t="str">
            <v>00 -00-00-00-</v>
          </cell>
          <cell r="O6411" t="str">
            <v>SIN CUENTA ASIGNADA</v>
          </cell>
        </row>
        <row r="6412">
          <cell r="J6412" t="str">
            <v>00 -00-00-00-</v>
          </cell>
          <cell r="L6412" t="str">
            <v>00 -00-00-00-</v>
          </cell>
          <cell r="O6412" t="str">
            <v>SIN CUENTA ASIGNADA</v>
          </cell>
        </row>
        <row r="6413">
          <cell r="J6413" t="str">
            <v>00 -00-00-00-</v>
          </cell>
          <cell r="L6413" t="str">
            <v>00 -00-00-00-</v>
          </cell>
          <cell r="O6413" t="str">
            <v>SIN CUENTA ASIGNADA</v>
          </cell>
        </row>
        <row r="6414">
          <cell r="J6414" t="str">
            <v>00 -00-00-00-</v>
          </cell>
          <cell r="L6414" t="str">
            <v>00 -00-00-00-</v>
          </cell>
          <cell r="O6414" t="str">
            <v>SIN CUENTA ASIGNADA</v>
          </cell>
        </row>
        <row r="6415">
          <cell r="J6415" t="str">
            <v>00 -00-00-00-</v>
          </cell>
          <cell r="L6415" t="str">
            <v>00 -00-00-00-</v>
          </cell>
          <cell r="O6415" t="str">
            <v>SIN CUENTA ASIGNADA</v>
          </cell>
        </row>
        <row r="6416">
          <cell r="J6416" t="str">
            <v>00 -00-00-00-</v>
          </cell>
          <cell r="L6416" t="str">
            <v>00 -00-00-00-</v>
          </cell>
          <cell r="O6416" t="str">
            <v>SIN CUENTA ASIGNADA</v>
          </cell>
        </row>
        <row r="6417">
          <cell r="J6417" t="str">
            <v>00 -00-00-00-</v>
          </cell>
          <cell r="L6417" t="str">
            <v>00 -00-00-00-</v>
          </cell>
          <cell r="O6417" t="str">
            <v>SIN CUENTA ASIGNADA</v>
          </cell>
        </row>
        <row r="6418">
          <cell r="J6418" t="str">
            <v>00 -00-00-00-</v>
          </cell>
          <cell r="L6418" t="str">
            <v>00 -00-00-00-</v>
          </cell>
          <cell r="O6418" t="str">
            <v>SIN CUENTA ASIGNADA</v>
          </cell>
        </row>
        <row r="6419">
          <cell r="J6419" t="str">
            <v>00 -00-00-00-</v>
          </cell>
          <cell r="L6419" t="str">
            <v>00 -00-00-00-</v>
          </cell>
          <cell r="O6419" t="str">
            <v>SIN CUENTA ASIGNADA</v>
          </cell>
        </row>
        <row r="6420">
          <cell r="J6420" t="str">
            <v>00 -00-00-00-</v>
          </cell>
          <cell r="L6420" t="str">
            <v>00 -00-00-00-</v>
          </cell>
          <cell r="O6420" t="str">
            <v>SIN CUENTA ASIGNADA</v>
          </cell>
        </row>
        <row r="6421">
          <cell r="J6421" t="str">
            <v>00 -00-00-00-</v>
          </cell>
          <cell r="L6421" t="str">
            <v>00 -00-00-00-</v>
          </cell>
          <cell r="O6421" t="str">
            <v>SIN CUENTA ASIGNADA</v>
          </cell>
        </row>
        <row r="6422">
          <cell r="J6422" t="str">
            <v>00 -00-00-00-</v>
          </cell>
          <cell r="L6422" t="str">
            <v>00 -00-00-00-</v>
          </cell>
          <cell r="O6422" t="str">
            <v>SIN CUENTA ASIGNADA</v>
          </cell>
        </row>
        <row r="6423">
          <cell r="J6423" t="str">
            <v>00 -00-00-00-</v>
          </cell>
          <cell r="L6423" t="str">
            <v>00 -00-00-00-</v>
          </cell>
          <cell r="O6423" t="str">
            <v>SIN CUENTA ASIGNADA</v>
          </cell>
        </row>
        <row r="6424">
          <cell r="J6424" t="str">
            <v>00 -00-00-00-</v>
          </cell>
          <cell r="L6424" t="str">
            <v>00 -00-00-00-</v>
          </cell>
          <cell r="O6424" t="str">
            <v>SIN CUENTA ASIGNADA</v>
          </cell>
        </row>
        <row r="6425">
          <cell r="J6425" t="str">
            <v>00 -00-00-00-</v>
          </cell>
          <cell r="L6425" t="str">
            <v>00 -00-00-00-</v>
          </cell>
          <cell r="O6425" t="str">
            <v>SIN CUENTA ASIGNADA</v>
          </cell>
        </row>
        <row r="6426">
          <cell r="J6426" t="str">
            <v>00 -00-00-00-</v>
          </cell>
          <cell r="L6426" t="str">
            <v>00 -00-00-00-</v>
          </cell>
          <cell r="O6426" t="str">
            <v>SIN CUENTA ASIGNADA</v>
          </cell>
        </row>
        <row r="6427">
          <cell r="J6427" t="str">
            <v>00 -00-00-00-</v>
          </cell>
          <cell r="L6427" t="str">
            <v>00 -00-00-00-</v>
          </cell>
          <cell r="O6427" t="str">
            <v>SIN CUENTA ASIGNADA</v>
          </cell>
        </row>
        <row r="6428">
          <cell r="J6428" t="str">
            <v>00 -00-00-00-</v>
          </cell>
          <cell r="L6428" t="str">
            <v>00 -00-00-00-</v>
          </cell>
          <cell r="O6428" t="str">
            <v>SIN CUENTA ASIGNADA</v>
          </cell>
        </row>
        <row r="6429">
          <cell r="J6429" t="str">
            <v>00 -00-00-00-</v>
          </cell>
          <cell r="L6429" t="str">
            <v>00 -00-00-00-</v>
          </cell>
          <cell r="O6429" t="str">
            <v>SIN CUENTA ASIGNADA</v>
          </cell>
        </row>
        <row r="6430">
          <cell r="J6430" t="str">
            <v>00 -00-00-00-</v>
          </cell>
          <cell r="L6430" t="str">
            <v>00 -00-00-00-</v>
          </cell>
          <cell r="O6430" t="str">
            <v>SIN CUENTA ASIGNADA</v>
          </cell>
        </row>
        <row r="6431">
          <cell r="J6431" t="str">
            <v>00 -00-00-00-</v>
          </cell>
          <cell r="L6431" t="str">
            <v>00 -00-00-00-</v>
          </cell>
          <cell r="O6431" t="str">
            <v>SIN CUENTA ASIGNADA</v>
          </cell>
        </row>
        <row r="6432">
          <cell r="J6432" t="str">
            <v>00 -00-00-00-</v>
          </cell>
          <cell r="L6432" t="str">
            <v>00 -00-00-00-</v>
          </cell>
          <cell r="O6432" t="str">
            <v>SIN CUENTA ASIGNADA</v>
          </cell>
        </row>
        <row r="6433">
          <cell r="J6433" t="str">
            <v>00 -00-00-00-</v>
          </cell>
          <cell r="L6433" t="str">
            <v>00 -00-00-00-</v>
          </cell>
          <cell r="O6433" t="str">
            <v>SIN CUENTA ASIGNADA</v>
          </cell>
        </row>
        <row r="6434">
          <cell r="J6434" t="str">
            <v>00 -00-00-00-</v>
          </cell>
          <cell r="L6434" t="str">
            <v>00 -00-00-00-</v>
          </cell>
          <cell r="O6434" t="str">
            <v>SIN CUENTA ASIGNADA</v>
          </cell>
        </row>
        <row r="6435">
          <cell r="J6435" t="str">
            <v>00 -00-00-00-</v>
          </cell>
          <cell r="L6435" t="str">
            <v>00 -00-00-00-</v>
          </cell>
          <cell r="O6435" t="str">
            <v>SIN CUENTA ASIGNADA</v>
          </cell>
        </row>
        <row r="6436">
          <cell r="J6436" t="str">
            <v>00 -00-00-00-</v>
          </cell>
          <cell r="L6436" t="str">
            <v>00 -00-00-00-</v>
          </cell>
          <cell r="O6436" t="str">
            <v>SIN CUENTA ASIGNADA</v>
          </cell>
        </row>
        <row r="6437">
          <cell r="J6437" t="str">
            <v>00 -00-00-00-</v>
          </cell>
          <cell r="L6437" t="str">
            <v>00 -00-00-00-</v>
          </cell>
          <cell r="O6437" t="str">
            <v>SIN CUENTA ASIGNADA</v>
          </cell>
        </row>
        <row r="6438">
          <cell r="J6438" t="str">
            <v>00 -00-00-00-</v>
          </cell>
          <cell r="L6438" t="str">
            <v>00 -00-00-00-</v>
          </cell>
          <cell r="O6438" t="str">
            <v>SIN CUENTA ASIGNADA</v>
          </cell>
        </row>
        <row r="6439">
          <cell r="J6439" t="str">
            <v>00 -00-00-00-</v>
          </cell>
          <cell r="L6439" t="str">
            <v>00 -00-00-00-</v>
          </cell>
          <cell r="O6439" t="str">
            <v>SIN CUENTA ASIGNADA</v>
          </cell>
        </row>
        <row r="6440">
          <cell r="J6440" t="str">
            <v>00 -00-00-00-</v>
          </cell>
          <cell r="L6440" t="str">
            <v>00 -00-00-00-</v>
          </cell>
          <cell r="O6440" t="str">
            <v>SIN CUENTA ASIGNADA</v>
          </cell>
        </row>
        <row r="6441">
          <cell r="J6441" t="str">
            <v>00 -00-00-00-</v>
          </cell>
          <cell r="L6441" t="str">
            <v>00 -00-00-00-</v>
          </cell>
          <cell r="O6441" t="str">
            <v>SIN CUENTA ASIGNADA</v>
          </cell>
        </row>
        <row r="6442">
          <cell r="J6442" t="str">
            <v>00 -00-00-00-</v>
          </cell>
          <cell r="L6442" t="str">
            <v>00 -00-00-00-</v>
          </cell>
          <cell r="O6442" t="str">
            <v>SIN CUENTA ASIGNADA</v>
          </cell>
        </row>
        <row r="6443">
          <cell r="J6443" t="str">
            <v>00 -00-00-00-</v>
          </cell>
          <cell r="L6443" t="str">
            <v>00 -00-00-00-</v>
          </cell>
          <cell r="O6443" t="str">
            <v>SIN CUENTA ASIGNADA</v>
          </cell>
        </row>
        <row r="6444">
          <cell r="J6444" t="str">
            <v>00 -00-00-00-</v>
          </cell>
          <cell r="L6444" t="str">
            <v>00 -00-00-00-</v>
          </cell>
          <cell r="O6444" t="str">
            <v>SIN CUENTA ASIGNADA</v>
          </cell>
        </row>
        <row r="6445">
          <cell r="J6445" t="str">
            <v>00 -00-00-00-</v>
          </cell>
          <cell r="L6445" t="str">
            <v>00 -00-00-00-</v>
          </cell>
          <cell r="O6445" t="str">
            <v>SIN CUENTA ASIGNADA</v>
          </cell>
        </row>
        <row r="6446">
          <cell r="J6446" t="str">
            <v>00 -00-00-00-</v>
          </cell>
          <cell r="L6446" t="str">
            <v>00 -00-00-00-</v>
          </cell>
          <cell r="O6446" t="str">
            <v>SIN CUENTA ASIGNADA</v>
          </cell>
        </row>
        <row r="6447">
          <cell r="J6447" t="str">
            <v>00 -00-00-00-</v>
          </cell>
          <cell r="L6447" t="str">
            <v>00 -00-00-00-</v>
          </cell>
          <cell r="O6447" t="str">
            <v>SIN CUENTA ASIGNADA</v>
          </cell>
        </row>
        <row r="6448">
          <cell r="J6448" t="str">
            <v>00 -00-00-00-</v>
          </cell>
          <cell r="L6448" t="str">
            <v>00 -00-00-00-</v>
          </cell>
          <cell r="O6448" t="str">
            <v>SIN CUENTA ASIGNADA</v>
          </cell>
        </row>
        <row r="6449">
          <cell r="J6449" t="str">
            <v>00 -00-00-00-</v>
          </cell>
          <cell r="L6449" t="str">
            <v>00 -00-00-00-</v>
          </cell>
          <cell r="O6449" t="str">
            <v>SIN CUENTA ASIGNADA</v>
          </cell>
        </row>
        <row r="6450">
          <cell r="J6450" t="str">
            <v>00 -00-00-00-</v>
          </cell>
          <cell r="L6450" t="str">
            <v>00 -00-00-00-</v>
          </cell>
          <cell r="O6450" t="str">
            <v>SIN CUENTA ASIGNADA</v>
          </cell>
        </row>
        <row r="6451">
          <cell r="J6451" t="str">
            <v>00 -00-00-00-</v>
          </cell>
          <cell r="L6451" t="str">
            <v>00 -00-00-00-</v>
          </cell>
          <cell r="O6451" t="str">
            <v>SIN CUENTA ASIGNADA</v>
          </cell>
        </row>
        <row r="6452">
          <cell r="J6452" t="str">
            <v>00 -00-00-00-</v>
          </cell>
          <cell r="L6452" t="str">
            <v>00 -00-00-00-</v>
          </cell>
          <cell r="O6452" t="str">
            <v>SIN CUENTA ASIGNADA</v>
          </cell>
        </row>
        <row r="6453">
          <cell r="J6453" t="str">
            <v>00 -00-00-00-</v>
          </cell>
          <cell r="L6453" t="str">
            <v>00 -00-00-00-</v>
          </cell>
          <cell r="O6453" t="str">
            <v>SIN CUENTA ASIGNADA</v>
          </cell>
        </row>
        <row r="6454">
          <cell r="J6454" t="str">
            <v>00 -00-00-00-</v>
          </cell>
          <cell r="L6454" t="str">
            <v>00 -00-00-00-</v>
          </cell>
          <cell r="O6454" t="str">
            <v>SIN CUENTA ASIGNADA</v>
          </cell>
        </row>
        <row r="6455">
          <cell r="J6455" t="str">
            <v>00 -00-00-00-</v>
          </cell>
          <cell r="L6455" t="str">
            <v>00 -00-00-00-</v>
          </cell>
          <cell r="O6455" t="str">
            <v>SIN CUENTA ASIGNADA</v>
          </cell>
        </row>
        <row r="6456">
          <cell r="J6456" t="str">
            <v>00 -00-00-00-</v>
          </cell>
          <cell r="L6456" t="str">
            <v>00 -00-00-00-</v>
          </cell>
          <cell r="O6456" t="str">
            <v>SIN CUENTA ASIGNADA</v>
          </cell>
        </row>
        <row r="6457">
          <cell r="J6457" t="str">
            <v>00 -00-00-00-</v>
          </cell>
          <cell r="L6457" t="str">
            <v>00 -00-00-00-</v>
          </cell>
          <cell r="O6457" t="str">
            <v>SIN CUENTA ASIGNADA</v>
          </cell>
        </row>
        <row r="6458">
          <cell r="J6458" t="str">
            <v>00 -00-00-00-</v>
          </cell>
          <cell r="L6458" t="str">
            <v>00 -00-00-00-</v>
          </cell>
          <cell r="O6458" t="str">
            <v>SIN CUENTA ASIGNADA</v>
          </cell>
        </row>
        <row r="6459">
          <cell r="J6459" t="str">
            <v>00 -00-00-00-</v>
          </cell>
          <cell r="L6459" t="str">
            <v>00 -00-00-00-</v>
          </cell>
          <cell r="O6459" t="str">
            <v>SIN CUENTA ASIGNADA</v>
          </cell>
        </row>
        <row r="6460">
          <cell r="J6460" t="str">
            <v>00 -00-00-00-</v>
          </cell>
          <cell r="L6460" t="str">
            <v>00 -00-00-00-</v>
          </cell>
          <cell r="O6460" t="str">
            <v>SIN CUENTA ASIGNADA</v>
          </cell>
        </row>
        <row r="6461">
          <cell r="J6461" t="str">
            <v>00 -00-00-00-</v>
          </cell>
          <cell r="L6461" t="str">
            <v>00 -00-00-00-</v>
          </cell>
          <cell r="O6461" t="str">
            <v>SIN CUENTA ASIGNADA</v>
          </cell>
        </row>
        <row r="6462">
          <cell r="J6462" t="str">
            <v>00 -00-00-00-</v>
          </cell>
          <cell r="L6462" t="str">
            <v>00 -00-00-00-</v>
          </cell>
          <cell r="O6462" t="str">
            <v>SIN CUENTA ASIGNADA</v>
          </cell>
        </row>
        <row r="6463">
          <cell r="J6463" t="str">
            <v>00 -00-00-00-</v>
          </cell>
          <cell r="L6463" t="str">
            <v>00 -00-00-00-</v>
          </cell>
          <cell r="O6463" t="str">
            <v>SIN CUENTA ASIGNADA</v>
          </cell>
        </row>
        <row r="6464">
          <cell r="J6464" t="str">
            <v>00 -00-00-00-</v>
          </cell>
          <cell r="L6464" t="str">
            <v>00 -00-00-00-</v>
          </cell>
          <cell r="O6464" t="str">
            <v>SIN CUENTA ASIGNADA</v>
          </cell>
        </row>
        <row r="6465">
          <cell r="J6465" t="str">
            <v>00 -00-00-00-</v>
          </cell>
          <cell r="L6465" t="str">
            <v>00 -00-00-00-</v>
          </cell>
          <cell r="O6465" t="str">
            <v>SIN CUENTA ASIGNADA</v>
          </cell>
        </row>
        <row r="6466">
          <cell r="J6466" t="str">
            <v>00 -00-00-00-</v>
          </cell>
          <cell r="L6466" t="str">
            <v>00 -00-00-00-</v>
          </cell>
          <cell r="O6466" t="str">
            <v>SIN CUENTA ASIGNADA</v>
          </cell>
        </row>
        <row r="6467">
          <cell r="J6467" t="str">
            <v>00 -00-00-00-</v>
          </cell>
          <cell r="L6467" t="str">
            <v>00 -00-00-00-</v>
          </cell>
          <cell r="O6467" t="str">
            <v>SIN CUENTA ASIGNADA</v>
          </cell>
        </row>
        <row r="6468">
          <cell r="J6468" t="str">
            <v>00 -00-00-00-</v>
          </cell>
          <cell r="L6468" t="str">
            <v>00 -00-00-00-</v>
          </cell>
          <cell r="O6468" t="str">
            <v>SIN CUENTA ASIGNADA</v>
          </cell>
        </row>
        <row r="6469">
          <cell r="J6469" t="str">
            <v>00 -00-00-00-</v>
          </cell>
          <cell r="L6469" t="str">
            <v>00 -00-00-00-</v>
          </cell>
          <cell r="O6469" t="str">
            <v>SIN CUENTA ASIGNADA</v>
          </cell>
        </row>
        <row r="6470">
          <cell r="J6470" t="str">
            <v>00 -00-00-00-</v>
          </cell>
          <cell r="L6470" t="str">
            <v>00 -00-00-00-</v>
          </cell>
          <cell r="O6470" t="str">
            <v>SIN CUENTA ASIGNADA</v>
          </cell>
        </row>
        <row r="6471">
          <cell r="J6471" t="str">
            <v>00 -00-00-00-</v>
          </cell>
          <cell r="L6471" t="str">
            <v>00 -00-00-00-</v>
          </cell>
          <cell r="O6471" t="str">
            <v>SIN CUENTA ASIGNADA</v>
          </cell>
        </row>
        <row r="6472">
          <cell r="J6472" t="str">
            <v>00 -00-00-00-</v>
          </cell>
          <cell r="L6472" t="str">
            <v>00 -00-00-00-</v>
          </cell>
          <cell r="O6472" t="str">
            <v>SIN CUENTA ASIGNADA</v>
          </cell>
        </row>
        <row r="6473">
          <cell r="J6473" t="str">
            <v>00 -00-00-00-</v>
          </cell>
          <cell r="L6473" t="str">
            <v>00 -00-00-00-</v>
          </cell>
          <cell r="O6473" t="str">
            <v>SIN CUENTA ASIGNADA</v>
          </cell>
        </row>
        <row r="6474">
          <cell r="J6474" t="str">
            <v>00 -00-00-00-</v>
          </cell>
          <cell r="L6474" t="str">
            <v>00 -00-00-00-</v>
          </cell>
          <cell r="O6474" t="str">
            <v>SIN CUENTA ASIGNADA</v>
          </cell>
        </row>
        <row r="6475">
          <cell r="J6475" t="str">
            <v>00 -00-00-00-</v>
          </cell>
          <cell r="L6475" t="str">
            <v>00 -00-00-00-</v>
          </cell>
          <cell r="O6475" t="str">
            <v>SIN CUENTA ASIGNADA</v>
          </cell>
        </row>
        <row r="6476">
          <cell r="J6476" t="str">
            <v>00 -00-00-00-</v>
          </cell>
          <cell r="L6476" t="str">
            <v>00 -00-00-00-</v>
          </cell>
          <cell r="O6476" t="str">
            <v>SIN CUENTA ASIGNADA</v>
          </cell>
        </row>
        <row r="6477">
          <cell r="J6477" t="str">
            <v>00 -00-00-00-</v>
          </cell>
          <cell r="L6477" t="str">
            <v>00 -00-00-00-</v>
          </cell>
          <cell r="O6477" t="str">
            <v>SIN CUENTA ASIGNADA</v>
          </cell>
        </row>
        <row r="6478">
          <cell r="J6478" t="str">
            <v>00 -00-00-00-</v>
          </cell>
          <cell r="L6478" t="str">
            <v>00 -00-00-00-</v>
          </cell>
          <cell r="O6478" t="str">
            <v>SIN CUENTA ASIGNADA</v>
          </cell>
        </row>
        <row r="6479">
          <cell r="J6479" t="str">
            <v>00 -00-00-00-</v>
          </cell>
          <cell r="L6479" t="str">
            <v>00 -00-00-00-</v>
          </cell>
          <cell r="O6479" t="str">
            <v>SIN CUENTA ASIGNADA</v>
          </cell>
        </row>
        <row r="6480">
          <cell r="J6480" t="str">
            <v>00 -00-00-00-</v>
          </cell>
          <cell r="L6480" t="str">
            <v>00 -00-00-00-</v>
          </cell>
          <cell r="O6480" t="str">
            <v>SIN CUENTA ASIGNADA</v>
          </cell>
        </row>
        <row r="6481">
          <cell r="J6481" t="str">
            <v>00 -00-00-00-</v>
          </cell>
          <cell r="L6481" t="str">
            <v>00 -00-00-00-</v>
          </cell>
          <cell r="O6481" t="str">
            <v>SIN CUENTA ASIGNADA</v>
          </cell>
        </row>
        <row r="6482">
          <cell r="J6482" t="str">
            <v>00 -00-00-00-</v>
          </cell>
          <cell r="L6482" t="str">
            <v>00 -00-00-00-</v>
          </cell>
          <cell r="O6482" t="str">
            <v>SIN CUENTA ASIGNADA</v>
          </cell>
        </row>
        <row r="6483">
          <cell r="J6483" t="str">
            <v>00 -00-00-00-</v>
          </cell>
          <cell r="L6483" t="str">
            <v>00 -00-00-00-</v>
          </cell>
          <cell r="O6483" t="str">
            <v>SIN CUENTA ASIGNADA</v>
          </cell>
        </row>
        <row r="6484">
          <cell r="J6484" t="str">
            <v>00 -00-00-00-</v>
          </cell>
          <cell r="L6484" t="str">
            <v>00 -00-00-00-</v>
          </cell>
          <cell r="O6484" t="str">
            <v>SIN CUENTA ASIGNADA</v>
          </cell>
        </row>
        <row r="6485">
          <cell r="J6485" t="str">
            <v>00 -00-00-00-</v>
          </cell>
          <cell r="L6485" t="str">
            <v>00 -00-00-00-</v>
          </cell>
          <cell r="O6485" t="str">
            <v>SIN CUENTA ASIGNADA</v>
          </cell>
        </row>
        <row r="6486">
          <cell r="J6486" t="str">
            <v>00 -00-00-00-</v>
          </cell>
          <cell r="L6486" t="str">
            <v>00 -00-00-00-</v>
          </cell>
          <cell r="O6486" t="str">
            <v>SIN CUENTA ASIGNADA</v>
          </cell>
        </row>
        <row r="6487">
          <cell r="J6487" t="str">
            <v>00 -00-00-00-</v>
          </cell>
          <cell r="L6487" t="str">
            <v>00 -00-00-00-</v>
          </cell>
          <cell r="O6487" t="str">
            <v>SIN CUENTA ASIGNADA</v>
          </cell>
        </row>
        <row r="6488">
          <cell r="J6488" t="str">
            <v>00 -00-00-00-</v>
          </cell>
          <cell r="L6488" t="str">
            <v>00 -00-00-00-</v>
          </cell>
          <cell r="O6488" t="str">
            <v>SIN CUENTA ASIGNADA</v>
          </cell>
        </row>
        <row r="6489">
          <cell r="J6489" t="str">
            <v>00 -00-00-00-</v>
          </cell>
          <cell r="L6489" t="str">
            <v>00 -00-00-00-</v>
          </cell>
          <cell r="O6489" t="str">
            <v>SIN CUENTA ASIGNADA</v>
          </cell>
        </row>
        <row r="6490">
          <cell r="J6490" t="str">
            <v>00 -00-00-00-</v>
          </cell>
          <cell r="L6490" t="str">
            <v>00 -00-00-00-</v>
          </cell>
          <cell r="O6490" t="str">
            <v>SIN CUENTA ASIGNADA</v>
          </cell>
        </row>
        <row r="6491">
          <cell r="J6491" t="str">
            <v>00 -00-00-00-</v>
          </cell>
          <cell r="L6491" t="str">
            <v>00 -00-00-00-</v>
          </cell>
          <cell r="O6491" t="str">
            <v>SIN CUENTA ASIGNADA</v>
          </cell>
        </row>
        <row r="6492">
          <cell r="J6492" t="str">
            <v>00 -00-00-00-</v>
          </cell>
          <cell r="L6492" t="str">
            <v>00 -00-00-00-</v>
          </cell>
          <cell r="O6492" t="str">
            <v>SIN CUENTA ASIGNADA</v>
          </cell>
        </row>
        <row r="6493">
          <cell r="J6493" t="str">
            <v>00 -00-00-00-</v>
          </cell>
          <cell r="L6493" t="str">
            <v>00 -00-00-00-</v>
          </cell>
          <cell r="O6493" t="str">
            <v>SIN CUENTA ASIGNADA</v>
          </cell>
        </row>
        <row r="6494">
          <cell r="J6494" t="str">
            <v>00 -00-00-00-</v>
          </cell>
          <cell r="L6494" t="str">
            <v>00 -00-00-00-</v>
          </cell>
          <cell r="O6494" t="str">
            <v>SIN CUENTA ASIGNADA</v>
          </cell>
        </row>
        <row r="6495">
          <cell r="J6495" t="str">
            <v>00 -00-00-00-</v>
          </cell>
          <cell r="L6495" t="str">
            <v>00 -00-00-00-</v>
          </cell>
          <cell r="O6495" t="str">
            <v>SIN CUENTA ASIGNADA</v>
          </cell>
        </row>
        <row r="6496">
          <cell r="J6496" t="str">
            <v>00 -00-00-00-</v>
          </cell>
          <cell r="L6496" t="str">
            <v>00 -00-00-00-</v>
          </cell>
          <cell r="O6496" t="str">
            <v>SIN CUENTA ASIGNADA</v>
          </cell>
        </row>
        <row r="6497">
          <cell r="J6497" t="str">
            <v>00 -00-00-00-</v>
          </cell>
          <cell r="L6497" t="str">
            <v>00 -00-00-00-</v>
          </cell>
          <cell r="O6497" t="str">
            <v>SIN CUENTA ASIGNADA</v>
          </cell>
        </row>
        <row r="6498">
          <cell r="J6498" t="str">
            <v>00 -00-00-00-</v>
          </cell>
          <cell r="L6498" t="str">
            <v>00 -00-00-00-</v>
          </cell>
          <cell r="O6498" t="str">
            <v>SIN CUENTA ASIGNADA</v>
          </cell>
        </row>
        <row r="6499">
          <cell r="J6499" t="str">
            <v>00 -00-00-00-</v>
          </cell>
          <cell r="L6499" t="str">
            <v>00 -00-00-00-</v>
          </cell>
          <cell r="O6499" t="str">
            <v>SIN CUENTA ASIGNADA</v>
          </cell>
        </row>
        <row r="6500">
          <cell r="J6500" t="str">
            <v>00 -00-00-00-</v>
          </cell>
          <cell r="L6500" t="str">
            <v>00 -00-00-00-</v>
          </cell>
          <cell r="O6500" t="str">
            <v>SIN CUENTA ASIGNADA</v>
          </cell>
        </row>
        <row r="6501">
          <cell r="J6501" t="str">
            <v>00 -00-00-00-</v>
          </cell>
          <cell r="L6501" t="str">
            <v>00 -00-00-00-</v>
          </cell>
          <cell r="O6501" t="str">
            <v>SIN CUENTA ASIGNADA</v>
          </cell>
        </row>
        <row r="6502">
          <cell r="J6502" t="str">
            <v>00 -00-00-00-</v>
          </cell>
          <cell r="L6502" t="str">
            <v>00 -00-00-00-</v>
          </cell>
          <cell r="O6502" t="str">
            <v>SIN CUENTA ASIGNADA</v>
          </cell>
        </row>
        <row r="6503">
          <cell r="J6503" t="str">
            <v>00 -00-00-00-</v>
          </cell>
          <cell r="L6503" t="str">
            <v>00 -00-00-00-</v>
          </cell>
          <cell r="O6503" t="str">
            <v>SIN CUENTA ASIGNADA</v>
          </cell>
        </row>
        <row r="6504">
          <cell r="J6504" t="str">
            <v>00 -00-00-00-</v>
          </cell>
          <cell r="L6504" t="str">
            <v>00 -00-00-00-</v>
          </cell>
          <cell r="O6504" t="str">
            <v>SIN CUENTA ASIGNADA</v>
          </cell>
        </row>
        <row r="6505">
          <cell r="J6505" t="str">
            <v>00 -00-00-00-</v>
          </cell>
          <cell r="L6505" t="str">
            <v>00 -00-00-00-</v>
          </cell>
          <cell r="O6505" t="str">
            <v>SIN CUENTA ASIGNADA</v>
          </cell>
        </row>
        <row r="6506">
          <cell r="J6506" t="str">
            <v>00 -00-00-00-</v>
          </cell>
          <cell r="L6506" t="str">
            <v>00 -00-00-00-</v>
          </cell>
          <cell r="O6506" t="str">
            <v>SIN CUENTA ASIGNADA</v>
          </cell>
        </row>
        <row r="6507">
          <cell r="J6507" t="str">
            <v>00 -00-00-00-</v>
          </cell>
          <cell r="L6507" t="str">
            <v>00 -00-00-00-</v>
          </cell>
          <cell r="O6507" t="str">
            <v>SIN CUENTA ASIGNADA</v>
          </cell>
        </row>
        <row r="6508">
          <cell r="J6508" t="str">
            <v>00 -00-00-00-</v>
          </cell>
          <cell r="L6508" t="str">
            <v>00 -00-00-00-</v>
          </cell>
          <cell r="O6508" t="str">
            <v>SIN CUENTA ASIGNADA</v>
          </cell>
        </row>
        <row r="6509">
          <cell r="J6509" t="str">
            <v>00 -00-00-00-</v>
          </cell>
          <cell r="L6509" t="str">
            <v>00 -00-00-00-</v>
          </cell>
          <cell r="O6509" t="str">
            <v>SIN CUENTA ASIGNADA</v>
          </cell>
        </row>
        <row r="6510">
          <cell r="J6510" t="str">
            <v>00 -00-00-00-</v>
          </cell>
          <cell r="L6510" t="str">
            <v>00 -00-00-00-</v>
          </cell>
          <cell r="O6510" t="str">
            <v>SIN CUENTA ASIGNADA</v>
          </cell>
        </row>
        <row r="6511">
          <cell r="J6511" t="str">
            <v>00 -00-00-00-</v>
          </cell>
          <cell r="L6511" t="str">
            <v>00 -00-00-00-</v>
          </cell>
          <cell r="O6511" t="str">
            <v>SIN CUENTA ASIGNADA</v>
          </cell>
        </row>
        <row r="6512">
          <cell r="J6512" t="str">
            <v>00 -00-00-00-</v>
          </cell>
          <cell r="L6512" t="str">
            <v>00 -00-00-00-</v>
          </cell>
          <cell r="O6512" t="str">
            <v>SIN CUENTA ASIGNADA</v>
          </cell>
        </row>
        <row r="6513">
          <cell r="J6513" t="str">
            <v>00 -00-00-00-</v>
          </cell>
          <cell r="L6513" t="str">
            <v>00 -00-00-00-</v>
          </cell>
          <cell r="O6513" t="str">
            <v>SIN CUENTA ASIGNADA</v>
          </cell>
        </row>
        <row r="6514">
          <cell r="J6514" t="str">
            <v>00 -00-00-00-</v>
          </cell>
          <cell r="L6514" t="str">
            <v>00 -00-00-00-</v>
          </cell>
          <cell r="O6514" t="str">
            <v>SIN CUENTA ASIGNADA</v>
          </cell>
        </row>
        <row r="6515">
          <cell r="J6515" t="str">
            <v>00 -00-00-00-</v>
          </cell>
          <cell r="L6515" t="str">
            <v>00 -00-00-00-</v>
          </cell>
          <cell r="O6515" t="str">
            <v>SIN CUENTA ASIGNADA</v>
          </cell>
        </row>
        <row r="6516">
          <cell r="J6516" t="str">
            <v>00 -00-00-00-</v>
          </cell>
          <cell r="L6516" t="str">
            <v>00 -00-00-00-</v>
          </cell>
          <cell r="O6516" t="str">
            <v>SIN CUENTA ASIGNADA</v>
          </cell>
        </row>
        <row r="6517">
          <cell r="J6517" t="str">
            <v>00 -00-00-00-</v>
          </cell>
          <cell r="L6517" t="str">
            <v>00 -00-00-00-</v>
          </cell>
          <cell r="O6517" t="str">
            <v>SIN CUENTA ASIGNADA</v>
          </cell>
        </row>
        <row r="6518">
          <cell r="J6518" t="str">
            <v>00 -00-00-00-</v>
          </cell>
          <cell r="L6518" t="str">
            <v>00 -00-00-00-</v>
          </cell>
          <cell r="O6518" t="str">
            <v>SIN CUENTA ASIGNADA</v>
          </cell>
        </row>
        <row r="6519">
          <cell r="J6519" t="str">
            <v>00 -00-00-00-</v>
          </cell>
          <cell r="L6519" t="str">
            <v>00 -00-00-00-</v>
          </cell>
          <cell r="O6519" t="str">
            <v>SIN CUENTA ASIGNADA</v>
          </cell>
        </row>
        <row r="6520">
          <cell r="J6520" t="str">
            <v>00 -00-00-00-</v>
          </cell>
          <cell r="L6520" t="str">
            <v>00 -00-00-00-</v>
          </cell>
          <cell r="O6520" t="str">
            <v>SIN CUENTA ASIGNADA</v>
          </cell>
        </row>
        <row r="6521">
          <cell r="J6521" t="str">
            <v>00 -00-00-00-</v>
          </cell>
          <cell r="L6521" t="str">
            <v>00 -00-00-00-</v>
          </cell>
          <cell r="O6521" t="str">
            <v>SIN CUENTA ASIGNADA</v>
          </cell>
        </row>
        <row r="6522">
          <cell r="J6522" t="str">
            <v>00 -00-00-00-</v>
          </cell>
          <cell r="L6522" t="str">
            <v>00 -00-00-00-</v>
          </cell>
          <cell r="O6522" t="str">
            <v>SIN CUENTA ASIGNADA</v>
          </cell>
        </row>
        <row r="6523">
          <cell r="J6523" t="str">
            <v>00 -00-00-00-</v>
          </cell>
          <cell r="L6523" t="str">
            <v>00 -00-00-00-</v>
          </cell>
          <cell r="O6523" t="str">
            <v>SIN CUENTA ASIGNADA</v>
          </cell>
        </row>
        <row r="6524">
          <cell r="J6524" t="str">
            <v>00 -00-00-00-</v>
          </cell>
          <cell r="L6524" t="str">
            <v>00 -00-00-00-</v>
          </cell>
          <cell r="O6524" t="str">
            <v>SIN CUENTA ASIGNADA</v>
          </cell>
        </row>
        <row r="6525">
          <cell r="J6525" t="str">
            <v>00 -00-00-00-</v>
          </cell>
          <cell r="L6525" t="str">
            <v>00 -00-00-00-</v>
          </cell>
          <cell r="O6525" t="str">
            <v>SIN CUENTA ASIGNADA</v>
          </cell>
        </row>
        <row r="6526">
          <cell r="J6526" t="str">
            <v>00 -00-00-00-</v>
          </cell>
          <cell r="L6526" t="str">
            <v>00 -00-00-00-</v>
          </cell>
          <cell r="O6526" t="str">
            <v>SIN CUENTA ASIGNADA</v>
          </cell>
        </row>
        <row r="6527">
          <cell r="J6527" t="str">
            <v>00 -00-00-00-</v>
          </cell>
          <cell r="L6527" t="str">
            <v>00 -00-00-00-</v>
          </cell>
          <cell r="O6527" t="str">
            <v>SIN CUENTA ASIGNADA</v>
          </cell>
        </row>
        <row r="6528">
          <cell r="J6528" t="str">
            <v>00 -00-00-00-</v>
          </cell>
          <cell r="L6528" t="str">
            <v>00 -00-00-00-</v>
          </cell>
          <cell r="O6528" t="str">
            <v>SIN CUENTA ASIGNADA</v>
          </cell>
        </row>
        <row r="6529">
          <cell r="J6529" t="str">
            <v>00 -00-00-00-</v>
          </cell>
          <cell r="L6529" t="str">
            <v>00 -00-00-00-</v>
          </cell>
          <cell r="O6529" t="str">
            <v>SIN CUENTA ASIGNADA</v>
          </cell>
        </row>
        <row r="6530">
          <cell r="J6530" t="str">
            <v>00 -00-00-00-</v>
          </cell>
          <cell r="L6530" t="str">
            <v>00 -00-00-00-</v>
          </cell>
          <cell r="O6530" t="str">
            <v>SIN CUENTA ASIGNADA</v>
          </cell>
        </row>
        <row r="6531">
          <cell r="J6531" t="str">
            <v>00 -00-00-00-</v>
          </cell>
          <cell r="L6531" t="str">
            <v>00 -00-00-00-</v>
          </cell>
          <cell r="O6531" t="str">
            <v>SIN CUENTA ASIGNADA</v>
          </cell>
        </row>
        <row r="6532">
          <cell r="J6532" t="str">
            <v>00 -00-00-00-</v>
          </cell>
          <cell r="L6532" t="str">
            <v>00 -00-00-00-</v>
          </cell>
          <cell r="O6532" t="str">
            <v>SIN CUENTA ASIGNADA</v>
          </cell>
        </row>
        <row r="6533">
          <cell r="J6533" t="str">
            <v>00 -00-00-00-</v>
          </cell>
          <cell r="L6533" t="str">
            <v>00 -00-00-00-</v>
          </cell>
          <cell r="O6533" t="str">
            <v>SIN CUENTA ASIGNADA</v>
          </cell>
        </row>
        <row r="6534">
          <cell r="J6534" t="str">
            <v>00 -00-00-00-</v>
          </cell>
          <cell r="L6534" t="str">
            <v>00 -00-00-00-</v>
          </cell>
          <cell r="O6534" t="str">
            <v>SIN CUENTA ASIGNADA</v>
          </cell>
        </row>
        <row r="6535">
          <cell r="J6535" t="str">
            <v>00 -00-00-00-</v>
          </cell>
          <cell r="L6535" t="str">
            <v>00 -00-00-00-</v>
          </cell>
          <cell r="O6535" t="str">
            <v>SIN CUENTA ASIGNADA</v>
          </cell>
        </row>
        <row r="6536">
          <cell r="J6536" t="str">
            <v>00 -00-00-00-</v>
          </cell>
          <cell r="L6536" t="str">
            <v>00 -00-00-00-</v>
          </cell>
          <cell r="O6536" t="str">
            <v>SIN CUENTA ASIGNADA</v>
          </cell>
        </row>
        <row r="6537">
          <cell r="J6537" t="str">
            <v>00 -00-00-00-</v>
          </cell>
          <cell r="L6537" t="str">
            <v>00 -00-00-00-</v>
          </cell>
          <cell r="O6537" t="str">
            <v>SIN CUENTA ASIGNADA</v>
          </cell>
        </row>
        <row r="6538">
          <cell r="J6538" t="str">
            <v>00 -00-00-00-</v>
          </cell>
          <cell r="L6538" t="str">
            <v>00 -00-00-00-</v>
          </cell>
          <cell r="O6538" t="str">
            <v>SIN CUENTA ASIGNADA</v>
          </cell>
        </row>
        <row r="6539">
          <cell r="J6539" t="str">
            <v>00 -00-00-00-</v>
          </cell>
          <cell r="L6539" t="str">
            <v>00 -00-00-00-</v>
          </cell>
          <cell r="O6539" t="str">
            <v>SIN CUENTA ASIGNADA</v>
          </cell>
        </row>
        <row r="6540">
          <cell r="J6540" t="str">
            <v>00 -00-00-00-</v>
          </cell>
          <cell r="L6540" t="str">
            <v>00 -00-00-00-</v>
          </cell>
          <cell r="O6540" t="str">
            <v>SIN CUENTA ASIGNADA</v>
          </cell>
        </row>
        <row r="6541">
          <cell r="J6541" t="str">
            <v>00 -00-00-00-</v>
          </cell>
          <cell r="L6541" t="str">
            <v>00 -00-00-00-</v>
          </cell>
          <cell r="O6541" t="str">
            <v>SIN CUENTA ASIGNADA</v>
          </cell>
        </row>
        <row r="6542">
          <cell r="J6542" t="str">
            <v>00 -00-00-00-</v>
          </cell>
          <cell r="L6542" t="str">
            <v>00 -00-00-00-</v>
          </cell>
          <cell r="O6542" t="str">
            <v>SIN CUENTA ASIGNADA</v>
          </cell>
        </row>
        <row r="6543">
          <cell r="J6543" t="str">
            <v>00 -00-00-00-</v>
          </cell>
          <cell r="L6543" t="str">
            <v>00 -00-00-00-</v>
          </cell>
          <cell r="O6543" t="str">
            <v>SIN CUENTA ASIGNADA</v>
          </cell>
        </row>
        <row r="6544">
          <cell r="J6544" t="str">
            <v>00 -00-00-00-</v>
          </cell>
          <cell r="L6544" t="str">
            <v>00 -00-00-00-</v>
          </cell>
          <cell r="O6544" t="str">
            <v>SIN CUENTA ASIGNADA</v>
          </cell>
        </row>
        <row r="6545">
          <cell r="J6545" t="str">
            <v>00 -00-00-00-</v>
          </cell>
          <cell r="L6545" t="str">
            <v>00 -00-00-00-</v>
          </cell>
          <cell r="O6545" t="str">
            <v>SIN CUENTA ASIGNADA</v>
          </cell>
        </row>
        <row r="6546">
          <cell r="J6546" t="str">
            <v>00 -00-00-00-</v>
          </cell>
          <cell r="L6546" t="str">
            <v>00 -00-00-00-</v>
          </cell>
          <cell r="O6546" t="str">
            <v>SIN CUENTA ASIGNADA</v>
          </cell>
        </row>
        <row r="6547">
          <cell r="J6547" t="str">
            <v>00 -00-00-00-</v>
          </cell>
          <cell r="L6547" t="str">
            <v>00 -00-00-00-</v>
          </cell>
          <cell r="O6547" t="str">
            <v>SIN CUENTA ASIGNADA</v>
          </cell>
        </row>
        <row r="6548">
          <cell r="J6548" t="str">
            <v>00 -00-00-00-</v>
          </cell>
          <cell r="L6548" t="str">
            <v>00 -00-00-00-</v>
          </cell>
          <cell r="O6548" t="str">
            <v>SIN CUENTA ASIGNADA</v>
          </cell>
        </row>
        <row r="6549">
          <cell r="J6549" t="str">
            <v>00 -00-00-00-</v>
          </cell>
          <cell r="L6549" t="str">
            <v>00 -00-00-00-</v>
          </cell>
          <cell r="O6549" t="str">
            <v>SIN CUENTA ASIGNADA</v>
          </cell>
        </row>
        <row r="6550">
          <cell r="J6550" t="str">
            <v>00 -00-00-00-</v>
          </cell>
          <cell r="L6550" t="str">
            <v>00 -00-00-00-</v>
          </cell>
          <cell r="O6550" t="str">
            <v>SIN CUENTA ASIGNADA</v>
          </cell>
        </row>
        <row r="6551">
          <cell r="J6551" t="str">
            <v>00 -00-00-00-</v>
          </cell>
          <cell r="L6551" t="str">
            <v>00 -00-00-00-</v>
          </cell>
          <cell r="O6551" t="str">
            <v>SIN CUENTA ASIGNADA</v>
          </cell>
        </row>
        <row r="6552">
          <cell r="J6552" t="str">
            <v>00 -00-00-00-</v>
          </cell>
          <cell r="L6552" t="str">
            <v>00 -00-00-00-</v>
          </cell>
          <cell r="O6552" t="str">
            <v>SIN CUENTA ASIGNADA</v>
          </cell>
        </row>
        <row r="6553">
          <cell r="J6553" t="str">
            <v>00 -00-00-00-</v>
          </cell>
          <cell r="L6553" t="str">
            <v>00 -00-00-00-</v>
          </cell>
          <cell r="O6553" t="str">
            <v>SIN CUENTA ASIGNADA</v>
          </cell>
        </row>
        <row r="6554">
          <cell r="J6554" t="str">
            <v>00 -00-00-00-</v>
          </cell>
          <cell r="L6554" t="str">
            <v>00 -00-00-00-</v>
          </cell>
          <cell r="O6554" t="str">
            <v>SIN CUENTA ASIGNADA</v>
          </cell>
        </row>
        <row r="6555">
          <cell r="J6555" t="str">
            <v>00 -00-00-00-</v>
          </cell>
          <cell r="L6555" t="str">
            <v>00 -00-00-00-</v>
          </cell>
          <cell r="O6555" t="str">
            <v>SIN CUENTA ASIGNADA</v>
          </cell>
        </row>
        <row r="6556">
          <cell r="J6556" t="str">
            <v>00 -00-00-00-</v>
          </cell>
          <cell r="L6556" t="str">
            <v>00 -00-00-00-</v>
          </cell>
          <cell r="O6556" t="str">
            <v>SIN CUENTA ASIGNADA</v>
          </cell>
        </row>
        <row r="6557">
          <cell r="J6557" t="str">
            <v>00 -00-00-00-</v>
          </cell>
          <cell r="L6557" t="str">
            <v>00 -00-00-00-</v>
          </cell>
          <cell r="O6557" t="str">
            <v>SIN CUENTA ASIGNADA</v>
          </cell>
        </row>
        <row r="6558">
          <cell r="J6558" t="str">
            <v>00 -00-00-00-</v>
          </cell>
          <cell r="L6558" t="str">
            <v>00 -00-00-00-</v>
          </cell>
          <cell r="O6558" t="str">
            <v>SIN CUENTA ASIGNADA</v>
          </cell>
        </row>
        <row r="6559">
          <cell r="J6559" t="str">
            <v>00 -00-00-00-</v>
          </cell>
          <cell r="L6559" t="str">
            <v>00 -00-00-00-</v>
          </cell>
          <cell r="O6559" t="str">
            <v>SIN CUENTA ASIGNADA</v>
          </cell>
        </row>
        <row r="6560">
          <cell r="J6560" t="str">
            <v>00 -00-00-00-</v>
          </cell>
          <cell r="L6560" t="str">
            <v>00 -00-00-00-</v>
          </cell>
          <cell r="O6560" t="str">
            <v>SIN CUENTA ASIGNADA</v>
          </cell>
        </row>
        <row r="6561">
          <cell r="J6561" t="str">
            <v>00 -00-00-00-</v>
          </cell>
          <cell r="L6561" t="str">
            <v>00 -00-00-00-</v>
          </cell>
          <cell r="O6561" t="str">
            <v>SIN CUENTA ASIGNADA</v>
          </cell>
        </row>
        <row r="6562">
          <cell r="J6562" t="str">
            <v>00 -00-00-00-</v>
          </cell>
          <cell r="L6562" t="str">
            <v>00 -00-00-00-</v>
          </cell>
          <cell r="O6562" t="str">
            <v>SIN CUENTA ASIGNADA</v>
          </cell>
        </row>
        <row r="6563">
          <cell r="J6563" t="str">
            <v>00 -00-00-00-</v>
          </cell>
          <cell r="L6563" t="str">
            <v>00 -00-00-00-</v>
          </cell>
          <cell r="O6563" t="str">
            <v>SIN CUENTA ASIGNADA</v>
          </cell>
        </row>
        <row r="6564">
          <cell r="J6564" t="str">
            <v>00 -00-00-00-</v>
          </cell>
          <cell r="L6564" t="str">
            <v>00 -00-00-00-</v>
          </cell>
          <cell r="O6564" t="str">
            <v>SIN CUENTA ASIGNADA</v>
          </cell>
        </row>
        <row r="6565">
          <cell r="J6565" t="str">
            <v>00 -00-00-00-</v>
          </cell>
          <cell r="L6565" t="str">
            <v>00 -00-00-00-</v>
          </cell>
          <cell r="O6565" t="str">
            <v>SIN CUENTA ASIGNADA</v>
          </cell>
        </row>
        <row r="6566">
          <cell r="J6566" t="str">
            <v>00 -00-00-00-</v>
          </cell>
          <cell r="L6566" t="str">
            <v>00 -00-00-00-</v>
          </cell>
          <cell r="O6566" t="str">
            <v>SIN CUENTA ASIGNADA</v>
          </cell>
        </row>
        <row r="6567">
          <cell r="J6567" t="str">
            <v>00 -00-00-00-</v>
          </cell>
          <cell r="L6567" t="str">
            <v>00 -00-00-00-</v>
          </cell>
          <cell r="O6567" t="str">
            <v>SIN CUENTA ASIGNADA</v>
          </cell>
        </row>
        <row r="6568">
          <cell r="J6568" t="str">
            <v>00 -00-00-00-</v>
          </cell>
          <cell r="L6568" t="str">
            <v>00 -00-00-00-</v>
          </cell>
          <cell r="O6568" t="str">
            <v>SIN CUENTA ASIGNADA</v>
          </cell>
        </row>
        <row r="6569">
          <cell r="J6569" t="str">
            <v>00 -00-00-00-</v>
          </cell>
          <cell r="L6569" t="str">
            <v>00 -00-00-00-</v>
          </cell>
          <cell r="O6569" t="str">
            <v>SIN CUENTA ASIGNADA</v>
          </cell>
        </row>
        <row r="6570">
          <cell r="J6570" t="str">
            <v>00 -00-00-00-</v>
          </cell>
          <cell r="L6570" t="str">
            <v>00 -00-00-00-</v>
          </cell>
          <cell r="O6570" t="str">
            <v>SIN CUENTA ASIGNADA</v>
          </cell>
        </row>
        <row r="6571">
          <cell r="J6571" t="str">
            <v>00 -00-00-00-</v>
          </cell>
          <cell r="L6571" t="str">
            <v>00 -00-00-00-</v>
          </cell>
          <cell r="O6571" t="str">
            <v>SIN CUENTA ASIGNADA</v>
          </cell>
        </row>
        <row r="6572">
          <cell r="J6572" t="str">
            <v>00 -00-00-00-</v>
          </cell>
          <cell r="L6572" t="str">
            <v>00 -00-00-00-</v>
          </cell>
          <cell r="O6572" t="str">
            <v>SIN CUENTA ASIGNADA</v>
          </cell>
        </row>
        <row r="6573">
          <cell r="J6573" t="str">
            <v>00 -00-00-00-</v>
          </cell>
          <cell r="L6573" t="str">
            <v>00 -00-00-00-</v>
          </cell>
          <cell r="O6573" t="str">
            <v>SIN CUENTA ASIGNADA</v>
          </cell>
        </row>
        <row r="6574">
          <cell r="J6574" t="str">
            <v>00 -00-00-00-</v>
          </cell>
          <cell r="L6574" t="str">
            <v>00 -00-00-00-</v>
          </cell>
          <cell r="O6574" t="str">
            <v>SIN CUENTA ASIGNADA</v>
          </cell>
        </row>
        <row r="6575">
          <cell r="J6575" t="str">
            <v>00 -00-00-00-</v>
          </cell>
          <cell r="L6575" t="str">
            <v>00 -00-00-00-</v>
          </cell>
          <cell r="O6575" t="str">
            <v>SIN CUENTA ASIGNADA</v>
          </cell>
        </row>
        <row r="6576">
          <cell r="J6576" t="str">
            <v>00 -00-00-00-</v>
          </cell>
          <cell r="L6576" t="str">
            <v>00 -00-00-00-</v>
          </cell>
          <cell r="O6576" t="str">
            <v>SIN CUENTA ASIGNADA</v>
          </cell>
        </row>
        <row r="6577">
          <cell r="J6577" t="str">
            <v>00 -00-00-00-</v>
          </cell>
          <cell r="L6577" t="str">
            <v>00 -00-00-00-</v>
          </cell>
          <cell r="O6577" t="str">
            <v>SIN CUENTA ASIGNADA</v>
          </cell>
        </row>
        <row r="6578">
          <cell r="J6578" t="str">
            <v>00 -00-00-00-</v>
          </cell>
          <cell r="L6578" t="str">
            <v>00 -00-00-00-</v>
          </cell>
          <cell r="O6578" t="str">
            <v>SIN CUENTA ASIGNADA</v>
          </cell>
        </row>
        <row r="6579">
          <cell r="J6579" t="str">
            <v>00 -00-00-00-</v>
          </cell>
          <cell r="L6579" t="str">
            <v>00 -00-00-00-</v>
          </cell>
          <cell r="O6579" t="str">
            <v>SIN CUENTA ASIGNADA</v>
          </cell>
        </row>
        <row r="6580">
          <cell r="J6580" t="str">
            <v>00 -00-00-00-</v>
          </cell>
          <cell r="L6580" t="str">
            <v>00 -00-00-00-</v>
          </cell>
          <cell r="O6580" t="str">
            <v>SIN CUENTA ASIGNADA</v>
          </cell>
        </row>
        <row r="6581">
          <cell r="J6581" t="str">
            <v>00 -00-00-00-</v>
          </cell>
          <cell r="L6581" t="str">
            <v>00 -00-00-00-</v>
          </cell>
          <cell r="O6581" t="str">
            <v>SIN CUENTA ASIGNADA</v>
          </cell>
        </row>
        <row r="6582">
          <cell r="J6582" t="str">
            <v>00 -00-00-00-</v>
          </cell>
          <cell r="L6582" t="str">
            <v>00 -00-00-00-</v>
          </cell>
          <cell r="O6582" t="str">
            <v>SIN CUENTA ASIGNADA</v>
          </cell>
        </row>
        <row r="6583">
          <cell r="J6583" t="str">
            <v>00 -00-00-00-</v>
          </cell>
          <cell r="L6583" t="str">
            <v>00 -00-00-00-</v>
          </cell>
          <cell r="O6583" t="str">
            <v>SIN CUENTA ASIGNADA</v>
          </cell>
        </row>
        <row r="6584">
          <cell r="J6584" t="str">
            <v>00 -00-00-00-</v>
          </cell>
          <cell r="L6584" t="str">
            <v>00 -00-00-00-</v>
          </cell>
          <cell r="O6584" t="str">
            <v>SIN CUENTA ASIGNADA</v>
          </cell>
        </row>
        <row r="6585">
          <cell r="J6585" t="str">
            <v>00 -00-00-00-</v>
          </cell>
          <cell r="L6585" t="str">
            <v>00 -00-00-00-</v>
          </cell>
          <cell r="O6585" t="str">
            <v>SIN CUENTA ASIGNADA</v>
          </cell>
        </row>
        <row r="6586">
          <cell r="J6586" t="str">
            <v>00 -00-00-00-</v>
          </cell>
          <cell r="L6586" t="str">
            <v>00 -00-00-00-</v>
          </cell>
          <cell r="O6586" t="str">
            <v>SIN CUENTA ASIGNADA</v>
          </cell>
        </row>
        <row r="6587">
          <cell r="J6587" t="str">
            <v>00 -00-00-00-</v>
          </cell>
          <cell r="L6587" t="str">
            <v>00 -00-00-00-</v>
          </cell>
          <cell r="O6587" t="str">
            <v>SIN CUENTA ASIGNADA</v>
          </cell>
        </row>
        <row r="6588">
          <cell r="J6588" t="str">
            <v>00 -00-00-00-</v>
          </cell>
          <cell r="L6588" t="str">
            <v>00 -00-00-00-</v>
          </cell>
          <cell r="O6588" t="str">
            <v>SIN CUENTA ASIGNADA</v>
          </cell>
        </row>
        <row r="6589">
          <cell r="J6589" t="str">
            <v>00 -00-00-00-</v>
          </cell>
          <cell r="L6589" t="str">
            <v>00 -00-00-00-</v>
          </cell>
          <cell r="O6589" t="str">
            <v>SIN CUENTA ASIGNADA</v>
          </cell>
        </row>
        <row r="6590">
          <cell r="J6590" t="str">
            <v>00 -00-00-00-</v>
          </cell>
          <cell r="L6590" t="str">
            <v>00 -00-00-00-</v>
          </cell>
          <cell r="O6590" t="str">
            <v>SIN CUENTA ASIGNADA</v>
          </cell>
        </row>
        <row r="6591">
          <cell r="J6591" t="str">
            <v>00 -00-00-00-</v>
          </cell>
          <cell r="L6591" t="str">
            <v>00 -00-00-00-</v>
          </cell>
          <cell r="O6591" t="str">
            <v>SIN CUENTA ASIGNADA</v>
          </cell>
        </row>
        <row r="6592">
          <cell r="J6592" t="str">
            <v>00 -00-00-00-</v>
          </cell>
          <cell r="L6592" t="str">
            <v>00 -00-00-00-</v>
          </cell>
          <cell r="O6592" t="str">
            <v>SIN CUENTA ASIGNADA</v>
          </cell>
        </row>
        <row r="6593">
          <cell r="J6593" t="str">
            <v>00 -00-00-00-</v>
          </cell>
          <cell r="L6593" t="str">
            <v>00 -00-00-00-</v>
          </cell>
          <cell r="O6593" t="str">
            <v>SIN CUENTA ASIGNADA</v>
          </cell>
        </row>
        <row r="6594">
          <cell r="J6594" t="str">
            <v>00 -00-00-00-</v>
          </cell>
          <cell r="L6594" t="str">
            <v>00 -00-00-00-</v>
          </cell>
          <cell r="O6594" t="str">
            <v>SIN CUENTA ASIGNADA</v>
          </cell>
        </row>
        <row r="6595">
          <cell r="J6595" t="str">
            <v>00 -00-00-00-</v>
          </cell>
          <cell r="L6595" t="str">
            <v>00 -00-00-00-</v>
          </cell>
          <cell r="O6595" t="str">
            <v>SIN CUENTA ASIGNADA</v>
          </cell>
        </row>
        <row r="6596">
          <cell r="J6596" t="str">
            <v>00 -00-00-00-</v>
          </cell>
          <cell r="L6596" t="str">
            <v>00 -00-00-00-</v>
          </cell>
          <cell r="O6596" t="str">
            <v>SIN CUENTA ASIGNADA</v>
          </cell>
        </row>
        <row r="6597">
          <cell r="J6597" t="str">
            <v>00 -00-00-00-</v>
          </cell>
          <cell r="L6597" t="str">
            <v>00 -00-00-00-</v>
          </cell>
          <cell r="O6597" t="str">
            <v>SIN CUENTA ASIGNADA</v>
          </cell>
        </row>
        <row r="6598">
          <cell r="J6598" t="str">
            <v>00 -00-00-00-</v>
          </cell>
          <cell r="L6598" t="str">
            <v>00 -00-00-00-</v>
          </cell>
          <cell r="O6598" t="str">
            <v>SIN CUENTA ASIGNADA</v>
          </cell>
        </row>
        <row r="6599">
          <cell r="J6599" t="str">
            <v>00 -00-00-00-</v>
          </cell>
          <cell r="L6599" t="str">
            <v>00 -00-00-00-</v>
          </cell>
          <cell r="O6599" t="str">
            <v>SIN CUENTA ASIGNADA</v>
          </cell>
        </row>
        <row r="6600">
          <cell r="J6600" t="str">
            <v>00 -00-00-00-</v>
          </cell>
          <cell r="L6600" t="str">
            <v>00 -00-00-00-</v>
          </cell>
          <cell r="O6600" t="str">
            <v>SIN CUENTA ASIGNADA</v>
          </cell>
        </row>
        <row r="6601">
          <cell r="J6601" t="str">
            <v>00 -00-00-00-</v>
          </cell>
          <cell r="L6601" t="str">
            <v>00 -00-00-00-</v>
          </cell>
          <cell r="O6601" t="str">
            <v>SIN CUENTA ASIGNADA</v>
          </cell>
        </row>
        <row r="6602">
          <cell r="J6602" t="str">
            <v>00 -00-00-00-</v>
          </cell>
          <cell r="L6602" t="str">
            <v>00 -00-00-00-</v>
          </cell>
          <cell r="O6602" t="str">
            <v>SIN CUENTA ASIGNADA</v>
          </cell>
        </row>
        <row r="6603">
          <cell r="J6603" t="str">
            <v>00 -00-00-00-</v>
          </cell>
          <cell r="L6603" t="str">
            <v>00 -00-00-00-</v>
          </cell>
          <cell r="O6603" t="str">
            <v>SIN CUENTA ASIGNADA</v>
          </cell>
        </row>
        <row r="6604">
          <cell r="J6604" t="str">
            <v>00 -00-00-00-</v>
          </cell>
          <cell r="L6604" t="str">
            <v>00 -00-00-00-</v>
          </cell>
          <cell r="O6604" t="str">
            <v>SIN CUENTA ASIGNADA</v>
          </cell>
        </row>
        <row r="6605">
          <cell r="J6605" t="str">
            <v>00 -00-00-00-</v>
          </cell>
          <cell r="L6605" t="str">
            <v>00 -00-00-00-</v>
          </cell>
          <cell r="O6605" t="str">
            <v>SIN CUENTA ASIGNADA</v>
          </cell>
        </row>
        <row r="6606">
          <cell r="J6606" t="str">
            <v>00 -00-00-00-</v>
          </cell>
          <cell r="L6606" t="str">
            <v>00 -00-00-00-</v>
          </cell>
          <cell r="O6606" t="str">
            <v>SIN CUENTA ASIGNADA</v>
          </cell>
        </row>
        <row r="6607">
          <cell r="J6607" t="str">
            <v>00 -00-00-00-</v>
          </cell>
          <cell r="L6607" t="str">
            <v>00 -00-00-00-</v>
          </cell>
          <cell r="O6607" t="str">
            <v>SIN CUENTA ASIGNADA</v>
          </cell>
        </row>
        <row r="6608">
          <cell r="J6608" t="str">
            <v>00 -00-00-00-</v>
          </cell>
          <cell r="L6608" t="str">
            <v>00 -00-00-00-</v>
          </cell>
          <cell r="O6608" t="str">
            <v>SIN CUENTA ASIGNADA</v>
          </cell>
        </row>
        <row r="6609">
          <cell r="J6609" t="str">
            <v>00 -00-00-00-</v>
          </cell>
          <cell r="L6609" t="str">
            <v>00 -00-00-00-</v>
          </cell>
          <cell r="O6609" t="str">
            <v>SIN CUENTA ASIGNADA</v>
          </cell>
        </row>
        <row r="6610">
          <cell r="J6610" t="str">
            <v>00 -00-00-00-</v>
          </cell>
          <cell r="L6610" t="str">
            <v>00 -00-00-00-</v>
          </cell>
          <cell r="O6610" t="str">
            <v>SIN CUENTA ASIGNADA</v>
          </cell>
        </row>
        <row r="6611">
          <cell r="J6611" t="str">
            <v>00 -00-00-00-</v>
          </cell>
          <cell r="L6611" t="str">
            <v>00 -00-00-00-</v>
          </cell>
          <cell r="O6611" t="str">
            <v>SIN CUENTA ASIGNADA</v>
          </cell>
        </row>
        <row r="6612">
          <cell r="J6612" t="str">
            <v>00 -00-00-00-</v>
          </cell>
          <cell r="L6612" t="str">
            <v>00 -00-00-00-</v>
          </cell>
          <cell r="O6612" t="str">
            <v>SIN CUENTA ASIGNADA</v>
          </cell>
        </row>
        <row r="6613">
          <cell r="J6613" t="str">
            <v>00 -00-00-00-</v>
          </cell>
          <cell r="L6613" t="str">
            <v>00 -00-00-00-</v>
          </cell>
          <cell r="O6613" t="str">
            <v>SIN CUENTA ASIGNADA</v>
          </cell>
        </row>
        <row r="6614">
          <cell r="J6614" t="str">
            <v>00 -00-00-00-</v>
          </cell>
          <cell r="L6614" t="str">
            <v>00 -00-00-00-</v>
          </cell>
          <cell r="O6614" t="str">
            <v>SIN CUENTA ASIGNADA</v>
          </cell>
        </row>
        <row r="6615">
          <cell r="J6615" t="str">
            <v>00 -00-00-00-</v>
          </cell>
          <cell r="L6615" t="str">
            <v>00 -00-00-00-</v>
          </cell>
          <cell r="O6615" t="str">
            <v>SIN CUENTA ASIGNADA</v>
          </cell>
        </row>
        <row r="6616">
          <cell r="J6616" t="str">
            <v>00 -00-00-00-</v>
          </cell>
          <cell r="L6616" t="str">
            <v>00 -00-00-00-</v>
          </cell>
          <cell r="O6616" t="str">
            <v>SIN CUENTA ASIGNADA</v>
          </cell>
        </row>
        <row r="6617">
          <cell r="J6617" t="str">
            <v>00 -00-00-00-</v>
          </cell>
          <cell r="L6617" t="str">
            <v>00 -00-00-00-</v>
          </cell>
          <cell r="O6617" t="str">
            <v>SIN CUENTA ASIGNADA</v>
          </cell>
        </row>
        <row r="6618">
          <cell r="J6618" t="str">
            <v>00 -00-00-00-</v>
          </cell>
          <cell r="L6618" t="str">
            <v>00 -00-00-00-</v>
          </cell>
          <cell r="O6618" t="str">
            <v>SIN CUENTA ASIGNADA</v>
          </cell>
        </row>
        <row r="6619">
          <cell r="J6619" t="str">
            <v>00 -00-00-00-</v>
          </cell>
          <cell r="L6619" t="str">
            <v>00 -00-00-00-</v>
          </cell>
          <cell r="O6619" t="str">
            <v>SIN CUENTA ASIGNADA</v>
          </cell>
        </row>
        <row r="6620">
          <cell r="J6620" t="str">
            <v>00 -00-00-00-</v>
          </cell>
          <cell r="L6620" t="str">
            <v>00 -00-00-00-</v>
          </cell>
          <cell r="O6620" t="str">
            <v>SIN CUENTA ASIGNADA</v>
          </cell>
        </row>
        <row r="6621">
          <cell r="J6621" t="str">
            <v>00 -00-00-00-</v>
          </cell>
          <cell r="L6621" t="str">
            <v>00 -00-00-00-</v>
          </cell>
          <cell r="O6621" t="str">
            <v>SIN CUENTA ASIGNADA</v>
          </cell>
        </row>
        <row r="6622">
          <cell r="J6622" t="str">
            <v>00 -00-00-00-</v>
          </cell>
          <cell r="L6622" t="str">
            <v>00 -00-00-00-</v>
          </cell>
          <cell r="O6622" t="str">
            <v>SIN CUENTA ASIGNADA</v>
          </cell>
        </row>
        <row r="6623">
          <cell r="J6623" t="str">
            <v>00 -00-00-00-</v>
          </cell>
          <cell r="L6623" t="str">
            <v>00 -00-00-00-</v>
          </cell>
          <cell r="O6623" t="str">
            <v>SIN CUENTA ASIGNADA</v>
          </cell>
        </row>
        <row r="6624">
          <cell r="J6624" t="str">
            <v>00 -00-00-00-</v>
          </cell>
          <cell r="L6624" t="str">
            <v>00 -00-00-00-</v>
          </cell>
          <cell r="O6624" t="str">
            <v>SIN CUENTA ASIGNADA</v>
          </cell>
        </row>
        <row r="6625">
          <cell r="J6625" t="str">
            <v>00 -00-00-00-</v>
          </cell>
          <cell r="L6625" t="str">
            <v>00 -00-00-00-</v>
          </cell>
          <cell r="O6625" t="str">
            <v>SIN CUENTA ASIGNADA</v>
          </cell>
        </row>
        <row r="6626">
          <cell r="J6626" t="str">
            <v>00 -00-00-00-</v>
          </cell>
          <cell r="L6626" t="str">
            <v>00 -00-00-00-</v>
          </cell>
          <cell r="O6626" t="str">
            <v>SIN CUENTA ASIGNADA</v>
          </cell>
        </row>
        <row r="6627">
          <cell r="J6627" t="str">
            <v>00 -00-00-00-</v>
          </cell>
          <cell r="L6627" t="str">
            <v>00 -00-00-00-</v>
          </cell>
          <cell r="O6627" t="str">
            <v>SIN CUENTA ASIGNADA</v>
          </cell>
        </row>
        <row r="6628">
          <cell r="J6628" t="str">
            <v>00 -00-00-00-</v>
          </cell>
          <cell r="L6628" t="str">
            <v>00 -00-00-00-</v>
          </cell>
          <cell r="O6628" t="str">
            <v>SIN CUENTA ASIGNADA</v>
          </cell>
        </row>
        <row r="6629">
          <cell r="J6629" t="str">
            <v>00 -00-00-00-</v>
          </cell>
          <cell r="L6629" t="str">
            <v>00 -00-00-00-</v>
          </cell>
          <cell r="O6629" t="str">
            <v>SIN CUENTA ASIGNADA</v>
          </cell>
        </row>
        <row r="6630">
          <cell r="J6630" t="str">
            <v>00 -00-00-00-</v>
          </cell>
          <cell r="L6630" t="str">
            <v>00 -00-00-00-</v>
          </cell>
          <cell r="O6630" t="str">
            <v>SIN CUENTA ASIGNADA</v>
          </cell>
        </row>
        <row r="6631">
          <cell r="J6631" t="str">
            <v>00 -00-00-00-</v>
          </cell>
          <cell r="L6631" t="str">
            <v>00 -00-00-00-</v>
          </cell>
          <cell r="O6631" t="str">
            <v>SIN CUENTA ASIGNADA</v>
          </cell>
        </row>
        <row r="6632">
          <cell r="J6632" t="str">
            <v>00 -00-00-00-</v>
          </cell>
          <cell r="L6632" t="str">
            <v>00 -00-00-00-</v>
          </cell>
          <cell r="O6632" t="str">
            <v>SIN CUENTA ASIGNADA</v>
          </cell>
        </row>
        <row r="6633">
          <cell r="J6633" t="str">
            <v>00 -00-00-00-</v>
          </cell>
          <cell r="L6633" t="str">
            <v>00 -00-00-00-</v>
          </cell>
          <cell r="O6633" t="str">
            <v>SIN CUENTA ASIGNADA</v>
          </cell>
        </row>
        <row r="6634">
          <cell r="J6634" t="str">
            <v>00 -00-00-00-</v>
          </cell>
          <cell r="L6634" t="str">
            <v>00 -00-00-00-</v>
          </cell>
          <cell r="O6634" t="str">
            <v>SIN CUENTA ASIGNADA</v>
          </cell>
        </row>
        <row r="6635">
          <cell r="J6635" t="str">
            <v>00 -00-00-00-</v>
          </cell>
          <cell r="L6635" t="str">
            <v>00 -00-00-00-</v>
          </cell>
          <cell r="O6635" t="str">
            <v>SIN CUENTA ASIGNADA</v>
          </cell>
        </row>
        <row r="6636">
          <cell r="J6636" t="str">
            <v>00 -00-00-00-</v>
          </cell>
          <cell r="L6636" t="str">
            <v>00 -00-00-00-</v>
          </cell>
          <cell r="O6636" t="str">
            <v>SIN CUENTA ASIGNADA</v>
          </cell>
        </row>
        <row r="6637">
          <cell r="J6637" t="str">
            <v>00 -00-00-00-</v>
          </cell>
          <cell r="L6637" t="str">
            <v>00 -00-00-00-</v>
          </cell>
          <cell r="O6637" t="str">
            <v>SIN CUENTA ASIGNADA</v>
          </cell>
        </row>
        <row r="6638">
          <cell r="J6638" t="str">
            <v>00 -00-00-00-</v>
          </cell>
          <cell r="L6638" t="str">
            <v>00 -00-00-00-</v>
          </cell>
          <cell r="O6638" t="str">
            <v>SIN CUENTA ASIGNADA</v>
          </cell>
        </row>
        <row r="6639">
          <cell r="J6639" t="str">
            <v>00 -00-00-00-</v>
          </cell>
          <cell r="L6639" t="str">
            <v>00 -00-00-00-</v>
          </cell>
          <cell r="O6639" t="str">
            <v>SIN CUENTA ASIGNADA</v>
          </cell>
        </row>
        <row r="6640">
          <cell r="J6640" t="str">
            <v>00 -00-00-00-</v>
          </cell>
          <cell r="L6640" t="str">
            <v>00 -00-00-00-</v>
          </cell>
          <cell r="O6640" t="str">
            <v>SIN CUENTA ASIGNADA</v>
          </cell>
        </row>
        <row r="6641">
          <cell r="J6641" t="str">
            <v>00 -00-00-00-</v>
          </cell>
          <cell r="L6641" t="str">
            <v>00 -00-00-00-</v>
          </cell>
          <cell r="O6641" t="str">
            <v>SIN CUENTA ASIGNADA</v>
          </cell>
        </row>
        <row r="6642">
          <cell r="J6642" t="str">
            <v>00 -00-00-00-</v>
          </cell>
          <cell r="L6642" t="str">
            <v>00 -00-00-00-</v>
          </cell>
          <cell r="O6642" t="str">
            <v>SIN CUENTA ASIGNADA</v>
          </cell>
        </row>
        <row r="6643">
          <cell r="J6643" t="str">
            <v>00 -00-00-00-</v>
          </cell>
          <cell r="L6643" t="str">
            <v>00 -00-00-00-</v>
          </cell>
          <cell r="O6643" t="str">
            <v>SIN CUENTA ASIGNADA</v>
          </cell>
        </row>
        <row r="6644">
          <cell r="J6644" t="str">
            <v>00 -00-00-00-</v>
          </cell>
          <cell r="L6644" t="str">
            <v>00 -00-00-00-</v>
          </cell>
          <cell r="O6644" t="str">
            <v>SIN CUENTA ASIGNADA</v>
          </cell>
        </row>
        <row r="6645">
          <cell r="J6645" t="str">
            <v>00 -00-00-00-</v>
          </cell>
          <cell r="L6645" t="str">
            <v>00 -00-00-00-</v>
          </cell>
          <cell r="O6645" t="str">
            <v>SIN CUENTA ASIGNADA</v>
          </cell>
        </row>
        <row r="6646">
          <cell r="J6646" t="str">
            <v>00 -00-00-00-</v>
          </cell>
          <cell r="L6646" t="str">
            <v>00 -00-00-00-</v>
          </cell>
          <cell r="O6646" t="str">
            <v>SIN CUENTA ASIGNADA</v>
          </cell>
        </row>
        <row r="6647">
          <cell r="J6647" t="str">
            <v>00 -00-00-00-</v>
          </cell>
          <cell r="L6647" t="str">
            <v>00 -00-00-00-</v>
          </cell>
          <cell r="O6647" t="str">
            <v>SIN CUENTA ASIGNADA</v>
          </cell>
        </row>
        <row r="6648">
          <cell r="J6648" t="str">
            <v>00 -00-00-00-</v>
          </cell>
          <cell r="L6648" t="str">
            <v>00 -00-00-00-</v>
          </cell>
          <cell r="O6648" t="str">
            <v>SIN CUENTA ASIGNADA</v>
          </cell>
        </row>
        <row r="6649">
          <cell r="J6649" t="str">
            <v>00 -00-00-00-</v>
          </cell>
          <cell r="L6649" t="str">
            <v>00 -00-00-00-</v>
          </cell>
          <cell r="O6649" t="str">
            <v>SIN CUENTA ASIGNADA</v>
          </cell>
        </row>
        <row r="6650">
          <cell r="J6650" t="str">
            <v>00 -00-00-00-</v>
          </cell>
          <cell r="L6650" t="str">
            <v>00 -00-00-00-</v>
          </cell>
          <cell r="O6650" t="str">
            <v>SIN CUENTA ASIGNADA</v>
          </cell>
        </row>
        <row r="6651">
          <cell r="J6651" t="str">
            <v>00 -00-00-00-</v>
          </cell>
          <cell r="L6651" t="str">
            <v>00 -00-00-00-</v>
          </cell>
          <cell r="O6651" t="str">
            <v>SIN CUENTA ASIGNADA</v>
          </cell>
        </row>
        <row r="6652">
          <cell r="J6652" t="str">
            <v>00 -00-00-00-</v>
          </cell>
          <cell r="L6652" t="str">
            <v>00 -00-00-00-</v>
          </cell>
          <cell r="O6652" t="str">
            <v>SIN CUENTA ASIGNADA</v>
          </cell>
        </row>
        <row r="6653">
          <cell r="J6653" t="str">
            <v>00 -00-00-00-</v>
          </cell>
          <cell r="L6653" t="str">
            <v>00 -00-00-00-</v>
          </cell>
          <cell r="O6653" t="str">
            <v>SIN CUENTA ASIGNADA</v>
          </cell>
        </row>
        <row r="6654">
          <cell r="J6654" t="str">
            <v>00 -00-00-00-</v>
          </cell>
          <cell r="L6654" t="str">
            <v>00 -00-00-00-</v>
          </cell>
          <cell r="O6654" t="str">
            <v>SIN CUENTA ASIGNADA</v>
          </cell>
        </row>
        <row r="6655">
          <cell r="J6655" t="str">
            <v>00 -00-00-00-</v>
          </cell>
          <cell r="L6655" t="str">
            <v>00 -00-00-00-</v>
          </cell>
          <cell r="O6655" t="str">
            <v>SIN CUENTA ASIGNADA</v>
          </cell>
        </row>
        <row r="6656">
          <cell r="J6656" t="str">
            <v>00 -00-00-00-</v>
          </cell>
          <cell r="L6656" t="str">
            <v>00 -00-00-00-</v>
          </cell>
          <cell r="O6656" t="str">
            <v>SIN CUENTA ASIGNADA</v>
          </cell>
        </row>
        <row r="6657">
          <cell r="J6657" t="str">
            <v>00 -00-00-00-</v>
          </cell>
          <cell r="L6657" t="str">
            <v>00 -00-00-00-</v>
          </cell>
          <cell r="O6657" t="str">
            <v>SIN CUENTA ASIGNADA</v>
          </cell>
        </row>
        <row r="6658">
          <cell r="J6658" t="str">
            <v>00 -00-00-00-</v>
          </cell>
          <cell r="L6658" t="str">
            <v>00 -00-00-00-</v>
          </cell>
          <cell r="O6658" t="str">
            <v>SIN CUENTA ASIGNADA</v>
          </cell>
        </row>
        <row r="6659">
          <cell r="J6659" t="str">
            <v>00 -00-00-00-</v>
          </cell>
          <cell r="L6659" t="str">
            <v>00 -00-00-00-</v>
          </cell>
          <cell r="O6659" t="str">
            <v>SIN CUENTA ASIGNADA</v>
          </cell>
        </row>
        <row r="6660">
          <cell r="J6660" t="str">
            <v>00 -00-00-00-</v>
          </cell>
          <cell r="L6660" t="str">
            <v>00 -00-00-00-</v>
          </cell>
          <cell r="O6660" t="str">
            <v>SIN CUENTA ASIGNADA</v>
          </cell>
        </row>
        <row r="6661">
          <cell r="J6661" t="str">
            <v>00 -00-00-00-</v>
          </cell>
          <cell r="L6661" t="str">
            <v>00 -00-00-00-</v>
          </cell>
          <cell r="O6661" t="str">
            <v>SIN CUENTA ASIGNADA</v>
          </cell>
        </row>
        <row r="6662">
          <cell r="J6662" t="str">
            <v>00 -00-00-00-</v>
          </cell>
          <cell r="L6662" t="str">
            <v>00 -00-00-00-</v>
          </cell>
          <cell r="O6662" t="str">
            <v>SIN CUENTA ASIGNADA</v>
          </cell>
        </row>
        <row r="6663">
          <cell r="J6663" t="str">
            <v>00 -00-00-00-</v>
          </cell>
          <cell r="L6663" t="str">
            <v>00 -00-00-00-</v>
          </cell>
          <cell r="O6663" t="str">
            <v>SIN CUENTA ASIGNADA</v>
          </cell>
        </row>
        <row r="6664">
          <cell r="J6664" t="str">
            <v>00 -00-00-00-</v>
          </cell>
          <cell r="L6664" t="str">
            <v>00 -00-00-00-</v>
          </cell>
          <cell r="O6664" t="str">
            <v>SIN CUENTA ASIGNADA</v>
          </cell>
        </row>
        <row r="6665">
          <cell r="J6665" t="str">
            <v>00 -00-00-00-</v>
          </cell>
          <cell r="L6665" t="str">
            <v>00 -00-00-00-</v>
          </cell>
          <cell r="O6665" t="str">
            <v>SIN CUENTA ASIGNADA</v>
          </cell>
        </row>
        <row r="6666">
          <cell r="J6666" t="str">
            <v>00 -00-00-00-</v>
          </cell>
          <cell r="L6666" t="str">
            <v>00 -00-00-00-</v>
          </cell>
          <cell r="O6666" t="str">
            <v>SIN CUENTA ASIGNADA</v>
          </cell>
        </row>
        <row r="6667">
          <cell r="J6667" t="str">
            <v>00 -00-00-00-</v>
          </cell>
          <cell r="L6667" t="str">
            <v>00 -00-00-00-</v>
          </cell>
          <cell r="O6667" t="str">
            <v>SIN CUENTA ASIGNADA</v>
          </cell>
        </row>
        <row r="6668">
          <cell r="J6668" t="str">
            <v>00 -00-00-00-</v>
          </cell>
          <cell r="L6668" t="str">
            <v>00 -00-00-00-</v>
          </cell>
          <cell r="O6668" t="str">
            <v>SIN CUENTA ASIGNADA</v>
          </cell>
        </row>
        <row r="6669">
          <cell r="J6669" t="str">
            <v>00 -00-00-00-</v>
          </cell>
          <cell r="L6669" t="str">
            <v>00 -00-00-00-</v>
          </cell>
          <cell r="O6669" t="str">
            <v>SIN CUENTA ASIGNADA</v>
          </cell>
        </row>
        <row r="6670">
          <cell r="J6670" t="str">
            <v>00 -00-00-00-</v>
          </cell>
          <cell r="L6670" t="str">
            <v>00 -00-00-00-</v>
          </cell>
          <cell r="O6670" t="str">
            <v>SIN CUENTA ASIGNADA</v>
          </cell>
        </row>
        <row r="6671">
          <cell r="J6671" t="str">
            <v>00 -00-00-00-</v>
          </cell>
          <cell r="L6671" t="str">
            <v>00 -00-00-00-</v>
          </cell>
          <cell r="O6671" t="str">
            <v>SIN CUENTA ASIGNADA</v>
          </cell>
        </row>
        <row r="6672">
          <cell r="J6672" t="str">
            <v>00 -00-00-00-</v>
          </cell>
          <cell r="L6672" t="str">
            <v>00 -00-00-00-</v>
          </cell>
          <cell r="O6672" t="str">
            <v>SIN CUENTA ASIGNADA</v>
          </cell>
        </row>
        <row r="6673">
          <cell r="J6673" t="str">
            <v>00 -00-00-00-</v>
          </cell>
          <cell r="L6673" t="str">
            <v>00 -00-00-00-</v>
          </cell>
          <cell r="O6673" t="str">
            <v>SIN CUENTA ASIGNADA</v>
          </cell>
        </row>
        <row r="6674">
          <cell r="J6674" t="str">
            <v>00 -00-00-00-</v>
          </cell>
          <cell r="L6674" t="str">
            <v>00 -00-00-00-</v>
          </cell>
          <cell r="O6674" t="str">
            <v>SIN CUENTA ASIGNADA</v>
          </cell>
        </row>
        <row r="6675">
          <cell r="J6675" t="str">
            <v>00 -00-00-00-</v>
          </cell>
          <cell r="L6675" t="str">
            <v>00 -00-00-00-</v>
          </cell>
          <cell r="O6675" t="str">
            <v>SIN CUENTA ASIGNADA</v>
          </cell>
        </row>
        <row r="6676">
          <cell r="J6676" t="str">
            <v>00 -00-00-00-</v>
          </cell>
          <cell r="L6676" t="str">
            <v>00 -00-00-00-</v>
          </cell>
          <cell r="O6676" t="str">
            <v>SIN CUENTA ASIGNADA</v>
          </cell>
        </row>
        <row r="6677">
          <cell r="J6677" t="str">
            <v>00 -00-00-00-</v>
          </cell>
          <cell r="L6677" t="str">
            <v>00 -00-00-00-</v>
          </cell>
          <cell r="O6677" t="str">
            <v>SIN CUENTA ASIGNADA</v>
          </cell>
        </row>
        <row r="6678">
          <cell r="J6678" t="str">
            <v>00 -00-00-00-</v>
          </cell>
          <cell r="L6678" t="str">
            <v>00 -00-00-00-</v>
          </cell>
          <cell r="O6678" t="str">
            <v>SIN CUENTA ASIGNADA</v>
          </cell>
        </row>
        <row r="6679">
          <cell r="J6679" t="str">
            <v>00 -00-00-00-</v>
          </cell>
          <cell r="L6679" t="str">
            <v>00 -00-00-00-</v>
          </cell>
          <cell r="O6679" t="str">
            <v>SIN CUENTA ASIGNADA</v>
          </cell>
        </row>
        <row r="6680">
          <cell r="J6680" t="str">
            <v>00 -00-00-00-</v>
          </cell>
          <cell r="L6680" t="str">
            <v>00 -00-00-00-</v>
          </cell>
          <cell r="O6680" t="str">
            <v>SIN CUENTA ASIGNADA</v>
          </cell>
        </row>
        <row r="6681">
          <cell r="J6681" t="str">
            <v>00 -00-00-00-</v>
          </cell>
          <cell r="L6681" t="str">
            <v>00 -00-00-00-</v>
          </cell>
          <cell r="O6681" t="str">
            <v>SIN CUENTA ASIGNADA</v>
          </cell>
        </row>
        <row r="6682">
          <cell r="J6682" t="str">
            <v>00 -00-00-00-</v>
          </cell>
          <cell r="L6682" t="str">
            <v>00 -00-00-00-</v>
          </cell>
          <cell r="O6682" t="str">
            <v>SIN CUENTA ASIGNADA</v>
          </cell>
        </row>
        <row r="6683">
          <cell r="J6683" t="str">
            <v>00 -00-00-00-</v>
          </cell>
          <cell r="L6683" t="str">
            <v>00 -00-00-00-</v>
          </cell>
          <cell r="O6683" t="str">
            <v>SIN CUENTA ASIGNADA</v>
          </cell>
        </row>
        <row r="6684">
          <cell r="J6684" t="str">
            <v>00 -00-00-00-</v>
          </cell>
          <cell r="L6684" t="str">
            <v>00 -00-00-00-</v>
          </cell>
          <cell r="O6684" t="str">
            <v>SIN CUENTA ASIGNADA</v>
          </cell>
        </row>
        <row r="6685">
          <cell r="J6685" t="str">
            <v>00 -00-00-00-</v>
          </cell>
          <cell r="L6685" t="str">
            <v>00 -00-00-00-</v>
          </cell>
          <cell r="O6685" t="str">
            <v>SIN CUENTA ASIGNADA</v>
          </cell>
        </row>
        <row r="6686">
          <cell r="J6686" t="str">
            <v>00 -00-00-00-</v>
          </cell>
          <cell r="L6686" t="str">
            <v>00 -00-00-00-</v>
          </cell>
          <cell r="O6686" t="str">
            <v>SIN CUENTA ASIGNADA</v>
          </cell>
        </row>
        <row r="6687">
          <cell r="J6687" t="str">
            <v>00 -00-00-00-</v>
          </cell>
          <cell r="L6687" t="str">
            <v>00 -00-00-00-</v>
          </cell>
          <cell r="O6687" t="str">
            <v>SIN CUENTA ASIGNADA</v>
          </cell>
        </row>
        <row r="6688">
          <cell r="J6688" t="str">
            <v>00 -00-00-00-</v>
          </cell>
          <cell r="L6688" t="str">
            <v>00 -00-00-00-</v>
          </cell>
          <cell r="O6688" t="str">
            <v>SIN CUENTA ASIGNADA</v>
          </cell>
        </row>
        <row r="6689">
          <cell r="J6689" t="str">
            <v>00 -00-00-00-</v>
          </cell>
          <cell r="L6689" t="str">
            <v>00 -00-00-00-</v>
          </cell>
          <cell r="O6689" t="str">
            <v>SIN CUENTA ASIGNADA</v>
          </cell>
        </row>
        <row r="6690">
          <cell r="J6690" t="str">
            <v>00 -00-00-00-</v>
          </cell>
          <cell r="L6690" t="str">
            <v>00 -00-00-00-</v>
          </cell>
          <cell r="O6690" t="str">
            <v>SIN CUENTA ASIGNADA</v>
          </cell>
        </row>
        <row r="6691">
          <cell r="J6691" t="str">
            <v>00 -00-00-00-</v>
          </cell>
          <cell r="L6691" t="str">
            <v>00 -00-00-00-</v>
          </cell>
          <cell r="O6691" t="str">
            <v>SIN CUENTA ASIGNADA</v>
          </cell>
        </row>
        <row r="6692">
          <cell r="J6692" t="str">
            <v>00 -00-00-00-</v>
          </cell>
          <cell r="L6692" t="str">
            <v>00 -00-00-00-</v>
          </cell>
          <cell r="O6692" t="str">
            <v>SIN CUENTA ASIGNADA</v>
          </cell>
        </row>
        <row r="6693">
          <cell r="J6693" t="str">
            <v>00 -00-00-00-</v>
          </cell>
          <cell r="L6693" t="str">
            <v>00 -00-00-00-</v>
          </cell>
          <cell r="O6693" t="str">
            <v>SIN CUENTA ASIGNADA</v>
          </cell>
        </row>
        <row r="6694">
          <cell r="J6694" t="str">
            <v>00 -00-00-00-</v>
          </cell>
          <cell r="L6694" t="str">
            <v>00 -00-00-00-</v>
          </cell>
          <cell r="O6694" t="str">
            <v>SIN CUENTA ASIGNADA</v>
          </cell>
        </row>
        <row r="6695">
          <cell r="J6695" t="str">
            <v>00 -00-00-00-</v>
          </cell>
          <cell r="L6695" t="str">
            <v>00 -00-00-00-</v>
          </cell>
          <cell r="O6695" t="str">
            <v>SIN CUENTA ASIGNADA</v>
          </cell>
        </row>
        <row r="6696">
          <cell r="J6696" t="str">
            <v>00 -00-00-00-</v>
          </cell>
          <cell r="L6696" t="str">
            <v>00 -00-00-00-</v>
          </cell>
          <cell r="O6696" t="str">
            <v>SIN CUENTA ASIGNADA</v>
          </cell>
        </row>
        <row r="6697">
          <cell r="J6697" t="str">
            <v>00 -00-00-00-</v>
          </cell>
          <cell r="L6697" t="str">
            <v>00 -00-00-00-</v>
          </cell>
          <cell r="O6697" t="str">
            <v>SIN CUENTA ASIGNADA</v>
          </cell>
        </row>
        <row r="6698">
          <cell r="J6698" t="str">
            <v>00 -00-00-00-</v>
          </cell>
          <cell r="L6698" t="str">
            <v>00 -00-00-00-</v>
          </cell>
          <cell r="O6698" t="str">
            <v>SIN CUENTA ASIGNADA</v>
          </cell>
        </row>
        <row r="6699">
          <cell r="J6699" t="str">
            <v>00 -00-00-00-</v>
          </cell>
          <cell r="L6699" t="str">
            <v>00 -00-00-00-</v>
          </cell>
          <cell r="O6699" t="str">
            <v>SIN CUENTA ASIGNADA</v>
          </cell>
        </row>
        <row r="6700">
          <cell r="J6700" t="str">
            <v>00 -00-00-00-</v>
          </cell>
          <cell r="L6700" t="str">
            <v>00 -00-00-00-</v>
          </cell>
          <cell r="O6700" t="str">
            <v>SIN CUENTA ASIGNADA</v>
          </cell>
        </row>
        <row r="6701">
          <cell r="J6701" t="str">
            <v>00 -00-00-00-</v>
          </cell>
          <cell r="L6701" t="str">
            <v>00 -00-00-00-</v>
          </cell>
          <cell r="O6701" t="str">
            <v>SIN CUENTA ASIGNADA</v>
          </cell>
        </row>
        <row r="6702">
          <cell r="J6702" t="str">
            <v>00 -00-00-00-</v>
          </cell>
          <cell r="L6702" t="str">
            <v>00 -00-00-00-</v>
          </cell>
          <cell r="O6702" t="str">
            <v>SIN CUENTA ASIGNADA</v>
          </cell>
        </row>
        <row r="6703">
          <cell r="J6703" t="str">
            <v>00 -00-00-00-</v>
          </cell>
          <cell r="L6703" t="str">
            <v>00 -00-00-00-</v>
          </cell>
          <cell r="O6703" t="str">
            <v>SIN CUENTA ASIGNADA</v>
          </cell>
        </row>
        <row r="6704">
          <cell r="J6704" t="str">
            <v>00 -00-00-00-</v>
          </cell>
          <cell r="L6704" t="str">
            <v>00 -00-00-00-</v>
          </cell>
          <cell r="O6704" t="str">
            <v>SIN CUENTA ASIGNADA</v>
          </cell>
        </row>
        <row r="6705">
          <cell r="J6705" t="str">
            <v>00 -00-00-00-</v>
          </cell>
          <cell r="L6705" t="str">
            <v>00 -00-00-00-</v>
          </cell>
          <cell r="O6705" t="str">
            <v>SIN CUENTA ASIGNADA</v>
          </cell>
        </row>
        <row r="6706">
          <cell r="J6706" t="str">
            <v>00 -00-00-00-</v>
          </cell>
          <cell r="L6706" t="str">
            <v>00 -00-00-00-</v>
          </cell>
          <cell r="O6706" t="str">
            <v>SIN CUENTA ASIGNADA</v>
          </cell>
        </row>
        <row r="6707">
          <cell r="J6707" t="str">
            <v>00 -00-00-00-</v>
          </cell>
          <cell r="L6707" t="str">
            <v>00 -00-00-00-</v>
          </cell>
          <cell r="O6707" t="str">
            <v>SIN CUENTA ASIGNADA</v>
          </cell>
        </row>
        <row r="6708">
          <cell r="J6708" t="str">
            <v>00 -00-00-00-</v>
          </cell>
          <cell r="L6708" t="str">
            <v>00 -00-00-00-</v>
          </cell>
          <cell r="O6708" t="str">
            <v>SIN CUENTA ASIGNADA</v>
          </cell>
        </row>
        <row r="6709">
          <cell r="J6709" t="str">
            <v>00 -00-00-00-</v>
          </cell>
          <cell r="L6709" t="str">
            <v>00 -00-00-00-</v>
          </cell>
          <cell r="O6709" t="str">
            <v>SIN CUENTA ASIGNADA</v>
          </cell>
        </row>
        <row r="6710">
          <cell r="J6710" t="str">
            <v>00 -00-00-00-</v>
          </cell>
          <cell r="L6710" t="str">
            <v>00 -00-00-00-</v>
          </cell>
          <cell r="O6710" t="str">
            <v>SIN CUENTA ASIGNADA</v>
          </cell>
        </row>
        <row r="6711">
          <cell r="J6711" t="str">
            <v>00 -00-00-00-</v>
          </cell>
          <cell r="L6711" t="str">
            <v>00 -00-00-00-</v>
          </cell>
          <cell r="O6711" t="str">
            <v>SIN CUENTA ASIGNADA</v>
          </cell>
        </row>
        <row r="6712">
          <cell r="J6712" t="str">
            <v>00 -00-00-00-</v>
          </cell>
          <cell r="L6712" t="str">
            <v>00 -00-00-00-</v>
          </cell>
          <cell r="O6712" t="str">
            <v>SIN CUENTA ASIGNADA</v>
          </cell>
        </row>
        <row r="6713">
          <cell r="J6713" t="str">
            <v>00 -00-00-00-</v>
          </cell>
          <cell r="L6713" t="str">
            <v>00 -00-00-00-</v>
          </cell>
          <cell r="O6713" t="str">
            <v>SIN CUENTA ASIGNADA</v>
          </cell>
        </row>
        <row r="6714">
          <cell r="J6714" t="str">
            <v>00 -00-00-00-</v>
          </cell>
          <cell r="L6714" t="str">
            <v>00 -00-00-00-</v>
          </cell>
          <cell r="O6714" t="str">
            <v>SIN CUENTA ASIGNADA</v>
          </cell>
        </row>
        <row r="6715">
          <cell r="J6715" t="str">
            <v>00 -00-00-00-</v>
          </cell>
          <cell r="L6715" t="str">
            <v>00 -00-00-00-</v>
          </cell>
          <cell r="O6715" t="str">
            <v>SIN CUENTA ASIGNADA</v>
          </cell>
        </row>
        <row r="6716">
          <cell r="J6716" t="str">
            <v>00 -00-00-00-</v>
          </cell>
          <cell r="L6716" t="str">
            <v>00 -00-00-00-</v>
          </cell>
          <cell r="O6716" t="str">
            <v>SIN CUENTA ASIGNADA</v>
          </cell>
        </row>
        <row r="6717">
          <cell r="J6717" t="str">
            <v>00 -00-00-00-</v>
          </cell>
          <cell r="L6717" t="str">
            <v>00 -00-00-00-</v>
          </cell>
          <cell r="O6717" t="str">
            <v>SIN CUENTA ASIGNADA</v>
          </cell>
        </row>
        <row r="6718">
          <cell r="J6718" t="str">
            <v>00 -00-00-00-</v>
          </cell>
          <cell r="L6718" t="str">
            <v>00 -00-00-00-</v>
          </cell>
          <cell r="O6718" t="str">
            <v>SIN CUENTA ASIGNADA</v>
          </cell>
        </row>
        <row r="6719">
          <cell r="J6719" t="str">
            <v>00 -00-00-00-</v>
          </cell>
          <cell r="L6719" t="str">
            <v>00 -00-00-00-</v>
          </cell>
          <cell r="O6719" t="str">
            <v>SIN CUENTA ASIGNADA</v>
          </cell>
        </row>
        <row r="6720">
          <cell r="J6720" t="str">
            <v>00 -00-00-00-</v>
          </cell>
          <cell r="L6720" t="str">
            <v>00 -00-00-00-</v>
          </cell>
          <cell r="O6720" t="str">
            <v>SIN CUENTA ASIGNADA</v>
          </cell>
        </row>
        <row r="6721">
          <cell r="J6721" t="str">
            <v>00 -00-00-00-</v>
          </cell>
          <cell r="L6721" t="str">
            <v>00 -00-00-00-</v>
          </cell>
          <cell r="O6721" t="str">
            <v>SIN CUENTA ASIGNADA</v>
          </cell>
        </row>
        <row r="6722">
          <cell r="J6722" t="str">
            <v>00 -00-00-00-</v>
          </cell>
          <cell r="L6722" t="str">
            <v>00 -00-00-00-</v>
          </cell>
          <cell r="O6722" t="str">
            <v>SIN CUENTA ASIGNADA</v>
          </cell>
        </row>
        <row r="6723">
          <cell r="J6723" t="str">
            <v>00 -00-00-00-</v>
          </cell>
          <cell r="L6723" t="str">
            <v>00 -00-00-00-</v>
          </cell>
          <cell r="O6723" t="str">
            <v>SIN CUENTA ASIGNADA</v>
          </cell>
        </row>
        <row r="6724">
          <cell r="J6724" t="str">
            <v>00 -00-00-00-</v>
          </cell>
          <cell r="L6724" t="str">
            <v>00 -00-00-00-</v>
          </cell>
          <cell r="O6724" t="str">
            <v>SIN CUENTA ASIGNADA</v>
          </cell>
        </row>
        <row r="6725">
          <cell r="J6725" t="str">
            <v>00 -00-00-00-</v>
          </cell>
          <cell r="L6725" t="str">
            <v>00 -00-00-00-</v>
          </cell>
          <cell r="O6725" t="str">
            <v>SIN CUENTA ASIGNADA</v>
          </cell>
        </row>
        <row r="6726">
          <cell r="J6726" t="str">
            <v>00 -00-00-00-</v>
          </cell>
          <cell r="L6726" t="str">
            <v>00 -00-00-00-</v>
          </cell>
          <cell r="O6726" t="str">
            <v>SIN CUENTA ASIGNADA</v>
          </cell>
        </row>
        <row r="6727">
          <cell r="J6727" t="str">
            <v>00 -00-00-00-</v>
          </cell>
          <cell r="L6727" t="str">
            <v>00 -00-00-00-</v>
          </cell>
          <cell r="O6727" t="str">
            <v>SIN CUENTA ASIGNADA</v>
          </cell>
        </row>
        <row r="6728">
          <cell r="J6728" t="str">
            <v>00 -00-00-00-</v>
          </cell>
          <cell r="L6728" t="str">
            <v>00 -00-00-00-</v>
          </cell>
          <cell r="O6728" t="str">
            <v>SIN CUENTA ASIGNADA</v>
          </cell>
        </row>
        <row r="6729">
          <cell r="J6729" t="str">
            <v>00 -00-00-00-</v>
          </cell>
          <cell r="L6729" t="str">
            <v>00 -00-00-00-</v>
          </cell>
          <cell r="O6729" t="str">
            <v>SIN CUENTA ASIGNADA</v>
          </cell>
        </row>
        <row r="6730">
          <cell r="J6730" t="str">
            <v>00 -00-00-00-</v>
          </cell>
          <cell r="L6730" t="str">
            <v>00 -00-00-00-</v>
          </cell>
          <cell r="O6730" t="str">
            <v>SIN CUENTA ASIGNADA</v>
          </cell>
        </row>
        <row r="6731">
          <cell r="J6731" t="str">
            <v>00 -00-00-00-</v>
          </cell>
          <cell r="L6731" t="str">
            <v>00 -00-00-00-</v>
          </cell>
          <cell r="O6731" t="str">
            <v>SIN CUENTA ASIGNADA</v>
          </cell>
        </row>
        <row r="6732">
          <cell r="J6732" t="str">
            <v>00 -00-00-00-</v>
          </cell>
          <cell r="L6732" t="str">
            <v>00 -00-00-00-</v>
          </cell>
          <cell r="O6732" t="str">
            <v>SIN CUENTA ASIGNADA</v>
          </cell>
        </row>
        <row r="6733">
          <cell r="J6733" t="str">
            <v>00 -00-00-00-</v>
          </cell>
          <cell r="L6733" t="str">
            <v>00 -00-00-00-</v>
          </cell>
          <cell r="O6733" t="str">
            <v>SIN CUENTA ASIGNADA</v>
          </cell>
        </row>
        <row r="6734">
          <cell r="J6734" t="str">
            <v>00 -00-00-00-</v>
          </cell>
          <cell r="L6734" t="str">
            <v>00 -00-00-00-</v>
          </cell>
          <cell r="O6734" t="str">
            <v>SIN CUENTA ASIGNADA</v>
          </cell>
        </row>
        <row r="6735">
          <cell r="J6735" t="str">
            <v>00 -00-00-00-</v>
          </cell>
          <cell r="L6735" t="str">
            <v>00 -00-00-00-</v>
          </cell>
          <cell r="O6735" t="str">
            <v>SIN CUENTA ASIGNADA</v>
          </cell>
        </row>
        <row r="6736">
          <cell r="J6736" t="str">
            <v>00 -00-00-00-</v>
          </cell>
          <cell r="L6736" t="str">
            <v>00 -00-00-00-</v>
          </cell>
          <cell r="O6736" t="str">
            <v>SIN CUENTA ASIGNADA</v>
          </cell>
        </row>
        <row r="6737">
          <cell r="J6737" t="str">
            <v>00 -00-00-00-</v>
          </cell>
          <cell r="L6737" t="str">
            <v>00 -00-00-00-</v>
          </cell>
          <cell r="O6737" t="str">
            <v>SIN CUENTA ASIGNADA</v>
          </cell>
        </row>
        <row r="6738">
          <cell r="J6738" t="str">
            <v>00 -00-00-00-</v>
          </cell>
          <cell r="L6738" t="str">
            <v>00 -00-00-00-</v>
          </cell>
          <cell r="O6738" t="str">
            <v>SIN CUENTA ASIGNADA</v>
          </cell>
        </row>
        <row r="6739">
          <cell r="J6739" t="str">
            <v>00 -00-00-00-</v>
          </cell>
          <cell r="L6739" t="str">
            <v>00 -00-00-00-</v>
          </cell>
          <cell r="O6739" t="str">
            <v>SIN CUENTA ASIGNADA</v>
          </cell>
        </row>
        <row r="6740">
          <cell r="J6740" t="str">
            <v>00 -00-00-00-</v>
          </cell>
          <cell r="L6740" t="str">
            <v>00 -00-00-00-</v>
          </cell>
          <cell r="O6740" t="str">
            <v>SIN CUENTA ASIGNADA</v>
          </cell>
        </row>
        <row r="6741">
          <cell r="J6741" t="str">
            <v>00 -00-00-00-</v>
          </cell>
          <cell r="L6741" t="str">
            <v>00 -00-00-00-</v>
          </cell>
          <cell r="O6741" t="str">
            <v>SIN CUENTA ASIGNADA</v>
          </cell>
        </row>
        <row r="6742">
          <cell r="J6742" t="str">
            <v>00 -00-00-00-</v>
          </cell>
          <cell r="L6742" t="str">
            <v>00 -00-00-00-</v>
          </cell>
          <cell r="O6742" t="str">
            <v>SIN CUENTA ASIGNADA</v>
          </cell>
        </row>
        <row r="6743">
          <cell r="J6743" t="str">
            <v>00 -00-00-00-</v>
          </cell>
          <cell r="L6743" t="str">
            <v>00 -00-00-00-</v>
          </cell>
          <cell r="O6743" t="str">
            <v>SIN CUENTA ASIGNADA</v>
          </cell>
        </row>
        <row r="6744">
          <cell r="J6744" t="str">
            <v>00 -00-00-00-</v>
          </cell>
          <cell r="L6744" t="str">
            <v>00 -00-00-00-</v>
          </cell>
          <cell r="O6744" t="str">
            <v>SIN CUENTA ASIGNADA</v>
          </cell>
        </row>
        <row r="6745">
          <cell r="J6745" t="str">
            <v>00 -00-00-00-</v>
          </cell>
          <cell r="L6745" t="str">
            <v>00 -00-00-00-</v>
          </cell>
          <cell r="O6745" t="str">
            <v>SIN CUENTA ASIGNADA</v>
          </cell>
        </row>
        <row r="6746">
          <cell r="J6746" t="str">
            <v>00 -00-00-00-</v>
          </cell>
          <cell r="L6746" t="str">
            <v>00 -00-00-00-</v>
          </cell>
          <cell r="O6746" t="str">
            <v>SIN CUENTA ASIGNADA</v>
          </cell>
        </row>
        <row r="6747">
          <cell r="J6747" t="str">
            <v>00 -00-00-00-</v>
          </cell>
          <cell r="L6747" t="str">
            <v>00 -00-00-00-</v>
          </cell>
          <cell r="O6747" t="str">
            <v>SIN CUENTA ASIGNADA</v>
          </cell>
        </row>
        <row r="6748">
          <cell r="J6748" t="str">
            <v>00 -00-00-00-</v>
          </cell>
          <cell r="L6748" t="str">
            <v>00 -00-00-00-</v>
          </cell>
          <cell r="O6748" t="str">
            <v>SIN CUENTA ASIGNADA</v>
          </cell>
        </row>
        <row r="6749">
          <cell r="J6749" t="str">
            <v>00 -00-00-00-</v>
          </cell>
          <cell r="L6749" t="str">
            <v>00 -00-00-00-</v>
          </cell>
          <cell r="O6749" t="str">
            <v>SIN CUENTA ASIGNADA</v>
          </cell>
        </row>
        <row r="6750">
          <cell r="J6750" t="str">
            <v>00 -00-00-00-</v>
          </cell>
          <cell r="L6750" t="str">
            <v>00 -00-00-00-</v>
          </cell>
          <cell r="O6750" t="str">
            <v>SIN CUENTA ASIGNADA</v>
          </cell>
        </row>
        <row r="6751">
          <cell r="J6751" t="str">
            <v>00 -00-00-00-</v>
          </cell>
          <cell r="L6751" t="str">
            <v>00 -00-00-00-</v>
          </cell>
          <cell r="O6751" t="str">
            <v>SIN CUENTA ASIGNADA</v>
          </cell>
        </row>
        <row r="6752">
          <cell r="J6752" t="str">
            <v>00 -00-00-00-</v>
          </cell>
          <cell r="L6752" t="str">
            <v>00 -00-00-00-</v>
          </cell>
          <cell r="O6752" t="str">
            <v>SIN CUENTA ASIGNADA</v>
          </cell>
        </row>
        <row r="6753">
          <cell r="J6753" t="str">
            <v>00 -00-00-00-</v>
          </cell>
          <cell r="L6753" t="str">
            <v>00 -00-00-00-</v>
          </cell>
          <cell r="O6753" t="str">
            <v>SIN CUENTA ASIGNADA</v>
          </cell>
        </row>
        <row r="6754">
          <cell r="J6754" t="str">
            <v>00 -00-00-00-</v>
          </cell>
          <cell r="L6754" t="str">
            <v>00 -00-00-00-</v>
          </cell>
          <cell r="O6754" t="str">
            <v>SIN CUENTA ASIGNADA</v>
          </cell>
        </row>
        <row r="6755">
          <cell r="J6755" t="str">
            <v>00 -00-00-00-</v>
          </cell>
          <cell r="L6755" t="str">
            <v>00 -00-00-00-</v>
          </cell>
          <cell r="O6755" t="str">
            <v>SIN CUENTA ASIGNADA</v>
          </cell>
        </row>
        <row r="6756">
          <cell r="J6756" t="str">
            <v>00 -00-00-00-</v>
          </cell>
          <cell r="L6756" t="str">
            <v>00 -00-00-00-</v>
          </cell>
          <cell r="O6756" t="str">
            <v>SIN CUENTA ASIGNADA</v>
          </cell>
        </row>
        <row r="6757">
          <cell r="J6757" t="str">
            <v>00 -00-00-00-</v>
          </cell>
          <cell r="L6757" t="str">
            <v>00 -00-00-00-</v>
          </cell>
          <cell r="O6757" t="str">
            <v>SIN CUENTA ASIGNADA</v>
          </cell>
        </row>
        <row r="6758">
          <cell r="J6758" t="str">
            <v>00 -00-00-00-</v>
          </cell>
          <cell r="L6758" t="str">
            <v>00 -00-00-00-</v>
          </cell>
          <cell r="O6758" t="str">
            <v>SIN CUENTA ASIGNADA</v>
          </cell>
        </row>
        <row r="6759">
          <cell r="J6759" t="str">
            <v>00 -00-00-00-</v>
          </cell>
          <cell r="L6759" t="str">
            <v>00 -00-00-00-</v>
          </cell>
          <cell r="O6759" t="str">
            <v>SIN CUENTA ASIGNADA</v>
          </cell>
        </row>
        <row r="6760">
          <cell r="J6760" t="str">
            <v>00 -00-00-00-</v>
          </cell>
          <cell r="L6760" t="str">
            <v>00 -00-00-00-</v>
          </cell>
          <cell r="O6760" t="str">
            <v>SIN CUENTA ASIGNADA</v>
          </cell>
        </row>
        <row r="6761">
          <cell r="J6761" t="str">
            <v>00 -00-00-00-</v>
          </cell>
          <cell r="L6761" t="str">
            <v>00 -00-00-00-</v>
          </cell>
          <cell r="O6761" t="str">
            <v>SIN CUENTA ASIGNADA</v>
          </cell>
        </row>
        <row r="6762">
          <cell r="J6762" t="str">
            <v>00 -00-00-00-</v>
          </cell>
          <cell r="L6762" t="str">
            <v>00 -00-00-00-</v>
          </cell>
          <cell r="O6762" t="str">
            <v>SIN CUENTA ASIGNADA</v>
          </cell>
        </row>
        <row r="6763">
          <cell r="J6763" t="str">
            <v>00 -00-00-00-</v>
          </cell>
          <cell r="L6763" t="str">
            <v>00 -00-00-00-</v>
          </cell>
          <cell r="O6763" t="str">
            <v>SIN CUENTA ASIGNADA</v>
          </cell>
        </row>
        <row r="6764">
          <cell r="J6764" t="str">
            <v>00 -00-00-00-</v>
          </cell>
          <cell r="L6764" t="str">
            <v>00 -00-00-00-</v>
          </cell>
          <cell r="O6764" t="str">
            <v>SIN CUENTA ASIGNADA</v>
          </cell>
        </row>
        <row r="6765">
          <cell r="J6765" t="str">
            <v>00 -00-00-00-</v>
          </cell>
          <cell r="L6765" t="str">
            <v>00 -00-00-00-</v>
          </cell>
          <cell r="O6765" t="str">
            <v>SIN CUENTA ASIGNADA</v>
          </cell>
        </row>
        <row r="6766">
          <cell r="J6766" t="str">
            <v>00 -00-00-00-</v>
          </cell>
          <cell r="L6766" t="str">
            <v>00 -00-00-00-</v>
          </cell>
          <cell r="O6766" t="str">
            <v>SIN CUENTA ASIGNADA</v>
          </cell>
        </row>
        <row r="6767">
          <cell r="J6767" t="str">
            <v>00 -00-00-00-</v>
          </cell>
          <cell r="L6767" t="str">
            <v>00 -00-00-00-</v>
          </cell>
          <cell r="O6767" t="str">
            <v>SIN CUENTA ASIGNADA</v>
          </cell>
        </row>
        <row r="6768">
          <cell r="J6768" t="str">
            <v>00 -00-00-00-</v>
          </cell>
          <cell r="L6768" t="str">
            <v>00 -00-00-00-</v>
          </cell>
          <cell r="O6768" t="str">
            <v>SIN CUENTA ASIGNADA</v>
          </cell>
        </row>
        <row r="6769">
          <cell r="J6769" t="str">
            <v>00 -00-00-00-</v>
          </cell>
          <cell r="L6769" t="str">
            <v>00 -00-00-00-</v>
          </cell>
          <cell r="O6769" t="str">
            <v>SIN CUENTA ASIGNADA</v>
          </cell>
        </row>
        <row r="6770">
          <cell r="J6770" t="str">
            <v>00 -00-00-00-</v>
          </cell>
          <cell r="L6770" t="str">
            <v>00 -00-00-00-</v>
          </cell>
          <cell r="O6770" t="str">
            <v>SIN CUENTA ASIGNADA</v>
          </cell>
        </row>
        <row r="6771">
          <cell r="J6771" t="str">
            <v>00 -00-00-00-</v>
          </cell>
          <cell r="L6771" t="str">
            <v>00 -00-00-00-</v>
          </cell>
          <cell r="O6771" t="str">
            <v>SIN CUENTA ASIGNADA</v>
          </cell>
        </row>
        <row r="6772">
          <cell r="J6772" t="str">
            <v>00 -00-00-00-</v>
          </cell>
          <cell r="L6772" t="str">
            <v>00 -00-00-00-</v>
          </cell>
          <cell r="O6772" t="str">
            <v>SIN CUENTA ASIGNADA</v>
          </cell>
        </row>
        <row r="6773">
          <cell r="J6773" t="str">
            <v>00 -00-00-00-</v>
          </cell>
          <cell r="L6773" t="str">
            <v>00 -00-00-00-</v>
          </cell>
          <cell r="O6773" t="str">
            <v>SIN CUENTA ASIGNADA</v>
          </cell>
        </row>
        <row r="6774">
          <cell r="J6774" t="str">
            <v>00 -00-00-00-</v>
          </cell>
          <cell r="L6774" t="str">
            <v>00 -00-00-00-</v>
          </cell>
          <cell r="O6774" t="str">
            <v>SIN CUENTA ASIGNADA</v>
          </cell>
        </row>
        <row r="6775">
          <cell r="J6775" t="str">
            <v>00 -00-00-00-</v>
          </cell>
          <cell r="L6775" t="str">
            <v>00 -00-00-00-</v>
          </cell>
          <cell r="O6775" t="str">
            <v>SIN CUENTA ASIGNADA</v>
          </cell>
        </row>
        <row r="6776">
          <cell r="J6776" t="str">
            <v>00 -00-00-00-</v>
          </cell>
          <cell r="L6776" t="str">
            <v>00 -00-00-00-</v>
          </cell>
          <cell r="O6776" t="str">
            <v>SIN CUENTA ASIGNADA</v>
          </cell>
        </row>
        <row r="6777">
          <cell r="J6777" t="str">
            <v>00 -00-00-00-</v>
          </cell>
          <cell r="L6777" t="str">
            <v>00 -00-00-00-</v>
          </cell>
          <cell r="O6777" t="str">
            <v>SIN CUENTA ASIGNADA</v>
          </cell>
        </row>
        <row r="6778">
          <cell r="J6778" t="str">
            <v>00 -00-00-00-</v>
          </cell>
          <cell r="L6778" t="str">
            <v>00 -00-00-00-</v>
          </cell>
          <cell r="O6778" t="str">
            <v>SIN CUENTA ASIGNADA</v>
          </cell>
        </row>
        <row r="6779">
          <cell r="J6779" t="str">
            <v>00 -00-00-00-</v>
          </cell>
          <cell r="L6779" t="str">
            <v>00 -00-00-00-</v>
          </cell>
          <cell r="O6779" t="str">
            <v>SIN CUENTA ASIGNADA</v>
          </cell>
        </row>
        <row r="6780">
          <cell r="J6780" t="str">
            <v>00 -00-00-00-</v>
          </cell>
          <cell r="L6780" t="str">
            <v>00 -00-00-00-</v>
          </cell>
          <cell r="O6780" t="str">
            <v>SIN CUENTA ASIGNADA</v>
          </cell>
        </row>
        <row r="6781">
          <cell r="J6781" t="str">
            <v>00 -00-00-00-</v>
          </cell>
          <cell r="L6781" t="str">
            <v>00 -00-00-00-</v>
          </cell>
          <cell r="O6781" t="str">
            <v>SIN CUENTA ASIGNADA</v>
          </cell>
        </row>
        <row r="6782">
          <cell r="J6782" t="str">
            <v>00 -00-00-00-</v>
          </cell>
          <cell r="L6782" t="str">
            <v>00 -00-00-00-</v>
          </cell>
          <cell r="O6782" t="str">
            <v>SIN CUENTA ASIGNADA</v>
          </cell>
        </row>
        <row r="6783">
          <cell r="J6783" t="str">
            <v>00 -00-00-00-</v>
          </cell>
          <cell r="L6783" t="str">
            <v>00 -00-00-00-</v>
          </cell>
          <cell r="O6783" t="str">
            <v>SIN CUENTA ASIGNADA</v>
          </cell>
        </row>
        <row r="6784">
          <cell r="J6784" t="str">
            <v>00 -00-00-00-</v>
          </cell>
          <cell r="L6784" t="str">
            <v>00 -00-00-00-</v>
          </cell>
          <cell r="O6784" t="str">
            <v>SIN CUENTA ASIGNADA</v>
          </cell>
        </row>
        <row r="6785">
          <cell r="J6785" t="str">
            <v>00 -00-00-00-</v>
          </cell>
          <cell r="L6785" t="str">
            <v>00 -00-00-00-</v>
          </cell>
          <cell r="O6785" t="str">
            <v>SIN CUENTA ASIGNADA</v>
          </cell>
        </row>
        <row r="6786">
          <cell r="J6786" t="str">
            <v>00 -00-00-00-</v>
          </cell>
          <cell r="L6786" t="str">
            <v>00 -00-00-00-</v>
          </cell>
          <cell r="O6786" t="str">
            <v>SIN CUENTA ASIGNADA</v>
          </cell>
        </row>
        <row r="6787">
          <cell r="J6787" t="str">
            <v>00 -00-00-00-</v>
          </cell>
          <cell r="L6787" t="str">
            <v>00 -00-00-00-</v>
          </cell>
          <cell r="O6787" t="str">
            <v>SIN CUENTA ASIGNADA</v>
          </cell>
        </row>
        <row r="6788">
          <cell r="J6788" t="str">
            <v>00 -00-00-00-</v>
          </cell>
          <cell r="L6788" t="str">
            <v>00 -00-00-00-</v>
          </cell>
          <cell r="O6788" t="str">
            <v>SIN CUENTA ASIGNADA</v>
          </cell>
        </row>
        <row r="6789">
          <cell r="J6789" t="str">
            <v>00 -00-00-00-</v>
          </cell>
          <cell r="L6789" t="str">
            <v>00 -00-00-00-</v>
          </cell>
          <cell r="O6789" t="str">
            <v>SIN CUENTA ASIGNADA</v>
          </cell>
        </row>
        <row r="6790">
          <cell r="J6790" t="str">
            <v>00 -00-00-00-</v>
          </cell>
          <cell r="L6790" t="str">
            <v>00 -00-00-00-</v>
          </cell>
          <cell r="O6790" t="str">
            <v>SIN CUENTA ASIGNADA</v>
          </cell>
        </row>
        <row r="6791">
          <cell r="J6791" t="str">
            <v>00 -00-00-00-</v>
          </cell>
          <cell r="L6791" t="str">
            <v>00 -00-00-00-</v>
          </cell>
          <cell r="O6791" t="str">
            <v>SIN CUENTA ASIGNADA</v>
          </cell>
        </row>
        <row r="6792">
          <cell r="J6792" t="str">
            <v>00 -00-00-00-</v>
          </cell>
          <cell r="L6792" t="str">
            <v>00 -00-00-00-</v>
          </cell>
          <cell r="O6792" t="str">
            <v>SIN CUENTA ASIGNADA</v>
          </cell>
        </row>
        <row r="6793">
          <cell r="J6793" t="str">
            <v>00 -00-00-00-</v>
          </cell>
          <cell r="L6793" t="str">
            <v>00 -00-00-00-</v>
          </cell>
          <cell r="O6793" t="str">
            <v>SIN CUENTA ASIGNADA</v>
          </cell>
        </row>
        <row r="6794">
          <cell r="J6794" t="str">
            <v>00 -00-00-00-</v>
          </cell>
          <cell r="L6794" t="str">
            <v>00 -00-00-00-</v>
          </cell>
          <cell r="O6794" t="str">
            <v>SIN CUENTA ASIGNADA</v>
          </cell>
        </row>
        <row r="6795">
          <cell r="J6795" t="str">
            <v>00 -00-00-00-</v>
          </cell>
          <cell r="L6795" t="str">
            <v>00 -00-00-00-</v>
          </cell>
          <cell r="O6795" t="str">
            <v>SIN CUENTA ASIGNADA</v>
          </cell>
        </row>
        <row r="6796">
          <cell r="J6796" t="str">
            <v>00 -00-00-00-</v>
          </cell>
          <cell r="L6796" t="str">
            <v>00 -00-00-00-</v>
          </cell>
          <cell r="O6796" t="str">
            <v>SIN CUENTA ASIGNADA</v>
          </cell>
        </row>
        <row r="6797">
          <cell r="J6797" t="str">
            <v>00 -00-00-00-</v>
          </cell>
          <cell r="L6797" t="str">
            <v>00 -00-00-00-</v>
          </cell>
          <cell r="O6797" t="str">
            <v>SIN CUENTA ASIGNADA</v>
          </cell>
        </row>
        <row r="6798">
          <cell r="J6798" t="str">
            <v>00 -00-00-00-</v>
          </cell>
          <cell r="L6798" t="str">
            <v>00 -00-00-00-</v>
          </cell>
          <cell r="O6798" t="str">
            <v>SIN CUENTA ASIGNADA</v>
          </cell>
        </row>
        <row r="6799">
          <cell r="J6799" t="str">
            <v>00 -00-00-00-</v>
          </cell>
          <cell r="L6799" t="str">
            <v>00 -00-00-00-</v>
          </cell>
          <cell r="O6799" t="str">
            <v>SIN CUENTA ASIGNADA</v>
          </cell>
        </row>
        <row r="6800">
          <cell r="J6800" t="str">
            <v>00 -00-00-00-</v>
          </cell>
          <cell r="L6800" t="str">
            <v>00 -00-00-00-</v>
          </cell>
          <cell r="O6800" t="str">
            <v>SIN CUENTA ASIGNADA</v>
          </cell>
        </row>
        <row r="6801">
          <cell r="J6801" t="str">
            <v>00 -00-00-00-</v>
          </cell>
          <cell r="L6801" t="str">
            <v>00 -00-00-00-</v>
          </cell>
          <cell r="O6801" t="str">
            <v>SIN CUENTA ASIGNADA</v>
          </cell>
        </row>
        <row r="6802">
          <cell r="J6802" t="str">
            <v>00 -00-00-00-</v>
          </cell>
          <cell r="L6802" t="str">
            <v>00 -00-00-00-</v>
          </cell>
          <cell r="O6802" t="str">
            <v>SIN CUENTA ASIGNADA</v>
          </cell>
        </row>
        <row r="6803">
          <cell r="J6803" t="str">
            <v>00 -00-00-00-</v>
          </cell>
          <cell r="L6803" t="str">
            <v>00 -00-00-00-</v>
          </cell>
          <cell r="O6803" t="str">
            <v>SIN CUENTA ASIGNADA</v>
          </cell>
        </row>
        <row r="6804">
          <cell r="J6804" t="str">
            <v>00 -00-00-00-</v>
          </cell>
          <cell r="L6804" t="str">
            <v>00 -00-00-00-</v>
          </cell>
          <cell r="O6804" t="str">
            <v>SIN CUENTA ASIGNADA</v>
          </cell>
        </row>
        <row r="6805">
          <cell r="J6805" t="str">
            <v>00 -00-00-00-</v>
          </cell>
          <cell r="L6805" t="str">
            <v>00 -00-00-00-</v>
          </cell>
          <cell r="O6805" t="str">
            <v>SIN CUENTA ASIGNADA</v>
          </cell>
        </row>
        <row r="6806">
          <cell r="J6806" t="str">
            <v>00 -00-00-00-</v>
          </cell>
          <cell r="L6806" t="str">
            <v>00 -00-00-00-</v>
          </cell>
          <cell r="O6806" t="str">
            <v>SIN CUENTA ASIGNADA</v>
          </cell>
        </row>
        <row r="6807">
          <cell r="J6807" t="str">
            <v>00 -00-00-00-</v>
          </cell>
          <cell r="L6807" t="str">
            <v>00 -00-00-00-</v>
          </cell>
          <cell r="O6807" t="str">
            <v>SIN CUENTA ASIGNADA</v>
          </cell>
        </row>
        <row r="6808">
          <cell r="J6808" t="str">
            <v>00 -00-00-00-</v>
          </cell>
          <cell r="L6808" t="str">
            <v>00 -00-00-00-</v>
          </cell>
          <cell r="O6808" t="str">
            <v>SIN CUENTA ASIGNADA</v>
          </cell>
        </row>
        <row r="6809">
          <cell r="J6809" t="str">
            <v>00 -00-00-00-</v>
          </cell>
          <cell r="L6809" t="str">
            <v>00 -00-00-00-</v>
          </cell>
          <cell r="O6809" t="str">
            <v>SIN CUENTA ASIGNADA</v>
          </cell>
        </row>
        <row r="6810">
          <cell r="J6810" t="str">
            <v>00 -00-00-00-</v>
          </cell>
          <cell r="L6810" t="str">
            <v>00 -00-00-00-</v>
          </cell>
          <cell r="O6810" t="str">
            <v>SIN CUENTA ASIGNADA</v>
          </cell>
        </row>
        <row r="6811">
          <cell r="J6811" t="str">
            <v>00 -00-00-00-</v>
          </cell>
          <cell r="L6811" t="str">
            <v>00 -00-00-00-</v>
          </cell>
          <cell r="O6811" t="str">
            <v>SIN CUENTA ASIGNADA</v>
          </cell>
        </row>
        <row r="6812">
          <cell r="J6812" t="str">
            <v>00 -00-00-00-</v>
          </cell>
          <cell r="L6812" t="str">
            <v>00 -00-00-00-</v>
          </cell>
          <cell r="O6812" t="str">
            <v>SIN CUENTA ASIGNADA</v>
          </cell>
        </row>
        <row r="6813">
          <cell r="J6813" t="str">
            <v>00 -00-00-00-</v>
          </cell>
          <cell r="L6813" t="str">
            <v>00 -00-00-00-</v>
          </cell>
          <cell r="O6813" t="str">
            <v>SIN CUENTA ASIGNADA</v>
          </cell>
        </row>
        <row r="6814">
          <cell r="J6814" t="str">
            <v>00 -00-00-00-</v>
          </cell>
          <cell r="L6814" t="str">
            <v>00 -00-00-00-</v>
          </cell>
          <cell r="O6814" t="str">
            <v>SIN CUENTA ASIGNADA</v>
          </cell>
        </row>
        <row r="6815">
          <cell r="J6815" t="str">
            <v>00 -00-00-00-</v>
          </cell>
          <cell r="L6815" t="str">
            <v>00 -00-00-00-</v>
          </cell>
          <cell r="O6815" t="str">
            <v>SIN CUENTA ASIGNADA</v>
          </cell>
        </row>
        <row r="6816">
          <cell r="J6816" t="str">
            <v>00 -00-00-00-</v>
          </cell>
          <cell r="L6816" t="str">
            <v>00 -00-00-00-</v>
          </cell>
          <cell r="O6816" t="str">
            <v>SIN CUENTA ASIGNADA</v>
          </cell>
        </row>
        <row r="6817">
          <cell r="J6817" t="str">
            <v>00 -00-00-00-</v>
          </cell>
          <cell r="L6817" t="str">
            <v>00 -00-00-00-</v>
          </cell>
          <cell r="O6817" t="str">
            <v>SIN CUENTA ASIGNADA</v>
          </cell>
        </row>
        <row r="6818">
          <cell r="J6818" t="str">
            <v>00 -00-00-00-</v>
          </cell>
          <cell r="L6818" t="str">
            <v>00 -00-00-00-</v>
          </cell>
          <cell r="O6818" t="str">
            <v>SIN CUENTA ASIGNADA</v>
          </cell>
        </row>
        <row r="6819">
          <cell r="J6819" t="str">
            <v>00 -00-00-00-</v>
          </cell>
          <cell r="L6819" t="str">
            <v>00 -00-00-00-</v>
          </cell>
          <cell r="O6819" t="str">
            <v>SIN CUENTA ASIGNADA</v>
          </cell>
        </row>
        <row r="6820">
          <cell r="J6820" t="str">
            <v>00 -00-00-00-</v>
          </cell>
          <cell r="L6820" t="str">
            <v>00 -00-00-00-</v>
          </cell>
          <cell r="O6820" t="str">
            <v>SIN CUENTA ASIGNADA</v>
          </cell>
        </row>
        <row r="6821">
          <cell r="J6821" t="str">
            <v>00 -00-00-00-</v>
          </cell>
          <cell r="L6821" t="str">
            <v>00 -00-00-00-</v>
          </cell>
          <cell r="O6821" t="str">
            <v>SIN CUENTA ASIGNADA</v>
          </cell>
        </row>
        <row r="6822">
          <cell r="J6822" t="str">
            <v>00 -00-00-00-</v>
          </cell>
          <cell r="L6822" t="str">
            <v>00 -00-00-00-</v>
          </cell>
          <cell r="O6822" t="str">
            <v>SIN CUENTA ASIGNADA</v>
          </cell>
        </row>
        <row r="6823">
          <cell r="J6823" t="str">
            <v>00 -00-00-00-</v>
          </cell>
          <cell r="L6823" t="str">
            <v>00 -00-00-00-</v>
          </cell>
          <cell r="O6823" t="str">
            <v>SIN CUENTA ASIGNADA</v>
          </cell>
        </row>
        <row r="6824">
          <cell r="J6824" t="str">
            <v>00 -00-00-00-</v>
          </cell>
          <cell r="L6824" t="str">
            <v>00 -00-00-00-</v>
          </cell>
          <cell r="O6824" t="str">
            <v>SIN CUENTA ASIGNADA</v>
          </cell>
        </row>
        <row r="6825">
          <cell r="J6825" t="str">
            <v>00 -00-00-00-</v>
          </cell>
          <cell r="L6825" t="str">
            <v>00 -00-00-00-</v>
          </cell>
          <cell r="O6825" t="str">
            <v>SIN CUENTA ASIGNADA</v>
          </cell>
        </row>
        <row r="6826">
          <cell r="J6826" t="str">
            <v>00 -00-00-00-</v>
          </cell>
          <cell r="L6826" t="str">
            <v>00 -00-00-00-</v>
          </cell>
          <cell r="O6826" t="str">
            <v>SIN CUENTA ASIGNADA</v>
          </cell>
        </row>
        <row r="6827">
          <cell r="J6827" t="str">
            <v>00 -00-00-00-</v>
          </cell>
          <cell r="L6827" t="str">
            <v>00 -00-00-00-</v>
          </cell>
          <cell r="O6827" t="str">
            <v>SIN CUENTA ASIGNADA</v>
          </cell>
        </row>
        <row r="6828">
          <cell r="J6828" t="str">
            <v>00 -00-00-00-</v>
          </cell>
          <cell r="L6828" t="str">
            <v>00 -00-00-00-</v>
          </cell>
          <cell r="O6828" t="str">
            <v>SIN CUENTA ASIGNADA</v>
          </cell>
        </row>
        <row r="6829">
          <cell r="J6829" t="str">
            <v>00 -00-00-00-</v>
          </cell>
          <cell r="L6829" t="str">
            <v>00 -00-00-00-</v>
          </cell>
          <cell r="O6829" t="str">
            <v>SIN CUENTA ASIGNADA</v>
          </cell>
        </row>
        <row r="6830">
          <cell r="J6830" t="str">
            <v>00 -00-00-00-</v>
          </cell>
          <cell r="L6830" t="str">
            <v>00 -00-00-00-</v>
          </cell>
          <cell r="O6830" t="str">
            <v>SIN CUENTA ASIGNADA</v>
          </cell>
        </row>
        <row r="6831">
          <cell r="J6831" t="str">
            <v>00 -00-00-00-</v>
          </cell>
          <cell r="L6831" t="str">
            <v>00 -00-00-00-</v>
          </cell>
          <cell r="O6831" t="str">
            <v>SIN CUENTA ASIGNADA</v>
          </cell>
        </row>
        <row r="6832">
          <cell r="J6832" t="str">
            <v>00 -00-00-00-</v>
          </cell>
          <cell r="L6832" t="str">
            <v>00 -00-00-00-</v>
          </cell>
          <cell r="O6832" t="str">
            <v>SIN CUENTA ASIGNADA</v>
          </cell>
        </row>
        <row r="6833">
          <cell r="J6833" t="str">
            <v>00 -00-00-00-</v>
          </cell>
          <cell r="L6833" t="str">
            <v>00 -00-00-00-</v>
          </cell>
          <cell r="O6833" t="str">
            <v>SIN CUENTA ASIGNADA</v>
          </cell>
        </row>
        <row r="6834">
          <cell r="J6834" t="str">
            <v>00 -00-00-00-</v>
          </cell>
          <cell r="L6834" t="str">
            <v>00 -00-00-00-</v>
          </cell>
          <cell r="O6834" t="str">
            <v>SIN CUENTA ASIGNADA</v>
          </cell>
        </row>
        <row r="6835">
          <cell r="J6835" t="str">
            <v>00 -00-00-00-</v>
          </cell>
          <cell r="L6835" t="str">
            <v>00 -00-00-00-</v>
          </cell>
          <cell r="O6835" t="str">
            <v>SIN CUENTA ASIGNADA</v>
          </cell>
        </row>
        <row r="6836">
          <cell r="J6836" t="str">
            <v>00 -00-00-00-</v>
          </cell>
          <cell r="L6836" t="str">
            <v>00 -00-00-00-</v>
          </cell>
          <cell r="O6836" t="str">
            <v>SIN CUENTA ASIGNADA</v>
          </cell>
        </row>
        <row r="6837">
          <cell r="J6837" t="str">
            <v>00 -00-00-00-</v>
          </cell>
          <cell r="L6837" t="str">
            <v>00 -00-00-00-</v>
          </cell>
          <cell r="O6837" t="str">
            <v>SIN CUENTA ASIGNADA</v>
          </cell>
        </row>
        <row r="6838">
          <cell r="J6838" t="str">
            <v>00 -00-00-00-</v>
          </cell>
          <cell r="L6838" t="str">
            <v>00 -00-00-00-</v>
          </cell>
          <cell r="O6838" t="str">
            <v>SIN CUENTA ASIGNADA</v>
          </cell>
        </row>
        <row r="6839">
          <cell r="J6839" t="str">
            <v>00 -00-00-00-</v>
          </cell>
          <cell r="L6839" t="str">
            <v>00 -00-00-00-</v>
          </cell>
          <cell r="O6839" t="str">
            <v>SIN CUENTA ASIGNADA</v>
          </cell>
        </row>
        <row r="6840">
          <cell r="J6840" t="str">
            <v>00 -00-00-00-</v>
          </cell>
          <cell r="L6840" t="str">
            <v>00 -00-00-00-</v>
          </cell>
          <cell r="O6840" t="str">
            <v>SIN CUENTA ASIGNADA</v>
          </cell>
        </row>
        <row r="6841">
          <cell r="J6841" t="str">
            <v>00 -00-00-00-</v>
          </cell>
          <cell r="L6841" t="str">
            <v>00 -00-00-00-</v>
          </cell>
          <cell r="O6841" t="str">
            <v>SIN CUENTA ASIGNADA</v>
          </cell>
        </row>
        <row r="6842">
          <cell r="J6842" t="str">
            <v>00 -00-00-00-</v>
          </cell>
          <cell r="L6842" t="str">
            <v>00 -00-00-00-</v>
          </cell>
          <cell r="O6842" t="str">
            <v>SIN CUENTA ASIGNADA</v>
          </cell>
        </row>
        <row r="6843">
          <cell r="J6843" t="str">
            <v>00 -00-00-00-</v>
          </cell>
          <cell r="L6843" t="str">
            <v>00 -00-00-00-</v>
          </cell>
          <cell r="O6843" t="str">
            <v>SIN CUENTA ASIGNADA</v>
          </cell>
        </row>
        <row r="6844">
          <cell r="J6844" t="str">
            <v>00 -00-00-00-</v>
          </cell>
          <cell r="L6844" t="str">
            <v>00 -00-00-00-</v>
          </cell>
          <cell r="O6844" t="str">
            <v>SIN CUENTA ASIGNADA</v>
          </cell>
        </row>
        <row r="6845">
          <cell r="J6845" t="str">
            <v>00 -00-00-00-</v>
          </cell>
          <cell r="L6845" t="str">
            <v>00 -00-00-00-</v>
          </cell>
          <cell r="O6845" t="str">
            <v>SIN CUENTA ASIGNADA</v>
          </cell>
        </row>
        <row r="6846">
          <cell r="J6846" t="str">
            <v>00 -00-00-00-</v>
          </cell>
          <cell r="L6846" t="str">
            <v>00 -00-00-00-</v>
          </cell>
          <cell r="O6846" t="str">
            <v>SIN CUENTA ASIGNADA</v>
          </cell>
        </row>
        <row r="6847">
          <cell r="J6847" t="str">
            <v>00 -00-00-00-</v>
          </cell>
          <cell r="L6847" t="str">
            <v>00 -00-00-00-</v>
          </cell>
          <cell r="O6847" t="str">
            <v>SIN CUENTA ASIGNADA</v>
          </cell>
        </row>
        <row r="6848">
          <cell r="J6848" t="str">
            <v>00 -00-00-00-</v>
          </cell>
          <cell r="L6848" t="str">
            <v>00 -00-00-00-</v>
          </cell>
          <cell r="O6848" t="str">
            <v>SIN CUENTA ASIGNADA</v>
          </cell>
        </row>
        <row r="6849">
          <cell r="J6849" t="str">
            <v>00 -00-00-00-</v>
          </cell>
          <cell r="L6849" t="str">
            <v>00 -00-00-00-</v>
          </cell>
          <cell r="O6849" t="str">
            <v>SIN CUENTA ASIGNADA</v>
          </cell>
        </row>
        <row r="6850">
          <cell r="J6850" t="str">
            <v>00 -00-00-00-</v>
          </cell>
          <cell r="L6850" t="str">
            <v>00 -00-00-00-</v>
          </cell>
          <cell r="O6850" t="str">
            <v>SIN CUENTA ASIGNADA</v>
          </cell>
        </row>
        <row r="6851">
          <cell r="J6851" t="str">
            <v>00 -00-00-00-</v>
          </cell>
          <cell r="L6851" t="str">
            <v>00 -00-00-00-</v>
          </cell>
          <cell r="O6851" t="str">
            <v>SIN CUENTA ASIGNADA</v>
          </cell>
        </row>
        <row r="6852">
          <cell r="J6852" t="str">
            <v>00 -00-00-00-</v>
          </cell>
          <cell r="L6852" t="str">
            <v>00 -00-00-00-</v>
          </cell>
          <cell r="O6852" t="str">
            <v>SIN CUENTA ASIGNADA</v>
          </cell>
        </row>
        <row r="6853">
          <cell r="J6853" t="str">
            <v>00 -00-00-00-</v>
          </cell>
          <cell r="L6853" t="str">
            <v>00 -00-00-00-</v>
          </cell>
          <cell r="O6853" t="str">
            <v>SIN CUENTA ASIGNADA</v>
          </cell>
        </row>
        <row r="6854">
          <cell r="J6854" t="str">
            <v>00 -00-00-00-</v>
          </cell>
          <cell r="L6854" t="str">
            <v>00 -00-00-00-</v>
          </cell>
          <cell r="O6854" t="str">
            <v>SIN CUENTA ASIGNADA</v>
          </cell>
        </row>
        <row r="6855">
          <cell r="J6855" t="str">
            <v>00 -00-00-00-</v>
          </cell>
          <cell r="L6855" t="str">
            <v>00 -00-00-00-</v>
          </cell>
          <cell r="O6855" t="str">
            <v>SIN CUENTA ASIGNADA</v>
          </cell>
        </row>
        <row r="6856">
          <cell r="J6856" t="str">
            <v>00 -00-00-00-</v>
          </cell>
          <cell r="L6856" t="str">
            <v>00 -00-00-00-</v>
          </cell>
          <cell r="O6856" t="str">
            <v>SIN CUENTA ASIGNADA</v>
          </cell>
        </row>
        <row r="6857">
          <cell r="J6857" t="str">
            <v>00 -00-00-00-</v>
          </cell>
          <cell r="L6857" t="str">
            <v>00 -00-00-00-</v>
          </cell>
          <cell r="O6857" t="str">
            <v>SIN CUENTA ASIGNADA</v>
          </cell>
        </row>
        <row r="6858">
          <cell r="J6858" t="str">
            <v>00 -00-00-00-</v>
          </cell>
          <cell r="L6858" t="str">
            <v>00 -00-00-00-</v>
          </cell>
          <cell r="O6858" t="str">
            <v>SIN CUENTA ASIGNADA</v>
          </cell>
        </row>
        <row r="6859">
          <cell r="J6859" t="str">
            <v>00 -00-00-00-</v>
          </cell>
          <cell r="L6859" t="str">
            <v>00 -00-00-00-</v>
          </cell>
          <cell r="O6859" t="str">
            <v>SIN CUENTA ASIGNADA</v>
          </cell>
        </row>
        <row r="6860">
          <cell r="J6860" t="str">
            <v>00 -00-00-00-</v>
          </cell>
          <cell r="L6860" t="str">
            <v>00 -00-00-00-</v>
          </cell>
          <cell r="O6860" t="str">
            <v>SIN CUENTA ASIGNADA</v>
          </cell>
        </row>
        <row r="6861">
          <cell r="J6861" t="str">
            <v>00 -00-00-00-</v>
          </cell>
          <cell r="L6861" t="str">
            <v>00 -00-00-00-</v>
          </cell>
          <cell r="O6861" t="str">
            <v>SIN CUENTA ASIGNADA</v>
          </cell>
        </row>
        <row r="6862">
          <cell r="J6862" t="str">
            <v>00 -00-00-00-</v>
          </cell>
          <cell r="L6862" t="str">
            <v>00 -00-00-00-</v>
          </cell>
          <cell r="O6862" t="str">
            <v>SIN CUENTA ASIGNADA</v>
          </cell>
        </row>
        <row r="6863">
          <cell r="J6863" t="str">
            <v>00 -00-00-00-</v>
          </cell>
          <cell r="L6863" t="str">
            <v>00 -00-00-00-</v>
          </cell>
          <cell r="O6863" t="str">
            <v>SIN CUENTA ASIGNADA</v>
          </cell>
        </row>
        <row r="6864">
          <cell r="J6864" t="str">
            <v>00 -00-00-00-</v>
          </cell>
          <cell r="L6864" t="str">
            <v>00 -00-00-00-</v>
          </cell>
          <cell r="O6864" t="str">
            <v>SIN CUENTA ASIGNADA</v>
          </cell>
        </row>
        <row r="6865">
          <cell r="J6865" t="str">
            <v>00 -00-00-00-</v>
          </cell>
          <cell r="L6865" t="str">
            <v>00 -00-00-00-</v>
          </cell>
          <cell r="O6865" t="str">
            <v>SIN CUENTA ASIGNADA</v>
          </cell>
        </row>
        <row r="6866">
          <cell r="J6866" t="str">
            <v>00 -00-00-00-</v>
          </cell>
          <cell r="L6866" t="str">
            <v>00 -00-00-00-</v>
          </cell>
          <cell r="O6866" t="str">
            <v>SIN CUENTA ASIGNADA</v>
          </cell>
        </row>
        <row r="6867">
          <cell r="J6867" t="str">
            <v>00 -00-00-00-</v>
          </cell>
          <cell r="L6867" t="str">
            <v>00 -00-00-00-</v>
          </cell>
          <cell r="O6867" t="str">
            <v>SIN CUENTA ASIGNADA</v>
          </cell>
        </row>
        <row r="6868">
          <cell r="J6868" t="str">
            <v>00 -00-00-00-</v>
          </cell>
          <cell r="L6868" t="str">
            <v>00 -00-00-00-</v>
          </cell>
          <cell r="O6868" t="str">
            <v>SIN CUENTA ASIGNADA</v>
          </cell>
        </row>
        <row r="6869">
          <cell r="J6869" t="str">
            <v>00 -00-00-00-</v>
          </cell>
          <cell r="L6869" t="str">
            <v>00 -00-00-00-</v>
          </cell>
          <cell r="O6869" t="str">
            <v>SIN CUENTA ASIGNADA</v>
          </cell>
        </row>
        <row r="6870">
          <cell r="J6870" t="str">
            <v>00 -00-00-00-</v>
          </cell>
          <cell r="L6870" t="str">
            <v>00 -00-00-00-</v>
          </cell>
          <cell r="O6870" t="str">
            <v>SIN CUENTA ASIGNADA</v>
          </cell>
        </row>
        <row r="6871">
          <cell r="J6871" t="str">
            <v>00 -00-00-00-</v>
          </cell>
          <cell r="L6871" t="str">
            <v>00 -00-00-00-</v>
          </cell>
          <cell r="O6871" t="str">
            <v>SIN CUENTA ASIGNADA</v>
          </cell>
        </row>
        <row r="6872">
          <cell r="J6872" t="str">
            <v>00 -00-00-00-</v>
          </cell>
          <cell r="L6872" t="str">
            <v>00 -00-00-00-</v>
          </cell>
          <cell r="O6872" t="str">
            <v>SIN CUENTA ASIGNADA</v>
          </cell>
        </row>
        <row r="6873">
          <cell r="J6873" t="str">
            <v>00 -00-00-00-</v>
          </cell>
          <cell r="L6873" t="str">
            <v>00 -00-00-00-</v>
          </cell>
          <cell r="O6873" t="str">
            <v>SIN CUENTA ASIGNADA</v>
          </cell>
        </row>
        <row r="6874">
          <cell r="J6874" t="str">
            <v>00 -00-00-00-</v>
          </cell>
          <cell r="L6874" t="str">
            <v>00 -00-00-00-</v>
          </cell>
          <cell r="O6874" t="str">
            <v>SIN CUENTA ASIGNADA</v>
          </cell>
        </row>
        <row r="6875">
          <cell r="J6875" t="str">
            <v>00 -00-00-00-</v>
          </cell>
          <cell r="L6875" t="str">
            <v>00 -00-00-00-</v>
          </cell>
          <cell r="O6875" t="str">
            <v>SIN CUENTA ASIGNADA</v>
          </cell>
        </row>
        <row r="6876">
          <cell r="J6876" t="str">
            <v>00 -00-00-00-</v>
          </cell>
          <cell r="L6876" t="str">
            <v>00 -00-00-00-</v>
          </cell>
          <cell r="O6876" t="str">
            <v>SIN CUENTA ASIGNADA</v>
          </cell>
        </row>
        <row r="6877">
          <cell r="J6877" t="str">
            <v>00 -00-00-00-</v>
          </cell>
          <cell r="L6877" t="str">
            <v>00 -00-00-00-</v>
          </cell>
          <cell r="O6877" t="str">
            <v>SIN CUENTA ASIGNADA</v>
          </cell>
        </row>
        <row r="6878">
          <cell r="J6878" t="str">
            <v>00 -00-00-00-</v>
          </cell>
          <cell r="L6878" t="str">
            <v>00 -00-00-00-</v>
          </cell>
          <cell r="O6878" t="str">
            <v>SIN CUENTA ASIGNADA</v>
          </cell>
        </row>
        <row r="6879">
          <cell r="J6879" t="str">
            <v>00 -00-00-00-</v>
          </cell>
          <cell r="L6879" t="str">
            <v>00 -00-00-00-</v>
          </cell>
          <cell r="O6879" t="str">
            <v>SIN CUENTA ASIGNADA</v>
          </cell>
        </row>
        <row r="6880">
          <cell r="J6880" t="str">
            <v>00 -00-00-00-</v>
          </cell>
          <cell r="L6880" t="str">
            <v>00 -00-00-00-</v>
          </cell>
          <cell r="O6880" t="str">
            <v>SIN CUENTA ASIGNADA</v>
          </cell>
        </row>
        <row r="6881">
          <cell r="J6881" t="str">
            <v>00 -00-00-00-</v>
          </cell>
          <cell r="L6881" t="str">
            <v>00 -00-00-00-</v>
          </cell>
          <cell r="O6881" t="str">
            <v>SIN CUENTA ASIGNADA</v>
          </cell>
        </row>
        <row r="6882">
          <cell r="J6882" t="str">
            <v>00 -00-00-00-</v>
          </cell>
          <cell r="L6882" t="str">
            <v>00 -00-00-00-</v>
          </cell>
          <cell r="O6882" t="str">
            <v>SIN CUENTA ASIGNADA</v>
          </cell>
        </row>
        <row r="6883">
          <cell r="J6883" t="str">
            <v>00 -00-00-00-</v>
          </cell>
          <cell r="L6883" t="str">
            <v>00 -00-00-00-</v>
          </cell>
          <cell r="O6883" t="str">
            <v>SIN CUENTA ASIGNADA</v>
          </cell>
        </row>
        <row r="6884">
          <cell r="J6884" t="str">
            <v>00 -00-00-00-</v>
          </cell>
          <cell r="L6884" t="str">
            <v>00 -00-00-00-</v>
          </cell>
          <cell r="O6884" t="str">
            <v>SIN CUENTA ASIGNADA</v>
          </cell>
        </row>
        <row r="6885">
          <cell r="J6885" t="str">
            <v>00 -00-00-00-</v>
          </cell>
          <cell r="L6885" t="str">
            <v>00 -00-00-00-</v>
          </cell>
          <cell r="O6885" t="str">
            <v>SIN CUENTA ASIGNADA</v>
          </cell>
        </row>
        <row r="6886">
          <cell r="J6886" t="str">
            <v>00 -00-00-00-</v>
          </cell>
          <cell r="L6886" t="str">
            <v>00 -00-00-00-</v>
          </cell>
          <cell r="O6886" t="str">
            <v>SIN CUENTA ASIGNADA</v>
          </cell>
        </row>
        <row r="6887">
          <cell r="J6887" t="str">
            <v>00 -00-00-00-</v>
          </cell>
          <cell r="L6887" t="str">
            <v>00 -00-00-00-</v>
          </cell>
          <cell r="O6887" t="str">
            <v>SIN CUENTA ASIGNADA</v>
          </cell>
        </row>
        <row r="6888">
          <cell r="J6888" t="str">
            <v>00 -00-00-00-</v>
          </cell>
          <cell r="L6888" t="str">
            <v>00 -00-00-00-</v>
          </cell>
          <cell r="O6888" t="str">
            <v>SIN CUENTA ASIGNADA</v>
          </cell>
        </row>
        <row r="6889">
          <cell r="J6889" t="str">
            <v>00 -00-00-00-</v>
          </cell>
          <cell r="L6889" t="str">
            <v>00 -00-00-00-</v>
          </cell>
          <cell r="O6889" t="str">
            <v>SIN CUENTA ASIGNADA</v>
          </cell>
        </row>
        <row r="6890">
          <cell r="J6890" t="str">
            <v>00 -00-00-00-</v>
          </cell>
          <cell r="L6890" t="str">
            <v>00 -00-00-00-</v>
          </cell>
          <cell r="O6890" t="str">
            <v>SIN CUENTA ASIGNADA</v>
          </cell>
        </row>
        <row r="6891">
          <cell r="J6891" t="str">
            <v>00 -00-00-00-</v>
          </cell>
          <cell r="L6891" t="str">
            <v>00 -00-00-00-</v>
          </cell>
          <cell r="O6891" t="str">
            <v>SIN CUENTA ASIGNADA</v>
          </cell>
        </row>
        <row r="6892">
          <cell r="J6892" t="str">
            <v>00 -00-00-00-</v>
          </cell>
          <cell r="L6892" t="str">
            <v>00 -00-00-00-</v>
          </cell>
          <cell r="O6892" t="str">
            <v>SIN CUENTA ASIGNADA</v>
          </cell>
        </row>
        <row r="6893">
          <cell r="J6893" t="str">
            <v>00 -00-00-00-</v>
          </cell>
          <cell r="L6893" t="str">
            <v>00 -00-00-00-</v>
          </cell>
          <cell r="O6893" t="str">
            <v>SIN CUENTA ASIGNADA</v>
          </cell>
        </row>
        <row r="6894">
          <cell r="J6894" t="str">
            <v>00 -00-00-00-</v>
          </cell>
          <cell r="L6894" t="str">
            <v>00 -00-00-00-</v>
          </cell>
          <cell r="O6894" t="str">
            <v>SIN CUENTA ASIGNADA</v>
          </cell>
        </row>
        <row r="6895">
          <cell r="J6895" t="str">
            <v>00 -00-00-00-</v>
          </cell>
          <cell r="L6895" t="str">
            <v>00 -00-00-00-</v>
          </cell>
          <cell r="O6895" t="str">
            <v>SIN CUENTA ASIGNADA</v>
          </cell>
        </row>
        <row r="6896">
          <cell r="J6896" t="str">
            <v>00 -00-00-00-</v>
          </cell>
          <cell r="L6896" t="str">
            <v>00 -00-00-00-</v>
          </cell>
          <cell r="O6896" t="str">
            <v>SIN CUENTA ASIGNADA</v>
          </cell>
        </row>
        <row r="6897">
          <cell r="J6897" t="str">
            <v>00 -00-00-00-</v>
          </cell>
          <cell r="L6897" t="str">
            <v>00 -00-00-00-</v>
          </cell>
          <cell r="O6897" t="str">
            <v>SIN CUENTA ASIGNADA</v>
          </cell>
        </row>
        <row r="6898">
          <cell r="J6898" t="str">
            <v>00 -00-00-00-</v>
          </cell>
          <cell r="L6898" t="str">
            <v>00 -00-00-00-</v>
          </cell>
          <cell r="O6898" t="str">
            <v>SIN CUENTA ASIGNADA</v>
          </cell>
        </row>
        <row r="6899">
          <cell r="J6899" t="str">
            <v>00 -00-00-00-</v>
          </cell>
          <cell r="L6899" t="str">
            <v>00 -00-00-00-</v>
          </cell>
          <cell r="O6899" t="str">
            <v>SIN CUENTA ASIGNADA</v>
          </cell>
        </row>
        <row r="6900">
          <cell r="J6900" t="str">
            <v>00 -00-00-00-</v>
          </cell>
          <cell r="L6900" t="str">
            <v>00 -00-00-00-</v>
          </cell>
          <cell r="O6900" t="str">
            <v>SIN CUENTA ASIGNADA</v>
          </cell>
        </row>
        <row r="6901">
          <cell r="J6901" t="str">
            <v>00 -00-00-00-</v>
          </cell>
          <cell r="L6901" t="str">
            <v>00 -00-00-00-</v>
          </cell>
          <cell r="O6901" t="str">
            <v>SIN CUENTA ASIGNADA</v>
          </cell>
        </row>
        <row r="6902">
          <cell r="J6902" t="str">
            <v>00 -00-00-00-</v>
          </cell>
          <cell r="L6902" t="str">
            <v>00 -00-00-00-</v>
          </cell>
          <cell r="O6902" t="str">
            <v>SIN CUENTA ASIGNADA</v>
          </cell>
        </row>
        <row r="6903">
          <cell r="J6903" t="str">
            <v>00 -00-00-00-</v>
          </cell>
          <cell r="L6903" t="str">
            <v>00 -00-00-00-</v>
          </cell>
          <cell r="O6903" t="str">
            <v>SIN CUENTA ASIGNADA</v>
          </cell>
        </row>
        <row r="6904">
          <cell r="J6904" t="str">
            <v>00 -00-00-00-</v>
          </cell>
          <cell r="L6904" t="str">
            <v>00 -00-00-00-</v>
          </cell>
          <cell r="O6904" t="str">
            <v>SIN CUENTA ASIGNADA</v>
          </cell>
        </row>
        <row r="6905">
          <cell r="J6905" t="str">
            <v>00 -00-00-00-</v>
          </cell>
          <cell r="L6905" t="str">
            <v>00 -00-00-00-</v>
          </cell>
          <cell r="O6905" t="str">
            <v>SIN CUENTA ASIGNADA</v>
          </cell>
        </row>
        <row r="6906">
          <cell r="J6906" t="str">
            <v>00 -00-00-00-</v>
          </cell>
          <cell r="L6906" t="str">
            <v>00 -00-00-00-</v>
          </cell>
          <cell r="O6906" t="str">
            <v>SIN CUENTA ASIGNADA</v>
          </cell>
        </row>
        <row r="6907">
          <cell r="J6907" t="str">
            <v>00 -00-00-00-</v>
          </cell>
          <cell r="L6907" t="str">
            <v>00 -00-00-00-</v>
          </cell>
          <cell r="O6907" t="str">
            <v>SIN CUENTA ASIGNADA</v>
          </cell>
        </row>
        <row r="6908">
          <cell r="J6908" t="str">
            <v>00 -00-00-00-</v>
          </cell>
          <cell r="L6908" t="str">
            <v>00 -00-00-00-</v>
          </cell>
          <cell r="O6908" t="str">
            <v>SIN CUENTA ASIGNADA</v>
          </cell>
        </row>
        <row r="6909">
          <cell r="J6909" t="str">
            <v>00 -00-00-00-</v>
          </cell>
          <cell r="L6909" t="str">
            <v>00 -00-00-00-</v>
          </cell>
          <cell r="O6909" t="str">
            <v>SIN CUENTA ASIGNADA</v>
          </cell>
        </row>
        <row r="6910">
          <cell r="J6910" t="str">
            <v>00 -00-00-00-</v>
          </cell>
          <cell r="L6910" t="str">
            <v>00 -00-00-00-</v>
          </cell>
          <cell r="O6910" t="str">
            <v>SIN CUENTA ASIGNADA</v>
          </cell>
        </row>
        <row r="6911">
          <cell r="J6911" t="str">
            <v>00 -00-00-00-</v>
          </cell>
          <cell r="L6911" t="str">
            <v>00 -00-00-00-</v>
          </cell>
          <cell r="O6911" t="str">
            <v>SIN CUENTA ASIGNADA</v>
          </cell>
        </row>
        <row r="6912">
          <cell r="J6912" t="str">
            <v>00 -00-00-00-</v>
          </cell>
          <cell r="L6912" t="str">
            <v>00 -00-00-00-</v>
          </cell>
          <cell r="O6912" t="str">
            <v>SIN CUENTA ASIGNADA</v>
          </cell>
        </row>
        <row r="6913">
          <cell r="J6913" t="str">
            <v>00 -00-00-00-</v>
          </cell>
          <cell r="L6913" t="str">
            <v>00 -00-00-00-</v>
          </cell>
          <cell r="O6913" t="str">
            <v>SIN CUENTA ASIGNADA</v>
          </cell>
        </row>
        <row r="6914">
          <cell r="J6914" t="str">
            <v>00 -00-00-00-</v>
          </cell>
          <cell r="L6914" t="str">
            <v>00 -00-00-00-</v>
          </cell>
          <cell r="O6914" t="str">
            <v>SIN CUENTA ASIGNADA</v>
          </cell>
        </row>
        <row r="6915">
          <cell r="J6915" t="str">
            <v>00 -00-00-00-</v>
          </cell>
          <cell r="L6915" t="str">
            <v>00 -00-00-00-</v>
          </cell>
          <cell r="O6915" t="str">
            <v>SIN CUENTA ASIGNADA</v>
          </cell>
        </row>
        <row r="6916">
          <cell r="J6916" t="str">
            <v>00 -00-00-00-</v>
          </cell>
          <cell r="L6916" t="str">
            <v>00 -00-00-00-</v>
          </cell>
          <cell r="O6916" t="str">
            <v>SIN CUENTA ASIGNADA</v>
          </cell>
        </row>
        <row r="6917">
          <cell r="J6917" t="str">
            <v>00 -00-00-00-</v>
          </cell>
          <cell r="L6917" t="str">
            <v>00 -00-00-00-</v>
          </cell>
          <cell r="O6917" t="str">
            <v>SIN CUENTA ASIGNADA</v>
          </cell>
        </row>
        <row r="6918">
          <cell r="J6918" t="str">
            <v>00 -00-00-00-</v>
          </cell>
          <cell r="L6918" t="str">
            <v>00 -00-00-00-</v>
          </cell>
          <cell r="O6918" t="str">
            <v>SIN CUENTA ASIGNADA</v>
          </cell>
        </row>
        <row r="6919">
          <cell r="J6919" t="str">
            <v>00 -00-00-00-</v>
          </cell>
          <cell r="L6919" t="str">
            <v>00 -00-00-00-</v>
          </cell>
          <cell r="O6919" t="str">
            <v>SIN CUENTA ASIGNADA</v>
          </cell>
        </row>
        <row r="6920">
          <cell r="J6920" t="str">
            <v>00 -00-00-00-</v>
          </cell>
          <cell r="L6920" t="str">
            <v>00 -00-00-00-</v>
          </cell>
          <cell r="O6920" t="str">
            <v>SIN CUENTA ASIGNADA</v>
          </cell>
        </row>
        <row r="6921">
          <cell r="J6921" t="str">
            <v>00 -00-00-00-</v>
          </cell>
          <cell r="L6921" t="str">
            <v>00 -00-00-00-</v>
          </cell>
          <cell r="O6921" t="str">
            <v>SIN CUENTA ASIGNADA</v>
          </cell>
        </row>
        <row r="6922">
          <cell r="J6922" t="str">
            <v>00 -00-00-00-</v>
          </cell>
          <cell r="L6922" t="str">
            <v>00 -00-00-00-</v>
          </cell>
          <cell r="O6922" t="str">
            <v>SIN CUENTA ASIGNADA</v>
          </cell>
        </row>
        <row r="6923">
          <cell r="J6923" t="str">
            <v>00 -00-00-00-</v>
          </cell>
          <cell r="L6923" t="str">
            <v>00 -00-00-00-</v>
          </cell>
          <cell r="O6923" t="str">
            <v>SIN CUENTA ASIGNADA</v>
          </cell>
        </row>
        <row r="6924">
          <cell r="J6924" t="str">
            <v>00 -00-00-00-</v>
          </cell>
          <cell r="L6924" t="str">
            <v>00 -00-00-00-</v>
          </cell>
          <cell r="O6924" t="str">
            <v>SIN CUENTA ASIGNADA</v>
          </cell>
        </row>
        <row r="6925">
          <cell r="J6925" t="str">
            <v>00 -00-00-00-</v>
          </cell>
          <cell r="L6925" t="str">
            <v>00 -00-00-00-</v>
          </cell>
          <cell r="O6925" t="str">
            <v>SIN CUENTA ASIGNADA</v>
          </cell>
        </row>
        <row r="6926">
          <cell r="J6926" t="str">
            <v>00 -00-00-00-</v>
          </cell>
          <cell r="L6926" t="str">
            <v>00 -00-00-00-</v>
          </cell>
          <cell r="O6926" t="str">
            <v>SIN CUENTA ASIGNADA</v>
          </cell>
        </row>
        <row r="6927">
          <cell r="J6927" t="str">
            <v>00 -00-00-00-</v>
          </cell>
          <cell r="L6927" t="str">
            <v>00 -00-00-00-</v>
          </cell>
          <cell r="O6927" t="str">
            <v>SIN CUENTA ASIGNADA</v>
          </cell>
        </row>
        <row r="6928">
          <cell r="J6928" t="str">
            <v>00 -00-00-00-</v>
          </cell>
          <cell r="L6928" t="str">
            <v>00 -00-00-00-</v>
          </cell>
          <cell r="O6928" t="str">
            <v>SIN CUENTA ASIGNADA</v>
          </cell>
        </row>
        <row r="6929">
          <cell r="J6929" t="str">
            <v>00 -00-00-00-</v>
          </cell>
          <cell r="L6929" t="str">
            <v>00 -00-00-00-</v>
          </cell>
          <cell r="O6929" t="str">
            <v>SIN CUENTA ASIGNADA</v>
          </cell>
        </row>
        <row r="6930">
          <cell r="J6930" t="str">
            <v>00 -00-00-00-</v>
          </cell>
          <cell r="L6930" t="str">
            <v>00 -00-00-00-</v>
          </cell>
          <cell r="O6930" t="str">
            <v>SIN CUENTA ASIGNADA</v>
          </cell>
        </row>
        <row r="6931">
          <cell r="J6931" t="str">
            <v>00 -00-00-00-</v>
          </cell>
          <cell r="L6931" t="str">
            <v>00 -00-00-00-</v>
          </cell>
          <cell r="O6931" t="str">
            <v>SIN CUENTA ASIGNADA</v>
          </cell>
        </row>
        <row r="6932">
          <cell r="J6932" t="str">
            <v>00 -00-00-00-</v>
          </cell>
          <cell r="L6932" t="str">
            <v>00 -00-00-00-</v>
          </cell>
          <cell r="O6932" t="str">
            <v>SIN CUENTA ASIGNADA</v>
          </cell>
        </row>
        <row r="6933">
          <cell r="J6933" t="str">
            <v>00 -00-00-00-</v>
          </cell>
          <cell r="L6933" t="str">
            <v>00 -00-00-00-</v>
          </cell>
          <cell r="O6933" t="str">
            <v>SIN CUENTA ASIGNADA</v>
          </cell>
        </row>
        <row r="6934">
          <cell r="J6934" t="str">
            <v>00 -00-00-00-</v>
          </cell>
          <cell r="L6934" t="str">
            <v>00 -00-00-00-</v>
          </cell>
          <cell r="O6934" t="str">
            <v>SIN CUENTA ASIGNADA</v>
          </cell>
        </row>
        <row r="6935">
          <cell r="J6935" t="str">
            <v>00 -00-00-00-</v>
          </cell>
          <cell r="L6935" t="str">
            <v>00 -00-00-00-</v>
          </cell>
          <cell r="O6935" t="str">
            <v>SIN CUENTA ASIGNADA</v>
          </cell>
        </row>
        <row r="6936">
          <cell r="J6936" t="str">
            <v>00 -00-00-00-</v>
          </cell>
          <cell r="L6936" t="str">
            <v>00 -00-00-00-</v>
          </cell>
          <cell r="O6936" t="str">
            <v>SIN CUENTA ASIGNADA</v>
          </cell>
        </row>
        <row r="6937">
          <cell r="J6937" t="str">
            <v>00 -00-00-00-</v>
          </cell>
          <cell r="L6937" t="str">
            <v>00 -00-00-00-</v>
          </cell>
          <cell r="O6937" t="str">
            <v>SIN CUENTA ASIGNADA</v>
          </cell>
        </row>
        <row r="6938">
          <cell r="J6938" t="str">
            <v>00 -00-00-00-</v>
          </cell>
          <cell r="L6938" t="str">
            <v>00 -00-00-00-</v>
          </cell>
          <cell r="O6938" t="str">
            <v>SIN CUENTA ASIGNADA</v>
          </cell>
        </row>
        <row r="6939">
          <cell r="J6939" t="str">
            <v>00 -00-00-00-</v>
          </cell>
          <cell r="L6939" t="str">
            <v>00 -00-00-00-</v>
          </cell>
          <cell r="O6939" t="str">
            <v>SIN CUENTA ASIGNADA</v>
          </cell>
        </row>
        <row r="6940">
          <cell r="J6940" t="str">
            <v>00 -00-00-00-</v>
          </cell>
          <cell r="L6940" t="str">
            <v>00 -00-00-00-</v>
          </cell>
          <cell r="O6940" t="str">
            <v>SIN CUENTA ASIGNADA</v>
          </cell>
        </row>
        <row r="6941">
          <cell r="J6941" t="str">
            <v>00 -00-00-00-</v>
          </cell>
          <cell r="L6941" t="str">
            <v>00 -00-00-00-</v>
          </cell>
          <cell r="O6941" t="str">
            <v>SIN CUENTA ASIGNADA</v>
          </cell>
        </row>
        <row r="6942">
          <cell r="J6942" t="str">
            <v>00 -00-00-00-</v>
          </cell>
          <cell r="L6942" t="str">
            <v>00 -00-00-00-</v>
          </cell>
          <cell r="O6942" t="str">
            <v>SIN CUENTA ASIGNADA</v>
          </cell>
        </row>
        <row r="6943">
          <cell r="J6943" t="str">
            <v>00 -00-00-00-</v>
          </cell>
          <cell r="L6943" t="str">
            <v>00 -00-00-00-</v>
          </cell>
          <cell r="O6943" t="str">
            <v>SIN CUENTA ASIGNADA</v>
          </cell>
        </row>
        <row r="6944">
          <cell r="J6944" t="str">
            <v>00 -00-00-00-</v>
          </cell>
          <cell r="L6944" t="str">
            <v>00 -00-00-00-</v>
          </cell>
          <cell r="O6944" t="str">
            <v>SIN CUENTA ASIGNADA</v>
          </cell>
        </row>
        <row r="6945">
          <cell r="J6945" t="str">
            <v>00 -00-00-00-</v>
          </cell>
          <cell r="L6945" t="str">
            <v>00 -00-00-00-</v>
          </cell>
          <cell r="O6945" t="str">
            <v>SIN CUENTA ASIGNADA</v>
          </cell>
        </row>
        <row r="6946">
          <cell r="J6946" t="str">
            <v>00 -00-00-00-</v>
          </cell>
          <cell r="L6946" t="str">
            <v>00 -00-00-00-</v>
          </cell>
          <cell r="O6946" t="str">
            <v>SIN CUENTA ASIGNADA</v>
          </cell>
        </row>
        <row r="6947">
          <cell r="J6947" t="str">
            <v>00 -00-00-00-</v>
          </cell>
          <cell r="L6947" t="str">
            <v>00 -00-00-00-</v>
          </cell>
          <cell r="O6947" t="str">
            <v>SIN CUENTA ASIGNADA</v>
          </cell>
        </row>
        <row r="6948">
          <cell r="J6948" t="str">
            <v>00 -00-00-00-</v>
          </cell>
          <cell r="L6948" t="str">
            <v>00 -00-00-00-</v>
          </cell>
          <cell r="O6948" t="str">
            <v>SIN CUENTA ASIGNADA</v>
          </cell>
        </row>
        <row r="6949">
          <cell r="J6949" t="str">
            <v>00 -00-00-00-</v>
          </cell>
          <cell r="L6949" t="str">
            <v>00 -00-00-00-</v>
          </cell>
          <cell r="O6949" t="str">
            <v>SIN CUENTA ASIGNADA</v>
          </cell>
        </row>
        <row r="6950">
          <cell r="J6950" t="str">
            <v>00 -00-00-00-</v>
          </cell>
          <cell r="L6950" t="str">
            <v>00 -00-00-00-</v>
          </cell>
          <cell r="O6950" t="str">
            <v>SIN CUENTA ASIGNADA</v>
          </cell>
        </row>
        <row r="6951">
          <cell r="J6951" t="str">
            <v>00 -00-00-00-</v>
          </cell>
          <cell r="L6951" t="str">
            <v>00 -00-00-00-</v>
          </cell>
          <cell r="O6951" t="str">
            <v>SIN CUENTA ASIGNADA</v>
          </cell>
        </row>
        <row r="6952">
          <cell r="J6952" t="str">
            <v>00 -00-00-00-</v>
          </cell>
          <cell r="L6952" t="str">
            <v>00 -00-00-00-</v>
          </cell>
          <cell r="O6952" t="str">
            <v>SIN CUENTA ASIGNADA</v>
          </cell>
        </row>
        <row r="6953">
          <cell r="J6953" t="str">
            <v>00 -00-00-00-</v>
          </cell>
          <cell r="L6953" t="str">
            <v>00 -00-00-00-</v>
          </cell>
          <cell r="O6953" t="str">
            <v>SIN CUENTA ASIGNADA</v>
          </cell>
        </row>
        <row r="6954">
          <cell r="J6954" t="str">
            <v>00 -00-00-00-</v>
          </cell>
          <cell r="L6954" t="str">
            <v>00 -00-00-00-</v>
          </cell>
          <cell r="O6954" t="str">
            <v>SIN CUENTA ASIGNADA</v>
          </cell>
        </row>
        <row r="6955">
          <cell r="J6955" t="str">
            <v>00 -00-00-00-</v>
          </cell>
          <cell r="L6955" t="str">
            <v>00 -00-00-00-</v>
          </cell>
          <cell r="O6955" t="str">
            <v>SIN CUENTA ASIGNADA</v>
          </cell>
        </row>
        <row r="6956">
          <cell r="J6956" t="str">
            <v>00 -00-00-00-</v>
          </cell>
          <cell r="L6956" t="str">
            <v>00 -00-00-00-</v>
          </cell>
          <cell r="O6956" t="str">
            <v>SIN CUENTA ASIGNADA</v>
          </cell>
        </row>
        <row r="6957">
          <cell r="J6957" t="str">
            <v>00 -00-00-00-</v>
          </cell>
          <cell r="L6957" t="str">
            <v>00 -00-00-00-</v>
          </cell>
          <cell r="O6957" t="str">
            <v>SIN CUENTA ASIGNADA</v>
          </cell>
        </row>
        <row r="6958">
          <cell r="J6958" t="str">
            <v>00 -00-00-00-</v>
          </cell>
          <cell r="L6958" t="str">
            <v>00 -00-00-00-</v>
          </cell>
          <cell r="O6958" t="str">
            <v>SIN CUENTA ASIGNADA</v>
          </cell>
        </row>
        <row r="6959">
          <cell r="J6959" t="str">
            <v>00 -00-00-00-</v>
          </cell>
          <cell r="L6959" t="str">
            <v>00 -00-00-00-</v>
          </cell>
          <cell r="O6959" t="str">
            <v>SIN CUENTA ASIGNADA</v>
          </cell>
        </row>
        <row r="6960">
          <cell r="J6960" t="str">
            <v>00 -00-00-00-</v>
          </cell>
          <cell r="L6960" t="str">
            <v>00 -00-00-00-</v>
          </cell>
          <cell r="O6960" t="str">
            <v>SIN CUENTA ASIGNADA</v>
          </cell>
        </row>
        <row r="6961">
          <cell r="J6961" t="str">
            <v>00 -00-00-00-</v>
          </cell>
          <cell r="L6961" t="str">
            <v>00 -00-00-00-</v>
          </cell>
          <cell r="O6961" t="str">
            <v>SIN CUENTA ASIGNADA</v>
          </cell>
        </row>
        <row r="6962">
          <cell r="J6962" t="str">
            <v>00 -00-00-00-</v>
          </cell>
          <cell r="L6962" t="str">
            <v>00 -00-00-00-</v>
          </cell>
          <cell r="O6962" t="str">
            <v>SIN CUENTA ASIGNADA</v>
          </cell>
        </row>
        <row r="6963">
          <cell r="J6963" t="str">
            <v>00 -00-00-00-</v>
          </cell>
          <cell r="L6963" t="str">
            <v>00 -00-00-00-</v>
          </cell>
          <cell r="O6963" t="str">
            <v>SIN CUENTA ASIGNADA</v>
          </cell>
        </row>
        <row r="6964">
          <cell r="J6964" t="str">
            <v>00 -00-00-00-</v>
          </cell>
          <cell r="L6964" t="str">
            <v>00 -00-00-00-</v>
          </cell>
          <cell r="O6964" t="str">
            <v>SIN CUENTA ASIGNADA</v>
          </cell>
        </row>
        <row r="6965">
          <cell r="J6965" t="str">
            <v>00 -00-00-00-</v>
          </cell>
          <cell r="L6965" t="str">
            <v>00 -00-00-00-</v>
          </cell>
          <cell r="O6965" t="str">
            <v>SIN CUENTA ASIGNADA</v>
          </cell>
        </row>
        <row r="6966">
          <cell r="J6966" t="str">
            <v>00 -00-00-00-</v>
          </cell>
          <cell r="L6966" t="str">
            <v>00 -00-00-00-</v>
          </cell>
          <cell r="O6966" t="str">
            <v>SIN CUENTA ASIGNADA</v>
          </cell>
        </row>
        <row r="6967">
          <cell r="J6967" t="str">
            <v>00 -00-00-00-</v>
          </cell>
          <cell r="L6967" t="str">
            <v>00 -00-00-00-</v>
          </cell>
          <cell r="O6967" t="str">
            <v>SIN CUENTA ASIGNADA</v>
          </cell>
        </row>
        <row r="6968">
          <cell r="J6968" t="str">
            <v>00 -00-00-00-</v>
          </cell>
          <cell r="L6968" t="str">
            <v>00 -00-00-00-</v>
          </cell>
          <cell r="O6968" t="str">
            <v>SIN CUENTA ASIGNADA</v>
          </cell>
        </row>
        <row r="6969">
          <cell r="J6969" t="str">
            <v>00 -00-00-00-</v>
          </cell>
          <cell r="L6969" t="str">
            <v>00 -00-00-00-</v>
          </cell>
          <cell r="O6969" t="str">
            <v>SIN CUENTA ASIGNADA</v>
          </cell>
        </row>
        <row r="6970">
          <cell r="J6970" t="str">
            <v>00 -00-00-00-</v>
          </cell>
          <cell r="L6970" t="str">
            <v>00 -00-00-00-</v>
          </cell>
          <cell r="O6970" t="str">
            <v>SIN CUENTA ASIGNADA</v>
          </cell>
        </row>
        <row r="6971">
          <cell r="J6971" t="str">
            <v>00 -00-00-00-</v>
          </cell>
          <cell r="L6971" t="str">
            <v>00 -00-00-00-</v>
          </cell>
          <cell r="O6971" t="str">
            <v>SIN CUENTA ASIGNADA</v>
          </cell>
        </row>
        <row r="6972">
          <cell r="J6972" t="str">
            <v>00 -00-00-00-</v>
          </cell>
          <cell r="L6972" t="str">
            <v>00 -00-00-00-</v>
          </cell>
          <cell r="O6972" t="str">
            <v>SIN CUENTA ASIGNADA</v>
          </cell>
        </row>
        <row r="6973">
          <cell r="J6973" t="str">
            <v>00 -00-00-00-</v>
          </cell>
          <cell r="L6973" t="str">
            <v>00 -00-00-00-</v>
          </cell>
          <cell r="O6973" t="str">
            <v>SIN CUENTA ASIGNADA</v>
          </cell>
        </row>
        <row r="6974">
          <cell r="J6974" t="str">
            <v>00 -00-00-00-</v>
          </cell>
          <cell r="L6974" t="str">
            <v>00 -00-00-00-</v>
          </cell>
          <cell r="O6974" t="str">
            <v>SIN CUENTA ASIGNADA</v>
          </cell>
        </row>
        <row r="6975">
          <cell r="J6975" t="str">
            <v>00 -00-00-00-</v>
          </cell>
          <cell r="L6975" t="str">
            <v>00 -00-00-00-</v>
          </cell>
          <cell r="O6975" t="str">
            <v>SIN CUENTA ASIGNADA</v>
          </cell>
        </row>
        <row r="6976">
          <cell r="J6976" t="str">
            <v>00 -00-00-00-</v>
          </cell>
          <cell r="L6976" t="str">
            <v>00 -00-00-00-</v>
          </cell>
          <cell r="O6976" t="str">
            <v>SIN CUENTA ASIGNADA</v>
          </cell>
        </row>
        <row r="6977">
          <cell r="J6977" t="str">
            <v>00 -00-00-00-</v>
          </cell>
          <cell r="L6977" t="str">
            <v>00 -00-00-00-</v>
          </cell>
          <cell r="O6977" t="str">
            <v>SIN CUENTA ASIGNADA</v>
          </cell>
        </row>
        <row r="6978">
          <cell r="J6978" t="str">
            <v>00 -00-00-00-</v>
          </cell>
          <cell r="L6978" t="str">
            <v>00 -00-00-00-</v>
          </cell>
          <cell r="O6978" t="str">
            <v>SIN CUENTA ASIGNADA</v>
          </cell>
        </row>
        <row r="6979">
          <cell r="J6979" t="str">
            <v>00 -00-00-00-</v>
          </cell>
          <cell r="L6979" t="str">
            <v>00 -00-00-00-</v>
          </cell>
          <cell r="O6979" t="str">
            <v>SIN CUENTA ASIGNADA</v>
          </cell>
        </row>
        <row r="6980">
          <cell r="J6980" t="str">
            <v>00 -00-00-00-</v>
          </cell>
          <cell r="L6980" t="str">
            <v>00 -00-00-00-</v>
          </cell>
          <cell r="O6980" t="str">
            <v>SIN CUENTA ASIGNADA</v>
          </cell>
        </row>
        <row r="6981">
          <cell r="J6981" t="str">
            <v>00 -00-00-00-</v>
          </cell>
          <cell r="L6981" t="str">
            <v>00 -00-00-00-</v>
          </cell>
          <cell r="O6981" t="str">
            <v>SIN CUENTA ASIGNADA</v>
          </cell>
        </row>
        <row r="6982">
          <cell r="J6982" t="str">
            <v>00 -00-00-00-</v>
          </cell>
          <cell r="L6982" t="str">
            <v>00 -00-00-00-</v>
          </cell>
          <cell r="O6982" t="str">
            <v>SIN CUENTA ASIGNADA</v>
          </cell>
        </row>
        <row r="6983">
          <cell r="J6983" t="str">
            <v>00 -00-00-00-</v>
          </cell>
          <cell r="L6983" t="str">
            <v>00 -00-00-00-</v>
          </cell>
          <cell r="O6983" t="str">
            <v>SIN CUENTA ASIGNADA</v>
          </cell>
        </row>
        <row r="6984">
          <cell r="J6984" t="str">
            <v>00 -00-00-00-</v>
          </cell>
          <cell r="L6984" t="str">
            <v>00 -00-00-00-</v>
          </cell>
          <cell r="O6984" t="str">
            <v>SIN CUENTA ASIGNADA</v>
          </cell>
        </row>
        <row r="6985">
          <cell r="J6985" t="str">
            <v>00 -00-00-00-</v>
          </cell>
          <cell r="L6985" t="str">
            <v>00 -00-00-00-</v>
          </cell>
          <cell r="O6985" t="str">
            <v>SIN CUENTA ASIGNADA</v>
          </cell>
        </row>
        <row r="6986">
          <cell r="J6986" t="str">
            <v>00 -00-00-00-</v>
          </cell>
          <cell r="L6986" t="str">
            <v>00 -00-00-00-</v>
          </cell>
          <cell r="O6986" t="str">
            <v>SIN CUENTA ASIGNADA</v>
          </cell>
        </row>
        <row r="6987">
          <cell r="J6987" t="str">
            <v>00 -00-00-00-</v>
          </cell>
          <cell r="L6987" t="str">
            <v>00 -00-00-00-</v>
          </cell>
          <cell r="O6987" t="str">
            <v>SIN CUENTA ASIGNADA</v>
          </cell>
        </row>
        <row r="6988">
          <cell r="J6988" t="str">
            <v>00 -00-00-00-</v>
          </cell>
          <cell r="L6988" t="str">
            <v>00 -00-00-00-</v>
          </cell>
          <cell r="O6988" t="str">
            <v>SIN CUENTA ASIGNADA</v>
          </cell>
        </row>
        <row r="6989">
          <cell r="J6989" t="str">
            <v>00 -00-00-00-</v>
          </cell>
          <cell r="L6989" t="str">
            <v>00 -00-00-00-</v>
          </cell>
          <cell r="O6989" t="str">
            <v>SIN CUENTA ASIGNADA</v>
          </cell>
        </row>
        <row r="6990">
          <cell r="J6990" t="str">
            <v>00 -00-00-00-</v>
          </cell>
          <cell r="L6990" t="str">
            <v>00 -00-00-00-</v>
          </cell>
          <cell r="O6990" t="str">
            <v>SIN CUENTA ASIGNADA</v>
          </cell>
        </row>
        <row r="6991">
          <cell r="J6991" t="str">
            <v>00 -00-00-00-</v>
          </cell>
          <cell r="L6991" t="str">
            <v>00 -00-00-00-</v>
          </cell>
          <cell r="O6991" t="str">
            <v>SIN CUENTA ASIGNADA</v>
          </cell>
        </row>
        <row r="6992">
          <cell r="J6992" t="str">
            <v>00 -00-00-00-</v>
          </cell>
          <cell r="L6992" t="str">
            <v>00 -00-00-00-</v>
          </cell>
          <cell r="O6992" t="str">
            <v>SIN CUENTA ASIGNADA</v>
          </cell>
        </row>
        <row r="6993">
          <cell r="J6993" t="str">
            <v>00 -00-00-00-</v>
          </cell>
          <cell r="L6993" t="str">
            <v>00 -00-00-00-</v>
          </cell>
          <cell r="O6993" t="str">
            <v>SIN CUENTA ASIGNADA</v>
          </cell>
        </row>
        <row r="6994">
          <cell r="J6994" t="str">
            <v>00 -00-00-00-</v>
          </cell>
          <cell r="L6994" t="str">
            <v>00 -00-00-00-</v>
          </cell>
          <cell r="O6994" t="str">
            <v>SIN CUENTA ASIGNADA</v>
          </cell>
        </row>
        <row r="6995">
          <cell r="J6995" t="str">
            <v>00 -00-00-00-</v>
          </cell>
          <cell r="L6995" t="str">
            <v>00 -00-00-00-</v>
          </cell>
          <cell r="O6995" t="str">
            <v>SIN CUENTA ASIGNADA</v>
          </cell>
        </row>
        <row r="6996">
          <cell r="J6996" t="str">
            <v>00 -00-00-00-</v>
          </cell>
          <cell r="L6996" t="str">
            <v>00 -00-00-00-</v>
          </cell>
          <cell r="O6996" t="str">
            <v>SIN CUENTA ASIGNADA</v>
          </cell>
        </row>
        <row r="6997">
          <cell r="J6997" t="str">
            <v>00 -00-00-00-</v>
          </cell>
          <cell r="L6997" t="str">
            <v>00 -00-00-00-</v>
          </cell>
          <cell r="O6997" t="str">
            <v>SIN CUENTA ASIGNADA</v>
          </cell>
        </row>
        <row r="6998">
          <cell r="J6998" t="str">
            <v>00 -00-00-00-</v>
          </cell>
          <cell r="L6998" t="str">
            <v>00 -00-00-00-</v>
          </cell>
          <cell r="O6998" t="str">
            <v>SIN CUENTA ASIGNADA</v>
          </cell>
        </row>
        <row r="6999">
          <cell r="J6999" t="str">
            <v>00 -00-00-00-</v>
          </cell>
          <cell r="L6999" t="str">
            <v>00 -00-00-00-</v>
          </cell>
          <cell r="O6999" t="str">
            <v>SIN CUENTA ASIGNADA</v>
          </cell>
        </row>
        <row r="7000">
          <cell r="J7000" t="str">
            <v>00 -00-00-00-</v>
          </cell>
          <cell r="L7000" t="str">
            <v>00 -00-00-00-</v>
          </cell>
          <cell r="O7000" t="str">
            <v>SIN CUENTA ASIGNADA</v>
          </cell>
        </row>
        <row r="7001">
          <cell r="J7001" t="str">
            <v>00 -00-00-00-</v>
          </cell>
          <cell r="L7001" t="str">
            <v>00 -00-00-00-</v>
          </cell>
          <cell r="O7001" t="str">
            <v>SIN CUENTA ASIGNADA</v>
          </cell>
        </row>
        <row r="7002">
          <cell r="J7002" t="str">
            <v>00 -00-00-00-</v>
          </cell>
          <cell r="L7002" t="str">
            <v>00 -00-00-00-</v>
          </cell>
          <cell r="O7002" t="str">
            <v>SIN CUENTA ASIGNADA</v>
          </cell>
        </row>
        <row r="7003">
          <cell r="J7003" t="str">
            <v>00 -00-00-00-</v>
          </cell>
          <cell r="L7003" t="str">
            <v>00 -00-00-00-</v>
          </cell>
          <cell r="O7003" t="str">
            <v>SIN CUENTA ASIGNADA</v>
          </cell>
        </row>
        <row r="7004">
          <cell r="J7004" t="str">
            <v>00 -00-00-00-</v>
          </cell>
          <cell r="L7004" t="str">
            <v>00 -00-00-00-</v>
          </cell>
          <cell r="O7004" t="str">
            <v>SIN CUENTA ASIGNADA</v>
          </cell>
        </row>
        <row r="7005">
          <cell r="J7005" t="str">
            <v>00 -00-00-00-</v>
          </cell>
          <cell r="L7005" t="str">
            <v>00 -00-00-00-</v>
          </cell>
          <cell r="O7005" t="str">
            <v>SIN CUENTA ASIGNADA</v>
          </cell>
        </row>
        <row r="7006">
          <cell r="J7006" t="str">
            <v>00 -00-00-00-</v>
          </cell>
          <cell r="L7006" t="str">
            <v>00 -00-00-00-</v>
          </cell>
          <cell r="O7006" t="str">
            <v>SIN CUENTA ASIGNADA</v>
          </cell>
        </row>
        <row r="7007">
          <cell r="J7007" t="str">
            <v>00 -00-00-00-</v>
          </cell>
          <cell r="L7007" t="str">
            <v>00 -00-00-00-</v>
          </cell>
          <cell r="O7007" t="str">
            <v>SIN CUENTA ASIGNADA</v>
          </cell>
        </row>
        <row r="7008">
          <cell r="J7008" t="str">
            <v>00 -00-00-00-</v>
          </cell>
          <cell r="L7008" t="str">
            <v>00 -00-00-00-</v>
          </cell>
          <cell r="O7008" t="str">
            <v>SIN CUENTA ASIGNADA</v>
          </cell>
        </row>
        <row r="7009">
          <cell r="J7009" t="str">
            <v>00 -00-00-00-</v>
          </cell>
          <cell r="L7009" t="str">
            <v>00 -00-00-00-</v>
          </cell>
          <cell r="O7009" t="str">
            <v>SIN CUENTA ASIGNADA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oledad Muñoz" id="{2DD84BE1-BAAE-4953-A272-CB1DBF405ED6}" userId="0d229e35e7c33d55" providerId="Windows Live"/>
  <person displayName="EQM HPL" id="{3B6834B1-3190-4F35-BF82-0E439222BDF1}" userId="9dadecfed8f4451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85.464379282406" createdVersion="8" refreshedVersion="8" minRefreshableVersion="3" recordCount="937" xr:uid="{B411D535-DEAC-434A-8EDD-2518182C1E6F}">
  <cacheSource type="worksheet">
    <worksheetSource ref="A3:AJ5" sheet="CATASTRO Y PLANIFICACIÓN MP"/>
  </cacheSource>
  <cacheFields count="36">
    <cacheField name="SERVICIO CLÍNICO" numFmtId="0">
      <sharedItems/>
    </cacheField>
    <cacheField name="RECINTO" numFmtId="0">
      <sharedItems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354" maxValue="7254021004"/>
    </cacheField>
    <cacheField name="SERIE" numFmtId="0">
      <sharedItems containsBlank="1" containsMixedTypes="1" containsNumber="1" containsInteger="1" minValue="45" maxValue="33600130121001"/>
    </cacheField>
    <cacheField name="N° INVENTARIO" numFmtId="0">
      <sharedItems containsBlank="1"/>
    </cacheField>
    <cacheField name="AÑO DE ADQUISICIÓN" numFmtId="0">
      <sharedItems containsBlank="1" containsMixedTypes="1" containsNumber="1" containsInteger="1" minValue="2009" maxValue="2024"/>
    </cacheField>
    <cacheField name="VIDA ÚTIL" numFmtId="0">
      <sharedItems containsBlank="1" containsMixedTypes="1" containsNumber="1" containsInteger="1" minValue="5" maxValue="10"/>
    </cacheField>
    <cacheField name="VIDA ÚTIL RESIDUAL" numFmtId="0">
      <sharedItems containsBlank="1" containsMixedTypes="1" containsNumber="1" containsInteger="1" minValue="-7" maxValue="10"/>
    </cacheField>
    <cacheField name="PROPIO / ARRIENDO / COMODATO" numFmtId="0">
      <sharedItems containsBlank="1"/>
    </cacheField>
    <cacheField name="ESTADO (BUENO / REGULAR / MALO / BAJA)" numFmtId="0">
      <sharedItems containsBlank="1"/>
    </cacheField>
    <cacheField name="CRÍTICO/ RELEVANTE / IM≥12 / NO APLICA" numFmtId="0">
      <sharedItems containsBlank="1" count="5">
        <s v="CRÍTICO"/>
        <s v="IM ≥ 12"/>
        <s v="NO APLICA"/>
        <s v="RELEVANTE"/>
        <m/>
      </sharedItems>
    </cacheField>
    <cacheField name="EN GARANTÍA (SI / NO)" numFmtId="0">
      <sharedItems containsBlank="1"/>
    </cacheField>
    <cacheField name="AÑO VENCIMIENTO GARANTÍA" numFmtId="0">
      <sharedItems containsDate="1" containsBlank="1" containsMixedTypes="1" minDate="1900-01-05T14:40:04" maxDate="1900-01-06T14:40:04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String="0" containsBlank="1" containsNumber="1" containsInteger="1" minValue="2023" maxValue="2025" count="4">
        <n v="2023"/>
        <m/>
        <n v="2024"/>
        <n v="2025"/>
      </sharedItems>
    </cacheField>
    <cacheField name="MANTENIMIENTO INTERNO O MANTENIMIENTO EXTERNO O CONTRATO" numFmtId="0">
      <sharedItems containsBlank="1"/>
    </cacheField>
    <cacheField name="NOMBRE DE PROVEEDOR O MANTENIMIENTO INTERNO" numFmtId="0">
      <sharedItems containsBlank="1"/>
    </cacheField>
    <cacheField name="ID CONVENIO DE MANTENIMIENTO / ID DE REFERENCIA / COTIZACIÓN DE REFERENCIA" numFmtId="0">
      <sharedItems containsBlank="1"/>
    </cacheField>
    <cacheField name="COSTO ANUAL DE MANTENIMIENTO SEGÚN CONVENIO / PRECIO DE REFERENCIA MANTENIMIENTO ANUAL" numFmtId="0">
      <sharedItems containsBlank="1" containsMixedTypes="1" containsNumber="1" containsInteger="1" minValue="0" maxValue="39876864"/>
    </cacheField>
    <cacheField name="FRECUENCIA ANUAL DE MANTENIMIENTO" numFmtId="0">
      <sharedItems containsString="0" containsBlank="1" containsNumber="1" containsInteger="1" minValue="0" maxValue="3"/>
    </cacheField>
    <cacheField name="ENERO" numFmtId="0">
      <sharedItems containsBlank="1"/>
    </cacheField>
    <cacheField name="FEBRERO" numFmtId="0">
      <sharedItems containsBlank="1"/>
    </cacheField>
    <cacheField name="MARZO" numFmtId="0">
      <sharedItems containsBlank="1"/>
    </cacheField>
    <cacheField name="ABRIL" numFmtId="0">
      <sharedItems containsBlank="1"/>
    </cacheField>
    <cacheField name="MAYO" numFmtId="0">
      <sharedItems containsBlank="1"/>
    </cacheField>
    <cacheField name="JUNIO" numFmtId="0">
      <sharedItems containsBlank="1"/>
    </cacheField>
    <cacheField name="JULIO" numFmtId="0">
      <sharedItems containsBlank="1"/>
    </cacheField>
    <cacheField name="AGOSTO" numFmtId="0">
      <sharedItems containsBlank="1"/>
    </cacheField>
    <cacheField name="SEPTIEMBRE" numFmtId="0">
      <sharedItems containsBlank="1"/>
    </cacheField>
    <cacheField name="OCTUBRE" numFmtId="0">
      <sharedItems containsBlank="1"/>
    </cacheField>
    <cacheField name="NOVIEMBRE" numFmtId="0">
      <sharedItems containsBlank="1"/>
    </cacheField>
    <cacheField name="DICIE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Minsal" refreshedDate="45721.666077893518" createdVersion="8" refreshedVersion="8" minRefreshableVersion="3" recordCount="969" xr:uid="{5B74328A-D7E7-4D3E-9BD8-7849E850F9A4}">
  <cacheSource type="worksheet">
    <worksheetSource ref="A15:AJ15" sheet="CATASTRO Y PLANIFICACIÓN MP"/>
  </cacheSource>
  <cacheFields count="36">
    <cacheField name="SERVICIO CLÍNICO" numFmtId="0">
      <sharedItems/>
    </cacheField>
    <cacheField name="RECINTO" numFmtId="0">
      <sharedItems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/>
    </cacheField>
    <cacheField name="MARCA" numFmtId="0">
      <sharedItems/>
    </cacheField>
    <cacheField name="MODELO" numFmtId="0">
      <sharedItems containsBlank="1" containsMixedTypes="1" containsNumber="1" containsInteger="1" minValue="354" maxValue="7254021004"/>
    </cacheField>
    <cacheField name="SERIE" numFmtId="0">
      <sharedItems containsBlank="1" containsMixedTypes="1" containsNumber="1" containsInteger="1" minValue="45" maxValue="33600130121001"/>
    </cacheField>
    <cacheField name="N° INVENTARIO" numFmtId="0">
      <sharedItems containsBlank="1" containsMixedTypes="1" containsNumber="1" containsInteger="1" minValue="2187448" maxValue="2187449"/>
    </cacheField>
    <cacheField name="AÑO DE ADQUISICIÓN" numFmtId="0">
      <sharedItems containsBlank="1" containsMixedTypes="1" containsNumber="1" containsInteger="1" minValue="2009" maxValue="2025"/>
    </cacheField>
    <cacheField name="VIDA ÚTIL" numFmtId="0">
      <sharedItems containsBlank="1" containsMixedTypes="1" containsNumber="1" containsInteger="1" minValue="3" maxValue="10"/>
    </cacheField>
    <cacheField name="VIDA ÚTIL RESIDUAL" numFmtId="0">
      <sharedItems containsBlank="1" containsMixedTypes="1" containsNumber="1" containsInteger="1" minValue="-8" maxValue="9"/>
    </cacheField>
    <cacheField name="PROPIO / ARRIENDO / COMODATO" numFmtId="0">
      <sharedItems containsBlank="1"/>
    </cacheField>
    <cacheField name="ESTADO (BUENO / REGULAR / MALO / BAJA)" numFmtId="0">
      <sharedItems/>
    </cacheField>
    <cacheField name="CRÍTICO/ RELEVANTE / IM≥12 / NO APLICA" numFmtId="0">
      <sharedItems count="5">
        <s v="CRÍTICO"/>
        <s v="IM ≥ 12"/>
        <s v="NO APLICA"/>
        <s v="RELEVANTE"/>
        <s v="IM≥12" u="1"/>
      </sharedItems>
    </cacheField>
    <cacheField name="EN GARANTÍA (SI / NO)" numFmtId="0">
      <sharedItems/>
    </cacheField>
    <cacheField name="AÑO VENCIMIENTO GARANTÍA" numFmtId="0">
      <sharedItems containsDate="1" containsBlank="1" containsMixedTypes="1" minDate="2023-06-01T00:00:00" maxDate="1900-01-06T14:40:04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MixedTypes="1" containsNumber="1" containsInteger="1" minValue="2023" maxValue="2025" count="4">
        <n v="2023"/>
        <n v="2025"/>
        <s v="NO APLICA"/>
        <n v="2024"/>
      </sharedItems>
    </cacheField>
    <cacheField name="MANTENIMIENTO INTERNO O MANTENIMIENTO EXTERNO O CONTRATO" numFmtId="0">
      <sharedItems/>
    </cacheField>
    <cacheField name="NOMBRE DE PROVEEDOR O MANTENIMIENTO INTERNO" numFmtId="0">
      <sharedItems containsBlank="1"/>
    </cacheField>
    <cacheField name="ID CONVENIO DE MANTENIMIENTO / ID DE REFERENCIA / COTIZACIÓN DE REFERENCIA" numFmtId="0">
      <sharedItems containsBlank="1"/>
    </cacheField>
    <cacheField name="COSTO ANUAL DE MANTENIMIENTO SEGÚN CONVENIO / PRECIO DE REFERENCIA MANTENIMIENTO ANUAL" numFmtId="0">
      <sharedItems containsBlank="1" containsMixedTypes="1" containsNumber="1" containsInteger="1" minValue="0" maxValue="40962546"/>
    </cacheField>
    <cacheField name="FRECUENCIA ANUAL DE MANTENIMIENTO" numFmtId="0">
      <sharedItems containsString="0" containsBlank="1" containsNumber="1" containsInteger="1" minValue="1" maxValue="3"/>
    </cacheField>
    <cacheField name="ENERO" numFmtId="0">
      <sharedItems containsBlank="1"/>
    </cacheField>
    <cacheField name="FEBRERO" numFmtId="0">
      <sharedItems containsBlank="1"/>
    </cacheField>
    <cacheField name="MARZO" numFmtId="0">
      <sharedItems containsBlank="1"/>
    </cacheField>
    <cacheField name="ABRIL" numFmtId="0">
      <sharedItems containsBlank="1"/>
    </cacheField>
    <cacheField name="MAYO" numFmtId="0">
      <sharedItems containsBlank="1"/>
    </cacheField>
    <cacheField name="JUNIO" numFmtId="0">
      <sharedItems containsBlank="1"/>
    </cacheField>
    <cacheField name="JULIO" numFmtId="0">
      <sharedItems containsBlank="1"/>
    </cacheField>
    <cacheField name="AGOSTO" numFmtId="0">
      <sharedItems containsBlank="1"/>
    </cacheField>
    <cacheField name="SEPTIEMBRE" numFmtId="0">
      <sharedItems containsBlank="1"/>
    </cacheField>
    <cacheField name="OCTUBRE" numFmtId="0">
      <sharedItems containsBlank="1"/>
    </cacheField>
    <cacheField name="NOVIEMBRE" numFmtId="0">
      <sharedItems containsBlank="1"/>
    </cacheField>
    <cacheField name="DICIE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Minsal" refreshedDate="45721.666473495374" createdVersion="8" refreshedVersion="8" minRefreshableVersion="3" recordCount="972" xr:uid="{7F8DAA64-96D6-4F72-89F5-50508FDAE6DB}">
  <cacheSource type="worksheet">
    <worksheetSource ref="A15:AJ15" sheet="CATASTRO Y PLANIFICACIÓN MP"/>
  </cacheSource>
  <cacheFields count="36">
    <cacheField name="SERVICIO CLÍNICO" numFmtId="0">
      <sharedItems/>
    </cacheField>
    <cacheField name="RECINTO" numFmtId="0">
      <sharedItems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/>
    </cacheField>
    <cacheField name="MARCA" numFmtId="0">
      <sharedItems/>
    </cacheField>
    <cacheField name="MODELO" numFmtId="0">
      <sharedItems containsBlank="1" containsMixedTypes="1" containsNumber="1" containsInteger="1" minValue="354" maxValue="7254021004"/>
    </cacheField>
    <cacheField name="SERIE" numFmtId="0">
      <sharedItems containsBlank="1" containsMixedTypes="1" containsNumber="1" containsInteger="1" minValue="45" maxValue="33600130121001"/>
    </cacheField>
    <cacheField name="N° INVENTARIO" numFmtId="0">
      <sharedItems containsBlank="1" containsMixedTypes="1" containsNumber="1" containsInteger="1" minValue="2187448" maxValue="2187449"/>
    </cacheField>
    <cacheField name="AÑO DE ADQUISICIÓN" numFmtId="0">
      <sharedItems containsBlank="1" containsMixedTypes="1" containsNumber="1" containsInteger="1" minValue="2009" maxValue="2025"/>
    </cacheField>
    <cacheField name="VIDA ÚTIL" numFmtId="0">
      <sharedItems containsBlank="1" containsMixedTypes="1" containsNumber="1" containsInteger="1" minValue="3" maxValue="10"/>
    </cacheField>
    <cacheField name="VIDA ÚTIL RESIDUAL" numFmtId="0">
      <sharedItems containsBlank="1" containsMixedTypes="1" containsNumber="1" containsInteger="1" minValue="-8" maxValue="9"/>
    </cacheField>
    <cacheField name="PROPIO / ARRIENDO / COMODATO" numFmtId="0">
      <sharedItems containsBlank="1"/>
    </cacheField>
    <cacheField name="ESTADO (BUENO / REGULAR / MALO / BAJA)" numFmtId="0">
      <sharedItems/>
    </cacheField>
    <cacheField name="CRÍTICO/ RELEVANTE / IM≥12 / NO APLICA" numFmtId="0">
      <sharedItems count="4">
        <s v="CRÍTICO"/>
        <s v="IM ≥ 12"/>
        <s v="NO APLICA"/>
        <s v="RELEVANTE"/>
      </sharedItems>
    </cacheField>
    <cacheField name="EN GARANTÍA (SI / NO)" numFmtId="0">
      <sharedItems/>
    </cacheField>
    <cacheField name="AÑO VENCIMIENTO GARANTÍA" numFmtId="0">
      <sharedItems containsDate="1" containsBlank="1" containsMixedTypes="1" minDate="2023-06-01T00:00:00" maxDate="1900-01-06T14:40:04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MixedTypes="1" containsNumber="1" containsInteger="1" minValue="2023" maxValue="2025"/>
    </cacheField>
    <cacheField name="MANTENIMIENTO INTERNO O MANTENIMIENTO EXTERNO O CONTRATO" numFmtId="0">
      <sharedItems/>
    </cacheField>
    <cacheField name="NOMBRE DE PROVEEDOR O MANTENIMIENTO INTERNO" numFmtId="0">
      <sharedItems containsBlank="1"/>
    </cacheField>
    <cacheField name="ID CONVENIO DE MANTENIMIENTO / ID DE REFERENCIA / COTIZACIÓN DE REFERENCIA" numFmtId="0">
      <sharedItems containsBlank="1"/>
    </cacheField>
    <cacheField name="COSTO ANUAL DE MANTENIMIENTO SEGÚN CONVENIO / PRECIO DE REFERENCIA MANTENIMIENTO ANUAL" numFmtId="0">
      <sharedItems containsBlank="1" containsMixedTypes="1" containsNumber="1" containsInteger="1" minValue="0" maxValue="40962546"/>
    </cacheField>
    <cacheField name="FRECUENCIA ANUAL DE MANTENIMIENTO" numFmtId="0">
      <sharedItems containsString="0" containsBlank="1" containsNumber="1" containsInteger="1" minValue="1" maxValue="3"/>
    </cacheField>
    <cacheField name="ENERO" numFmtId="0">
      <sharedItems containsBlank="1"/>
    </cacheField>
    <cacheField name="FEBRERO" numFmtId="0">
      <sharedItems containsBlank="1"/>
    </cacheField>
    <cacheField name="MARZO" numFmtId="0">
      <sharedItems containsBlank="1"/>
    </cacheField>
    <cacheField name="ABRIL" numFmtId="0">
      <sharedItems containsBlank="1"/>
    </cacheField>
    <cacheField name="MAYO" numFmtId="0">
      <sharedItems containsBlank="1"/>
    </cacheField>
    <cacheField name="JUNIO" numFmtId="0">
      <sharedItems containsBlank="1"/>
    </cacheField>
    <cacheField name="JULIO" numFmtId="0">
      <sharedItems containsBlank="1"/>
    </cacheField>
    <cacheField name="AGOSTO" numFmtId="0">
      <sharedItems containsBlank="1"/>
    </cacheField>
    <cacheField name="SEPTIEMBRE" numFmtId="0">
      <sharedItems containsBlank="1"/>
    </cacheField>
    <cacheField name="OCTUBRE" numFmtId="0">
      <sharedItems containsBlank="1"/>
    </cacheField>
    <cacheField name="NOVIEMBRE" numFmtId="0">
      <sharedItems containsBlank="1"/>
    </cacheField>
    <cacheField name="DICIE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7">
  <r>
    <s v="Ambulancia"/>
    <s v="Hospital Penco Lirquen"/>
    <s v="Otros"/>
    <s v="Alto Costo"/>
    <s v="Ambulancia"/>
    <s v="Mercedes - Benz"/>
    <s v="Sprinter 315"/>
    <s v="FFRG-92"/>
    <s v="HPL29456"/>
    <n v="2013"/>
    <n v="8"/>
    <n v="-3"/>
    <s v="Propio"/>
    <s v="Bueno "/>
    <x v="0"/>
    <s v="NO"/>
    <s v="NO APLICA"/>
    <s v="SI"/>
    <x v="0"/>
    <s v="CONTRATO"/>
    <s v="PAVEZ"/>
    <s v="1031849-6-LR21"/>
    <m/>
    <m/>
    <m/>
    <m/>
    <m/>
    <m/>
    <m/>
    <m/>
    <m/>
    <m/>
    <m/>
    <m/>
    <m/>
    <m/>
  </r>
  <r>
    <s v="Ambulancia"/>
    <s v="Hospital Penco Lirquen"/>
    <s v="Otros"/>
    <s v="Alto Costo"/>
    <s v="Ambulancia"/>
    <s v="Mercedes - Benz"/>
    <s v="Sprinter 315"/>
    <s v="FFRG-94"/>
    <s v="HPL29457"/>
    <n v="2013"/>
    <n v="8"/>
    <n v="-3"/>
    <s v="Propio"/>
    <s v="Bueno "/>
    <x v="0"/>
    <s v="NO"/>
    <s v="NO APLICA"/>
    <s v="SI"/>
    <x v="0"/>
    <s v="CONTRATO"/>
    <s v="PAVEZ"/>
    <s v="1031849-6-LR21"/>
    <m/>
    <m/>
    <m/>
    <m/>
    <m/>
    <m/>
    <m/>
    <m/>
    <m/>
    <m/>
    <m/>
    <m/>
    <m/>
    <m/>
  </r>
  <r>
    <s v="Ambulancia"/>
    <s v="Hospital Penco Lirquen"/>
    <s v="Otros"/>
    <s v="Alto Costo"/>
    <s v="Ambulancia"/>
    <s v="Mercedes - Benz"/>
    <s v="Sprinter 314"/>
    <s v="PGHF-57"/>
    <s v="HPL29451"/>
    <n v="2020"/>
    <n v="8"/>
    <n v="4"/>
    <s v="Propio"/>
    <s v="Bueno "/>
    <x v="0"/>
    <s v="NO"/>
    <s v="NO APLICA"/>
    <s v="SI"/>
    <x v="0"/>
    <s v="CONTRATO"/>
    <s v="PAVEZ"/>
    <s v="1031849-6-LR21"/>
    <m/>
    <m/>
    <m/>
    <m/>
    <m/>
    <m/>
    <m/>
    <m/>
    <m/>
    <m/>
    <m/>
    <m/>
    <m/>
    <m/>
  </r>
  <r>
    <s v="Ambulancia - 7B"/>
    <s v="Hospital Penco Lirquen"/>
    <s v="Monitoreo"/>
    <s v="Mediano Costo "/>
    <s v="Monitor ECG Baja Complejidad"/>
    <s v="Nihon Kohden"/>
    <s v="SVM-7260"/>
    <s v="00292"/>
    <s v="HPL30123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Ambulancia - 7B"/>
    <s v="Hospital Penco Lirquen"/>
    <s v="Monitoreo"/>
    <s v="Mediano Costo "/>
    <s v="Monitor ECG Baja Complejidad"/>
    <s v="Mindray"/>
    <s v="uMEC10"/>
    <s v="KN-03065493"/>
    <s v="HPL30261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ꓣ"/>
    <s v="√"/>
    <m/>
    <m/>
    <m/>
    <m/>
    <s v="X"/>
    <m/>
  </r>
  <r>
    <s v="Bodega de abastecimiento - 16"/>
    <s v="Hospital Penco Lirquen"/>
    <s v="Laboratorio/Farmac"/>
    <s v="Mediano Costo "/>
    <s v="Refrigerador Clinico"/>
    <s v="Pitec"/>
    <s v="REF-38"/>
    <n v="5660"/>
    <s v="HPL29878"/>
    <n v="2015"/>
    <n v="10"/>
    <n v="1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Bodega de abastecimiento - 16"/>
    <s v="Hospital Penco Lirquen"/>
    <s v="Laboratorio/Farmac"/>
    <s v="Mediano Costo "/>
    <s v="Refrigerador Clinico"/>
    <s v="Smeg"/>
    <s v="FV30G1"/>
    <n v="5122200051"/>
    <s v="HPL30078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Bodega de abastecimiento - 16"/>
    <s v="Hospital Penco Lirquen"/>
    <s v="Laboratorio/Farmac"/>
    <s v="Bajo costo"/>
    <s v="Frigobar"/>
    <s v="Mabe"/>
    <s v="MAC 120 BO"/>
    <s v="13112529DA0363"/>
    <s v="HPL30138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Bodega de Equipos Médicos"/>
    <s v="Hospital Penco Lirquen"/>
    <s v="Apoyo Quirúrgico"/>
    <s v="Alto Costo"/>
    <s v="Mesa quirúrgica"/>
    <s v="KTK"/>
    <n v="2080"/>
    <n v="3173"/>
    <s v="HPL29873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Agilia VP MC"/>
    <n v="22324977"/>
    <s v="HPL28451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 E"/>
    <n v="21003348"/>
    <s v="HPL28452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Agilia VP MC"/>
    <n v="22959117"/>
    <s v="HPL28450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"/>
    <n v="22170040"/>
    <s v="HPL28453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Monitoreo"/>
    <s v="Mediano Costo "/>
    <s v="Monitor torre de endoscopia"/>
    <s v="Radiance"/>
    <s v="NDS"/>
    <s v="15-260562"/>
    <s v="HPL30148"/>
    <n v="2016"/>
    <n v="8"/>
    <n v="0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Bodega de Equipos Médicos"/>
    <s v="Hospital Penco Lirquen"/>
    <s v="Apoyo Quirúrgico"/>
    <s v="Mediano Costo "/>
    <s v="Fuente de luz torre endoscopia"/>
    <s v="Fujifilm"/>
    <s v="Fujinon"/>
    <s v="2S095G422"/>
    <s v="HPL30181"/>
    <n v="2016"/>
    <n v="8"/>
    <n v="0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colonoscopio"/>
    <s v="Fujifilm"/>
    <s v="EC-530FL"/>
    <s v="1C654K218"/>
    <s v="HPL30159"/>
    <n v="2016"/>
    <n v="7"/>
    <n v="-1"/>
    <s v="Propio"/>
    <s v="MALO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Bodega de Equipos Médicos"/>
    <s v="Hospital Penco Lirquen"/>
    <s v="Apoyo Quirúrgico"/>
    <s v="Mediano Costo "/>
    <s v="Unidad de camara torre endoscopia"/>
    <s v="Fujifilm"/>
    <s v="EPX 4450 HD"/>
    <s v="2V568G169"/>
    <s v="HPL30182"/>
    <n v="2016"/>
    <n v="8"/>
    <n v="0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panendoscopio"/>
    <s v="Fujifilm"/>
    <s v="EG-530WR"/>
    <s v="8G361K252"/>
    <s v="HPL30195"/>
    <n v="2019"/>
    <n v="7"/>
    <n v="2"/>
    <s v="Propio"/>
    <s v="MALO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Infusomat Space"/>
    <n v="282070"/>
    <s v="HPL29924"/>
    <n v="2016"/>
    <n v="8"/>
    <n v="0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48"/>
    <s v="HPL29927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50"/>
    <s v="HPL29928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2"/>
    <s v="HPL29934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4"/>
    <s v="HPL29936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81"/>
    <s v="HPL29937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Otros"/>
    <s v="Alto Costo"/>
    <s v="Analizador desfibrilador y ecg"/>
    <s v="Fluke"/>
    <s v="Impulse 700DP"/>
    <n v="4648020"/>
    <s v="HPL29952"/>
    <n v="2019"/>
    <n v="10"/>
    <n v="5"/>
    <s v="Propio"/>
    <s v="Bueno "/>
    <x v="1"/>
    <s v="NO"/>
    <s v="NO APLICA"/>
    <s v="SI"/>
    <x v="2"/>
    <s v="EXTERNO"/>
    <s v="NO APLICA"/>
    <s v="POR LICITAR"/>
    <m/>
    <n v="1"/>
    <m/>
    <m/>
    <m/>
    <m/>
    <m/>
    <m/>
    <m/>
    <s v="X"/>
    <m/>
    <m/>
    <m/>
    <m/>
  </r>
  <r>
    <s v="Bodega de Equipos Médicos"/>
    <s v="Hospital Penco Lirquen"/>
    <s v="Otros"/>
    <s v="Alto Costo"/>
    <s v="Analizador de monitores"/>
    <s v="Fluke"/>
    <s v="Prosim 8"/>
    <n v="4645056"/>
    <s v="HPL29951"/>
    <n v="2019"/>
    <n v="10"/>
    <n v="5"/>
    <s v="Propio"/>
    <s v="Bueno "/>
    <x v="1"/>
    <s v="NO"/>
    <s v="NO APLICA"/>
    <s v="SI"/>
    <x v="2"/>
    <s v="EXTERNO"/>
    <s v="NO APLICA"/>
    <s v="POR LICITAR"/>
    <m/>
    <n v="1"/>
    <m/>
    <m/>
    <m/>
    <m/>
    <m/>
    <m/>
    <m/>
    <s v="X"/>
    <m/>
    <m/>
    <m/>
    <m/>
  </r>
  <r>
    <s v="Bodega de Equipos Médicos"/>
    <s v="Hospital Penco Lirquen"/>
    <s v="Otros"/>
    <s v="Alto Costo"/>
    <s v="Analizador de pruebas eléctricas"/>
    <s v="Fluke"/>
    <s v="ESA612"/>
    <n v="4648049"/>
    <s v="HPL29953"/>
    <n v="2019"/>
    <n v="10"/>
    <n v="5"/>
    <s v="Propio"/>
    <s v="Bueno "/>
    <x v="1"/>
    <s v="NO"/>
    <s v="NO APLICA"/>
    <s v="SI"/>
    <x v="2"/>
    <s v="EXTERNO"/>
    <s v="NO APLICA"/>
    <s v="POR LICITAR"/>
    <m/>
    <n v="1"/>
    <m/>
    <m/>
    <m/>
    <m/>
    <m/>
    <m/>
    <m/>
    <s v="X"/>
    <m/>
    <m/>
    <m/>
    <m/>
  </r>
  <r>
    <s v="Bodega de Equipos Médicos - 11"/>
    <s v="Hospital Penco Lirquen"/>
    <s v="Apoyo Quirúrgico"/>
    <s v="Bajo costo"/>
    <s v="Bomba de aspiración"/>
    <s v="Spencer"/>
    <s v="Blanco"/>
    <s v="OP1-15-6793-001"/>
    <s v="HPL30275"/>
    <n v="2020"/>
    <n v="10"/>
    <n v="6"/>
    <s v="Propio"/>
    <s v="MALO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Bodega de Equipos Médicos"/>
    <s v="Hospital Penco Lirquen"/>
    <s v="Apoyo Quirúrgico"/>
    <s v="Bajo costo"/>
    <s v="Bomba de aspiración"/>
    <s v="Ca-mi"/>
    <s v="ASKIR 36BR"/>
    <n v="15580"/>
    <s v="HPL29891"/>
    <n v="2020"/>
    <n v="10"/>
    <n v="6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Bodega de Equipos Médicos"/>
    <s v="Hospital Penco Lirquen"/>
    <s v="Apoyo Quirúrgico"/>
    <s v="Bajo costo"/>
    <s v="Bomba de aspiración"/>
    <s v="Ca-mi"/>
    <s v="ASKIR 36BR"/>
    <n v="15572"/>
    <s v="HPL29890"/>
    <n v="2021"/>
    <n v="10"/>
    <n v="7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Bodega de Equipos Médicos"/>
    <s v="Hospital Penco Lirquen"/>
    <s v="Monitoreo"/>
    <s v="Mediano Costo "/>
    <s v="Desfibrilador externo automático (DEA)"/>
    <s v="Philips"/>
    <s v="Heart Start"/>
    <s v="A19K-06543"/>
    <s v="HPL30200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Corta Estadia"/>
    <s v="Hospital Penco Lirquen"/>
    <s v="Apoyo Diagnóstico"/>
    <s v="Bajo costo"/>
    <s v="Balanza con tallímetro"/>
    <s v="Doran Scales"/>
    <s v="Quote 12957"/>
    <n v="1693"/>
    <s v="HPL25418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Balanza con tallímetro"/>
    <s v="Doran Scales"/>
    <s v="Quote 12957"/>
    <n v="1704"/>
    <s v="HPL21695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Oximetro de pulso"/>
    <s v="Nellcor"/>
    <s v="Oximax N-65"/>
    <s v="G15802058"/>
    <s v="HPL3034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Mobiliario"/>
    <s v="Clínico"/>
    <s v="Cama clínica mecánica"/>
    <s v="Malvestio"/>
    <n v="345450"/>
    <n v="20009413"/>
    <s v="HPL21781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"/>
    <s v="Hospital Penco Lirquen"/>
    <s v="Apoyo Diagnóstico"/>
    <s v="Mediano Costo "/>
    <s v="Electrocardiografo"/>
    <s v="Bionet"/>
    <s v="Cardiotouch 3000"/>
    <s v="T2P1200011"/>
    <s v="HPL21795"/>
    <n v="2015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50"/>
    <s v="HPL25510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68"/>
    <s v="HPL21701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Corta Estadia"/>
    <s v="Hospital Penco Lirquen"/>
    <s v="Monitoreo"/>
    <s v="Mediano Costo "/>
    <s v="Desfibrilador externo automático (DEA)"/>
    <s v="Philips"/>
    <s v="Heart Start"/>
    <s v="A19K-06055"/>
    <s v="HPL30198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Corta Estadia - 4"/>
    <s v="Hospital Penco Lirquen"/>
    <s v="Apoyo Terapéutico"/>
    <s v="Mediano Costo "/>
    <s v="Bomba de infusión continua"/>
    <s v="Fresenius Kabi"/>
    <s v="Volumat MC Agilia E"/>
    <n v="21633992"/>
    <s v="HPL28417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Corta Estadia - 4"/>
    <s v="Hospital Penco Lirquen"/>
    <s v="Mobiliario"/>
    <s v="Clínico"/>
    <s v="Cama clínica mecánica"/>
    <s v="Malvestio"/>
    <n v="345450"/>
    <n v="20009414"/>
    <s v="HPL21782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5"/>
    <s v="HPL21783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6"/>
    <s v="HPL21785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7"/>
    <s v="HPL21786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8"/>
    <s v="HPL24416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9"/>
    <s v="HPL21787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0"/>
    <s v="HPL21801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1"/>
    <s v="HPL21802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2"/>
    <s v="HPL24417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3"/>
    <s v="HPL21803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4"/>
    <s v="HPL21805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5"/>
    <s v="HPL21806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DAN"/>
    <s v="Hospital Penco Lirquen"/>
    <s v="Esterilización"/>
    <s v="Mediano Costo "/>
    <s v="Neutralizador de OPA"/>
    <s v="Medivators"/>
    <s v="Medi-New"/>
    <n v="200522"/>
    <s v="HPL27431"/>
    <n v="2016"/>
    <n v="10"/>
    <n v="2"/>
    <s v="Propio"/>
    <s v="Bueno "/>
    <x v="2"/>
    <s v="NO"/>
    <s v="NO APLICA"/>
    <s v="NO"/>
    <x v="1"/>
    <s v="CONTRATO"/>
    <s v="N/A"/>
    <m/>
    <m/>
    <m/>
    <m/>
    <m/>
    <m/>
    <m/>
    <m/>
    <m/>
    <m/>
    <m/>
    <m/>
    <m/>
    <m/>
    <m/>
  </r>
  <r>
    <s v="DAN"/>
    <s v="Hospital Penco Lirquen"/>
    <m/>
    <m/>
    <s v="Lupa"/>
    <s v="N/A"/>
    <s v="N/A"/>
    <s v="N/A"/>
    <s v="HPL27432"/>
    <n v="2022"/>
    <n v="8"/>
    <n v="6"/>
    <s v="Propio"/>
    <s v="Bueno "/>
    <x v="2"/>
    <s v="NO"/>
    <n v="2023"/>
    <s v="NO"/>
    <x v="1"/>
    <s v="INTERNO"/>
    <m/>
    <s v="N/A"/>
    <s v="N/A"/>
    <m/>
    <m/>
    <m/>
    <m/>
    <m/>
    <m/>
    <m/>
    <m/>
    <m/>
    <m/>
    <m/>
    <m/>
    <m/>
  </r>
  <r>
    <s v="DAN"/>
    <s v="Hospital Penco Lirquen"/>
    <s v="Apoyo Diagnóstico"/>
    <s v="Alto Costo"/>
    <s v="Verificador de fugas (compresor)"/>
    <s v="Olympus"/>
    <s v="MU-1"/>
    <n v="7380555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DAN"/>
    <s v="Hospital Penco Lirquen"/>
    <s v="Apoyo Diagnóstico"/>
    <s v="Alto Costo"/>
    <s v="Verificador de fugas (pieza de mano)"/>
    <s v="Olympus"/>
    <s v="MB-155"/>
    <s v="S/N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DAN - 17A"/>
    <s v="Hospital Penco Lirquen"/>
    <s v="Esterilización"/>
    <s v="Mediano Costo "/>
    <s v="Lavadora de Endoscopios"/>
    <s v="Medivators"/>
    <s v="SSD-102"/>
    <n v="77712602"/>
    <s v="HPL30324"/>
    <n v="2016"/>
    <n v="10"/>
    <n v="2"/>
    <s v="Propio"/>
    <s v="Bueno "/>
    <x v="2"/>
    <s v="NO"/>
    <s v="NO APLICA"/>
    <s v="SI"/>
    <x v="0"/>
    <s v="CONTRATO"/>
    <s v="ZEPEDA"/>
    <s v="1057540-91-LP23"/>
    <n v="4995022"/>
    <m/>
    <m/>
    <m/>
    <m/>
    <m/>
    <m/>
    <m/>
    <m/>
    <m/>
    <m/>
    <m/>
    <m/>
    <m/>
  </r>
  <r>
    <s v="DAN - 17A"/>
    <s v="Hospital Penco Lirquen"/>
    <s v="Esterilización"/>
    <s v="Mediano Costo "/>
    <s v="Lavadora de Endoscopios"/>
    <s v="Endoclens "/>
    <s v="NSX"/>
    <n v="2700230064"/>
    <m/>
    <n v="2024"/>
    <n v="8"/>
    <n v="8"/>
    <s v="Propio"/>
    <s v="Bueno "/>
    <x v="1"/>
    <s v="SI"/>
    <d v="2025-01-01T00:00:00"/>
    <s v="SI"/>
    <x v="2"/>
    <s v="EXTERNO"/>
    <s v="NSP"/>
    <s v="COLDAS 2023"/>
    <m/>
    <m/>
    <m/>
    <m/>
    <m/>
    <m/>
    <m/>
    <m/>
    <m/>
    <m/>
    <m/>
    <m/>
    <m/>
    <m/>
  </r>
  <r>
    <s v="Endoscopia y PCM"/>
    <s v="Hospital Penco Lirquen"/>
    <s v="Mobiliario"/>
    <s v="Clínico"/>
    <s v="Camilla de trasporte de paciente"/>
    <s v="Malvestio"/>
    <s v="Runner 800"/>
    <n v="20009469"/>
    <s v="HPL3000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ndoscopia y PCM"/>
    <s v="Hospital Penco Lirquen"/>
    <s v="Mobiliario"/>
    <s v="Clínico"/>
    <s v="Camilla de trasporte de paciente"/>
    <s v="Malvestio"/>
    <s v="Runner 800"/>
    <n v="20009475"/>
    <s v="HPL3000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ndoscopia y PCM"/>
    <s v="Hospital Penco Lirquen"/>
    <s v="Apoyo Diagnóstico"/>
    <s v="Alto Costo"/>
    <s v="Torre de endoscopía (carro)"/>
    <s v="Olympus"/>
    <s v="TC-C4"/>
    <n v="22213550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Bomba de Inyección"/>
    <s v="Olympus"/>
    <s v="OFP-2"/>
    <n v="2231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Monitor"/>
    <s v="LG"/>
    <s v="27HK510S"/>
    <s v="211MTV56J359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1"/>
    <s v="33R"/>
    <m/>
    <n v="2023"/>
    <n v="7"/>
    <n v="6"/>
    <s v="Propio"/>
    <s v="BUENO"/>
    <x v="1"/>
    <s v="SI"/>
    <n v="2026"/>
    <s v="SI"/>
    <x v="2"/>
    <s v="EXTERNO"/>
    <s v="Surmedical"/>
    <s v="1057931-4-LQ23"/>
    <n v="0"/>
    <m/>
    <m/>
    <m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2"/>
    <s v="31R"/>
    <m/>
    <n v="2023"/>
    <n v="7"/>
    <n v="6"/>
    <s v="Propio"/>
    <s v="BUENO"/>
    <x v="1"/>
    <s v="SI"/>
    <n v="2026"/>
    <s v="SI"/>
    <x v="2"/>
    <s v="EXTERNO"/>
    <s v="Surmedical"/>
    <s v="1057931-4-LQ23"/>
    <n v="0"/>
    <m/>
    <m/>
    <m/>
    <m/>
    <m/>
    <m/>
    <m/>
    <m/>
    <s v="X"/>
    <m/>
    <m/>
    <m/>
    <m/>
  </r>
  <r>
    <s v="Endoscopia y PCM"/>
    <s v="Hospital Penco Lirquen"/>
    <s v="Apoyo Diagnóstico"/>
    <s v="Alto Costo"/>
    <s v="Videoprocesador"/>
    <s v="Olympus"/>
    <s v="CV-190"/>
    <n v="7384033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Fuente de luz"/>
    <s v="Olympus"/>
    <s v="CLV-190"/>
    <n v="7308012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36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65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0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2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Unidad regulación CO2"/>
    <s v="Olympus"/>
    <s v="Olympus UCR"/>
    <n v="7362589"/>
    <m/>
    <n v="2023"/>
    <n v="7"/>
    <n v="6"/>
    <s v="Propio"/>
    <s v="BUENO"/>
    <x v="1"/>
    <s v="SI"/>
    <n v="2026"/>
    <s v="SI"/>
    <x v="2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Monitoreo"/>
    <s v="Mediano Costo "/>
    <s v="Monitor ECG Baja Complejidad"/>
    <s v="Fukuda Denshi"/>
    <s v="Dinascope DSL-8001"/>
    <n v="50200459"/>
    <s v="HPL30041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Endoscopia y PCM"/>
    <s v="Hospital Penco Lirquen"/>
    <s v="Monitoreo"/>
    <s v="Mediano Costo "/>
    <s v="Monitor desfibrilador"/>
    <s v="Instramed"/>
    <s v="Cardiomax"/>
    <s v="10608CM2833"/>
    <s v="HPL30137"/>
    <n v="2014"/>
    <n v="8"/>
    <n v="-2"/>
    <s v="Propio"/>
    <s v="BUENO"/>
    <x v="0"/>
    <s v="NO"/>
    <s v="NO APLICA"/>
    <s v="SI"/>
    <x v="0"/>
    <s v="INTERNO"/>
    <s v="TECNICO EQM HPL"/>
    <s v="NO APLICA"/>
    <s v="-"/>
    <n v="2"/>
    <m/>
    <m/>
    <m/>
    <m/>
    <s v="√"/>
    <m/>
    <m/>
    <m/>
    <m/>
    <m/>
    <s v="X"/>
    <m/>
  </r>
  <r>
    <s v="Endoscopía y PCM"/>
    <s v="Hospital Penco Lirquen"/>
    <s v="Odontología"/>
    <s v="Bajo costo"/>
    <s v="Motor de implantes odontológicos"/>
    <s v="W&amp;H"/>
    <s v="Implantmed"/>
    <n v="17202"/>
    <s v="HPL29894"/>
    <n v="2021"/>
    <n v="8"/>
    <n v="5"/>
    <s v="Propio"/>
    <s v="Bueno "/>
    <x v="1"/>
    <s v="NO"/>
    <s v="NO APLICA"/>
    <s v="SI"/>
    <x v="2"/>
    <s v="EXTERNO"/>
    <s v="DENTAL LAVAL"/>
    <s v="COLDAS 2022"/>
    <m/>
    <n v="2"/>
    <m/>
    <m/>
    <m/>
    <m/>
    <m/>
    <s v="ꓣ"/>
    <s v="X"/>
    <m/>
    <m/>
    <m/>
    <m/>
    <s v="X"/>
  </r>
  <r>
    <s v="Endoscopia y PCM "/>
    <s v="Hospital Penco Lirquen"/>
    <s v="Monitoreo"/>
    <s v="Alto Costo"/>
    <s v="Monitor ECG mediana complejidad"/>
    <s v="Progetti"/>
    <s v="TGS50"/>
    <s v="Q068E034129"/>
    <s v="HPL30277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Endoscopia y PCM - 13"/>
    <s v="Hospital Penco Lirquen"/>
    <s v="Apoyo Quirúrgico"/>
    <s v="Mediano Costo "/>
    <s v="Electrobisturí"/>
    <s v="Erbe "/>
    <s v="VIO 200S"/>
    <n v="11523751"/>
    <s v="HPL29958"/>
    <n v="2022"/>
    <n v="8"/>
    <n v="6"/>
    <s v="Propio"/>
    <s v="Bueno "/>
    <x v="1"/>
    <s v="SI"/>
    <n v="2023"/>
    <s v="SI"/>
    <x v="2"/>
    <s v="EXTERNO"/>
    <s v="ZEPEDA"/>
    <s v="POR LICITAR"/>
    <n v="226100"/>
    <n v="2"/>
    <m/>
    <m/>
    <s v="√"/>
    <m/>
    <m/>
    <m/>
    <m/>
    <m/>
    <s v="X"/>
    <m/>
    <m/>
    <m/>
  </r>
  <r>
    <s v="Endoscopia y PCM - 13A"/>
    <s v="Hospital Penco Lirquen"/>
    <s v="Apoyo Quirúrgico"/>
    <s v="Mediano Costo "/>
    <s v="Electrobisturí módulo argón (adosado a VIO 200S)"/>
    <s v="Erbe "/>
    <s v="APC 2"/>
    <n v="11523577"/>
    <s v="HPL29957"/>
    <n v="2022"/>
    <n v="8"/>
    <n v="6"/>
    <s v="Propio"/>
    <s v="Bueno "/>
    <x v="2"/>
    <s v="SI"/>
    <n v="2023"/>
    <s v="NO"/>
    <x v="1"/>
    <s v="EXTERNO"/>
    <s v="ZEPEDA"/>
    <s v="POR LICITAR"/>
    <s v="no aplica"/>
    <m/>
    <m/>
    <m/>
    <m/>
    <m/>
    <m/>
    <m/>
    <m/>
    <m/>
    <m/>
    <m/>
    <m/>
    <m/>
  </r>
  <r>
    <s v="Endoscopia y PCM - 13A"/>
    <s v="Hospital Penco Lirquen"/>
    <s v="Apoyo Quirúrgico"/>
    <s v="Mediano Costo "/>
    <s v="Lámpara de procedimientos"/>
    <s v="Drager"/>
    <s v="Polaris 50"/>
    <s v="3314H000261791"/>
    <s v="HPL30184"/>
    <n v="2020"/>
    <n v="10"/>
    <n v="6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Endoscopia y PCM - 13A"/>
    <s v="Hospital Penco Lirquen"/>
    <s v="Odontología"/>
    <s v="Bajo costo"/>
    <s v="Amalgamador"/>
    <s v="Smaco"/>
    <s v="SYG-300"/>
    <s v="Y3006L0026"/>
    <s v="HPL30406"/>
    <n v="2019"/>
    <n v="8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ndoscopia y PCM - 13A"/>
    <s v="Hospital Penco Lirquen"/>
    <s v="Apoyo Quirúrgico"/>
    <s v="Alto Costo"/>
    <s v="Mesa quirúrgica"/>
    <s v="Maquet"/>
    <s v="1131.12BO"/>
    <n v="1848"/>
    <s v="HPL29868"/>
    <n v="2016"/>
    <n v="10"/>
    <n v="2"/>
    <s v="Propio"/>
    <s v="Bueno "/>
    <x v="1"/>
    <s v="NO"/>
    <s v="NO APLICA"/>
    <s v="SI"/>
    <x v="0"/>
    <s v="CONTRATO"/>
    <s v="MercSoluciones"/>
    <s v="1057540-70-LE23"/>
    <n v="357000"/>
    <n v="2"/>
    <m/>
    <m/>
    <s v="√"/>
    <m/>
    <m/>
    <m/>
    <m/>
    <s v="X"/>
    <m/>
    <m/>
    <m/>
    <m/>
  </r>
  <r>
    <s v="Endoscopia y PCM - 13"/>
    <s v="Hospital Penco Lirquen"/>
    <s v="Apoyo Quirúrgico"/>
    <s v="Mediano Costo "/>
    <s v="Electrobisturí"/>
    <s v="Covidien Valleylab"/>
    <s v="Force 2-8PCH"/>
    <s v="F2G41573T"/>
    <s v="HPL30248"/>
    <n v="2014"/>
    <n v="8"/>
    <n v="-2"/>
    <s v="Propio"/>
    <s v="Bueno "/>
    <x v="1"/>
    <s v="NO"/>
    <s v="NO APLICA"/>
    <s v="SI"/>
    <x v="0"/>
    <s v="CONTRATO"/>
    <s v="CODESUR"/>
    <s v="1057540-110-LE23"/>
    <n v="170000"/>
    <n v="2"/>
    <m/>
    <m/>
    <s v="√"/>
    <m/>
    <m/>
    <m/>
    <m/>
    <m/>
    <s v="X"/>
    <m/>
    <m/>
    <m/>
  </r>
  <r>
    <s v="Endoscopia y PCM (urgencia)"/>
    <s v="Hospital Penco Lirquen"/>
    <s v="Monitoreo"/>
    <s v="Mediano Costo "/>
    <s v="Monitor de signos vitales"/>
    <s v="Mindray"/>
    <s v="DPM3"/>
    <s v="DQ-18000395"/>
    <s v="HPL30238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Pabellón"/>
    <s v="Hospital Penco Lirquen"/>
    <s v="Monitoreo"/>
    <s v="Mediano Costo "/>
    <s v="Monitor ECG Baja Complejidad"/>
    <s v="Philips"/>
    <s v="Efficia CM100"/>
    <s v="CN12099172"/>
    <m/>
    <n v="2023"/>
    <n v="8"/>
    <n v="7"/>
    <s v="Propio"/>
    <s v="Bueno "/>
    <x v="0"/>
    <s v="SI"/>
    <d v="2024-12-01T00:00:00"/>
    <s v="SI"/>
    <x v="2"/>
    <s v="EXTERNO"/>
    <s v="Andover"/>
    <s v="COLDAS"/>
    <m/>
    <n v="1"/>
    <m/>
    <m/>
    <m/>
    <m/>
    <m/>
    <m/>
    <m/>
    <m/>
    <m/>
    <m/>
    <m/>
    <s v="X"/>
  </r>
  <r>
    <s v="Especialidades - 15"/>
    <s v="Hospital Penco Lirquen"/>
    <s v="Apoyo Terapéutico"/>
    <s v="Mediano Costo "/>
    <s v="Bomba de infusión continua"/>
    <s v="Fresenius Kabi"/>
    <s v="Volumat MC Agilia"/>
    <n v="22116832"/>
    <s v="HPL28415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Especialidades - 15B"/>
    <s v="Hospital Penco Lirquen"/>
    <s v="Apoyo Diagnóstico"/>
    <s v="Alto Costo"/>
    <s v="Holter de arritmia"/>
    <s v="Schiller"/>
    <s v="Medilog AR"/>
    <n v="3060015926"/>
    <m/>
    <n v="2023"/>
    <n v="8"/>
    <n v="7"/>
    <s v="Propio"/>
    <s v="Bueno "/>
    <x v="1"/>
    <s v="SI"/>
    <d v="2025-10-11T00:00:00"/>
    <s v="SI"/>
    <x v="2"/>
    <s v="EXTERNO"/>
    <s v="Cardiomedics"/>
    <s v="1057540-76-LE23"/>
    <m/>
    <n v="1"/>
    <m/>
    <m/>
    <m/>
    <m/>
    <m/>
    <m/>
    <m/>
    <m/>
    <s v="X"/>
    <m/>
    <m/>
    <m/>
  </r>
  <r>
    <s v="Especialidades - 15B"/>
    <s v="Hospital Penco Lirquen"/>
    <s v="Apoyo Diagnóstico"/>
    <s v="Alto Costo"/>
    <s v="Holter de arritmia"/>
    <s v="Schiller"/>
    <s v="Medilog AR"/>
    <n v="3060015953"/>
    <m/>
    <n v="2023"/>
    <n v="8"/>
    <n v="7"/>
    <s v="Propio"/>
    <s v="Bueno "/>
    <x v="1"/>
    <s v="SI"/>
    <d v="2025-10-11T00:00:00"/>
    <s v="SI"/>
    <x v="2"/>
    <s v="EXTERNO"/>
    <s v="Cardiomedics"/>
    <s v="1057540-76-LE23"/>
    <m/>
    <n v="1"/>
    <m/>
    <m/>
    <m/>
    <m/>
    <m/>
    <m/>
    <m/>
    <m/>
    <s v="X"/>
    <m/>
    <m/>
    <m/>
  </r>
  <r>
    <s v="Especialidades - 3A"/>
    <s v="Hospital Penco Lirquen"/>
    <s v="Apoyo Terapéutico"/>
    <s v="Mediano Costo "/>
    <s v="Bomba de infusión continua"/>
    <s v="Fresenius Kabi"/>
    <s v="Volumat MC Agilia"/>
    <n v="22116885"/>
    <s v="HPL28431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Especialidades 1er piso"/>
    <s v="Hospital Penco Lirquen"/>
    <s v="Apoyo Diagnóstico"/>
    <s v="Mediano Costo "/>
    <s v="Electrocardiografo"/>
    <s v="CareWell"/>
    <s v="ECG -1112"/>
    <s v="112L09500256E13"/>
    <m/>
    <n v="2009"/>
    <n v="8"/>
    <n v="-7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m/>
    <m/>
    <s v="X"/>
  </r>
  <r>
    <s v="Especialidades cuidados paliativos"/>
    <s v="Hospital Penco Lirquen"/>
    <s v="Mobiliario"/>
    <s v="Clínico"/>
    <s v="Camilla de examen"/>
    <s v="Malvestio"/>
    <n v="350100"/>
    <n v="20019515"/>
    <s v="HPL30018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7"/>
    <s v="HPL4993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9"/>
    <s v="HPL503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29"/>
    <s v="HPL5047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32"/>
    <s v="HPL5003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Apoyo Diagnóstico"/>
    <s v="Bajo costo"/>
    <s v="Balanza con tallímetro"/>
    <s v="Seca"/>
    <n v="700"/>
    <n v="5700125168335"/>
    <s v="HPL12077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Apoyo Diagnóstico"/>
    <s v="Bajo costo"/>
    <s v="Oto-oftalmoscopio de pared"/>
    <s v="Ezer"/>
    <s v="S/N"/>
    <s v="S/N"/>
    <s v="HPL30334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Monitoreo"/>
    <s v="Mediano Costo "/>
    <s v="Monitor de signos vitales"/>
    <s v="General Electric"/>
    <s v="V100"/>
    <s v="SH617070056SA"/>
    <s v="HPL5044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cuidados paliativos "/>
    <s v="Hospital Penco Lirquen"/>
    <s v="Monitoreo"/>
    <s v="Mediano Costo "/>
    <s v="Monitor de signos vitales"/>
    <s v="General Electric"/>
    <s v="V100"/>
    <s v="SH617070057SA"/>
    <s v="HPL5046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1"/>
    <m/>
    <n v="2022"/>
    <n v="8"/>
    <n v="6"/>
    <s v="Propio"/>
    <s v="Bueno "/>
    <x v="2"/>
    <m/>
    <m/>
    <s v="NO"/>
    <x v="1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2"/>
    <m/>
    <n v="2022"/>
    <n v="8"/>
    <n v="6"/>
    <s v="Propio"/>
    <s v="Bueno "/>
    <x v="2"/>
    <m/>
    <m/>
    <s v="NO"/>
    <x v="1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75068"/>
    <m/>
    <n v="2022"/>
    <n v="8"/>
    <n v="6"/>
    <s v="Propio"/>
    <s v="Bueno "/>
    <x v="2"/>
    <m/>
    <m/>
    <s v="NO"/>
    <x v="1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m/>
    <m/>
    <n v="2022"/>
    <n v="8"/>
    <n v="6"/>
    <s v="Propio"/>
    <s v="Bueno "/>
    <x v="2"/>
    <m/>
    <m/>
    <s v="NO"/>
    <x v="1"/>
    <s v="EXTERNO"/>
    <s v="MedTec"/>
    <m/>
    <m/>
    <m/>
    <m/>
    <m/>
    <m/>
    <m/>
    <m/>
    <m/>
    <m/>
    <m/>
    <m/>
    <m/>
    <m/>
    <m/>
  </r>
  <r>
    <s v="Especialidades cuidados paliativos -15"/>
    <s v="Hospital Penco Lirquen"/>
    <s v="Apoyo Terapéutico"/>
    <s v="Mediano Costo "/>
    <s v="Bomba de infusión continua"/>
    <s v="Fresenius Kabi"/>
    <s v="Volumat MC Agilia"/>
    <n v="22170032"/>
    <s v="HPL28416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Especialidades cuidados paliativos"/>
    <s v="Hospital Penco Lirquen"/>
    <s v="Apoyo Terapéutico"/>
    <m/>
    <s v="Bioimpedanciómetro"/>
    <s v="Biospace"/>
    <s v="Inbody 120"/>
    <s v="F323001047"/>
    <m/>
    <n v="2024"/>
    <n v="8"/>
    <n v="8"/>
    <s v="Propio"/>
    <s v="Bueno "/>
    <x v="2"/>
    <s v="SI"/>
    <n v="46143"/>
    <s v="SI"/>
    <x v="2"/>
    <s v="EXTERNO"/>
    <s v="GLOBALMED"/>
    <s v="1057931-5-L124"/>
    <m/>
    <n v="1"/>
    <m/>
    <m/>
    <m/>
    <m/>
    <m/>
    <m/>
    <m/>
    <m/>
    <m/>
    <m/>
    <s v="X"/>
    <m/>
  </r>
  <r>
    <s v="Especialidades cuidados paliativos"/>
    <s v="Hospital Penco Lirquen"/>
    <s v="Apoyo Terapéutico"/>
    <m/>
    <s v="Balanza silla de ruedas"/>
    <s v="SECA"/>
    <n v="952"/>
    <n v="10000000832975"/>
    <m/>
    <n v="2024"/>
    <n v="8"/>
    <n v="8"/>
    <s v="Propio"/>
    <s v="Bueno "/>
    <x v="2"/>
    <s v="SI"/>
    <d v="2026-05-01T00:00:00"/>
    <s v="SI"/>
    <x v="2"/>
    <s v="EXTERNO"/>
    <s v="DIPROLAB"/>
    <s v="1057931-4-LE24"/>
    <m/>
    <n v="1"/>
    <m/>
    <m/>
    <m/>
    <m/>
    <m/>
    <m/>
    <m/>
    <m/>
    <m/>
    <m/>
    <s v="X"/>
    <m/>
  </r>
  <r>
    <s v="Especialidades cuidados paliativos"/>
    <s v="Hospital Penco Lirquen"/>
    <s v="Apoyo Terapéutico"/>
    <m/>
    <s v="Monitor Signos Vitales"/>
    <s v="Nothern Meditec Limited"/>
    <s v="Aquarius"/>
    <s v="JHC01B508004"/>
    <m/>
    <n v="2024"/>
    <n v="8"/>
    <n v="8"/>
    <s v="Propio"/>
    <s v="Bueno "/>
    <x v="0"/>
    <s v="SI"/>
    <d v="2026-06-01T00:00:00"/>
    <s v="SI"/>
    <x v="2"/>
    <s v="EXTERNO"/>
    <s v="BALDER"/>
    <s v="1057931-4-LE24"/>
    <m/>
    <n v="1"/>
    <m/>
    <m/>
    <m/>
    <m/>
    <m/>
    <m/>
    <m/>
    <m/>
    <m/>
    <m/>
    <s v="X"/>
    <m/>
  </r>
  <r>
    <s v="Especialidades Dental"/>
    <s v="Hospital Penco Lirquen"/>
    <s v="Odontología"/>
    <s v="Bajo costo"/>
    <s v="Horno Guttafusion"/>
    <s v="VDW"/>
    <s v="Guttafusion"/>
    <n v="15230031"/>
    <s v="HPL29963"/>
    <n v="2016"/>
    <n v="8"/>
    <n v="0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ocalizador Apical"/>
    <s v="MORITA"/>
    <s v="ROOT ZX MINI"/>
    <s v="K314K016738"/>
    <m/>
    <n v="2023"/>
    <n v="8"/>
    <n v="7"/>
    <s v="Propio"/>
    <s v="Bueno "/>
    <x v="2"/>
    <s v="SI"/>
    <d v="2025-11-08T00:00:00"/>
    <s v="NO"/>
    <x v="1"/>
    <s v="EXTERNO"/>
    <s v="BUHOS"/>
    <s v="COLDAS 2023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15885"/>
    <s v="HPL18746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1"/>
    <s v="HPL19002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8"/>
    <s v="HPL18796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04"/>
    <s v="HPL18795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15"/>
    <s v="HPL19020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8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9"/>
    <n v="2015"/>
    <n v="5"/>
    <n v="-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Monitoreo"/>
    <s v="Mediano Costo "/>
    <s v="Monitor de signos vitales"/>
    <s v="Iris"/>
    <s v="PMS8210A"/>
    <n v="1006012"/>
    <s v="HPL18715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Dental - 12"/>
    <s v="Hospital Penco Lirquen"/>
    <s v="Imagenología"/>
    <s v="Alto Costo"/>
    <s v="RX dental"/>
    <s v="Belmont"/>
    <s v="Bel Ray 097 II"/>
    <s v="515L0090"/>
    <s v="HPL18789"/>
    <n v="2017"/>
    <n v="10"/>
    <n v="3"/>
    <s v="Propio"/>
    <s v="Bueno "/>
    <x v="3"/>
    <s v="NO"/>
    <s v="NO APLICA"/>
    <s v="SI"/>
    <x v="0"/>
    <s v="CONTRATO"/>
    <s v="MercSoluciones"/>
    <s v="1057540-49-LE23"/>
    <n v="333200"/>
    <n v="2"/>
    <m/>
    <m/>
    <m/>
    <s v="√"/>
    <m/>
    <m/>
    <m/>
    <m/>
    <s v="X"/>
    <m/>
    <m/>
    <m/>
  </r>
  <r>
    <s v="Especialidades Dental - 12"/>
    <s v="Hospital Penco Lirquen"/>
    <s v="Odontología"/>
    <s v="Bajo costo"/>
    <s v="Motor endodóntico"/>
    <s v="JERRY"/>
    <s v="Endo Smart II"/>
    <s v="ZA4B510A014"/>
    <m/>
    <n v="2022"/>
    <n v="8"/>
    <n v="6"/>
    <s v="Propio"/>
    <s v="Bueno "/>
    <x v="2"/>
    <s v="NO"/>
    <n v="2023"/>
    <s v="NO"/>
    <x v="1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Equipo óxido nitroso"/>
    <s v="Accutron"/>
    <n v="26400"/>
    <n v="42480"/>
    <s v="HPL29906"/>
    <n v="2021"/>
    <n v="8"/>
    <n v="5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Estampadora"/>
    <s v="Bioart"/>
    <s v="Plast Vac P7"/>
    <n v="73492"/>
    <s v="HPL29907"/>
    <n v="2021"/>
    <n v="8"/>
    <n v="5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Motor de sobremesa"/>
    <s v="NSK"/>
    <s v="Volvere i7"/>
    <n v="109592"/>
    <s v="HPL29910"/>
    <n v="2021"/>
    <n v="8"/>
    <n v="5"/>
    <s v="Propio"/>
    <s v="Bueno "/>
    <x v="2"/>
    <s v="NO"/>
    <s v="NO APLICA"/>
    <s v="NO"/>
    <x v="1"/>
    <s v="EXTERNO"/>
    <s v="ESKA DENTAL"/>
    <s v=" 1057540-852-AG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Escaner Intraoral"/>
    <s v="Straumann"/>
    <s v="Virtuo Vivo Cart"/>
    <s v="DWIOC-10-001696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Escaner de Mesa"/>
    <s v="Straumann"/>
    <s v="Serie 7"/>
    <s v="7S04593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Mediano Costo"/>
    <s v="Sistema de Lavado y Secado"/>
    <s v="Sprintray"/>
    <s v="Pro Wash/Dry"/>
    <s v="074685FL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Impresora 3D"/>
    <s v="Sprintray"/>
    <s v="Pro95"/>
    <s v="J005X6V4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Mediano Costo"/>
    <s v="Horno Post-Curado"/>
    <s v="Sprintray"/>
    <s v="Procure"/>
    <s v="N2175F6T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Horno para Glaceado"/>
    <s v="Straumann"/>
    <s v="VITA Smart Fire"/>
    <n v="2920220822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Horno para Sinterizado de Zirconio"/>
    <s v="Straumann"/>
    <s v="Cares Therm III"/>
    <s v="AAC90887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Fresadora de Aire"/>
    <s v="Straumann"/>
    <s v="Serie M"/>
    <s v="AAC87093"/>
    <s v=" "/>
    <n v="2022"/>
    <n v="8"/>
    <n v="6"/>
    <s v="Propio"/>
    <s v="Bueno "/>
    <x v="2"/>
    <s v="NO"/>
    <n v="2023"/>
    <s v="NO"/>
    <x v="1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8839013"/>
    <s v="HPL30051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8839016"/>
    <s v="HPL30052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4"/>
    <s v="HPL30053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5"/>
    <s v="HPL30054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0"/>
    <s v="HPL19021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2"/>
    <s v="HPL18710"/>
    <n v="2016"/>
    <n v="8"/>
    <n v="0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uctor Extraoral"/>
    <s v="Eighteeth"/>
    <s v="VacStation"/>
    <s v="EV1C0605A379"/>
    <s v="HPL30245"/>
    <n v="2020"/>
    <n v="8"/>
    <n v="4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uctor Extraoral"/>
    <s v="Eighteeth"/>
    <s v="VacStation"/>
    <s v="EV1C0605A381"/>
    <s v="HPL30246"/>
    <n v="2020"/>
    <n v="8"/>
    <n v="4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pistola)"/>
    <s v="Woodpecker"/>
    <s v="FI-G"/>
    <s v="FG2130769L"/>
    <s v="HPL30249"/>
    <n v="2021"/>
    <n v="8"/>
    <n v="5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lapicero)"/>
    <s v="Woodpecker"/>
    <s v="FI-P"/>
    <s v="FP20B0174L"/>
    <s v="HPL30251"/>
    <n v="2021"/>
    <n v="8"/>
    <n v="5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Máquina de anestesia computarizada"/>
    <s v="Dental HI TEC"/>
    <s v="Sleeper One 5"/>
    <s v="S5B00552"/>
    <s v="HPL30363"/>
    <n v="2021"/>
    <n v="8"/>
    <n v="5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Amalgamador"/>
    <s v="Smaco"/>
    <s v="SYG-300"/>
    <s v="Y3006L0144"/>
    <s v="HPL19869"/>
    <n v="2019"/>
    <n v="8"/>
    <n v="3"/>
    <s v="Propio"/>
    <s v="Bueno "/>
    <x v="2"/>
    <s v="NO"/>
    <s v="NO APLICA"/>
    <s v="NO"/>
    <x v="1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Unidad dental"/>
    <s v="Zurik"/>
    <s v="N1"/>
    <n v="1811401"/>
    <s v="HPL19007"/>
    <n v="2019"/>
    <n v="8"/>
    <n v="3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Dabi Atlante"/>
    <s v="Croma SF"/>
    <s v="K000911"/>
    <s v="HPL18733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Dabi Atlante"/>
    <s v="Croma SF"/>
    <s v="K000915"/>
    <s v="HPL18752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Dabi Atlante"/>
    <s v="Croma plus"/>
    <s v="k026826"/>
    <s v="HPL18708"/>
    <n v="2015"/>
    <n v="8"/>
    <n v="-1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7/VD16H0029"/>
    <s v="HPL18802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8/VD16F0030"/>
    <s v="HPL18849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√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W15D0124/VD16H0017"/>
    <s v=" HPL18997 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s v=" "/>
    <s v="√"/>
    <s v=" "/>
    <s v=" "/>
    <s v=" "/>
    <s v="√"/>
    <s v=" "/>
    <s v=" "/>
    <s v=" "/>
    <s v="X"/>
    <s v=" "/>
    <s v=" "/>
  </r>
  <r>
    <s v="Especialidades Dental - 12"/>
    <s v="Hospital Penco Lirquen"/>
    <s v="Odontología"/>
    <s v="Alto  costo"/>
    <s v="TAC dental"/>
    <s v="Morita"/>
    <s v="Veraview X800 F150"/>
    <s v="X821T000392"/>
    <m/>
    <n v="2023"/>
    <n v="8"/>
    <n v="7"/>
    <s v="Propio"/>
    <s v="Bueno "/>
    <x v="3"/>
    <s v="SI"/>
    <d v="2026-08-01T00:00:00"/>
    <s v="SI"/>
    <x v="2"/>
    <s v="EXTERNO"/>
    <s v="BUHOS"/>
    <s v="1057931-5-LP23"/>
    <m/>
    <n v="2"/>
    <m/>
    <m/>
    <m/>
    <s v="√"/>
    <m/>
    <m/>
    <m/>
    <m/>
    <m/>
    <s v="X"/>
    <m/>
    <m/>
  </r>
  <r>
    <s v="Especialidades Ginecologica "/>
    <s v="Hospital Penco Lirquen"/>
    <s v="Mobiliario"/>
    <s v="Clínico"/>
    <s v="Camilla de examen"/>
    <s v="Malvestio"/>
    <n v="350350"/>
    <n v="20009693"/>
    <s v="HPL12343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4"/>
    <s v="HPL1228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7"/>
    <s v="HPL1236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0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1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Mimsal "/>
    <s v="Luxi Flex"/>
    <s v="S/N"/>
    <s v="HPL30302"/>
    <n v="2021"/>
    <n v="10"/>
    <n v="7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N/A"/>
    <s v="S/N"/>
    <s v="S/N"/>
    <s v="HPL30303"/>
    <n v="2021"/>
    <n v="10"/>
    <n v="7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Ginecologica - (8 B)"/>
    <s v="Hospital Penco Lirquen"/>
    <s v="Imagenología"/>
    <s v="Alto Costo"/>
    <s v="Ecógrafo"/>
    <s v="General Electric"/>
    <s v="Voluson S10"/>
    <s v="VSX802441"/>
    <s v="HPL30394"/>
    <n v="2019"/>
    <n v="8"/>
    <n v="3"/>
    <s v="Propio"/>
    <s v="Bueno "/>
    <x v="3"/>
    <s v="NO"/>
    <s v="NO APLICA"/>
    <s v="SI"/>
    <x v="0"/>
    <s v="CONTRATO"/>
    <s v="HOSER"/>
    <s v="1057540-17-LE23"/>
    <n v="1666000"/>
    <n v="2"/>
    <m/>
    <s v="√"/>
    <m/>
    <m/>
    <m/>
    <m/>
    <m/>
    <s v="X"/>
    <m/>
    <m/>
    <m/>
    <m/>
  </r>
  <r>
    <s v="Especialidades Ginecologica - 2"/>
    <s v="Hospital Penco Lirquen"/>
    <s v="Imagenología"/>
    <s v="Alto Costo"/>
    <s v="Ecógrafo"/>
    <s v="Samsung"/>
    <s v="Ugeo H60NLAB/WR"/>
    <s v="S0TAM3HF700007M"/>
    <s v="HPL12285"/>
    <n v="2014"/>
    <n v="8"/>
    <n v="-2"/>
    <s v="Propio"/>
    <s v="Bueno "/>
    <x v="3"/>
    <s v="NO"/>
    <s v="NO APLICA"/>
    <s v="SI"/>
    <x v="0"/>
    <s v="CONTRATO"/>
    <s v="MercSoluciones"/>
    <s v="1057540-49-LE23"/>
    <n v="571200"/>
    <n v="2"/>
    <m/>
    <s v="√"/>
    <m/>
    <m/>
    <m/>
    <m/>
    <m/>
    <s v="X"/>
    <m/>
    <m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2"/>
    <s v="HPL30190"/>
    <n v="2017"/>
    <n v="5"/>
    <n v="-2"/>
    <s v="Propio"/>
    <s v="Bueno "/>
    <x v="1"/>
    <s v="NO"/>
    <s v="NO APLICA"/>
    <s v="SI"/>
    <x v="0"/>
    <s v="CONTRATO"/>
    <s v="CODESUR"/>
    <s v="1057540-110-LE23"/>
    <n v="30000"/>
    <n v="1"/>
    <m/>
    <m/>
    <m/>
    <m/>
    <m/>
    <m/>
    <m/>
    <m/>
    <m/>
    <s v="X"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3"/>
    <s v="HPL30191"/>
    <n v="2017"/>
    <n v="5"/>
    <n v="-2"/>
    <s v="Propio"/>
    <s v="Bueno "/>
    <x v="1"/>
    <s v="NO"/>
    <s v="NO APLICA"/>
    <s v="SI"/>
    <x v="0"/>
    <s v="CONTRATO"/>
    <s v="CODESUR"/>
    <s v="1057540-110-LE23"/>
    <n v="30000"/>
    <n v="1"/>
    <m/>
    <m/>
    <m/>
    <m/>
    <m/>
    <m/>
    <m/>
    <m/>
    <m/>
    <s v="X"/>
    <m/>
    <m/>
  </r>
  <r>
    <s v="Especialidades Medico Quirurgico"/>
    <s v="Hospital Penco Lirquen"/>
    <s v="Apoyo Diagnóstico"/>
    <s v="Bajo costo"/>
    <s v="Balanza con tallímetro"/>
    <s v="Seca"/>
    <n v="700"/>
    <n v="3453"/>
    <s v="HPL12135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4"/>
    <s v="HPL1203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8"/>
    <s v="HPL12074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6"/>
    <s v="HPL12395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8"/>
    <s v="HPL12105"/>
    <n v="2015"/>
    <n v="8"/>
    <n v="-1"/>
    <s v="Propio"/>
    <s v="MALO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1"/>
    <s v="HPL1197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4"/>
    <s v="HPL12124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8"/>
    <s v="HPL1214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9"/>
    <s v="HPL1216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0"/>
    <s v="HLP1201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1"/>
    <s v="HPL1204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3"/>
    <s v="HPL12084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D 300"/>
    <s v="PD0000013O111535"/>
    <s v="HPL12134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rodoc PD 300"/>
    <s v="PD0000013O111536"/>
    <s v="HPL12080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5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6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560"/>
    <s v="S/N"/>
    <s v="HPL30304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600"/>
    <s v="S/N"/>
    <s v="HPL30305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Oto oftalmoscopio de pared"/>
    <s v="Ezer"/>
    <s v="varios"/>
    <s v="S/N"/>
    <s v="HPL30335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Oto oftalmoscopio de pared"/>
    <s v="Ezer"/>
    <s v="varios"/>
    <s v="S/N"/>
    <s v="HPL30336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nitoreo"/>
    <s v="Mediano Costo "/>
    <s v="Monitor de signos vitales"/>
    <s v="General Electric"/>
    <s v="V100"/>
    <s v="SH617070055SA"/>
    <s v="HPL12145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Medico Quirurgico - 15"/>
    <s v="Hospital Penco Lirquen"/>
    <s v="Apoyo Quirúrgico"/>
    <s v="Mediano Costo "/>
    <s v="Electrobisturí"/>
    <s v="Covidien Valleylab"/>
    <s v="Force FX-8CS"/>
    <s v="S5H18791AX"/>
    <s v="HPL19433"/>
    <n v="2016"/>
    <n v="8"/>
    <n v="0"/>
    <s v="Propio"/>
    <s v="Bueno "/>
    <x v="1"/>
    <s v="NO"/>
    <s v="NO APLICA"/>
    <s v="SI"/>
    <x v="0"/>
    <s v="CONTRATO"/>
    <s v="CODESUR"/>
    <s v="1057540-110-LE23"/>
    <n v="170000"/>
    <n v="2"/>
    <m/>
    <m/>
    <s v="√"/>
    <m/>
    <m/>
    <m/>
    <m/>
    <m/>
    <s v="X"/>
    <m/>
    <m/>
    <m/>
  </r>
  <r>
    <s v="Especialidades Medico Quirurgico - 15A"/>
    <s v="Hospital Penco Lirquen"/>
    <s v="Apoyo Diagnóstico"/>
    <s v="Mediano Costo "/>
    <s v="Electrocardiografo"/>
    <s v="General Electric"/>
    <s v="MAC 800"/>
    <s v="SJ417020047WA"/>
    <s v="HPL12171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Especialidades Neurologia"/>
    <s v="Hospital Penco Lirquen"/>
    <s v="Monitoreo"/>
    <s v="Mediano Costo "/>
    <s v="Monitor de signos vitales"/>
    <s v="General Electric"/>
    <s v="V100"/>
    <s v="SH617070060SA"/>
    <s v="HPL18642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Neurologia "/>
    <s v="Hospital Penco Lirquen"/>
    <s v="Apoyo Terapéutico"/>
    <s v="Bajo costo"/>
    <s v="Jeringa de calibración de volumen fijo 3 litros"/>
    <s v="MGC diagnostics"/>
    <n v="192808"/>
    <n v="118460"/>
    <s v="HPL29919"/>
    <n v="2015"/>
    <n v="8"/>
    <n v="-1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Especialidades Neurologia "/>
    <s v="Hospital Penco Lirquen"/>
    <s v="Mobiliario"/>
    <s v="Clínico"/>
    <s v="Camilla de examen"/>
    <s v="Malvestio"/>
    <n v="320810"/>
    <n v="20019381"/>
    <s v="HPL30017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Neurologia "/>
    <s v="Hospital Penco Lirquen"/>
    <s v="Apoyo Diagnóstico"/>
    <s v="Bajo costo"/>
    <s v="Lampara de examen"/>
    <s v="Heine"/>
    <s v="EL3 LED"/>
    <n v="1100405363"/>
    <s v="HPL18647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Bajo costo"/>
    <s v="Oto-oftalmoscopio de pared"/>
    <s v="Riester"/>
    <s v="Ri-scope L"/>
    <s v="varios"/>
    <s v="HPL30392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Mediano Costo "/>
    <s v="Espirómetro portátil"/>
    <s v="MGC diagnostics"/>
    <s v="CPF-S7D"/>
    <n v="220004754"/>
    <s v="HPL30047"/>
    <n v="2017"/>
    <n v="8"/>
    <n v="1"/>
    <s v="Propio"/>
    <s v="Bueno "/>
    <x v="1"/>
    <s v="NO"/>
    <s v="NO APLICA"/>
    <s v="SI"/>
    <x v="2"/>
    <s v="EXTERNO"/>
    <m/>
    <m/>
    <m/>
    <n v="1"/>
    <m/>
    <m/>
    <m/>
    <m/>
    <m/>
    <m/>
    <m/>
    <m/>
    <m/>
    <s v="X"/>
    <m/>
    <m/>
  </r>
  <r>
    <s v="Especialidades Neurologia - 15"/>
    <s v="Hospital Penco Lirquen"/>
    <s v="Apoyo Diagnóstico"/>
    <s v="Alto Costo"/>
    <s v="Electroencefalógrafo"/>
    <s v="Natus"/>
    <s v="Xltek EE G32U"/>
    <s v="10399J1896"/>
    <s v="HPL18643"/>
    <n v="2017"/>
    <n v="8"/>
    <n v="1"/>
    <s v="Propio"/>
    <s v="Bueno "/>
    <x v="1"/>
    <s v="NO"/>
    <s v="NO APLICA"/>
    <s v="SI"/>
    <x v="2"/>
    <s v="CONTRATO"/>
    <s v="NEWLAB - L1"/>
    <s v="1057540-78-LE23"/>
    <n v="297500"/>
    <n v="1"/>
    <m/>
    <m/>
    <s v="√"/>
    <m/>
    <m/>
    <m/>
    <m/>
    <m/>
    <m/>
    <m/>
    <m/>
    <m/>
  </r>
  <r>
    <s v="Especialidades oftalmologia"/>
    <s v="Hospital Penco Lirquen"/>
    <s v="Monitoreo"/>
    <s v="Mediano Costo "/>
    <s v="Monitor de signos vitales"/>
    <s v="General Electric"/>
    <s v="V100"/>
    <s v="SH617070208SA"/>
    <s v="HPL18562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oftalmologia "/>
    <s v="Hospital Penco Lirquen"/>
    <s v="Apoyo Diagnóstico"/>
    <s v="Mediano Costo "/>
    <s v="Proyector de optotipos"/>
    <s v="Topwn"/>
    <s v="ACP8"/>
    <n v="157184"/>
    <s v="HPL29922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Nidek"/>
    <s v="CP-770"/>
    <n v="167962"/>
    <s v="HPL29923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650612"/>
    <s v="HPL29939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832911"/>
    <s v="HPL29940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216679"/>
    <s v="HPL2994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0"/>
    <s v="HPL29947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5"/>
    <s v="HPL29948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Mobiliario"/>
    <s v="Clínico"/>
    <s v="Camilla de examen"/>
    <s v="Malvestio"/>
    <n v="350100"/>
    <n v="20009620"/>
    <s v="HPL18672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569379"/>
    <s v="HPL30058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100580719"/>
    <s v="HPL30059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374"/>
    <s v="HPL30060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423"/>
    <s v="HPL30061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Welchallyn"/>
    <n v="11730"/>
    <s v="S/N"/>
    <s v="HPL3033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Retinoscopio"/>
    <s v="Welchallyn"/>
    <n v="18240"/>
    <s v="S/N"/>
    <s v="HPL30351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Lensómetro"/>
    <s v="Topcon"/>
    <s v="CL-200"/>
    <n v="397156"/>
    <s v="HPL18592"/>
    <n v="2016"/>
    <n v="8"/>
    <n v="0"/>
    <s v="Propio"/>
    <s v="Bueno "/>
    <x v="1"/>
    <s v="NO"/>
    <s v="NO APLICA"/>
    <s v="SI"/>
    <x v="0"/>
    <s v="CONTRATO"/>
    <s v="NEWLAB"/>
    <s v="PENDIENTE"/>
    <n v="178500"/>
    <n v="1"/>
    <m/>
    <m/>
    <m/>
    <s v="ꓣ"/>
    <m/>
    <m/>
    <m/>
    <m/>
    <m/>
    <m/>
    <m/>
    <m/>
  </r>
  <r>
    <s v="Especialidades oftalmologia "/>
    <s v="Hospital Penco Lirquen"/>
    <s v="Apoyo Diagnóstico"/>
    <s v="Mediano Costo "/>
    <s v="Lensómetro"/>
    <s v="Topcon"/>
    <s v="CL300"/>
    <n v="2814208"/>
    <s v="HPL29950"/>
    <n v="2016"/>
    <n v="8"/>
    <n v="0"/>
    <s v="Propio"/>
    <s v="Bueno "/>
    <x v="1"/>
    <s v="NO"/>
    <s v="NO APLICA"/>
    <s v="SI"/>
    <x v="0"/>
    <s v="CONTRATO"/>
    <s v="NEWLAB"/>
    <s v="PENDIENTE"/>
    <n v="178500"/>
    <n v="1"/>
    <m/>
    <m/>
    <m/>
    <s v="ꓣ"/>
    <m/>
    <m/>
    <m/>
    <m/>
    <m/>
    <m/>
    <m/>
    <m/>
  </r>
  <r>
    <s v="Especialidades oftalmologia "/>
    <s v="Hospital Penco Lirquen"/>
    <s v="Apoyo Diagnóstico"/>
    <s v="Alto Costo"/>
    <s v="Autorefractometro"/>
    <s v="Topcon"/>
    <s v="KR8800"/>
    <n v="4120123"/>
    <s v="HPL18555"/>
    <n v="2016"/>
    <n v="8"/>
    <n v="0"/>
    <s v="Propio"/>
    <s v="Bueno "/>
    <x v="1"/>
    <s v="NO"/>
    <s v="NO APLICA"/>
    <s v="SI"/>
    <x v="0"/>
    <s v="CONTRATO"/>
    <s v="NEWLAB"/>
    <s v="PENDIENTE"/>
    <n v="238000"/>
    <n v="1"/>
    <m/>
    <m/>
    <m/>
    <s v="ꓣ"/>
    <m/>
    <m/>
    <m/>
    <m/>
    <m/>
    <m/>
    <m/>
    <m/>
  </r>
  <r>
    <s v="Especialidades oftalmologia "/>
    <s v="Hospital Penco Lirquen"/>
    <s v="Apoyo Diagnóstico"/>
    <s v="Alto Costo"/>
    <s v="Lampara de hendidura"/>
    <s v="Shin nippon"/>
    <s v="S2-500"/>
    <s v="2012-0489"/>
    <s v="HPL18556"/>
    <n v="2016"/>
    <n v="8"/>
    <n v="0"/>
    <s v="Propio"/>
    <s v="Bueno "/>
    <x v="1"/>
    <s v="NO"/>
    <s v="NO APLICA"/>
    <s v="SI"/>
    <x v="0"/>
    <s v="CONTRATO"/>
    <s v="NEWLAB"/>
    <s v="PENDIENTE"/>
    <n v="166600"/>
    <n v="1"/>
    <m/>
    <m/>
    <m/>
    <s v="ꓣ"/>
    <m/>
    <m/>
    <m/>
    <m/>
    <m/>
    <m/>
    <m/>
    <m/>
  </r>
  <r>
    <s v="Especialidades oftalmologia "/>
    <s v="Hospital Penco Lirquen"/>
    <s v="Apoyo Diagnóstico"/>
    <s v="Mediano Costo "/>
    <s v="Tonómetro aplanático"/>
    <s v="Clement Clarke"/>
    <s v="Perkins"/>
    <s v="T21993"/>
    <s v="HPL18590"/>
    <n v="2017"/>
    <n v="8"/>
    <n v="1"/>
    <s v="Propio"/>
    <s v="Bueno "/>
    <x v="1"/>
    <s v="NO"/>
    <s v="NO APLICA"/>
    <s v="SI"/>
    <x v="0"/>
    <s v="CONTRATO"/>
    <s v="NEWLAB"/>
    <s v="PENDIENTE"/>
    <n v="154700"/>
    <n v="1"/>
    <m/>
    <m/>
    <m/>
    <s v="ꓣ"/>
    <m/>
    <m/>
    <m/>
    <m/>
    <m/>
    <m/>
    <m/>
    <m/>
  </r>
  <r>
    <s v="Especialidades oftalmologia - 15"/>
    <s v="Hospital Penco Lirquen"/>
    <s v="Apoyo Quirúrgico"/>
    <s v="Mediano Costo "/>
    <s v="Lámpara de procedimientos"/>
    <s v="Welchallyn"/>
    <s v="LS-135"/>
    <s v="S/N"/>
    <s v="HPL30306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ftalmologia - 15"/>
    <s v="Hospital Penco Lirquen"/>
    <s v="Apoyo Diagnóstico"/>
    <s v="Mediano Costo "/>
    <s v="Ecobiometro"/>
    <s v="Haag streit diagnostic"/>
    <s v="Lenstar LS900"/>
    <n v="20441"/>
    <s v="HPL18557"/>
    <n v="2016"/>
    <n v="8"/>
    <n v="0"/>
    <s v="Propio"/>
    <s v="Bueno "/>
    <x v="1"/>
    <s v="NO"/>
    <s v="NO APLICA"/>
    <s v="SI"/>
    <x v="0"/>
    <s v="CONTRATO"/>
    <s v="NEWLAB"/>
    <s v="PENDIENTE"/>
    <n v="535500"/>
    <n v="1"/>
    <m/>
    <m/>
    <m/>
    <s v="ꓣ"/>
    <m/>
    <m/>
    <m/>
    <m/>
    <m/>
    <m/>
    <m/>
    <m/>
  </r>
  <r>
    <s v="Especialidades oftalmologia - 15"/>
    <s v="Hospital Penco Lirquen"/>
    <s v="Apoyo Diagnóstico"/>
    <s v="Mediano Costo "/>
    <s v="Foroptero"/>
    <s v="Nidek"/>
    <s v="RT3100"/>
    <n v="721204"/>
    <s v="HPL18593"/>
    <n v="2016"/>
    <n v="8"/>
    <n v="0"/>
    <s v="Propio"/>
    <s v="Bueno "/>
    <x v="1"/>
    <s v="NO"/>
    <s v="NO APLICA"/>
    <s v="SI"/>
    <x v="0"/>
    <s v="CONTRATO"/>
    <s v="NEWLAB"/>
    <s v="PENDIENTE"/>
    <n v="416500"/>
    <n v="1"/>
    <m/>
    <m/>
    <m/>
    <s v="ꓣ"/>
    <m/>
    <m/>
    <m/>
    <m/>
    <m/>
    <m/>
    <m/>
    <m/>
  </r>
  <r>
    <s v="Especialidades oftalmologia - 15"/>
    <s v="Hospital Penco Lirquen"/>
    <s v="Apoyo Diagnóstico"/>
    <s v="Alto Costo"/>
    <s v="Lampara de hendidura "/>
    <s v="Nidek"/>
    <s v="SL1800"/>
    <n v="7091889"/>
    <s v="HPL18589"/>
    <n v="2014"/>
    <n v="8"/>
    <n v="-2"/>
    <s v="Propio"/>
    <s v="Bueno "/>
    <x v="1"/>
    <s v="NO"/>
    <s v="NO APLICA"/>
    <s v="SI"/>
    <x v="0"/>
    <s v="CONTRATO"/>
    <s v="NEWLAB"/>
    <s v="PENDIENTE"/>
    <n v="166600"/>
    <n v="1"/>
    <m/>
    <m/>
    <m/>
    <s v="ꓣ"/>
    <m/>
    <m/>
    <m/>
    <m/>
    <m/>
    <m/>
    <m/>
    <m/>
  </r>
  <r>
    <s v="Especialidades oftalmologia - 15"/>
    <s v="Hospital Penco Lirquen"/>
    <s v="Apoyo Diagnóstico"/>
    <s v="Alto Costo"/>
    <s v="Tomógrafo de Coherencia Óptica (OCT)"/>
    <s v="Topcon"/>
    <s v="Maestro 2"/>
    <s v="AV3140183"/>
    <m/>
    <n v="2022"/>
    <n v="8"/>
    <n v="6"/>
    <s v="Propio"/>
    <s v="Bueno "/>
    <x v="1"/>
    <s v="NO"/>
    <d v="2024-01-01T00:00:00"/>
    <s v="SI"/>
    <x v="2"/>
    <s v="CONTRATO"/>
    <s v="Arquimed"/>
    <m/>
    <m/>
    <n v="1"/>
    <m/>
    <s v="√"/>
    <m/>
    <m/>
    <m/>
    <m/>
    <m/>
    <m/>
    <m/>
    <m/>
    <m/>
    <m/>
  </r>
  <r>
    <s v="Especialidades oftalmologia - 15"/>
    <s v="Hospital Penco Lirquen"/>
    <s v="Apoyo Diagnóstico"/>
    <s v="Alto Costo"/>
    <s v="Campímetro"/>
    <s v="Zeizz"/>
    <s v="HFA3 850"/>
    <s v="850-15137"/>
    <s v="HPL18572"/>
    <n v="2017"/>
    <n v="8"/>
    <n v="1"/>
    <s v="Propio"/>
    <s v="Bueno "/>
    <x v="1"/>
    <s v="NO"/>
    <s v="NO APLICA"/>
    <s v="SI"/>
    <x v="0"/>
    <s v="CONTRATO"/>
    <s v="NEWLAB"/>
    <s v="PENDIENTE"/>
    <n v="535500"/>
    <n v="1"/>
    <m/>
    <m/>
    <m/>
    <s v="ꓣ"/>
    <m/>
    <m/>
    <m/>
    <m/>
    <m/>
    <m/>
    <m/>
    <m/>
  </r>
  <r>
    <s v="Especialidades oftalmologia - 15"/>
    <s v="Hospital Penco Lirquen"/>
    <s v="Apoyo Diagnóstico"/>
    <s v="Mediano Costo "/>
    <s v="Tonómetro aplanático"/>
    <s v="Clement Clarke"/>
    <s v="Perkins"/>
    <s v="T21595"/>
    <s v="HPL30382"/>
    <n v="2016"/>
    <n v="8"/>
    <n v="0"/>
    <s v="Propio"/>
    <s v="Bueno "/>
    <x v="1"/>
    <s v="NO"/>
    <s v="NO APLICA"/>
    <s v="SI"/>
    <x v="0"/>
    <s v="EXTERNO"/>
    <s v="NEWLAB"/>
    <s v="PENDIENTE"/>
    <n v="154700"/>
    <n v="1"/>
    <m/>
    <m/>
    <m/>
    <s v="ꓣ"/>
    <m/>
    <m/>
    <m/>
    <m/>
    <m/>
    <m/>
    <m/>
    <m/>
  </r>
  <r>
    <s v="Especialidades oftalmologia - 15A"/>
    <s v="Hospital Penco Lirquen"/>
    <s v="Apoyo Diagnóstico"/>
    <s v="Mediano Costo "/>
    <s v="Ultrasonido"/>
    <s v="Ecuoson"/>
    <s v="Pirop"/>
    <s v="161104AP"/>
    <s v="HPL18560"/>
    <n v="2016"/>
    <n v="8"/>
    <n v="0"/>
    <s v="Propio"/>
    <s v="Bueno "/>
    <x v="1"/>
    <s v="NO"/>
    <s v="NO APLICA"/>
    <s v="SI"/>
    <x v="0"/>
    <s v="CONTRATO"/>
    <s v="NEWLAB"/>
    <s v="PENDIENTE"/>
    <n v="214200"/>
    <n v="1"/>
    <m/>
    <m/>
    <m/>
    <s v="ꓣ"/>
    <m/>
    <m/>
    <m/>
    <m/>
    <m/>
    <m/>
    <m/>
    <m/>
  </r>
  <r>
    <s v="Especialidades oftalmología - 15A"/>
    <s v="Hospital Penco Lirquen"/>
    <s v="Apoyo Diagnóstico"/>
    <s v="Mediano Costo "/>
    <s v="Biometro óptico"/>
    <s v="Alcon"/>
    <s v="ARGOS ver1.5"/>
    <n v="23030102072"/>
    <m/>
    <n v="2023"/>
    <n v="8"/>
    <n v="7"/>
    <s v="Comodato"/>
    <s v="Bueno "/>
    <x v="1"/>
    <s v="SI"/>
    <s v="NO APLICA"/>
    <s v="SI"/>
    <x v="2"/>
    <s v="EXTERNO"/>
    <s v="ALCON"/>
    <s v="1057540-75-LR23"/>
    <m/>
    <n v="1"/>
    <m/>
    <m/>
    <m/>
    <m/>
    <m/>
    <m/>
    <m/>
    <m/>
    <s v="X"/>
    <m/>
    <m/>
    <m/>
  </r>
  <r>
    <s v="Especialidades oftalmologia -15"/>
    <s v="Hospital Penco Lirquen"/>
    <s v="Apoyo Diagnóstico"/>
    <s v="Alto Costo"/>
    <s v="Autorefractometro"/>
    <s v="Nidek"/>
    <s v="Ark1"/>
    <n v="433711"/>
    <s v="HPL18536"/>
    <n v="2016"/>
    <n v="8"/>
    <n v="0"/>
    <s v="Propio"/>
    <s v="Bueno "/>
    <x v="1"/>
    <s v="NO"/>
    <s v="NO APLICA"/>
    <s v="SI"/>
    <x v="0"/>
    <s v="CONTRATO"/>
    <s v="NEWLAB"/>
    <s v="PENDIENTE"/>
    <n v="238000"/>
    <n v="1"/>
    <m/>
    <m/>
    <m/>
    <s v="ꓣ"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18"/>
    <s v="HPL29875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41"/>
    <s v="HPL2987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Styker"/>
    <s v="N/A"/>
    <n v="78760"/>
    <s v="HPL29909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Mobiliario"/>
    <s v="Clínico"/>
    <s v="Camilla de examen"/>
    <s v="Malvestio"/>
    <n v="350100"/>
    <n v="20019535"/>
    <s v="HPL18658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Otorrino"/>
    <s v="Hospital Penco Lirquen"/>
    <s v="Apoyo Diagnóstico"/>
    <s v="Mediano Costo "/>
    <s v="Sillón otorrino"/>
    <s v="Optomic"/>
    <s v="OPTIMUS"/>
    <n v="45170625"/>
    <m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Lampara de examen"/>
    <s v="Heine"/>
    <s v="EL3 LED"/>
    <n v="1100774234"/>
    <s v="HPL18630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8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200"/>
    <s v="S/N"/>
    <s v="HPL3034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4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5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 "/>
    <s v="Interacoustics"/>
    <s v="Air FX"/>
    <s v="SN1035445"/>
    <m/>
    <n v="2023"/>
    <n v="8"/>
    <n v="7"/>
    <s v="Propio"/>
    <s v="BUENO"/>
    <x v="2"/>
    <s v="SI"/>
    <n v="2025"/>
    <s v="NO"/>
    <x v="1"/>
    <s v="EXTERNO"/>
    <s v="GAES"/>
    <s v="COLDAS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Unidad otorrino"/>
    <s v="Optomic"/>
    <s v="Op-s8"/>
    <n v="44160379"/>
    <s v="HPL1862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Quirúrgico"/>
    <s v="Bajo costo"/>
    <s v="Bomba de aspiración"/>
    <s v="Allied"/>
    <s v="Gomco 1180"/>
    <n v="20120823001"/>
    <s v="HPL30084"/>
    <n v="2017"/>
    <n v="10"/>
    <n v="3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Especialidades Otorrino"/>
    <s v="Hospital Penco Lirquen"/>
    <s v="Apoyo Diagnóstico"/>
    <s v="Alto Costo"/>
    <s v="Camara silente con campo libre"/>
    <s v="Signal med"/>
    <s v="S/N"/>
    <s v="S/N"/>
    <s v="HPL30285"/>
    <n v="2016"/>
    <n v="10"/>
    <n v="2"/>
    <s v="Propio"/>
    <s v="Bueno "/>
    <x v="1"/>
    <s v="NO"/>
    <s v="NO APLICA"/>
    <s v="SI"/>
    <x v="0"/>
    <s v="CONTRATO"/>
    <s v="VAFEL"/>
    <s v="1057540-20-LE24"/>
    <n v="400000"/>
    <n v="1"/>
    <m/>
    <m/>
    <m/>
    <s v="ꓣ"/>
    <m/>
    <s v="ꓣ"/>
    <s v="√"/>
    <m/>
    <m/>
    <m/>
    <m/>
    <m/>
  </r>
  <r>
    <s v="Especialidades Otorrino"/>
    <s v="Hospital Penco Lirquen"/>
    <s v="Apoyo Diagnóstico"/>
    <s v="Alto Costo"/>
    <s v="Audiómetro"/>
    <s v="Interacoustics"/>
    <s v="AC40e"/>
    <s v="SN0948242"/>
    <s v="HPL18601"/>
    <n v="2016"/>
    <n v="8"/>
    <n v="0"/>
    <s v="Propio"/>
    <s v="Bueno "/>
    <x v="1"/>
    <s v="NO"/>
    <s v="NO APLICA"/>
    <s v="SI"/>
    <x v="0"/>
    <s v="EXTERNO"/>
    <s v="VAFEL"/>
    <s v="1057540-20-LE24"/>
    <n v="773500"/>
    <n v="1"/>
    <m/>
    <m/>
    <m/>
    <s v="ꓣ"/>
    <s v="√"/>
    <m/>
    <m/>
    <m/>
    <m/>
    <m/>
    <m/>
    <m/>
  </r>
  <r>
    <s v="Especialidades Otorrino"/>
    <s v="Hospital Penco Lirquen"/>
    <s v="Apoyo Diagnóstico"/>
    <s v="Mediano Costo "/>
    <s v="Impedanciometro"/>
    <s v="Interacoustics"/>
    <s v="AT235"/>
    <s v="SN0948826"/>
    <s v="HPL18600"/>
    <n v="2016"/>
    <n v="8"/>
    <n v="0"/>
    <s v="Propio"/>
    <s v="Bueno "/>
    <x v="1"/>
    <s v="NO"/>
    <s v="NO APLICA"/>
    <s v="SI"/>
    <x v="0"/>
    <s v="EXTERNO"/>
    <s v="VAFEL"/>
    <s v="1057540-20-LE24"/>
    <n v="773500"/>
    <n v="1"/>
    <m/>
    <m/>
    <m/>
    <s v="ꓣ"/>
    <s v="√"/>
    <m/>
    <m/>
    <m/>
    <m/>
    <m/>
    <m/>
    <m/>
  </r>
  <r>
    <s v="Especialidades Otorrino - 15"/>
    <s v="Hospital Penco Lirquen"/>
    <s v="Apoyo Endoscópico"/>
    <s v="Mediano Costo "/>
    <s v="Nasofibroscopio"/>
    <s v="Olympus"/>
    <s v="ENF P4"/>
    <n v="2654008"/>
    <s v="HPL29949"/>
    <n v="2016"/>
    <n v="7"/>
    <n v="-1"/>
    <s v="Propio"/>
    <s v="Bueno "/>
    <x v="1"/>
    <s v="NO"/>
    <s v="NO APLICA"/>
    <s v="SI"/>
    <x v="0"/>
    <s v="EXTERNO"/>
    <s v="SURMEDICAL"/>
    <s v="1057540-6-LE22"/>
    <n v="180000"/>
    <n v="1"/>
    <m/>
    <m/>
    <m/>
    <s v="√"/>
    <m/>
    <m/>
    <m/>
    <m/>
    <m/>
    <m/>
    <m/>
    <m/>
  </r>
  <r>
    <s v="Especialidades Otorrino - 15"/>
    <s v="Hospital Penco Lirquen"/>
    <s v="Apoyo Quirúrgico"/>
    <s v="Mediano Costo "/>
    <s v="Fuente de luz"/>
    <s v="Olympus"/>
    <s v="CLK-4"/>
    <n v="7727087"/>
    <s v="HPL29955"/>
    <n v="2016"/>
    <n v="8"/>
    <n v="0"/>
    <s v="Propio"/>
    <s v="Bueno "/>
    <x v="1"/>
    <s v="NO"/>
    <s v="NO APLICA"/>
    <s v="SI"/>
    <x v="0"/>
    <s v="CONTRATO"/>
    <s v="SURMEDICAL"/>
    <s v="1057540-6-LE22"/>
    <m/>
    <n v="1"/>
    <m/>
    <m/>
    <m/>
    <s v="√"/>
    <m/>
    <m/>
    <m/>
    <m/>
    <m/>
    <m/>
    <m/>
    <m/>
  </r>
  <r>
    <s v="Especialidades Otorrino - 15"/>
    <s v="Hospital Penco Lirquen"/>
    <s v="Apoyo Quirúrgico"/>
    <s v="Bajo costo"/>
    <s v="Bomba de aspiración"/>
    <s v="Thomas"/>
    <n v="1336"/>
    <n v="30800001904"/>
    <s v="HPL18632"/>
    <n v="2016"/>
    <n v="10"/>
    <n v="2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Especialidades Otorrino - 15"/>
    <s v="Hospital Penco Lirquen"/>
    <s v="Apoyo Diagnóstico"/>
    <s v="Alto Costo"/>
    <s v="Video oculo instagmografo VNG"/>
    <s v="Biomed jena GmbH"/>
    <s v="VNG"/>
    <s v="19-216-317"/>
    <s v="HPL30158"/>
    <n v="2016"/>
    <n v="8"/>
    <n v="0"/>
    <s v="Propio"/>
    <s v="Bueno "/>
    <x v="1"/>
    <s v="NO"/>
    <s v="NO APLICA"/>
    <s v="SI"/>
    <x v="0"/>
    <s v="EXTERNO"/>
    <s v="Auditron"/>
    <s v="1057540-76-LE22"/>
    <n v="566683"/>
    <n v="2"/>
    <m/>
    <m/>
    <s v="ꓣ"/>
    <s v="√"/>
    <m/>
    <m/>
    <m/>
    <m/>
    <s v="X"/>
    <m/>
    <m/>
    <m/>
  </r>
  <r>
    <s v="Especialidades Pediatria"/>
    <s v="Hospital Penco Lirquen"/>
    <s v="Mobiliario"/>
    <s v="Clínico"/>
    <s v="Camilla de examen"/>
    <s v="Malvestio"/>
    <n v="350100"/>
    <n v="20019520"/>
    <s v="HPL3001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33"/>
    <s v="HPL1225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42"/>
    <s v="HPL1230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3541317009"/>
    <s v="HPL30071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2725287096590"/>
    <s v="HPL12256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0814"/>
    <s v="HPL12271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8347"/>
    <s v="HPL12231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Oto-oftalmoscopio de pared"/>
    <s v="Ezer"/>
    <s v="varios"/>
    <s v="S/N"/>
    <s v="HPL30339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Oto-oftalmoscopio de pared"/>
    <s v="Ezer"/>
    <s v="varios"/>
    <s v="S/N"/>
    <s v="HPL30340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"/>
    <s v="SECA"/>
    <n v="354"/>
    <n v="8354255150727"/>
    <s v="HPL12270"/>
    <n v="2015"/>
    <n v="10"/>
    <n v="1"/>
    <s v="Propio"/>
    <s v="BUENO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Monitoreo"/>
    <s v="Mediano Costo "/>
    <s v="Monitor de signos vitales"/>
    <s v="General Electric"/>
    <s v="V100"/>
    <s v="SH617070007SA"/>
    <s v="HPL12230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pecialidades PRAIS"/>
    <s v="Hospital Penco Lirquen"/>
    <s v="Mobiliario"/>
    <s v="Clínico"/>
    <s v="Camilla de examen"/>
    <s v="Malvestio"/>
    <n v="350100"/>
    <n v="20019536"/>
    <s v="HPL1196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Health o Meter"/>
    <s v="402 KL"/>
    <n v="4020065916"/>
    <s v="HPL5103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SECA"/>
    <s v="700 HPL5049"/>
    <n v="5700125168335"/>
    <s v="HPL5049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pediatrica con cartabon"/>
    <s v="Seca"/>
    <n v="354"/>
    <s v="S/N"/>
    <s v="HPL30280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Quirúrgico"/>
    <s v="Mediano Costo "/>
    <s v="Lámpara de procedimientos"/>
    <s v="Welchallyn"/>
    <s v="GS-600"/>
    <s v="S/N"/>
    <s v="HPL30307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1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2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RAIS - 15"/>
    <s v="Hospital Penco Lirquen"/>
    <s v="Apoyo Diagnóstico"/>
    <s v="Bajo costo"/>
    <s v="Balanza con tallímetro"/>
    <s v="SECA"/>
    <n v="700"/>
    <n v="5700057160812"/>
    <s v="HPL30112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siquiatria"/>
    <s v="Hospital Penco Lirquen"/>
    <s v="Apoyo Diagnóstico"/>
    <s v="Bajo costo"/>
    <s v="Balanza con tallímetro"/>
    <s v="Seca"/>
    <s v="Precision"/>
    <n v="5700057160819"/>
    <s v="HPL18914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Especialidades Psiquiatria "/>
    <s v="Hospital Penco Lirquen"/>
    <s v="Monitoreo"/>
    <s v="Mediano Costo "/>
    <s v="Monitor de signos vitales"/>
    <s v="General Electric"/>
    <s v="V100"/>
    <s v="SH617070028SA"/>
    <s v="HPL18918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Esterilizacion"/>
    <s v="Hospital Penco Lirquen"/>
    <s v="Esterilización"/>
    <s v="Bajo costo"/>
    <s v="Selladora automatica"/>
    <s v="Sealing Machine"/>
    <s v="N/A"/>
    <s v="C233012"/>
    <m/>
    <n v="2015"/>
    <n v="10"/>
    <n v="1"/>
    <s v="Comodato"/>
    <s v="Bueno "/>
    <x v="2"/>
    <s v="NO"/>
    <n v="2017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ealing Machine"/>
    <s v="N/A"/>
    <s v="C235004"/>
    <m/>
    <n v="2015"/>
    <n v="10"/>
    <n v="1"/>
    <s v="Comodato"/>
    <s v="Bueno "/>
    <x v="2"/>
    <s v="NO"/>
    <n v="2017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Cargador batería 4 celdas"/>
    <s v="Stryker"/>
    <s v="Universal Charger"/>
    <n v="2234812323"/>
    <m/>
    <n v="2022"/>
    <n v="10"/>
    <n v="8"/>
    <s v="Propio"/>
    <s v="Bueno "/>
    <x v="2"/>
    <s v="NO"/>
    <n v="2023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FRE-500"/>
    <s v="N/A"/>
    <s v="N/A"/>
    <m/>
    <n v="2015"/>
    <n v="10"/>
    <n v="1"/>
    <s v="Propio"/>
    <s v="Bueno "/>
    <x v="2"/>
    <s v="NO"/>
    <n v="2017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3M"/>
    <s v="ATTEST AUTOREADER 490"/>
    <n v="110591"/>
    <m/>
    <n v="2015"/>
    <n v="10"/>
    <n v="1"/>
    <s v="Comodato"/>
    <s v="Bueno "/>
    <x v="2"/>
    <s v="NO"/>
    <n v="2017"/>
    <s v="NO"/>
    <x v="1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Bionova"/>
    <s v="Terragene IC10/20FR"/>
    <n v="64"/>
    <m/>
    <n v="2015"/>
    <n v="10"/>
    <n v="1"/>
    <s v="Comodato"/>
    <s v="REGULAR "/>
    <x v="2"/>
    <s v="NO"/>
    <n v="2017"/>
    <s v="NO"/>
    <x v="1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/A"/>
    <s v="N/A"/>
    <s v="N/A"/>
    <s v="HPL27312"/>
    <n v="2022"/>
    <n v="8"/>
    <n v="6"/>
    <s v="Propio"/>
    <s v="Bueno "/>
    <x v="2"/>
    <s v="NO"/>
    <n v="2023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126310333"/>
    <s v="HPL30062"/>
    <n v="2015"/>
    <n v="8"/>
    <n v="-1"/>
    <s v="Propio"/>
    <s v="Bueno "/>
    <x v="2"/>
    <s v="NO"/>
    <s v="NO APLICA"/>
    <s v="NO"/>
    <x v="1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505500173"/>
    <s v="HPL30063"/>
    <n v="2015"/>
    <n v="8"/>
    <n v="-1"/>
    <s v="Propio"/>
    <s v="Bueno "/>
    <x v="2"/>
    <s v="NO"/>
    <s v="NO APLICA"/>
    <s v="NO"/>
    <x v="1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TERIKING"/>
    <s v="Steriking RS120A"/>
    <n v="30171033"/>
    <m/>
    <n v="2018"/>
    <n v="10"/>
    <n v="4"/>
    <s v="Propio"/>
    <s v="Bueno "/>
    <x v="2"/>
    <s v="NO"/>
    <n v="2020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atura light"/>
    <s v="D/EN1020"/>
    <s v="S/N"/>
    <s v="HPL30325"/>
    <n v="2015"/>
    <n v="8"/>
    <n v="-1"/>
    <s v="Propio"/>
    <s v="Bueno "/>
    <x v="2"/>
    <s v="NO"/>
    <s v="NO APLICA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S/M"/>
    <s v="S/N"/>
    <s v="S/N"/>
    <s v="HPL30326"/>
    <n v="2015"/>
    <n v="8"/>
    <n v="-1"/>
    <s v="Propio"/>
    <s v="Bueno "/>
    <x v="2"/>
    <s v="NO"/>
    <s v="NO APLICA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Getinge"/>
    <s v="Standart"/>
    <s v="S/N"/>
    <s v="HPL30328"/>
    <n v="2016"/>
    <n v="8"/>
    <n v="0"/>
    <s v="Propio"/>
    <s v="Bueno "/>
    <x v="2"/>
    <s v="NO"/>
    <s v="NO APLICA"/>
    <s v="NO"/>
    <x v="1"/>
    <s v="INTERNO"/>
    <s v="TECNICO EQM HPL"/>
    <s v="NO APLICA"/>
    <s v="no aplica"/>
    <m/>
    <m/>
    <m/>
    <m/>
    <m/>
    <m/>
    <m/>
    <m/>
    <m/>
    <m/>
    <m/>
    <m/>
    <m/>
  </r>
  <r>
    <s v="Esterilización"/>
    <s v="Hospital Penco Lirquen"/>
    <s v="Apoyo Diagnóstico"/>
    <s v="Alto Costo"/>
    <s v="Autoclave"/>
    <s v="Matachana"/>
    <s v="SC-502-2"/>
    <s v="E-34583"/>
    <m/>
    <n v="2023"/>
    <n v="10"/>
    <n v="9"/>
    <s v="Propio"/>
    <s v="BUENO"/>
    <x v="3"/>
    <s v="SI"/>
    <n v="2024"/>
    <s v="SI"/>
    <x v="2"/>
    <s v="EXTERNO"/>
    <s v="INTERNATIONAL CLINICS"/>
    <s v="COLDAS 2022"/>
    <n v="0"/>
    <n v="2"/>
    <m/>
    <m/>
    <m/>
    <m/>
    <m/>
    <m/>
    <s v="√"/>
    <m/>
    <m/>
    <m/>
    <s v="X"/>
    <m/>
  </r>
  <r>
    <s v="Esterilizacion - 17A"/>
    <s v="Hospital Penco Lirquen"/>
    <s v="Esterilización"/>
    <s v="Mediano Costo "/>
    <s v="Lavadora Ultrasónica"/>
    <s v="Bandelin"/>
    <s v="MC 1001"/>
    <n v="33600130121001"/>
    <s v="HPL30118"/>
    <n v="2016"/>
    <n v="10"/>
    <n v="2"/>
    <s v="Propio"/>
    <s v="Bueno "/>
    <x v="1"/>
    <s v="NO"/>
    <s v="NO APLICA"/>
    <s v="SI"/>
    <x v="0"/>
    <s v="EXTERNO"/>
    <s v="INTERNATIONAL CLINICS"/>
    <s v="1057540-129-LE23"/>
    <n v="1600000"/>
    <n v="1"/>
    <m/>
    <m/>
    <s v="√"/>
    <m/>
    <m/>
    <m/>
    <m/>
    <m/>
    <m/>
    <m/>
    <m/>
    <m/>
  </r>
  <r>
    <s v="Esterilizacion - 17A"/>
    <s v="Hospital Penco Lirquen"/>
    <s v="Esterilización"/>
    <s v="Alto Costo"/>
    <s v="Lavadora descontaminadora"/>
    <s v="Steelco"/>
    <s v="DS 610 2SL 2S"/>
    <s v="1506510DC014"/>
    <s v="HPL27239"/>
    <n v="2016"/>
    <n v="10"/>
    <n v="2"/>
    <s v="Propio"/>
    <s v="Bueno "/>
    <x v="1"/>
    <s v="NO"/>
    <s v="NO APLICA"/>
    <s v="SI"/>
    <x v="0"/>
    <s v="EXTERNO"/>
    <s v="GEMCO"/>
    <s v="1057540-91-LP23"/>
    <n v="6035504"/>
    <n v="2"/>
    <m/>
    <s v="√"/>
    <m/>
    <m/>
    <m/>
    <m/>
    <m/>
    <s v="X"/>
    <m/>
    <m/>
    <m/>
    <m/>
  </r>
  <r>
    <s v="Esterilizacion - 17A"/>
    <s v="Hospital Penco Lirquen"/>
    <s v="Esterilización"/>
    <s v="Mediano Costo "/>
    <s v="Secadora de tubos"/>
    <s v="Steelco"/>
    <s v="AD 400"/>
    <s v="1511410GO002"/>
    <s v="HPL27250"/>
    <n v="2016"/>
    <n v="10"/>
    <n v="2"/>
    <s v="Propio"/>
    <s v="Bueno "/>
    <x v="1"/>
    <s v="NO"/>
    <s v="NO APLICA"/>
    <s v="SI"/>
    <x v="0"/>
    <s v="EXTERNO"/>
    <s v="GEMCO"/>
    <s v="1057540-91-LP23"/>
    <n v="5325974"/>
    <n v="2"/>
    <m/>
    <s v="√"/>
    <m/>
    <m/>
    <m/>
    <m/>
    <m/>
    <s v="X"/>
    <m/>
    <m/>
    <m/>
    <m/>
  </r>
  <r>
    <s v="Esterilizacion - 17A"/>
    <s v="Hospital Penco Lirquen"/>
    <s v="Esterilización"/>
    <s v="Alto Costo"/>
    <s v="Esterilizador de Plasma"/>
    <s v="Renosem"/>
    <s v="Reno-S130"/>
    <s v="S130141198"/>
    <s v="HPL27334"/>
    <n v="2016"/>
    <n v="10"/>
    <n v="2"/>
    <s v="Propio"/>
    <s v="Bueno "/>
    <x v="1"/>
    <s v="NO"/>
    <s v="NO APLICA"/>
    <s v="SI"/>
    <x v="0"/>
    <s v="EXTERNO"/>
    <s v="TECNIKA"/>
    <s v="1057540-91-LP23"/>
    <n v="7021000"/>
    <n v="2"/>
    <m/>
    <m/>
    <m/>
    <s v="√"/>
    <m/>
    <m/>
    <m/>
    <m/>
    <m/>
    <s v="X"/>
    <m/>
    <m/>
  </r>
  <r>
    <s v="Esterilizacion - 17A"/>
    <s v="Hospital Penco Lirquen"/>
    <s v="Laboratorio/Farmac"/>
    <s v="Mediano Costo "/>
    <s v="Refrigerador "/>
    <s v="Daewoo"/>
    <s v="FR-127GM"/>
    <s v="TR172EA7260063"/>
    <s v="HPL27337"/>
    <n v="2015"/>
    <n v="10"/>
    <n v="1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Esterilizacion - 17B"/>
    <s v="Hospital Penco Lirquen"/>
    <s v="Esterilización"/>
    <s v="Alto Costo"/>
    <s v="Autoclave"/>
    <s v="Matachana"/>
    <s v="SC-502-2"/>
    <s v="E-31058"/>
    <s v="HPL27341"/>
    <n v="2018"/>
    <n v="10"/>
    <n v="4"/>
    <s v="Propio"/>
    <s v="Bueno "/>
    <x v="3"/>
    <s v="NO"/>
    <s v="NO APLICA"/>
    <s v="SI"/>
    <x v="0"/>
    <s v="EXTERNO"/>
    <s v="International Clinics"/>
    <s v="1057540-38-LE23"/>
    <n v="2856000"/>
    <n v="2"/>
    <m/>
    <m/>
    <s v="√"/>
    <m/>
    <m/>
    <m/>
    <m/>
    <m/>
    <s v="X"/>
    <m/>
    <m/>
    <m/>
  </r>
  <r>
    <s v="Esterilizacion - 17B"/>
    <s v="Hospital Penco Lirquen"/>
    <s v="Esterilización"/>
    <s v="Alto Costo"/>
    <s v="Autoclave"/>
    <s v="Matachana"/>
    <s v="SC-500-2"/>
    <s v="E-31059"/>
    <s v="HPL27340"/>
    <n v="2018"/>
    <n v="10"/>
    <n v="4"/>
    <s v="Propio"/>
    <s v="Bueno "/>
    <x v="3"/>
    <s v="NO"/>
    <s v="NO APLICA"/>
    <s v="SI"/>
    <x v="0"/>
    <s v="EXTERNO"/>
    <s v="International Clinics"/>
    <s v="1057540-38-LE23"/>
    <n v="2856000"/>
    <n v="2"/>
    <m/>
    <m/>
    <s v="√"/>
    <m/>
    <m/>
    <m/>
    <m/>
    <m/>
    <s v="X"/>
    <m/>
    <m/>
    <m/>
  </r>
  <r>
    <s v="Esterilizacion - bodega equipos médicos (6to)"/>
    <s v="Hospital Penco Lirquen"/>
    <s v="Esterilización"/>
    <s v="Bajo costo"/>
    <s v="Selladora de pedal"/>
    <s v="FS-500"/>
    <s v="S/N"/>
    <s v="S/N"/>
    <s v="HPL30352"/>
    <n v="2015"/>
    <n v="10"/>
    <n v="1"/>
    <s v="Propio"/>
    <s v="MALO"/>
    <x v="2"/>
    <s v="NO"/>
    <s v="NO APLICA"/>
    <s v="NO"/>
    <x v="1"/>
    <s v="INTERNO"/>
    <s v="NO APLICA"/>
    <s v="NO APLICA"/>
    <s v="NO APLICA"/>
    <m/>
    <m/>
    <m/>
    <m/>
    <m/>
    <m/>
    <m/>
    <m/>
    <m/>
    <m/>
    <m/>
    <m/>
    <m/>
  </r>
  <r>
    <s v="Farmacia central - 16"/>
    <s v="Hospital Penco Lirquen"/>
    <s v="Laboratorio/Farmac"/>
    <s v="Mediano Costo "/>
    <s v="Refrigerador Clinico"/>
    <s v="Smeg"/>
    <s v="FV30G1"/>
    <n v="5122200031"/>
    <s v="HPL25068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Farmacia Central - 16"/>
    <s v="Hospital Penco Lirquen"/>
    <s v="Laboratorio/Farmac"/>
    <s v="Alto Costo"/>
    <s v="Reenvasadora"/>
    <s v="Autobag"/>
    <s v="PS 125 one step"/>
    <s v="AP00063411"/>
    <s v="HPL5231"/>
    <n v="2016"/>
    <n v="10"/>
    <n v="2"/>
    <s v="Propio"/>
    <s v="Bueno "/>
    <x v="1"/>
    <s v="NO"/>
    <s v="NO APLICA"/>
    <s v="SI"/>
    <x v="0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Alto Costo"/>
    <s v="Reenvasadora"/>
    <s v="Autobag"/>
    <s v="PS 125 one step"/>
    <s v="AP00094201"/>
    <s v="HPL30409"/>
    <n v="2019"/>
    <n v="10"/>
    <n v="5"/>
    <s v="Propio"/>
    <s v="Bueno "/>
    <x v="1"/>
    <s v="NO"/>
    <s v="NO APLICA"/>
    <s v="SI"/>
    <x v="0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Mediano Costo "/>
    <s v="Refrigerador Clínico"/>
    <s v="HAIER"/>
    <s v="HYC-940"/>
    <s v="BE03LSE0N00QJM860008"/>
    <m/>
    <n v="2022"/>
    <n v="10"/>
    <n v="8"/>
    <s v="Propio"/>
    <s v="Bueno "/>
    <x v="1"/>
    <s v="SI"/>
    <n v="2025"/>
    <s v="SI"/>
    <x v="2"/>
    <s v="CONTRATO"/>
    <s v="ARQUIMED"/>
    <s v="COLDAS 2022"/>
    <s v="-"/>
    <n v="1"/>
    <m/>
    <s v="√"/>
    <m/>
    <m/>
    <m/>
    <m/>
    <m/>
    <m/>
    <m/>
    <m/>
    <m/>
    <m/>
  </r>
  <r>
    <s v="Farmacia Central - 16"/>
    <s v="Hospital Penco Lirquen"/>
    <s v="Laboratorio/Farmac"/>
    <s v="Mediano Costo "/>
    <s v="Refrigerador Clinico"/>
    <s v="Smeg"/>
    <s v="FV25G1"/>
    <n v="4090200011"/>
    <s v="HPL5175"/>
    <n v="2017"/>
    <n v="10"/>
    <n v="3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Farmacia Central (especialidades) - 16"/>
    <s v="Hospital Penco Lirquen"/>
    <s v="Laboratorio/Farmac"/>
    <s v="Mediano Costo "/>
    <s v="Refrigerador Clinico"/>
    <s v="Smeg"/>
    <s v="FV30G1"/>
    <n v="5122200121"/>
    <s v="HPL20227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Farmacia Central (urgencia) - 16"/>
    <s v="Hospital Penco Lirquen"/>
    <s v="Laboratorio/Farmac"/>
    <s v="Mediano Costo "/>
    <s v="Refrigerador Clinico"/>
    <s v="Smeg"/>
    <s v="FV30G1"/>
    <n v="5122200101"/>
    <s v="HPL30081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Ginecologia"/>
    <s v="Hospital Penco Lirquen"/>
    <s v="Apoyo Terapéutico"/>
    <s v="Mediano Costo "/>
    <s v="Bomba de infusión continua"/>
    <s v="Fresenius Kabi"/>
    <s v="Volumat MC Agilia"/>
    <n v="22657717"/>
    <s v="HPL28418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Ginecologia "/>
    <s v="Hospital Penco Lirquen"/>
    <s v="Apoyo Terapéutico"/>
    <s v="Mediano Costo "/>
    <s v="Bomba de infusión continua"/>
    <s v="Fresenius Kabi"/>
    <s v="Agilia VP MC"/>
    <n v="24338312"/>
    <s v="HPL28420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Ginecologia - 2"/>
    <s v="Hospital Penco Lirquen"/>
    <s v="Apoyo Terapéutico"/>
    <s v="Mediano Costo "/>
    <s v="Bomba de infusión continua"/>
    <s v="Fresenius Kabi"/>
    <s v="Volumat MC Agilia"/>
    <n v="23406388"/>
    <s v="HPL28419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5"/>
    <s v="HPL30014"/>
    <n v="2015"/>
    <n v="10"/>
    <n v="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6"/>
    <s v="HPL30015"/>
    <n v="2015"/>
    <n v="10"/>
    <n v="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Apoyo Diagnóstico"/>
    <s v="Bajo costo"/>
    <s v="Balanza pediátrica"/>
    <s v="Nitia"/>
    <s v="Baby Scale"/>
    <s v="S/N"/>
    <s v="HPL30279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Ginecologia Hospitalizados"/>
    <s v="Hospital Penco Lirquen"/>
    <s v="Monitoreo"/>
    <s v="Mediano Costo "/>
    <s v="Monitor de signos vitales"/>
    <s v="Creative medical"/>
    <s v="PC-900"/>
    <s v="J0100KC00256"/>
    <s v="HPL30260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Ginecologia Hospitalizados - 2"/>
    <s v="Hospital Penco Lirquen"/>
    <s v="Apoyo Diagnóstico"/>
    <s v="Bajo costo"/>
    <s v="Oximetro de pulso"/>
    <s v="Heal Force"/>
    <s v="Prince E100"/>
    <s v="XXJ00JH00297"/>
    <s v="HPL30400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Ginecologia Hospitalizados - 2"/>
    <s v="Hospital Penco Lirquen"/>
    <s v="Monitoreo"/>
    <s v="Alto Costo"/>
    <s v="Detector de latido cardiofetal"/>
    <s v="Aeon"/>
    <s v="A-100E"/>
    <n v="904002"/>
    <s v="HPL25037"/>
    <n v="2016"/>
    <n v="8"/>
    <n v="0"/>
    <s v="Propio"/>
    <s v="Bueno "/>
    <x v="1"/>
    <s v="NO"/>
    <s v="NO APLICA"/>
    <s v="SI"/>
    <x v="2"/>
    <s v="EXTERNO"/>
    <s v="CODESUR"/>
    <s v="1057540-110-LE23"/>
    <n v="30000"/>
    <n v="1"/>
    <m/>
    <m/>
    <m/>
    <m/>
    <m/>
    <m/>
    <m/>
    <m/>
    <m/>
    <s v="X"/>
    <m/>
    <m/>
  </r>
  <r>
    <s v="Ginecologia Hospitalizados - 2"/>
    <s v="Hospital Penco Lirquen"/>
    <s v="Mobiliario"/>
    <s v="Clínico"/>
    <s v="Cama clínica eléctrica"/>
    <s v="Malvestio"/>
    <n v="345500"/>
    <n v="20009247"/>
    <s v="HPL29987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m/>
    <s v="ꓣ"/>
    <m/>
    <m/>
    <m/>
    <m/>
    <m/>
    <m/>
    <m/>
    <m/>
  </r>
  <r>
    <s v="Ginecologia Hospitalizados - 2"/>
    <s v="Hospital Penco Lirquen"/>
    <s v="Mobiliario"/>
    <s v="Clínico"/>
    <s v="Cama clínica eléctrica"/>
    <s v="Malvestio"/>
    <s v="346760H"/>
    <n v="20009349"/>
    <s v="HPL24693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Ginecologia Hospitalizados - 2"/>
    <s v="Hospital Penco Lirquen"/>
    <s v="Mobiliario"/>
    <s v="Clínico"/>
    <s v="Cama clínica eléctrica"/>
    <s v="Malvestio"/>
    <s v="346760H"/>
    <n v="20009354"/>
    <s v="HPL29996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Ginecologia Hospitalizados - 2"/>
    <s v="Hospital Penco Lirquen"/>
    <s v="Monitoreo"/>
    <s v="Alto Costo"/>
    <s v="Detector de latido cardiofetal"/>
    <s v="Edan"/>
    <s v="Sonotrax"/>
    <s v="304130-M12C04480047"/>
    <s v="HPL30183"/>
    <n v="2017"/>
    <n v="8"/>
    <n v="1"/>
    <s v="Propio"/>
    <s v="Bueno "/>
    <x v="1"/>
    <s v="NO"/>
    <s v="NO APLICA"/>
    <s v="SI"/>
    <x v="2"/>
    <s v="EXTERNO"/>
    <s v="CODESUR"/>
    <s v="1057540-110-LE23"/>
    <n v="30000"/>
    <n v="1"/>
    <m/>
    <m/>
    <m/>
    <m/>
    <m/>
    <m/>
    <m/>
    <m/>
    <m/>
    <s v="X"/>
    <m/>
    <m/>
  </r>
  <r>
    <s v="HODOM"/>
    <s v="Hospital Penco Lirquen"/>
    <s v="Apoyo Terapéutico"/>
    <s v="Bajo costo "/>
    <s v="Monitor de Presión"/>
    <s v="OMRON"/>
    <s v="HEM 7120"/>
    <s v="20190829965LG"/>
    <m/>
    <n v="2019"/>
    <n v="8"/>
    <n v="3"/>
    <m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DOM"/>
    <s v="Hospital Penco Lirquen"/>
    <s v="Monitoreo"/>
    <s v="Mediano Costo "/>
    <s v="Desfibrilador externo automático (DEA)"/>
    <s v="Philips"/>
    <s v="Heart Start"/>
    <s v="A19J-10092"/>
    <s v="HPL30197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HODOM"/>
    <s v="Hospital Penco Lirquen"/>
    <s v="Monitoreo"/>
    <s v="Mediano Costo "/>
    <s v="Monitor de signos vitales"/>
    <s v="Criticare"/>
    <s v="506DN "/>
    <n v="122010785"/>
    <s v="HPL30045"/>
    <n v="2021"/>
    <n v="8"/>
    <n v="5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HODOM - 5"/>
    <s v="Hospital Penco Lirquen"/>
    <s v="Apoyo Terapéutico"/>
    <s v="Mediano Costo "/>
    <s v="Bomba de nutrición enteral"/>
    <s v="Fresenius Kabi"/>
    <s v="AMIKA-ES"/>
    <n v="22170066"/>
    <s v="HPL28421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3018128"/>
    <s v="NO APLICA"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8873"/>
    <s v="NO APLICA"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58618"/>
    <s v="NO APLICA"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HODOM - 5"/>
    <s v="Hospital Penco Lirquen"/>
    <s v="Apoyo Quirúrgico"/>
    <s v="Bajo costo"/>
    <s v="Bomba de aspiración"/>
    <s v="Ca-mi"/>
    <s v="ASKIR 36BR"/>
    <n v="16720"/>
    <s v="HPL29893"/>
    <n v="2020"/>
    <n v="10"/>
    <n v="6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HODOM - 5"/>
    <s v="Hospital Penco Lirquen"/>
    <s v="Apoyo Quirúrgico"/>
    <s v="Bajo costo"/>
    <s v="Bomba de aspiración"/>
    <s v="Yuwell"/>
    <s v="7E-C"/>
    <s v="(-)00042"/>
    <m/>
    <n v="2022"/>
    <n v="10"/>
    <n v="8"/>
    <s v="Propio"/>
    <s v="Bueno "/>
    <x v="1"/>
    <s v="NO"/>
    <n v="2023"/>
    <s v="SI"/>
    <x v="2"/>
    <s v="INTERNO"/>
    <s v="TECNICO EQM HPL"/>
    <s v="NO APLICA"/>
    <m/>
    <n v="2"/>
    <m/>
    <m/>
    <s v="√"/>
    <m/>
    <m/>
    <m/>
    <m/>
    <m/>
    <s v="X"/>
    <m/>
    <m/>
    <m/>
  </r>
  <r>
    <s v="HODOM - 5"/>
    <s v="Hospital Penco Lirquen"/>
    <s v="Apoyo Diagnóstico"/>
    <s v="Mediano Costo "/>
    <s v="Electrocardiografo"/>
    <s v="General Electric"/>
    <s v="MAC 600"/>
    <s v="SS520240069PA"/>
    <s v="HPL30379"/>
    <n v="2021"/>
    <n v="8"/>
    <n v="5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Corta Estadia"/>
    <s v="Hospital Penco Lirquen"/>
    <s v="Apoyo Diagnóstico"/>
    <s v="Bajo costo"/>
    <s v="Oximetro de pulso"/>
    <s v="Nellcor"/>
    <s v="Oximax N-65"/>
    <s v="G15802050"/>
    <m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 de dia"/>
    <s v="Hospital Penco Lirquen"/>
    <s v="Monitoreo"/>
    <s v="Mediano Costo "/>
    <s v="Monitor de signos vitales"/>
    <s v="Iris"/>
    <s v="PMS8210A"/>
    <n v="1005050"/>
    <s v="HPL29944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Hospital de dia"/>
    <s v="Hospital Penco Lirquen"/>
    <s v="Monitoreo"/>
    <s v="Mediano Costo "/>
    <s v="Monitor ECG Baja Complejidad"/>
    <s v="Fukuda Denshi"/>
    <s v="Dinascope DSL-8001"/>
    <n v="50200449"/>
    <s v="HPL21418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Corta Estadía"/>
    <s v="Hospital Penco Lirquen"/>
    <s v="Laboratorio/Farmac"/>
    <s v="Bajo costo"/>
    <s v="Frigobar "/>
    <s v="Gelator"/>
    <s v="RURG-100G"/>
    <s v="AB41413080340000117"/>
    <s v="HPL25513"/>
    <n v="2021"/>
    <n v="8"/>
    <n v="5"/>
    <s v="Propio"/>
    <s v="Bueno "/>
    <x v="1"/>
    <s v="NO"/>
    <s v="NO APLICA"/>
    <s v="SI"/>
    <x v="0"/>
    <s v="EXTERNO"/>
    <s v="CLIMATICPRO"/>
    <s v="1057540-100-LE23"/>
    <n v="53550"/>
    <n v="1"/>
    <m/>
    <m/>
    <m/>
    <m/>
    <m/>
    <m/>
    <m/>
    <s v="X"/>
    <m/>
    <m/>
    <m/>
    <m/>
  </r>
  <r>
    <s v="Hospital de día "/>
    <s v="Hospital Penco Lirquen"/>
    <s v="Laboratorio/Farmac"/>
    <s v="Bajo costo"/>
    <s v="Frigobar"/>
    <s v="Mademsa"/>
    <s v="MMB 91 S"/>
    <n v="1000297"/>
    <s v="HPL29942"/>
    <n v="2020"/>
    <n v="10"/>
    <n v="6"/>
    <s v="Propio"/>
    <s v="Bueno "/>
    <x v="1"/>
    <s v="NO"/>
    <s v="NO APLICA"/>
    <s v="SI"/>
    <x v="2"/>
    <s v="EXTERNO"/>
    <s v="CLIMATICPRO"/>
    <s v="1057540-100-LE23"/>
    <m/>
    <n v="1"/>
    <m/>
    <m/>
    <m/>
    <m/>
    <m/>
    <m/>
    <m/>
    <s v="X"/>
    <m/>
    <m/>
    <m/>
    <m/>
  </r>
  <r>
    <s v="Hospital de dia - 4"/>
    <s v="Hospital Penco Lirquen"/>
    <s v="Mobiliario"/>
    <s v="Clínico"/>
    <s v="Cama clínica mecánica"/>
    <s v="Malvestio"/>
    <n v="345500"/>
    <n v="20009260"/>
    <s v="HPL29991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Hospital de dia - 4"/>
    <s v="Hospital Penco Lirquen"/>
    <s v="Apoyo Diagnóstico"/>
    <s v="Mediano Costo "/>
    <s v="Electrocardiografo"/>
    <s v="General Electric"/>
    <s v="MAC 800"/>
    <s v="SJ416020028WA"/>
    <s v="HPL21417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UTI"/>
    <s v="Hospital Penco Lirquen"/>
    <s v="Laboratorio/Farmac"/>
    <s v="Mediano Costo "/>
    <s v="Refrigerador Clinico"/>
    <s v="Smeg"/>
    <s v="FV30G1"/>
    <n v="5122200071"/>
    <s v="HPL30079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Hospital Higueras"/>
    <s v="Hospital Penco Lirquen"/>
    <s v="Apoyo Endoscópico"/>
    <s v="Mediano Costo "/>
    <s v="Videoduodenoscopio"/>
    <s v="Fujifilm"/>
    <s v="ED-530XT"/>
    <s v="1D102K375"/>
    <s v="HPL30161"/>
    <n v="2016"/>
    <n v="7"/>
    <n v="-1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colonoscopio"/>
    <s v="Fujifilm"/>
    <s v="EC-530FL"/>
    <s v="1C654K219"/>
    <s v="HPL30160"/>
    <n v="2016"/>
    <n v="7"/>
    <n v="-1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duodenoscopio"/>
    <s v="Fujifilm"/>
    <s v="ED-530XT"/>
    <s v="1D102K420"/>
    <s v="HPL30162"/>
    <n v="2016"/>
    <n v="7"/>
    <n v="-1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663"/>
    <s v="HPL30163"/>
    <n v="2016"/>
    <n v="7"/>
    <n v="-1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760"/>
    <s v="HPL30164"/>
    <n v="2016"/>
    <n v="7"/>
    <n v="-1"/>
    <s v="Propio"/>
    <s v="Bueno "/>
    <x v="2"/>
    <s v="NO"/>
    <s v="NO APLICA"/>
    <s v="NO"/>
    <x v="1"/>
    <s v="CONTRATO"/>
    <s v="ENDOS"/>
    <s v="1057540-31-LE22"/>
    <n v="0"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696"/>
    <s v="HPL29863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703"/>
    <s v="HPL25049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n v="320810"/>
    <n v="20009093"/>
    <s v="HPL25357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s v="Runner 800"/>
    <n v="20057648"/>
    <s v="HPL3002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09"/>
    <s v="HPL28445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3"/>
    <s v="HPL28446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5"/>
    <s v="HPL28447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6"/>
    <s v="HPL28448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8"/>
    <s v="HPL28449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2"/>
    <s v="HPL30102"/>
    <n v="2015"/>
    <n v="8"/>
    <n v="-1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8"/>
    <s v="HPL30103"/>
    <n v="2015"/>
    <n v="8"/>
    <n v="-1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Diagnóstico"/>
    <s v="Bajo costo"/>
    <s v="Balanza para camillas"/>
    <s v="Seca"/>
    <n v="6561321103"/>
    <n v="5769113189798"/>
    <s v="HPL30113"/>
    <n v="2016"/>
    <n v="10"/>
    <n v="2"/>
    <s v="Propio"/>
    <s v="Bueno "/>
    <x v="2"/>
    <s v="NO"/>
    <s v="NO APLICA"/>
    <s v="NO"/>
    <x v="1"/>
    <s v="EX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recien nacido"/>
    <s v="Seca"/>
    <n v="7254021004"/>
    <n v="5775236151118"/>
    <s v="HPL30114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Oto-oftalmoscopio de pared"/>
    <s v="Riester"/>
    <s v="Ri-scope L"/>
    <s v="S/N"/>
    <s v="HPL30120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Oximetro de pulso"/>
    <s v="Nellcor"/>
    <s v="Oximax N-65"/>
    <s v="G15802064"/>
    <s v="HPL30258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Alto Costo"/>
    <s v="Equipo telemedicina"/>
    <s v="Smart"/>
    <s v="Document camera 450"/>
    <s v="S/N"/>
    <s v="HPL30292"/>
    <n v="2015"/>
    <n v="8"/>
    <n v="-1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8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9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0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1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 "/>
    <s v="Ultrasonido Pocket"/>
    <s v="Medtec"/>
    <s v="C10LN"/>
    <s v="KLACBEA011"/>
    <s v="NO APLICA"/>
    <n v="2023"/>
    <n v="8"/>
    <n v="7"/>
    <s v="Comodato"/>
    <s v="Bueno "/>
    <x v="2"/>
    <s v="SI"/>
    <s v="NO APLICA"/>
    <s v="NO"/>
    <x v="1"/>
    <s v="CONTRATO"/>
    <s v="MEDTEC"/>
    <s v="1057540-54-LP23"/>
    <m/>
    <m/>
    <m/>
    <m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0"/>
    <s v="HPL29985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"/>
    <s v="Hospital Penco Lirquen"/>
    <s v="Apoyo Quirúrgico"/>
    <s v="Bajo costo"/>
    <s v="Bomba de aspiración"/>
    <s v="Ca-mi"/>
    <s v="ASKIR 36BR"/>
    <n v="17300"/>
    <s v="HPL29895"/>
    <n v="2020"/>
    <n v="10"/>
    <n v="6"/>
    <s v="Propio"/>
    <s v="Bueno "/>
    <x v="1"/>
    <s v="NO"/>
    <s v="NO APLICA"/>
    <s v="SI"/>
    <x v="2"/>
    <s v="INTERNO"/>
    <s v="TECNICO EQM HPL"/>
    <s v="NO APLICA"/>
    <m/>
    <n v="2"/>
    <m/>
    <m/>
    <s v="√"/>
    <m/>
    <m/>
    <m/>
    <m/>
    <m/>
    <s v="X"/>
    <m/>
    <m/>
    <m/>
  </r>
  <r>
    <s v="Pabellón "/>
    <s v="Hospital Penco Lirquen"/>
    <s v="Mobiliario"/>
    <s v="Clínico"/>
    <s v="Cama clínica eléctrica"/>
    <s v="Joson Care"/>
    <s v="ES-96HD"/>
    <n v="1309050226"/>
    <s v="HPL30284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m/>
    <s v="ꓣ"/>
    <m/>
    <m/>
    <m/>
    <m/>
    <m/>
    <m/>
    <m/>
    <m/>
  </r>
  <r>
    <s v="Hospitalizados"/>
    <s v="Hospital Penco Lirquen"/>
    <s v="Apoyo Diagnóstico"/>
    <s v="Mediano Costo "/>
    <s v="Electrocardiografo"/>
    <s v="Nihon Kohden"/>
    <s v="Cardiofax C ECG 1150"/>
    <s v="11959K"/>
    <s v="HPL25053"/>
    <n v="2015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s v="X"/>
    <m/>
    <m/>
  </r>
  <r>
    <s v="Hospitalizados"/>
    <s v="Hospital Penco Lirquen"/>
    <s v="Apoyo Diagnóstico"/>
    <s v="Mediano Costo "/>
    <s v="Electrocardiografo"/>
    <s v="General Electric"/>
    <s v="MAC 800"/>
    <s v="SJ416020040WA"/>
    <s v="HPL25052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s v="X"/>
    <m/>
    <m/>
  </r>
  <r>
    <s v="Hospitalizados"/>
    <s v="Hospital Penco Lirquen"/>
    <s v="Apoyo Diagnóstico"/>
    <s v="Mediano Costo "/>
    <s v="Electrocardiografo"/>
    <s v="General Electric"/>
    <s v="MAC 800"/>
    <s v="SJ416020041WA"/>
    <s v="HPL24767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2"/>
    <s v="HPL29882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s v="ꓣ"/>
    <m/>
    <m/>
    <m/>
    <m/>
    <m/>
    <s v="X"/>
  </r>
  <r>
    <s v="Hospitalizados"/>
    <s v="Hospital Penco Lirquen"/>
    <s v="Monitoreo"/>
    <s v="Alto Costo"/>
    <s v="Monitor ECG mediana complejidad"/>
    <s v="Nihon Kohden"/>
    <s v="BSM-6301K"/>
    <n v="8353"/>
    <s v="HPL25047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s v="ꓣ"/>
    <m/>
    <m/>
    <m/>
    <m/>
    <m/>
    <s v="X"/>
  </r>
  <r>
    <s v="Hospitalizados"/>
    <s v="Hospital Penco Lirquen"/>
    <s v="Monitoreo"/>
    <s v="Alto Costo"/>
    <s v="Monitor ECG mediana complejidad"/>
    <s v="Nihon Kohden"/>
    <s v="BSM-6301K"/>
    <n v="8357"/>
    <s v="HPL29885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s v="ꓣ"/>
    <m/>
    <m/>
    <m/>
    <m/>
    <m/>
    <s v="X"/>
  </r>
  <r>
    <s v="Hospitalizados"/>
    <s v="Hospital Penco Lirquen"/>
    <s v="Monitoreo"/>
    <s v="Alto Costo"/>
    <s v="Monitor ECG mediana complejidad"/>
    <s v="Nihon Kohden"/>
    <s v="BSM-6301K"/>
    <n v="8354"/>
    <s v="HPL29883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6"/>
    <s v="HPL29884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8"/>
    <s v="HPL29886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CSM-1501 (G5)"/>
    <s v="01634"/>
    <s v="HPL24766"/>
    <n v="2021"/>
    <n v="8"/>
    <n v="5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5"/>
    <s v="HPL24763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PVM-2703"/>
    <n v="118479"/>
    <s v="HPL24773"/>
    <n v="2019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1SA"/>
    <s v="HPL25249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2SA"/>
    <s v="HPL24770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3SA"/>
    <s v="HPL25250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4SA"/>
    <s v="HPL25263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5SA"/>
    <s v="HPL30371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6SA"/>
    <s v="HPL24760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51"/>
    <s v="HPL25081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73"/>
    <s v="HPL24730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3"/>
    <s v="HPL25041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5"/>
    <s v="HPL25042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6"/>
    <s v="HPL30031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3"/>
    <s v="HPL30036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4"/>
    <s v="HPL25264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67"/>
    <s v="HPL30043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Criticare"/>
    <s v="506DN"/>
    <n v="111720499"/>
    <s v="HPL25045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"/>
    <s v="Monitor de signos vitales"/>
    <s v="General Electric"/>
    <s v="V100"/>
    <s v="SH622300074SA"/>
    <s v="HPL31303"/>
    <n v="2022"/>
    <n v="8"/>
    <n v="6"/>
    <s v="Propio"/>
    <s v="Bueno "/>
    <x v="0"/>
    <s v="SI"/>
    <d v="2024-12-01T00:00:00"/>
    <s v="SI"/>
    <x v="0"/>
    <s v="EXTERNO"/>
    <s v="PV EQUIP"/>
    <s v="COLDAS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398"/>
    <s v="HPL25043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3"/>
    <s v="HPL25252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7"/>
    <s v="HPL25044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10"/>
    <s v="HPL30262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29"/>
    <s v="HPL30263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590"/>
    <s v="HPL30264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27"/>
    <s v="HPL30265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57"/>
    <s v="HPL30266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751"/>
    <s v="HPL30267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Hospitalizados"/>
    <s v="Hospital Penco Lirquen"/>
    <s v="Monitoreo"/>
    <s v="Mediano Costo "/>
    <s v="Monitor ECG Baja Complejidad"/>
    <s v="Philips"/>
    <s v="Efficia CM100"/>
    <s v="CN12099177"/>
    <m/>
    <n v="2024"/>
    <n v="8"/>
    <n v="8"/>
    <s v="Propio"/>
    <s v="Bueno "/>
    <x v="0"/>
    <s v="SI"/>
    <n v="2026"/>
    <s v="SI"/>
    <x v="2"/>
    <s v="EXTERNO"/>
    <s v="Andover"/>
    <s v="1057540-125-LE23"/>
    <n v="0"/>
    <n v="2"/>
    <m/>
    <m/>
    <m/>
    <m/>
    <m/>
    <s v="√"/>
    <m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6"/>
    <m/>
    <n v="2024"/>
    <n v="8"/>
    <n v="8"/>
    <s v="Propio"/>
    <s v="Bueno "/>
    <x v="0"/>
    <s v="SI"/>
    <n v="2026"/>
    <s v="SI"/>
    <x v="2"/>
    <s v="EXTERNO"/>
    <s v="Andover"/>
    <s v="1057540-125-LE23"/>
    <n v="0"/>
    <n v="2"/>
    <m/>
    <m/>
    <m/>
    <m/>
    <m/>
    <s v="√"/>
    <m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5"/>
    <m/>
    <n v="2024"/>
    <n v="8"/>
    <n v="8"/>
    <s v="Propio"/>
    <s v="Bueno "/>
    <x v="0"/>
    <s v="SI"/>
    <n v="2026"/>
    <s v="SI"/>
    <x v="2"/>
    <s v="EXTERNO"/>
    <s v="Andover"/>
    <s v="1057540-125-LE23"/>
    <n v="0"/>
    <n v="2"/>
    <m/>
    <m/>
    <m/>
    <m/>
    <m/>
    <s v="√"/>
    <m/>
    <m/>
    <m/>
    <m/>
    <m/>
    <s v="X"/>
  </r>
  <r>
    <s v="Hospitalizados - 1B"/>
    <s v="Hospital Penco Lirquen"/>
    <s v="Apoyo Terapéutico"/>
    <s v="Mediano Costo "/>
    <s v="Bomba de infusión continua"/>
    <s v="Fresenius Kabi"/>
    <s v="Volumat MC Agilia E"/>
    <n v="21789439"/>
    <s v="HPL28427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 E"/>
    <n v="21961763"/>
    <s v="HPL28444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267028"/>
    <s v="HPL28435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418653"/>
    <s v="HPL28443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09"/>
    <s v="HPL28479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0"/>
    <s v="HPL28480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1"/>
    <s v="HPL28481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n v="200612139055"/>
    <s v="HPL30104"/>
    <n v="2021"/>
    <n v="8"/>
    <n v="5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s v="200611138691"/>
    <s v="HPL30168"/>
    <n v="2021"/>
    <n v="8"/>
    <n v="5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170047"/>
    <s v="HPL28434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4181"/>
    <s v="HPL28441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7710"/>
    <s v="HPL28437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6B"/>
    <s v="Hospital Penco Lirquen"/>
    <s v="Apoyo Terapéutico"/>
    <s v="Mediano Costo "/>
    <s v="Bomba de infusión continua"/>
    <s v="Fresenius Kabi"/>
    <s v="Volumat MC Agilia"/>
    <n v="22267021"/>
    <s v="HPL28442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A"/>
    <s v="Hospital Penco Lirquen"/>
    <s v="Apoyo Diagnóstico"/>
    <s v="Bajo costo"/>
    <s v="Balanza para camillas"/>
    <s v="RADWAG"/>
    <s v="C315.48.500.C-1"/>
    <n v="775883"/>
    <m/>
    <n v="2023"/>
    <n v="10"/>
    <n v="9"/>
    <s v="Propio"/>
    <s v="Bueno "/>
    <x v="2"/>
    <s v="SI"/>
    <d v="2024-09-24T00:00:00"/>
    <s v="NO"/>
    <x v="1"/>
    <s v="EXTERNO"/>
    <s v="Arquimed"/>
    <s v="1057540-19-L123"/>
    <m/>
    <m/>
    <m/>
    <m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252"/>
    <s v="HPL29941"/>
    <n v="2020"/>
    <n v="10"/>
    <n v="6"/>
    <s v="Propio"/>
    <s v="Bueno "/>
    <x v="2"/>
    <s v="NO"/>
    <s v="NO APLICA"/>
    <s v="NO"/>
    <x v="1"/>
    <s v="INTERNO"/>
    <s v="TECNICO INDUSTRIAL HPL"/>
    <s v="NO APLICA"/>
    <m/>
    <m/>
    <m/>
    <m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558"/>
    <s v="HPL29943"/>
    <n v="2020"/>
    <n v="10"/>
    <n v="6"/>
    <s v="Propio"/>
    <s v="Bueno "/>
    <x v="2"/>
    <s v="NO"/>
    <s v="NO APLICA"/>
    <s v="NO"/>
    <x v="1"/>
    <s v="INTERNO"/>
    <s v="TECNICO INDUSTRIAL HPL"/>
    <s v="NO APLICA"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578701"/>
    <s v="HPL28424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01"/>
    <s v="HPL28425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74"/>
    <s v="HPL28426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67283"/>
    <s v="HPL28440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789514"/>
    <s v="HPL28428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53"/>
    <s v="HPL28429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74"/>
    <s v="HPL28430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16889"/>
    <s v="HPL28432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70046"/>
    <s v="HPL28433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324983"/>
    <s v="HPL28436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52"/>
    <s v="HPL28438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64"/>
    <s v="HPL28439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5"/>
    <s v="HPL28471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7"/>
    <s v="HPL28472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0"/>
    <s v="HPL28473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3"/>
    <s v="HPL28474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4"/>
    <s v="HPL28475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5"/>
    <s v="HPL28476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6"/>
    <s v="HPL28477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 - Back Up"/>
    <s v="Fresenius Kabi"/>
    <s v="Volumat MC Agilia"/>
    <n v="23404909"/>
    <m/>
    <n v="2023"/>
    <n v="8"/>
    <n v="7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1"/>
    <s v="HPL24711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2"/>
    <s v="HPL29986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3"/>
    <s v="HPL24948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4"/>
    <s v="HPL24677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5"/>
    <s v="HPL24695"/>
    <n v="2015"/>
    <n v="8"/>
    <n v="-1"/>
    <s v="Propio"/>
    <s v="Bueno "/>
    <x v="1"/>
    <s v="NO"/>
    <s v="NO APLICA"/>
    <s v="SI"/>
    <x v="0"/>
    <s v="EX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6"/>
    <s v="HPL25224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m/>
    <s v="X"/>
    <s v="X"/>
    <m/>
    <m/>
    <m/>
    <m/>
    <m/>
  </r>
  <r>
    <s v="Hospitalizados - 9B"/>
    <s v="Hospital Penco Lirquen"/>
    <s v="Mobiliario"/>
    <s v="Clínico"/>
    <s v="Cama clínica mecánica"/>
    <s v="Malvestio"/>
    <n v="345500"/>
    <n v="20009248"/>
    <s v="HPL24844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9"/>
    <s v="HPL24872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m/>
    <s v="X"/>
    <s v="X"/>
    <m/>
    <m/>
    <m/>
    <m/>
    <m/>
  </r>
  <r>
    <s v="Hospitalizados - 9B"/>
    <s v="Hospital Penco Lirquen"/>
    <s v="Mobiliario"/>
    <s v="Clínico"/>
    <s v="Cama clínica mecánica"/>
    <s v="Malvestio"/>
    <n v="345500"/>
    <n v="20009250"/>
    <s v="HPL24617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1"/>
    <s v="HPL29988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2"/>
    <s v="HPL24986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3"/>
    <s v="HPL25111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4"/>
    <s v="HPL24958"/>
    <n v="2015"/>
    <n v="8"/>
    <n v="-1"/>
    <s v="Propio"/>
    <s v="Bueno "/>
    <x v="1"/>
    <s v="NO"/>
    <s v="NO APLICA"/>
    <s v="SI"/>
    <x v="0"/>
    <s v="EXTERNO"/>
    <s v="TECNICO EQM HPL"/>
    <s v="NO APLICA"/>
    <n v="500000"/>
    <n v="1"/>
    <m/>
    <m/>
    <s v="ꓣ"/>
    <m/>
    <m/>
    <s v="X"/>
    <s v="X"/>
    <m/>
    <m/>
    <m/>
    <m/>
    <m/>
  </r>
  <r>
    <s v="Hospitalizados - 9B"/>
    <s v="Hospital Penco Lirquen"/>
    <s v="Mobiliario"/>
    <s v="Clínico"/>
    <s v="Cama clínica mecánica"/>
    <s v="Malvestio"/>
    <n v="345500"/>
    <n v="20009255"/>
    <s v="HPL24657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6"/>
    <s v="HPL29989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7"/>
    <s v="HPL25169"/>
    <n v="2015"/>
    <n v="8"/>
    <n v="-1"/>
    <s v="Propio"/>
    <s v="Bueno "/>
    <x v="1"/>
    <s v="NO"/>
    <s v="NO APLICA"/>
    <s v="SI"/>
    <x v="0"/>
    <s v="EXTERNO"/>
    <s v="TECNICO EQM HPL"/>
    <s v="NO APLICA"/>
    <n v="500000"/>
    <n v="1"/>
    <m/>
    <m/>
    <s v="ꓣ"/>
    <m/>
    <s v="√"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8"/>
    <s v="HPL29990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√"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9"/>
    <s v="HPL24659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m/>
    <s v="X"/>
    <s v="X"/>
    <m/>
    <m/>
    <m/>
    <m/>
    <m/>
  </r>
  <r>
    <s v="Hospitalizados - 9B"/>
    <s v="Hospital Penco Lirquen"/>
    <s v="Mobiliario"/>
    <s v="Clínico"/>
    <s v="Cama clínica mecánica"/>
    <s v="Malvestio"/>
    <n v="345500"/>
    <n v="20009261"/>
    <s v="HPL29992"/>
    <n v="2015"/>
    <n v="8"/>
    <n v="-1"/>
    <s v="Propio"/>
    <s v="Bueno "/>
    <x v="1"/>
    <s v="NO"/>
    <s v="NO APLICA"/>
    <s v="SI"/>
    <x v="0"/>
    <s v="INTERNO"/>
    <s v="TECNICO EQM HPL"/>
    <s v="NO APLICA"/>
    <n v="500000"/>
    <n v="1"/>
    <m/>
    <m/>
    <s v="ꓣ"/>
    <m/>
    <m/>
    <s v="ꓣ"/>
    <s v="√"/>
    <m/>
    <m/>
    <m/>
    <m/>
    <m/>
  </r>
  <r>
    <s v="Hospitalizados - 9B"/>
    <s v="Hospital Penco Lirquen"/>
    <s v="Mobiliario"/>
    <s v="Clínico"/>
    <s v="Cama clínica eléctrica"/>
    <s v="Malvestio"/>
    <s v="346760H"/>
    <n v="20009336"/>
    <s v="HPL24842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7"/>
    <s v="HPL24694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m/>
    <s v="√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8"/>
    <s v="HPL24675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9"/>
    <s v="HPL25211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0"/>
    <s v="HPL29993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1"/>
    <s v="HPL25215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2"/>
    <s v="HPL29994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3"/>
    <s v="HPL25132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4"/>
    <s v="HPL2482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5"/>
    <s v="HPL25213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6"/>
    <s v="HPL25150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7"/>
    <s v="HPL2513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8"/>
    <s v="HPL24869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0"/>
    <s v="HPL2496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2"/>
    <s v="HPL24829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5"/>
    <s v="HPL24676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6"/>
    <s v="HPL24985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m/>
    <s v="√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7"/>
    <s v="HPL24712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8"/>
    <s v="HPL29997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9"/>
    <s v="HPL2999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0"/>
    <s v="HPL2514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1"/>
    <s v="HPL24498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2"/>
    <s v="HPL24970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3"/>
    <s v="HPL25176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4"/>
    <s v="HPL25210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Hospitalizados - 9D"/>
    <s v="Hospital Penco Lirquen"/>
    <s v="Apoyo Diagnóstico"/>
    <s v="Bajo costo"/>
    <s v="Balanza para camillas"/>
    <s v="Seca"/>
    <n v="6561321103"/>
    <n v="10000000062501"/>
    <s v="HPL30116"/>
    <n v="2016"/>
    <n v="10"/>
    <n v="2"/>
    <s v="Propio"/>
    <s v="Bueno "/>
    <x v="2"/>
    <s v="NO"/>
    <s v="NO APLICA"/>
    <s v="NO"/>
    <x v="1"/>
    <s v="EXTERNO"/>
    <s v="TECNICO EQM HPL"/>
    <s v="NO APLICA"/>
    <m/>
    <m/>
    <m/>
    <m/>
    <m/>
    <m/>
    <m/>
    <m/>
    <m/>
    <m/>
    <m/>
    <m/>
    <m/>
    <m/>
  </r>
  <r>
    <s v="Hospitalizados - 9D"/>
    <s v="Hospital Penco Lirquen"/>
    <s v="Apoyo Diagnóstico"/>
    <s v="Bajo costo"/>
    <s v="Oximetro de pulso"/>
    <s v="Nellcor"/>
    <s v="Oximax N-65"/>
    <s v="G15802061"/>
    <s v="HPL3025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Hospitalizados - 9D"/>
    <s v="Hospital Penco Lirquen"/>
    <s v="Laboratorio/Farmac"/>
    <s v="Mediano Costo "/>
    <s v="Refrigerador Clinico"/>
    <s v="Smeg"/>
    <s v="FV30G1"/>
    <n v="5122200131"/>
    <s v="HPL21420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Hospitalizados - 9D"/>
    <s v="Hospital Penco Lirquen"/>
    <s v="Apoyo Terapéutico"/>
    <s v="Alto Costo"/>
    <s v="Ventilador Mecanico No Invasivo"/>
    <s v="Philips"/>
    <s v="Trilogy EV300"/>
    <s v="H29910884D650"/>
    <s v="_x0009__x000a_HPL31308"/>
    <n v="2022"/>
    <n v="8"/>
    <n v="6"/>
    <s v="Propio"/>
    <s v="Bueno "/>
    <x v="0"/>
    <s v="SI"/>
    <d v="2024-12-01T00:00:00"/>
    <s v="SI"/>
    <x v="0"/>
    <s v="EXTERNO"/>
    <s v="Andover"/>
    <s v="COLDAS 2022"/>
    <s v="-"/>
    <n v="2"/>
    <m/>
    <m/>
    <m/>
    <m/>
    <m/>
    <s v="√"/>
    <m/>
    <m/>
    <m/>
    <m/>
    <m/>
    <s v="X"/>
  </r>
  <r>
    <s v="Hospitalizados (UTI) - 9D"/>
    <s v="Hospital Penco Lirquen"/>
    <s v="Laboratorio/Farmac"/>
    <s v="Mediano Costo "/>
    <s v="Refrigerador Clinico"/>
    <s v="Smeg"/>
    <s v="FV30G1"/>
    <n v="5122200111"/>
    <s v="HPL24792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Hospitalizados -9B"/>
    <s v="Hospital Penco Lirquen"/>
    <s v="Mobiliario"/>
    <s v="Clínico"/>
    <s v="Cama clínica eléctrica"/>
    <s v="Malvestio"/>
    <s v="346760H"/>
    <n v="20009353"/>
    <s v="HPL29995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Imagenologia"/>
    <s v="Hospital Penco Lirquen"/>
    <s v="Monitoreo"/>
    <s v="Mediano Costo "/>
    <s v="Monitor ECG Baja Complejidad"/>
    <s v="Fukuda Denshi"/>
    <s v="Dinascope DSL-8001"/>
    <n v="50200456"/>
    <s v="HPL30038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Imagenologia"/>
    <s v="Hospital Penco Lirquen"/>
    <s v="Monitoreo"/>
    <s v="Mediano Costo "/>
    <s v="Monitor desfibrilador "/>
    <s v="Zoll medical"/>
    <s v="Serie R ALS"/>
    <s v="AF20G120257"/>
    <s v="HPL30216"/>
    <n v="2021"/>
    <n v="8"/>
    <n v="5"/>
    <s v="Propio"/>
    <s v="Bueno "/>
    <x v="0"/>
    <s v="NO"/>
    <s v="NO APLICA"/>
    <s v="SI"/>
    <x v="0"/>
    <s v="INTERNO"/>
    <s v="TECNICO EQM HPL"/>
    <s v="NO APLICA"/>
    <s v="-"/>
    <n v="2"/>
    <m/>
    <m/>
    <m/>
    <m/>
    <m/>
    <s v="√"/>
    <m/>
    <m/>
    <m/>
    <m/>
    <m/>
    <s v="X"/>
  </r>
  <r>
    <s v="Imagenologia - 1C"/>
    <s v="Hospital Penco Lirquen"/>
    <s v="Imagenología"/>
    <s v="Alto Costo"/>
    <s v="Ecógrafo portatil"/>
    <s v="General Electric"/>
    <s v="Logiq E"/>
    <s v="6076723WX0"/>
    <s v="HPL30194"/>
    <n v="2020"/>
    <n v="8"/>
    <n v="4"/>
    <s v="Propio"/>
    <s v="Bueno "/>
    <x v="3"/>
    <s v="NO"/>
    <m/>
    <s v="SI"/>
    <x v="0"/>
    <s v="EXTERNO"/>
    <s v="HOSER"/>
    <s v="1057540-17-LE23"/>
    <n v="1666000"/>
    <n v="2"/>
    <m/>
    <s v="√"/>
    <m/>
    <m/>
    <m/>
    <m/>
    <m/>
    <s v="X"/>
    <m/>
    <m/>
    <m/>
    <m/>
  </r>
  <r>
    <s v="Imagenologia - 8A"/>
    <s v="Hospital Penco Lirquen"/>
    <s v="Imagenología"/>
    <s v="Alto Costo"/>
    <s v="Rx Mamografo Digital"/>
    <s v="Siemens"/>
    <s v="Mamomat Fusion"/>
    <n v="1127"/>
    <s v="HPL29860"/>
    <n v="2016"/>
    <n v="10"/>
    <n v="2"/>
    <s v="Propio"/>
    <s v="Bueno "/>
    <x v="3"/>
    <s v="NO"/>
    <m/>
    <s v="SI"/>
    <x v="0"/>
    <s v="EXTERNO"/>
    <s v="Siemens"/>
    <s v="1057540-3-LQ23"/>
    <n v="14573740"/>
    <n v="2"/>
    <s v="√"/>
    <m/>
    <m/>
    <m/>
    <m/>
    <m/>
    <s v="√"/>
    <m/>
    <m/>
    <m/>
    <m/>
    <m/>
  </r>
  <r>
    <s v="Imagenologia - 8A"/>
    <s v="Hospital Penco Lirquen"/>
    <s v="Imagenología"/>
    <s v="Alto Costo"/>
    <s v="Rx Arco C"/>
    <s v="Philips"/>
    <s v="BV pulsera"/>
    <n v="3937"/>
    <s v="HPL29877"/>
    <n v="2016"/>
    <n v="10"/>
    <n v="2"/>
    <s v="Propio"/>
    <s v="Bueno "/>
    <x v="3"/>
    <s v="NO"/>
    <m/>
    <s v="SI"/>
    <x v="0"/>
    <s v="EXTERNO"/>
    <s v="Philips"/>
    <s v="1057540-3-LQ23"/>
    <n v="12792504"/>
    <n v="2"/>
    <m/>
    <m/>
    <m/>
    <m/>
    <m/>
    <s v="√"/>
    <m/>
    <m/>
    <m/>
    <m/>
    <m/>
    <s v="X"/>
  </r>
  <r>
    <s v="Imagenologia - 8A"/>
    <s v="Hospital Penco Lirquen"/>
    <s v="Imagenología"/>
    <s v="Alto Costo"/>
    <s v="RX Osteopulmonar "/>
    <s v="Philips"/>
    <s v="Digital Diagnost Flex"/>
    <n v="15000236"/>
    <s v="HPL29960"/>
    <n v="2016"/>
    <n v="10"/>
    <n v="2"/>
    <s v="Propio"/>
    <s v="Bueno "/>
    <x v="3"/>
    <s v="NO"/>
    <m/>
    <s v="SI"/>
    <x v="0"/>
    <s v="EXTERNO"/>
    <s v="Philips"/>
    <s v="1057540-3-LQ23"/>
    <n v="39876864"/>
    <n v="2"/>
    <m/>
    <m/>
    <m/>
    <m/>
    <m/>
    <s v="√"/>
    <m/>
    <m/>
    <m/>
    <m/>
    <m/>
    <s v="X"/>
  </r>
  <r>
    <s v="Imagenologia - 8A"/>
    <s v="Hospital Penco Lirquen"/>
    <s v="Imagenología"/>
    <s v="Alto Costo"/>
    <s v="RX Portatil"/>
    <s v="Philips"/>
    <s v="Mobile Diagnost WDR"/>
    <n v="15100217"/>
    <s v="HPL29961"/>
    <n v="2016"/>
    <n v="10"/>
    <n v="2"/>
    <s v="Propio"/>
    <s v="Bueno "/>
    <x v="3"/>
    <s v="NO"/>
    <m/>
    <s v="SI"/>
    <x v="0"/>
    <s v="EXTERNO"/>
    <s v="Philips"/>
    <s v="1057540-3-LQ23"/>
    <n v="24097500"/>
    <n v="2"/>
    <m/>
    <m/>
    <m/>
    <m/>
    <m/>
    <s v="√"/>
    <m/>
    <m/>
    <m/>
    <m/>
    <m/>
    <s v="X"/>
  </r>
  <r>
    <s v="Imagenologia - 8B"/>
    <s v="Hospital Penco Lirquen"/>
    <s v="Imagenología"/>
    <s v="Alto Costo"/>
    <s v="Tomografo Computarizado"/>
    <s v="Philips"/>
    <s v="Incisive"/>
    <n v="510014"/>
    <s v="HPL29318"/>
    <n v="2021"/>
    <n v="10"/>
    <n v="7"/>
    <s v="Propio"/>
    <s v="Bueno "/>
    <x v="3"/>
    <s v="SI"/>
    <n v="2026"/>
    <s v="SI"/>
    <x v="0"/>
    <s v="EXTERNO"/>
    <s v="Philips - En Garantía"/>
    <s v="1057931-17-LR20"/>
    <s v="-"/>
    <n v="2"/>
    <m/>
    <m/>
    <m/>
    <m/>
    <m/>
    <s v="√"/>
    <m/>
    <m/>
    <m/>
    <m/>
    <m/>
    <s v="X"/>
  </r>
  <r>
    <s v="Imagenologia - 8B"/>
    <s v="Hospital Penco Lirquen"/>
    <s v="Imagenología"/>
    <s v="Alto Costo"/>
    <s v="Ecógrafo"/>
    <s v="General Electric"/>
    <s v="Logiq S8"/>
    <s v="507954SU2"/>
    <s v="HPL30192"/>
    <n v="2019"/>
    <n v="8"/>
    <n v="3"/>
    <s v="Propio"/>
    <s v="Bueno "/>
    <x v="3"/>
    <s v="NO"/>
    <m/>
    <s v="SI"/>
    <x v="0"/>
    <s v="EXTERNO"/>
    <s v="HOSER"/>
    <s v="1057540-17-LE23"/>
    <n v="1666000"/>
    <n v="2"/>
    <m/>
    <s v="√"/>
    <m/>
    <m/>
    <m/>
    <m/>
    <m/>
    <s v="X"/>
    <m/>
    <m/>
    <m/>
    <m/>
  </r>
  <r>
    <s v="Imagenologia - 8B"/>
    <s v="Hospital Penco Lirquen"/>
    <s v="Apoyo Terapéutico"/>
    <s v="Mediano Costo "/>
    <s v="Calentador de medio de contraste"/>
    <s v="LW Scientific"/>
    <s v="Incubator"/>
    <n v="21100041"/>
    <s v="HPL30021"/>
    <n v="2021"/>
    <n v="8"/>
    <n v="5"/>
    <s v="Comodato"/>
    <s v="Bueno "/>
    <x v="1"/>
    <s v="NO"/>
    <s v="NO APLICA"/>
    <s v="SI"/>
    <x v="2"/>
    <s v="EXTERNO"/>
    <s v="SmartVision"/>
    <s v="1057540-38-LP22"/>
    <m/>
    <n v="2"/>
    <m/>
    <m/>
    <s v="ꓣ"/>
    <m/>
    <s v="√"/>
    <m/>
    <m/>
    <m/>
    <s v="X"/>
    <m/>
    <m/>
    <m/>
  </r>
  <r>
    <s v="Imagenologia - 8B"/>
    <s v="Hospital Penco Lirquen"/>
    <s v="Apoyo Terapéutico"/>
    <s v="Mediano Costo "/>
    <s v="Inyectora de medio de contraste"/>
    <s v="Medrad"/>
    <s v="Salient"/>
    <n v="88584"/>
    <m/>
    <n v="2021"/>
    <n v="8"/>
    <n v="5"/>
    <s v="Comodato"/>
    <s v="Bueno "/>
    <x v="1"/>
    <s v="NO"/>
    <s v="NO APLICA"/>
    <s v="SI"/>
    <x v="2"/>
    <s v="EXTERNO"/>
    <s v="SmartVision"/>
    <s v="1057540-38-LP22"/>
    <s v="-"/>
    <n v="2"/>
    <m/>
    <m/>
    <s v="ꓣ"/>
    <m/>
    <s v="√"/>
    <m/>
    <m/>
    <m/>
    <s v="X"/>
    <m/>
    <m/>
    <m/>
  </r>
  <r>
    <s v="Laboratorio"/>
    <s v="Hospital Penco Lirquen"/>
    <s v="Laboratorio/Farmac"/>
    <s v="Alto Costo"/>
    <s v="Analizador de gases"/>
    <s v="Cobas"/>
    <s v="B221 S4 System"/>
    <n v="25184"/>
    <m/>
    <n v="2024"/>
    <n v="8"/>
    <n v="8"/>
    <s v="Comodato"/>
    <s v="BUENO"/>
    <x v="3"/>
    <s v="NO"/>
    <s v="NO APLICA"/>
    <s v="SI"/>
    <x v="2"/>
    <s v="CONTRATO"/>
    <s v="ROCHE"/>
    <s v="1057540-126-LP23"/>
    <n v="0"/>
    <n v="1"/>
    <m/>
    <m/>
    <m/>
    <m/>
    <m/>
    <m/>
    <s v="X"/>
    <m/>
    <m/>
    <m/>
    <m/>
    <m/>
  </r>
  <r>
    <s v="Laboratorio"/>
    <s v="Hospital Penco Lirquen"/>
    <s v="Laboratorio/Farmac"/>
    <s v="Alto Costo"/>
    <s v="Analizador de gases"/>
    <s v="Cobas"/>
    <s v="B221 S4 System"/>
    <n v="25185"/>
    <m/>
    <n v="2024"/>
    <n v="8"/>
    <n v="8"/>
    <s v="Comodato"/>
    <s v="BUENO"/>
    <x v="3"/>
    <s v="NO"/>
    <s v="NO APLICA"/>
    <s v="SI"/>
    <x v="2"/>
    <s v="CONTRATO"/>
    <s v="ROCHE"/>
    <s v="1057540-126-LP23"/>
    <n v="0"/>
    <n v="1"/>
    <m/>
    <m/>
    <m/>
    <m/>
    <m/>
    <m/>
    <s v="X"/>
    <m/>
    <m/>
    <m/>
    <m/>
    <m/>
  </r>
  <r>
    <s v="Laboratorio"/>
    <s v="Hospital Penco Lirquen"/>
    <s v="Laboratorio/Farmac"/>
    <s v="Bajo costo"/>
    <s v="Aglutinoscopio"/>
    <s v="Biomedcentral"/>
    <s v="VMP-15A"/>
    <s v="0116N04"/>
    <s v="HPL27713"/>
    <n v="2016"/>
    <n v="8"/>
    <n v="0"/>
    <s v="Propio"/>
    <s v="Bueno "/>
    <x v="2"/>
    <s v="NO"/>
    <s v="NO APLICA"/>
    <s v="NO"/>
    <x v="1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Balanza agitadora de sangre"/>
    <s v="GRIFOLDS"/>
    <s v="Mixer Plus3"/>
    <s v="G1320319"/>
    <s v=" "/>
    <n v="2019"/>
    <n v="10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Apoyo Diagnóstico"/>
    <s v="Bajo costo"/>
    <s v="Balanza digital"/>
    <s v="Kern"/>
    <s v="KB 200-2N"/>
    <s v="W1103711"/>
    <s v="HPL27663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Laboratorio/Farmac"/>
    <s v="Mediano Costo "/>
    <s v="Centrifuga"/>
    <s v="CHANGSHA"/>
    <s v="TD5"/>
    <s v="G1703054TB"/>
    <s v=" "/>
    <m/>
    <n v="8"/>
    <s v=" "/>
    <s v="Propio"/>
    <s v="BUENO"/>
    <x v="2"/>
    <s v="NO"/>
    <s v="NO APLICA"/>
    <s v="NO"/>
    <x v="1"/>
    <s v="EXTERNO"/>
    <s v="PENDIENTE"/>
    <m/>
    <m/>
    <m/>
    <m/>
    <m/>
    <m/>
    <m/>
    <m/>
    <m/>
    <m/>
    <m/>
    <m/>
    <m/>
    <m/>
    <m/>
  </r>
  <r>
    <s v="Laboratorio"/>
    <s v="Hospital Penco Lirquen"/>
    <s v="Laboratorio/Farmac"/>
    <s v="Mediano Costo"/>
    <s v="Destapadora de Tubos"/>
    <s v="Amilab"/>
    <s v="Vacutainer"/>
    <n v="2577"/>
    <s v=" "/>
    <n v="2021"/>
    <n v="8"/>
    <n v="5"/>
    <s v="Comodato"/>
    <s v="Bueno "/>
    <x v="2"/>
    <s v="NO"/>
    <s v="NO APLICA"/>
    <s v="NO"/>
    <x v="1"/>
    <s v="EXTERNO"/>
    <s v="AMILAB"/>
    <m/>
    <m/>
    <m/>
    <m/>
    <m/>
    <m/>
    <m/>
    <m/>
    <m/>
    <m/>
    <m/>
    <m/>
    <m/>
    <m/>
    <m/>
  </r>
  <r>
    <s v="Laboratorio"/>
    <s v="Hospital Penco Lirquen"/>
    <s v="Apoyo Industrial"/>
    <s v="Alto Costo"/>
    <s v="Equipo de tratamiento de agua"/>
    <s v="Vigaflow"/>
    <s v="VLAB"/>
    <n v="2022020135"/>
    <m/>
    <n v="2023"/>
    <n v="8"/>
    <n v="7"/>
    <s v="Comodato"/>
    <s v="Bueno "/>
    <x v="2"/>
    <s v="NO"/>
    <s v="NO APLICA"/>
    <s v="NO"/>
    <x v="1"/>
    <s v="CONTRATO"/>
    <s v="ROCHE"/>
    <m/>
    <m/>
    <m/>
    <m/>
    <m/>
    <m/>
    <m/>
    <m/>
    <m/>
    <m/>
    <m/>
    <m/>
    <m/>
    <m/>
    <m/>
  </r>
  <r>
    <s v="Laboratorio"/>
    <s v="Hospital Penco Lirquen"/>
    <s v="Laboratorio/Farmac"/>
    <s v="Bajo costo"/>
    <s v="Hemoglobinometro UMT"/>
    <s v="Hemocue"/>
    <s v="Hb301"/>
    <n v="1913821129"/>
    <s v=" "/>
    <s v=" "/>
    <n v="8"/>
    <e v="#VALUE!"/>
    <s v="Propio"/>
    <s v="Bueno "/>
    <x v="2"/>
    <s v="NO"/>
    <s v="NO APLICA"/>
    <s v="NO"/>
    <x v="1"/>
    <s v="CONTRATO"/>
    <s v=" "/>
    <m/>
    <m/>
    <m/>
    <m/>
    <m/>
    <m/>
    <m/>
    <m/>
    <m/>
    <m/>
    <m/>
    <m/>
    <m/>
    <m/>
    <m/>
  </r>
  <r>
    <s v="Laboratorio"/>
    <s v="Hospital Penco Lirquen"/>
    <s v="Laboratorio/Farmac"/>
    <s v="Mediano Costo"/>
    <s v="Incubador de Tarjetas"/>
    <s v="GRIFOLDS"/>
    <s v="DGTHERM"/>
    <s v="319-0007571"/>
    <s v=" "/>
    <n v="2022"/>
    <n v="8"/>
    <n v="6"/>
    <s v="Comodato"/>
    <s v="Bueno "/>
    <x v="2"/>
    <s v="NO"/>
    <s v="NO APLICA"/>
    <s v="NO"/>
    <x v="1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Mediano Costo"/>
    <s v="Lector de trazabilidad de UMT"/>
    <s v="GRIFOLDS"/>
    <s v="DG-READERNET"/>
    <s v="512-0000766"/>
    <s v=" "/>
    <n v="2022"/>
    <n v="8"/>
    <n v="6"/>
    <s v="Comodato"/>
    <s v="Bueno "/>
    <x v="2"/>
    <s v="NO"/>
    <s v="NO APLICA"/>
    <s v="NO"/>
    <x v="1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29"/>
    <n v="2016"/>
    <n v="8"/>
    <n v="0"/>
    <m/>
    <s v="Bueno "/>
    <x v="2"/>
    <s v="NO"/>
    <s v="NO APLICA"/>
    <s v="NO"/>
    <x v="1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30"/>
    <n v="2016"/>
    <n v="8"/>
    <n v="0"/>
    <m/>
    <s v="Bueno "/>
    <x v="2"/>
    <s v="NO"/>
    <s v="NO APLICA"/>
    <s v="NO"/>
    <x v="1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31"/>
    <n v="2016"/>
    <n v="8"/>
    <n v="0"/>
    <m/>
    <s v="Bueno "/>
    <x v="2"/>
    <s v="NO"/>
    <s v="NO APLICA"/>
    <s v="NO"/>
    <x v="1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zclador Vortex"/>
    <s v="Thermo scientific"/>
    <s v="LP vortex mixter"/>
    <s v="F5KT18089"/>
    <s v="HPL27680"/>
    <n v="2016"/>
    <n v="8"/>
    <n v="0"/>
    <m/>
    <s v="Bueno "/>
    <x v="2"/>
    <s v="NO"/>
    <s v="NO APLICA"/>
    <s v="NO"/>
    <x v="1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Pesa digital UMT"/>
    <s v="Soehnle"/>
    <s v="Siena"/>
    <s v="S/N"/>
    <s v=" "/>
    <s v=" "/>
    <s v=" "/>
    <e v="#VALUE!"/>
    <s v="Propio"/>
    <s v="Bueno "/>
    <x v="2"/>
    <s v="NO"/>
    <s v="NO APLICA"/>
    <s v="NO"/>
    <x v="1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Bajo costo"/>
    <s v="Selladora UMT"/>
    <s v="GRIFOLDS"/>
    <s v="Weldt"/>
    <n v="63059919"/>
    <s v=" "/>
    <s v=" "/>
    <n v="8"/>
    <e v="#VALUE!"/>
    <s v="Propio"/>
    <s v="Bueno "/>
    <x v="2"/>
    <s v="NO"/>
    <s v="NO APLICA"/>
    <s v="NO"/>
    <x v="1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Bajo costo"/>
    <s v="Visualizador de venas "/>
    <s v="Venoscope"/>
    <s v="VT03"/>
    <s v="S/N"/>
    <s v=" "/>
    <n v="2021"/>
    <n v="8"/>
    <n v="5"/>
    <s v="Comodato"/>
    <s v="Bueno "/>
    <x v="2"/>
    <s v="NO"/>
    <s v="NO APLICA"/>
    <s v="NO"/>
    <x v="1"/>
    <s v="EXTERNO"/>
    <s v="AMILAB"/>
    <m/>
    <m/>
    <m/>
    <m/>
    <m/>
    <m/>
    <m/>
    <m/>
    <m/>
    <m/>
    <m/>
    <m/>
    <m/>
    <m/>
    <m/>
  </r>
  <r>
    <s v="Laboratorio"/>
    <s v="Hospital Penco Lirquen"/>
    <s v="Laboratorio/Farmac"/>
    <s v="Alto Costo"/>
    <s v="Ultracongelador"/>
    <s v="ThermoFisher"/>
    <s v="Megafuse"/>
    <n v="43077902"/>
    <m/>
    <n v="2024"/>
    <n v="8"/>
    <n v="8"/>
    <s v="Comodato"/>
    <s v="BUENO"/>
    <x v="2"/>
    <s v="NO"/>
    <s v="NO APLICA"/>
    <s v="NO"/>
    <x v="1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Alto Costo"/>
    <s v="Refrigerador Clínico"/>
    <s v="Midea"/>
    <s v="MC-5L1006"/>
    <s v="541-K5740002"/>
    <m/>
    <n v="2024"/>
    <n v="8"/>
    <n v="8"/>
    <s v="Comodato"/>
    <s v="BUENO"/>
    <x v="2"/>
    <s v="NO"/>
    <s v="NO APLICA"/>
    <s v="NO"/>
    <x v="1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Apoyo Diagnóstico"/>
    <s v="Bajo costo"/>
    <s v="Balanza agitadora de sangre"/>
    <s v="LIUNBERG &amp; KOGEL"/>
    <s v="Biomixer 3030-1"/>
    <n v="3310657"/>
    <m/>
    <n v="2022"/>
    <n v="10"/>
    <n v="8"/>
    <s v="Propio"/>
    <s v="Bueno "/>
    <x v="1"/>
    <s v="SI"/>
    <d v="2024-08-02T00:00:00"/>
    <s v="SI"/>
    <x v="2"/>
    <s v="CONTRATO"/>
    <s v="Farmalatina"/>
    <s v="1057540-58-L122"/>
    <m/>
    <n v="1"/>
    <m/>
    <m/>
    <s v="ꓣ"/>
    <m/>
    <s v="√"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05020302-2"/>
    <s v="HPL27664"/>
    <n v="2016"/>
    <n v="10"/>
    <n v="2"/>
    <s v="Propio"/>
    <s v="Bueno "/>
    <x v="1"/>
    <s v="NO"/>
    <s v="NO APLICA"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16031401-1"/>
    <s v="HPL27714"/>
    <n v="2016"/>
    <n v="10"/>
    <n v="2"/>
    <s v="Propio"/>
    <s v="Bueno "/>
    <x v="1"/>
    <s v="NO"/>
    <s v="NO APLICA"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"/>
    <s v="Hospital Penco Lirquen"/>
    <s v="Laboratorio/Farmac"/>
    <s v="Mediano Costo "/>
    <s v="Estufa cultivo TBC"/>
    <s v="Amilab"/>
    <s v="Camara TBC 800"/>
    <n v="2608"/>
    <s v="HPL27710"/>
    <n v="2017"/>
    <n v="8"/>
    <n v="1"/>
    <s v="Propio"/>
    <s v="Bueno "/>
    <x v="1"/>
    <s v="NO"/>
    <m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362"/>
    <s v="HPL30293"/>
    <n v="2016"/>
    <n v="8"/>
    <n v="0"/>
    <s v="Propio"/>
    <s v="Bueno "/>
    <x v="1"/>
    <s v="NO"/>
    <m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943"/>
    <s v="HPL30294"/>
    <n v="2016"/>
    <n v="8"/>
    <n v="0"/>
    <s v="Propio"/>
    <s v="Bueno "/>
    <x v="1"/>
    <s v="NO"/>
    <m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"/>
    <s v="Hospital Penco Lirquen"/>
    <s v="Laboratorio/Farmac"/>
    <s v="Bajo costo"/>
    <s v="Frigobar TBC"/>
    <s v="LIBERO"/>
    <s v="LFB-101S"/>
    <s v="S/N"/>
    <s v=" SST 28.244 "/>
    <n v="2016"/>
    <n v="8"/>
    <n v="0"/>
    <s v="Propio"/>
    <s v="Bueno "/>
    <x v="1"/>
    <s v="NO"/>
    <s v="NO APLICA"/>
    <s v="SI"/>
    <x v="2"/>
    <s v="CONTRATO"/>
    <s v="CLIMATICPRO"/>
    <s v="1057540-100-LE23"/>
    <n v="53550"/>
    <n v="1"/>
    <m/>
    <m/>
    <m/>
    <m/>
    <m/>
    <m/>
    <m/>
    <s v="X"/>
    <m/>
    <m/>
    <m/>
    <m/>
  </r>
  <r>
    <s v="Laboratorio"/>
    <s v="Hospital Penco Lirquen"/>
    <s v="Laboratorio/Farmac"/>
    <s v="Mediano Costo "/>
    <s v="Refrigerador Clinico"/>
    <s v="MAIGAS"/>
    <s v="LG-350"/>
    <s v="FCV55542"/>
    <s v=" "/>
    <n v="2017"/>
    <n v="8"/>
    <n v="1"/>
    <s v="Propio"/>
    <s v="Bueno "/>
    <x v="1"/>
    <s v="NO"/>
    <s v="NO APLICA"/>
    <s v="SI"/>
    <x v="2"/>
    <s v="CONTRATO"/>
    <s v="CLIMATICPRO"/>
    <s v="1057540-100-LE23"/>
    <n v="53550"/>
    <n v="1"/>
    <m/>
    <m/>
    <m/>
    <m/>
    <m/>
    <m/>
    <m/>
    <s v="X"/>
    <m/>
    <m/>
    <m/>
    <m/>
  </r>
  <r>
    <s v="Laboratorio"/>
    <s v="Hospital Penco Lirquen"/>
    <s v="Laboratorio/Farmac"/>
    <s v="Alto Costo"/>
    <s v="Refrigerador Ultracongelador Vertical 100Lt"/>
    <s v="Haier"/>
    <s v="DW-86L100J"/>
    <s v="BE0FT3E1T00QGLB90011"/>
    <m/>
    <n v="2022"/>
    <n v="8"/>
    <n v="6"/>
    <s v="Propio"/>
    <s v="Bueno "/>
    <x v="1"/>
    <s v="SI"/>
    <n v="2024"/>
    <s v="SI"/>
    <x v="2"/>
    <s v="CONTRATO"/>
    <s v="CLIMATICPRO"/>
    <s v="1057540-100-LE23"/>
    <n v="53550"/>
    <n v="1"/>
    <m/>
    <m/>
    <m/>
    <m/>
    <m/>
    <m/>
    <m/>
    <s v="X"/>
    <m/>
    <m/>
    <m/>
    <m/>
  </r>
  <r>
    <s v="Laboratorio"/>
    <s v="Hospital Penco Lirquen"/>
    <s v="Laboratorio/Farmac"/>
    <s v="Alto Costo"/>
    <s v="Coagulómetro"/>
    <s v="Cobas"/>
    <s v="T 411"/>
    <s v="18008-00804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2"/>
    <m/>
    <m/>
    <m/>
    <m/>
    <s v="√"/>
    <m/>
    <m/>
    <m/>
    <m/>
    <m/>
    <s v="X"/>
    <m/>
  </r>
  <r>
    <s v="Laboratorio"/>
    <s v="Hospital Penco Lirquen"/>
    <s v="Laboratorio/Farmac"/>
    <s v="Alto Costo"/>
    <s v="Contador hematológico"/>
    <s v="Sysmex"/>
    <s v="XN-1000"/>
    <n v="52045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601"/>
    <s v="SU0902847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701"/>
    <s v="SV1002171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411"/>
    <n v="20638"/>
    <m/>
    <n v="2024"/>
    <n v="8"/>
    <n v="8"/>
    <s v="Comodato"/>
    <s v="BUENO"/>
    <x v="1"/>
    <s v="NO"/>
    <s v="NO APLICA"/>
    <s v="SI"/>
    <x v="3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Alto Costo"/>
    <s v="Analizador de química clínica"/>
    <s v="Cobas"/>
    <s v="pure sample supply Unit"/>
    <s v="22H6-07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química clínica"/>
    <s v="Cobas"/>
    <s v="pure c303"/>
    <s v="22L2-04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microbiología"/>
    <s v="Cobas"/>
    <s v="pure e402"/>
    <s v="22F4-05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química clínica"/>
    <s v="Cobas"/>
    <s v="pro sample supply unit"/>
    <s v="22J5-08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Analizador de química clínica"/>
    <s v="Cobas"/>
    <s v="pro  c503"/>
    <s v="22R5-06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Equipo de bioquímica"/>
    <s v="Cobas"/>
    <s v="pro ISE analytical unit"/>
    <s v="22R9-06"/>
    <m/>
    <n v="2024"/>
    <n v="8"/>
    <n v="8"/>
    <s v="Comodato"/>
    <s v="BUENO"/>
    <x v="1"/>
    <s v="NO"/>
    <s v="NO APLICA"/>
    <s v="SI"/>
    <x v="2"/>
    <s v="CONTRATO"/>
    <s v="ROCHE"/>
    <s v="1057540-126-LP23"/>
    <n v="0"/>
    <n v="1"/>
    <m/>
    <m/>
    <m/>
    <m/>
    <m/>
    <m/>
    <m/>
    <m/>
    <m/>
    <m/>
    <m/>
    <s v="X"/>
  </r>
  <r>
    <s v="Laboratorio "/>
    <s v="Hospital Penco Lirquen"/>
    <s v="Monitoreo"/>
    <s v="Mediano Costo "/>
    <s v="Monitor de signos vitales"/>
    <s v="Criticare"/>
    <s v="506DN "/>
    <n v="122010786"/>
    <s v="HPL30046"/>
    <n v="2022"/>
    <n v="8"/>
    <n v="6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Laboratorio - 14A"/>
    <s v="Hospital Penco Lirquen"/>
    <s v="Laboratorio/Farmac"/>
    <s v="Alto Costo"/>
    <s v="Analizador de hormonas"/>
    <s v="Roche"/>
    <s v="COBAS E411"/>
    <s v="6256-05"/>
    <s v=" "/>
    <n v="2022"/>
    <n v="8"/>
    <n v="6"/>
    <s v="Comodato"/>
    <s v="Bueno "/>
    <x v="3"/>
    <m/>
    <m/>
    <s v="SI"/>
    <x v="0"/>
    <s v="CONTRATO"/>
    <s v="ROCHE"/>
    <m/>
    <m/>
    <n v="1"/>
    <m/>
    <m/>
    <m/>
    <m/>
    <m/>
    <m/>
    <m/>
    <m/>
    <s v="X"/>
    <m/>
    <m/>
    <m/>
  </r>
  <r>
    <s v="Laboratorio - 14A"/>
    <s v="Hospital Penco Lirquen"/>
    <s v="Esterilización"/>
    <s v="Alto Costo"/>
    <s v="Autoclave laboratorio"/>
    <s v="Raypa"/>
    <s v="AE-110 DRY"/>
    <n v="38742"/>
    <s v="HPL27735"/>
    <n v="2017"/>
    <n v="10"/>
    <n v="3"/>
    <s v="Propio"/>
    <s v="Bueno "/>
    <x v="3"/>
    <s v="NO"/>
    <m/>
    <s v="SI"/>
    <x v="0"/>
    <s v="EXTERNO"/>
    <s v="International Clinics"/>
    <s v="PENDIENTE"/>
    <n v="1737400"/>
    <n v="1"/>
    <m/>
    <s v="√"/>
    <m/>
    <m/>
    <m/>
    <m/>
    <m/>
    <m/>
    <m/>
    <m/>
    <m/>
    <m/>
  </r>
  <r>
    <s v="Laboratorio - 14A"/>
    <s v="Hospital Penco Lirquen"/>
    <s v="Esterilización"/>
    <s v="Alto Costo"/>
    <s v="Autoclave laboratorio"/>
    <s v="Raypa"/>
    <s v="AE-110 DRY"/>
    <n v="39297"/>
    <s v="HPL27736"/>
    <n v="2017"/>
    <n v="10"/>
    <n v="3"/>
    <s v="Propio"/>
    <s v="Bueno "/>
    <x v="3"/>
    <s v="NO"/>
    <m/>
    <s v="SI"/>
    <x v="0"/>
    <s v="EXTERNO"/>
    <s v="International Clinics"/>
    <s v="PENDIENTE"/>
    <n v="1737400"/>
    <m/>
    <m/>
    <m/>
    <m/>
    <m/>
    <m/>
    <m/>
    <m/>
    <m/>
    <m/>
    <m/>
    <m/>
    <m/>
  </r>
  <r>
    <s v="Laboratorio - 14A"/>
    <s v="Hospital Penco Lirquen"/>
    <s v="Laboratorio/Farmac"/>
    <s v="Alto Costo"/>
    <s v="Cámara de bioseguridad"/>
    <s v="ESCO"/>
    <s v="AC2-3E8"/>
    <s v="2012-65696"/>
    <s v="HPL27703"/>
    <n v="2017"/>
    <n v="8"/>
    <n v="1"/>
    <s v="Propio"/>
    <s v="Bueno "/>
    <x v="3"/>
    <s v="NO"/>
    <m/>
    <s v="SI"/>
    <x v="0"/>
    <s v="EXTERNO"/>
    <s v="NEWLAB"/>
    <s v="1057540-16-LE24"/>
    <n v="49980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Centrifuga lavadora de globulos"/>
    <s v="ALC"/>
    <s v="42 CM"/>
    <n v="30006061"/>
    <s v="HPL27719"/>
    <n v="2016"/>
    <n v="8"/>
    <n v="0"/>
    <s v="Propio"/>
    <s v="Bueno "/>
    <x v="1"/>
    <s v="NO"/>
    <s v="NO APLICA"/>
    <s v="SI"/>
    <x v="0"/>
    <s v="EXTERNO"/>
    <s v="NEWLAB"/>
    <s v="1057540-16-LE24"/>
    <n v="9520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Centrifuga universal"/>
    <s v="Yingtai"/>
    <s v="TD5A"/>
    <n v="24131601008"/>
    <s v="HPL27766"/>
    <n v="2016"/>
    <n v="8"/>
    <n v="0"/>
    <s v="Propio"/>
    <s v="Bueno "/>
    <x v="1"/>
    <s v="NO"/>
    <s v="NO APLICA"/>
    <s v="SI"/>
    <x v="0"/>
    <s v="EXTERNO"/>
    <s v="NEWLAB"/>
    <s v="1057540-16-LE24"/>
    <n v="95200"/>
    <n v="1"/>
    <m/>
    <m/>
    <m/>
    <m/>
    <s v="√"/>
    <m/>
    <m/>
    <m/>
    <m/>
    <m/>
    <m/>
    <m/>
  </r>
  <r>
    <s v="Laboratorio - 14A"/>
    <s v="Hospital Penco Lirquen"/>
    <s v="Laboratorio/Farmac"/>
    <s v="Alto Costo"/>
    <s v="Centrifuga universal"/>
    <s v="Eppendorf"/>
    <s v="Centrifuge 5810"/>
    <s v="5810KM169103"/>
    <s v="HPL30193"/>
    <n v="2022"/>
    <n v="8"/>
    <n v="6"/>
    <s v="Propio"/>
    <s v="Bueno "/>
    <x v="1"/>
    <s v="SI"/>
    <n v="2024"/>
    <s v="SI"/>
    <x v="2"/>
    <s v="EXTERNO"/>
    <s v="NEWLAB"/>
    <s v="1057540-16-LE24"/>
    <n v="9520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Centrifuga universal sobremesa"/>
    <s v="N/A"/>
    <s v="TDZ4WS"/>
    <s v="B013060155"/>
    <s v="HPL30221"/>
    <n v="2015"/>
    <n v="8"/>
    <n v="-1"/>
    <s v="Propio"/>
    <s v="Bueno "/>
    <x v="1"/>
    <s v="NO"/>
    <m/>
    <s v="SI"/>
    <x v="0"/>
    <s v="EXTERNO"/>
    <s v="NEWLAB"/>
    <s v="1057540-16-LE24"/>
    <n v="9520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Estufa de secado"/>
    <s v="Memmert"/>
    <s v="UF 110"/>
    <s v="B4152848"/>
    <s v="HPL27740"/>
    <n v="2016"/>
    <n v="8"/>
    <n v="0"/>
    <s v="Propio"/>
    <s v="Bueno "/>
    <x v="1"/>
    <s v="NO"/>
    <m/>
    <s v="SI"/>
    <x v="0"/>
    <s v="EXTERNO"/>
    <s v="NEWLAB"/>
    <s v="1057540-16-LE24"/>
    <n v="8330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n v="2020004"/>
    <s v="HPL27987"/>
    <n v="2016"/>
    <n v="8"/>
    <n v="0"/>
    <s v="Propio"/>
    <s v="Bueno "/>
    <x v="1"/>
    <s v="NO"/>
    <s v="NO APLICA"/>
    <s v="SI"/>
    <x v="0"/>
    <s v="EXTERNO"/>
    <s v="NEWLAB"/>
    <s v="1057540-16-LE24"/>
    <n v="5355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s v="SM1-16020003"/>
    <s v="HPL27783"/>
    <n v="2016"/>
    <n v="8"/>
    <n v="0"/>
    <s v="Propio"/>
    <s v="Bueno "/>
    <x v="1"/>
    <s v="NO"/>
    <s v="NO APLICA"/>
    <s v="SI"/>
    <x v="0"/>
    <s v="EXTERNO"/>
    <s v="NEWLAB"/>
    <s v="1057540-16-LE24"/>
    <n v="53550"/>
    <n v="1"/>
    <m/>
    <m/>
    <m/>
    <m/>
    <s v="√"/>
    <m/>
    <m/>
    <m/>
    <m/>
    <m/>
    <m/>
    <m/>
  </r>
  <r>
    <s v="Laboratorio - 14A"/>
    <s v="Hospital Penco Lirquen"/>
    <s v="Laboratorio/Farmac"/>
    <s v="Mediano Costo "/>
    <s v="Rotador RPR"/>
    <s v="Digisystem"/>
    <s v="DSR-2100D-N"/>
    <s v="RD1-160200046"/>
    <s v="HPL27784"/>
    <n v="2016"/>
    <n v="8"/>
    <n v="0"/>
    <s v="Propio"/>
    <s v="Bueno "/>
    <x v="1"/>
    <s v="NO"/>
    <s v="NO APLICA"/>
    <s v="SI"/>
    <x v="0"/>
    <s v="EXTERNO"/>
    <s v="NEWLAB"/>
    <s v="1057540-16-LE24"/>
    <n v="53550"/>
    <n v="1"/>
    <m/>
    <m/>
    <m/>
    <m/>
    <s v="√"/>
    <m/>
    <m/>
    <m/>
    <m/>
    <m/>
    <m/>
    <m/>
  </r>
  <r>
    <s v="Laboratorio - 14B"/>
    <s v="Hospital Penco Lirquen"/>
    <s v="Laboratorio/Farmac"/>
    <s v="Mediano Costo "/>
    <s v="Vitrina refrigerada UMT"/>
    <s v="Sanyo"/>
    <s v="MBR-1070"/>
    <n v="10040121"/>
    <s v="HPL27729"/>
    <n v="2015"/>
    <n v="10"/>
    <n v="1"/>
    <s v="Propio"/>
    <s v="Bueno "/>
    <x v="3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Piano hematologico"/>
    <s v="P + L electronica"/>
    <s v="S/M"/>
    <n v="2913"/>
    <s v="HPL29872"/>
    <n v="2013"/>
    <n v="8"/>
    <n v="-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Laboratorio/Farmac"/>
    <s v="Mediano Costo "/>
    <s v="Piano hematologico"/>
    <s v="Selecta"/>
    <s v="Cell Counter CC1431"/>
    <n v="622576"/>
    <s v="HPL29938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Apoyo Quirúrgico"/>
    <s v="Alto Costo"/>
    <s v="Microscopio universal"/>
    <s v="Olympus"/>
    <s v="CX 41"/>
    <s v="5B42517"/>
    <s v="HPL27691"/>
    <n v="2016"/>
    <n v="10"/>
    <n v="2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E41716"/>
    <s v="HPL27692"/>
    <n v="2016"/>
    <n v="10"/>
    <n v="2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F41779"/>
    <s v="HPL27779"/>
    <n v="2016"/>
    <n v="10"/>
    <n v="2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BX 43"/>
    <s v="5K41897"/>
    <s v="HPL27799"/>
    <n v="2016"/>
    <n v="10"/>
    <n v="2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Laboratorio/Farmac"/>
    <s v="Mediano Costo "/>
    <s v="Refrigerador Clinico"/>
    <s v="Smeg"/>
    <s v="FD30G1"/>
    <n v="5122200061"/>
    <s v="HPL27881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Refrigerador Clinico"/>
    <s v="Smeg"/>
    <s v="FD30G1"/>
    <n v="5122200081"/>
    <s v="HPL27882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Refrigerador Clinico"/>
    <s v="Smeg"/>
    <s v="FD30G1"/>
    <n v="5122200141"/>
    <s v="HPL27883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Refrigerador Clinico"/>
    <s v="Haier"/>
    <s v="HYC-610-ARQ"/>
    <s v="QJG2E0001"/>
    <s v="HPL27880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Vitrina refrigerada"/>
    <s v="Amilab"/>
    <s v="S/N"/>
    <n v="2064"/>
    <s v="HPL29869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Laboratorio - 14B"/>
    <s v="Hospital Penco Lirquen"/>
    <s v="Laboratorio/Farmac"/>
    <s v="Mediano Costo "/>
    <s v="Vitrina refrigerada"/>
    <s v="Amilab"/>
    <s v="S/N"/>
    <n v="2246"/>
    <s v="HPL29870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Pabellón"/>
    <s v="Hospital Penco Lirquen"/>
    <s v="Mobiliario"/>
    <s v="Bajo costo"/>
    <s v="Carro de Anestesia (mobiliario)"/>
    <s v="Malvestio"/>
    <s v="Linkar 329622"/>
    <n v="287"/>
    <s v="HPL29856"/>
    <n v="2016"/>
    <n v="8"/>
    <n v="0"/>
    <s v="Propio"/>
    <s v="Bueno "/>
    <x v="2"/>
    <s v="NO"/>
    <s v="NO APLICA"/>
    <s v="NO"/>
    <x v="1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de Anestesia (mobiliario)"/>
    <s v="Malvestio"/>
    <s v="Linkar 329622"/>
    <n v="288"/>
    <s v="HPL29857"/>
    <n v="2016"/>
    <n v="8"/>
    <n v="0"/>
    <s v="Propio"/>
    <s v="Bueno "/>
    <x v="2"/>
    <s v="NO"/>
    <s v="NO APLICA"/>
    <s v="NO"/>
    <x v="1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2"/>
    <s v="HPL29973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3"/>
    <s v="HPL29974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1"/>
    <s v="HPL29982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4"/>
    <s v="HPL29984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n v="320810"/>
    <n v="20009468"/>
    <s v="HPL2999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1"/>
    <s v="HPL30002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6"/>
    <s v="HPL30007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7"/>
    <s v="HPL30008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83"/>
    <s v="HPL30009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examen"/>
    <s v="Malvestio"/>
    <m/>
    <n v="20009617"/>
    <s v="HPL3001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771"/>
    <s v="HPL30016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5"/>
    <s v="HPL30022"/>
    <n v="2017"/>
    <n v="10"/>
    <n v="3"/>
    <s v="Propi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6"/>
    <s v="HPL30023"/>
    <n v="2017"/>
    <n v="10"/>
    <n v="3"/>
    <s v="Propi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Base de anestesia"/>
    <s v="Fresenius Kabi"/>
    <s v="Base primea"/>
    <n v="23252533"/>
    <s v="HPL30024"/>
    <n v="2017"/>
    <n v="8"/>
    <n v="1"/>
    <s v="Propi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Bomba anestesia TIVA"/>
    <s v="Fresenius Kabi"/>
    <s v="Agilia SP TIVA CL"/>
    <n v="24789111"/>
    <s v="HPL30025"/>
    <n v="2019"/>
    <n v="8"/>
    <n v="3"/>
    <s v="Propi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nfusión continua"/>
    <s v="Fresenius Kabi"/>
    <s v="Agilia SP TIVA CL"/>
    <n v="24789112"/>
    <s v="HPL28456"/>
    <n v="2020"/>
    <n v="8"/>
    <n v="4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"/>
    <s v="Hospital Penco Lirquen"/>
    <s v="Apoyo Diagnóstico"/>
    <s v="Bajo costo"/>
    <s v="Balanza pediatrica con cartabon"/>
    <s v="Seca"/>
    <n v="354"/>
    <n v="8354245151019"/>
    <s v="HPL30115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Lámpara de procedimientos"/>
    <s v="Welchallyn"/>
    <s v="GS-600"/>
    <s v="150112"/>
    <s v="HPL30141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Shaver Handpiece"/>
    <s v="Stryker"/>
    <s v="Formula"/>
    <s v="22A542174"/>
    <s v="HPL30176"/>
    <n v="2022"/>
    <n v="8"/>
    <n v="6"/>
    <s v="Propio"/>
    <s v="Bueno "/>
    <x v="2"/>
    <s v="NO"/>
    <n v="2023"/>
    <s v="NO"/>
    <x v="1"/>
    <s v="EXTERNO"/>
    <s v="Stryker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tre clínico metálico "/>
    <s v="N/A"/>
    <s v="S/N"/>
    <s v="S/N"/>
    <s v="HPL30287"/>
    <n v="2015"/>
    <n v="8"/>
    <n v="-1"/>
    <s v="Propio"/>
    <s v="Bueno "/>
    <x v="2"/>
    <s v="NO"/>
    <s v="NO APLICA"/>
    <s v="NO"/>
    <x v="1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Dermátomo"/>
    <s v="Aesculap"/>
    <s v="Acculan 3 TI"/>
    <s v="S/N"/>
    <s v="HPL30290"/>
    <n v="2016"/>
    <n v="8"/>
    <n v="0"/>
    <s v="Propio"/>
    <s v="Bueno "/>
    <x v="2"/>
    <s v="NO"/>
    <s v="NO APLICA"/>
    <s v="NO"/>
    <x v="1"/>
    <s v="EX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"/>
    <s v="Truphatek"/>
    <s v="S/N"/>
    <s v="S/N"/>
    <s v="HPL30316"/>
    <n v="2015"/>
    <n v="8"/>
    <n v="-1"/>
    <s v="Propio"/>
    <s v="Bueno "/>
    <x v="2"/>
    <s v="NO"/>
    <s v="NO APLICA"/>
    <s v="NO"/>
    <x v="1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Sunmed"/>
    <s v="Kit especial"/>
    <s v="S/N"/>
    <s v="HPL30317"/>
    <n v="2016"/>
    <n v="8"/>
    <n v="0"/>
    <s v="Propio"/>
    <s v="Bueno "/>
    <x v="2"/>
    <s v="NO"/>
    <s v="NO APLICA"/>
    <s v="NO"/>
    <x v="1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Equip"/>
    <s v="Macintosh"/>
    <s v="S/N"/>
    <s v="HPL30318"/>
    <n v="2016"/>
    <n v="8"/>
    <n v="0"/>
    <s v="Propio"/>
    <s v="Bueno "/>
    <x v="2"/>
    <s v="NO"/>
    <s v="NO APLICA"/>
    <s v="NO"/>
    <x v="1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pediátrico"/>
    <s v="Equip"/>
    <s v="Macintosh"/>
    <s v="S/N"/>
    <s v="HPL30321"/>
    <n v="2016"/>
    <n v="8"/>
    <n v="0"/>
    <s v="Propio"/>
    <s v="Bueno "/>
    <x v="2"/>
    <s v="NO"/>
    <s v="NO APLICA"/>
    <s v="NO"/>
    <x v="1"/>
    <s v="INTERNO"/>
    <m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Placa Radiante"/>
    <s v="Drager"/>
    <s v="GSDTC2"/>
    <s v="S/N"/>
    <s v="HPL30350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Paro (mobiliario)"/>
    <s v="Capsa- solution"/>
    <s v="Avalo"/>
    <s v="S2132310"/>
    <s v="HPL30362"/>
    <n v="2015"/>
    <n v="8"/>
    <n v="-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40110"/>
    <s v="HPL30376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01"/>
    <s v="HPL30377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45"/>
    <s v="HPL30378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rrigación histeroscopio"/>
    <s v="Storz"/>
    <s v="Hamou endomat 26331020"/>
    <s v="XT14714"/>
    <s v="HPL30397"/>
    <n v="2015"/>
    <n v="8"/>
    <n v="-1"/>
    <s v="Propio"/>
    <s v="Bueno "/>
    <x v="2"/>
    <s v="NO"/>
    <s v="NO APLICA"/>
    <s v="NO"/>
    <x v="1"/>
    <s v="EXTERNO"/>
    <s v="STORZ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Morcelador"/>
    <s v="Storz"/>
    <n v="20701020"/>
    <s v="XT3940"/>
    <s v="HPL30398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XU4057"/>
    <s v="HPL30399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YU4084"/>
    <s v="HPL30408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Alto Costo"/>
    <s v="Lampara Quirúrgica"/>
    <s v="Trilux"/>
    <s v="Aurimio L120"/>
    <n v="96"/>
    <s v="HPL29853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"/>
    <s v="Hospital Penco Lirquen"/>
    <s v="Apoyo Quirúrgico"/>
    <s v="Mediano Costo "/>
    <s v="Pantalla quirúrgica"/>
    <s v="NDS"/>
    <s v="SC-WU24-A1515"/>
    <s v="15-250669"/>
    <s v="HPL30144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"/>
    <s v="Hospital Penco Lirquen"/>
    <s v="Apoyo Quirúrgico"/>
    <s v="Mediano Costo "/>
    <s v="Pantalla quirúrgica"/>
    <s v="NDS"/>
    <s v="SC-WU24-A1515"/>
    <s v="15-250670"/>
    <s v="HPL30145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"/>
    <s v="Hospital Penco Lirquen"/>
    <s v="Apoyo Quirúrgico"/>
    <s v="Mediano Costo "/>
    <s v="Pantalla quirúrgica"/>
    <s v="NDS"/>
    <s v="SC-WU24-A1515"/>
    <s v="15-255061"/>
    <s v="HPL30146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 - 3A"/>
    <s v="Hospital Penco Lirquen"/>
    <s v="Apoyo Terapéutico"/>
    <s v="Alto Costo"/>
    <s v="Cuna radiante"/>
    <s v="Drager"/>
    <s v="Resuscitaire"/>
    <s v="NY10729"/>
    <s v="HPL30289"/>
    <n v="2016"/>
    <n v="8"/>
    <n v="0"/>
    <s v="Propio"/>
    <s v="Bueno "/>
    <x v="1"/>
    <s v="NO"/>
    <s v="NO APLICA"/>
    <s v="SI"/>
    <x v="0"/>
    <s v="CONTRATO"/>
    <s v="Drager"/>
    <s v="1057540-83-LE23"/>
    <n v="1286662"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desfibrilador "/>
    <s v="Zoll medical"/>
    <s v="Serie R ALS"/>
    <s v="AF15D045656"/>
    <s v="HPL30212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desfibrilador"/>
    <s v="Zoll medical"/>
    <s v="Serie R ALS"/>
    <s v="AF15D045672"/>
    <s v="HPL30214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Nihon Kohden"/>
    <s v="PVM-2701"/>
    <n v="115405"/>
    <s v="HPL29912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Nihon Kohden"/>
    <s v="PVM-2701"/>
    <n v="115425"/>
    <s v="HPL29914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Nihon Kohden"/>
    <s v="PVM-2701"/>
    <n v="115426"/>
    <s v="HPL29915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Nihon Kohden"/>
    <s v="PVM-2701"/>
    <n v="115432"/>
    <s v="HPL29916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Nihon Kohden"/>
    <s v="PVM-2701"/>
    <n v="115467"/>
    <s v="HPL29918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Equipos Médicos"/>
    <s v="Hospital Penco Lirquen"/>
    <s v="Monitoreo"/>
    <s v="Mediano Costo "/>
    <s v="Monitor de signos vitales"/>
    <s v="Indura"/>
    <s v="Lifecare 740"/>
    <n v="1022045"/>
    <s v="HPL29945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Fukuda Denshi"/>
    <s v="Dinascope DSL-8001"/>
    <n v="50200447"/>
    <s v="HPL30032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Pabellón"/>
    <s v="Hospital Penco Lirquen"/>
    <s v="Monitoreo"/>
    <s v="Mediano Costo "/>
    <s v="Monitor ECG Baja Complejidad"/>
    <s v="General Electric"/>
    <s v="B20"/>
    <s v="SGF15131188WA"/>
    <s v="HPL30368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√"/>
    <m/>
    <m/>
    <m/>
    <m/>
    <m/>
    <s v="X"/>
    <m/>
    <m/>
  </r>
  <r>
    <s v="Especialidades Dental - 12"/>
    <s v="Hospital Penco Lirquen"/>
    <s v="Apoyo Quirúrgico"/>
    <s v="Alto Costo"/>
    <s v="Microscopio otorrino"/>
    <s v="Ecleris"/>
    <s v="Halolux 150"/>
    <s v="MC2141R0008113283"/>
    <s v="HPL18634"/>
    <n v="2016"/>
    <n v="10"/>
    <n v="2"/>
    <s v="Propio"/>
    <s v="Bueno "/>
    <x v="2"/>
    <s v="NO"/>
    <s v="NO APLICA"/>
    <s v="SI"/>
    <x v="0"/>
    <s v="EXTERNO"/>
    <s v="NEWLAB"/>
    <s v="1057540-130-LE23"/>
    <n v="595000"/>
    <m/>
    <m/>
    <m/>
    <m/>
    <m/>
    <m/>
    <m/>
    <m/>
    <m/>
    <m/>
    <m/>
    <m/>
    <m/>
  </r>
  <r>
    <s v="Pabellón - 3A"/>
    <s v="Hospital Penco Lirquen"/>
    <s v="Imagenología"/>
    <s v="Alto Costo"/>
    <s v="Ecógrafo"/>
    <s v="General Electric"/>
    <s v="Logiq S7"/>
    <s v="288250SU4"/>
    <s v="HPL30179"/>
    <n v="2015"/>
    <n v="8"/>
    <n v="-1"/>
    <s v="Propio"/>
    <s v="Bueno "/>
    <x v="3"/>
    <s v="NO"/>
    <s v="NO APLICA"/>
    <s v="SI"/>
    <x v="0"/>
    <s v="EXTERNO"/>
    <s v="HOSER"/>
    <s v="1057540-17-LE23"/>
    <n v="1666000"/>
    <n v="2"/>
    <m/>
    <s v="√"/>
    <m/>
    <m/>
    <m/>
    <m/>
    <m/>
    <s v="X"/>
    <m/>
    <m/>
    <m/>
    <m/>
  </r>
  <r>
    <s v="Pabellón - 3A"/>
    <s v="Hospital Penco Lirquen"/>
    <s v="Apoyo Diagnóstico"/>
    <s v="Bajo costo"/>
    <s v="Balanza con tallímetro"/>
    <s v="Doran Scales"/>
    <s v="DS 2100"/>
    <n v="1706"/>
    <s v="HPL29866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54143"/>
    <s v="HPL30048"/>
    <n v="2022"/>
    <n v="8"/>
    <n v="6"/>
    <s v="Propio"/>
    <s v="Bueno "/>
    <x v="2"/>
    <s v="SI"/>
    <n v="2024"/>
    <s v="NO"/>
    <x v="1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61111"/>
    <s v="HPL30049"/>
    <n v="2022"/>
    <n v="8"/>
    <n v="6"/>
    <s v="Propio"/>
    <s v="Bueno "/>
    <x v="2"/>
    <s v="SI"/>
    <n v="2024"/>
    <s v="NO"/>
    <x v="1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Equipo de Isquemia "/>
    <s v="Zimmer"/>
    <s v="ATS 4000TS"/>
    <n v="402007220009"/>
    <s v="HPL30111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Alto Costo"/>
    <s v="Facoemulsificador"/>
    <s v="Alcon"/>
    <s v="Infiniti 50350511"/>
    <s v="0501121401X"/>
    <s v="HPL30131"/>
    <n v="2016"/>
    <n v="8"/>
    <n v="0"/>
    <s v="Propio"/>
    <s v="MALO"/>
    <x v="2"/>
    <s v="NO"/>
    <s v="NO APLICA"/>
    <s v="NO"/>
    <x v="1"/>
    <s v="EXTERNO"/>
    <s v="ALCON"/>
    <m/>
    <m/>
    <m/>
    <m/>
    <m/>
    <m/>
    <m/>
    <m/>
    <m/>
    <m/>
    <m/>
    <m/>
    <m/>
    <m/>
    <m/>
  </r>
  <r>
    <s v="Pabellón - 3A"/>
    <s v="Hospital Penco Lirquen"/>
    <s v="Apoyo Quirúrgico"/>
    <s v="Mediano Costo "/>
    <s v="Insuflador de CO2"/>
    <s v="Aesculap"/>
    <s v="Flow 40"/>
    <s v="1012CE378"/>
    <s v="HPL30136"/>
    <n v="2015"/>
    <n v="8"/>
    <n v="-1"/>
    <s v="Propio"/>
    <s v="MALO"/>
    <x v="2"/>
    <s v="NO"/>
    <s v="NO APLICA"/>
    <s v="NO"/>
    <x v="1"/>
    <s v="EXTERNO"/>
    <s v="BBRAUN"/>
    <s v="NO APLICA"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continua"/>
    <s v="Fresenius Kabi"/>
    <s v="Injectomat TIVA Agilia"/>
    <s v="18080/23161347"/>
    <s v="HPL28455"/>
    <n v="2017"/>
    <n v="8"/>
    <n v="1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 - 3A"/>
    <s v="Hospital Penco Lirquen"/>
    <s v="Apoyo Terapéutico"/>
    <s v="Bajo costo"/>
    <s v="Calentador de suero"/>
    <s v="Ethermics"/>
    <s v="DC 250L"/>
    <s v="1857627-000"/>
    <s v="HPL3015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Mediano Costo "/>
    <s v="Electrobisturí"/>
    <s v="Storz"/>
    <s v="Autocon III UH400"/>
    <n v="40100309"/>
    <s v="HPL30027"/>
    <n v="2017"/>
    <n v="8"/>
    <n v="1"/>
    <s v="Propio"/>
    <s v="MALO"/>
    <x v="1"/>
    <s v="NO"/>
    <s v="NO APLICA"/>
    <s v="SI"/>
    <x v="0"/>
    <s v="EXTERNO"/>
    <s v="SIN REPRESENTANTE EN CHILE"/>
    <s v="1057540-65-LE21"/>
    <n v="128544"/>
    <n v="2"/>
    <m/>
    <m/>
    <s v="ꓣ"/>
    <m/>
    <m/>
    <m/>
    <m/>
    <m/>
    <s v="X"/>
    <m/>
    <m/>
    <m/>
  </r>
  <r>
    <s v="Pabellón - 3A"/>
    <s v="Hospital Penco Lirquen"/>
    <s v="Apoyo Quirúrgico"/>
    <s v="Alto Costo"/>
    <s v="Lampara Quirúrgica"/>
    <s v="Trilux"/>
    <s v="Aurimio L120"/>
    <n v="45"/>
    <s v="HPL29460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 - 3A"/>
    <s v="Hospital Penco Lirquen"/>
    <s v="Apoyo Quirúrgico"/>
    <s v="Alto Costo"/>
    <s v="Lampara Quirúrgica"/>
    <s v="Trilux"/>
    <s v="Aurimio L120"/>
    <n v="100"/>
    <s v="HPL29854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 - 3A"/>
    <s v="Hospital Penco Lirquen"/>
    <s v="Apoyo Quirúrgico"/>
    <s v="Alto Costo"/>
    <s v="Lampara Quirúrgica"/>
    <s v="Trilux"/>
    <s v="Aurimio L120"/>
    <n v="214"/>
    <s v="HPL29855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 - 3A"/>
    <s v="Hospital Penco Lirquen"/>
    <s v="Apoyo Quirúrgico"/>
    <s v="Alto Costo"/>
    <s v="Columna de gases"/>
    <s v="Trilux"/>
    <s v="DVE"/>
    <n v="1545"/>
    <s v="HPL29861"/>
    <n v="2016"/>
    <n v="10"/>
    <n v="2"/>
    <s v="Propio"/>
    <s v="Bueno "/>
    <x v="1"/>
    <s v="NO"/>
    <s v="NO APLICA"/>
    <s v="SI"/>
    <x v="2"/>
    <s v="CONTRATO"/>
    <s v="CODESUR"/>
    <s v="1057540-86-LE23"/>
    <n v="624750"/>
    <n v="1"/>
    <m/>
    <m/>
    <m/>
    <m/>
    <m/>
    <m/>
    <m/>
    <m/>
    <m/>
    <s v="X"/>
    <m/>
    <m/>
  </r>
  <r>
    <s v="Pabellón - 3A"/>
    <s v="Hospital Penco Lirquen"/>
    <s v="Apoyo Quirúrgico"/>
    <s v="Alto Costo"/>
    <s v="Columna de gases"/>
    <s v="Trilux"/>
    <s v="DVE"/>
    <n v="1546"/>
    <s v="HPL29862"/>
    <n v="2016"/>
    <n v="10"/>
    <n v="2"/>
    <s v="Propio"/>
    <s v="Bueno "/>
    <x v="1"/>
    <s v="NO"/>
    <s v="NO APLICA"/>
    <s v="SI"/>
    <x v="2"/>
    <s v="CONTRATO"/>
    <s v="CODESUR"/>
    <s v="1057540-86-LE23"/>
    <n v="625750"/>
    <n v="1"/>
    <m/>
    <m/>
    <m/>
    <m/>
    <m/>
    <m/>
    <m/>
    <m/>
    <m/>
    <s v="X"/>
    <m/>
    <m/>
  </r>
  <r>
    <s v="Pabellón - 3A"/>
    <s v="Hospital Penco Lirquen"/>
    <s v="Apoyo Quirúrgico"/>
    <s v="Mediano Costo "/>
    <s v="Insuflador de CO2 torre laparoscopia"/>
    <s v="Stryker"/>
    <s v="Neumosure"/>
    <s v="1510CE0298"/>
    <s v="HPL30142"/>
    <n v="2016"/>
    <n v="8"/>
    <n v="0"/>
    <s v="Propio"/>
    <s v="Bueno "/>
    <x v="1"/>
    <s v="NO"/>
    <s v="NO APLICA"/>
    <s v="SI"/>
    <x v="0"/>
    <s v="EXTERNO"/>
    <s v="Stryker"/>
    <s v="1057540-71-LE23"/>
    <n v="4186499"/>
    <n v="1"/>
    <m/>
    <m/>
    <m/>
    <m/>
    <m/>
    <m/>
    <m/>
    <s v="X"/>
    <m/>
    <m/>
    <m/>
    <m/>
  </r>
  <r>
    <s v="Pabellón - 3A"/>
    <s v="Hospital Penco Lirquen"/>
    <s v="Apoyo Terapéutico"/>
    <s v="Mediano Costo "/>
    <s v="Bomba de irrigación torre artroscopia"/>
    <s v="Stryker"/>
    <s v="Flosteady"/>
    <s v="1606CE0746"/>
    <s v="HPL30152"/>
    <n v="2017"/>
    <n v="8"/>
    <n v="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Fuente de luz torre laparoscopía"/>
    <s v="Stryker"/>
    <s v="L9000 0220210000"/>
    <s v="16A006674"/>
    <s v="HPL30153"/>
    <n v="2016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Alto Costo"/>
    <s v="Consola pieza de mano torre artroscopia"/>
    <s v="Stryker"/>
    <s v="Crossfire 2"/>
    <s v="16F025684"/>
    <s v="HPL30154"/>
    <n v="2017"/>
    <n v="10"/>
    <n v="3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Fuente de luz torre artroscopia"/>
    <s v="Stryker"/>
    <s v="L900"/>
    <s v="16J541444"/>
    <s v="HPL30155"/>
    <n v="2017"/>
    <n v="8"/>
    <n v="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Alto Costo"/>
    <s v="Facoemulsificador"/>
    <s v="Alcon"/>
    <s v="CENTURION"/>
    <s v="2101472801X"/>
    <s v="HPL30174"/>
    <n v="2021"/>
    <n v="8"/>
    <n v="5"/>
    <s v="Comodato"/>
    <s v="Bueno "/>
    <x v="1"/>
    <s v="NO"/>
    <s v="NO APLICA"/>
    <s v="SI"/>
    <x v="2"/>
    <s v="EXTERNO"/>
    <s v="ALCON"/>
    <s v="1057540-75-LR23"/>
    <m/>
    <n v="1"/>
    <m/>
    <m/>
    <m/>
    <s v="ꓣ"/>
    <s v="√"/>
    <m/>
    <m/>
    <m/>
    <m/>
    <m/>
    <m/>
    <m/>
  </r>
  <r>
    <s v="Pabellón - 3A"/>
    <s v="Hospital Penco Lirquen"/>
    <s v="Apoyo Quirúrgico"/>
    <s v="Mediano Costo "/>
    <s v="Electrobisturí"/>
    <s v="Covidien Valleylab"/>
    <s v="Force FX-8CS"/>
    <s v="S5F17901AX"/>
    <s v="HPL30364"/>
    <n v="2016"/>
    <n v="8"/>
    <n v="0"/>
    <s v="Propio"/>
    <s v="Bueno "/>
    <x v="1"/>
    <s v="NO"/>
    <s v="NO APLICA"/>
    <s v="SI"/>
    <x v="0"/>
    <s v="EXTERNO"/>
    <s v="CODESUR"/>
    <s v="1057540-110-LE23"/>
    <n v="170000"/>
    <n v="2"/>
    <m/>
    <m/>
    <s v="√"/>
    <m/>
    <m/>
    <m/>
    <m/>
    <m/>
    <s v="X"/>
    <m/>
    <m/>
    <m/>
  </r>
  <r>
    <s v="Pabellón - 3A"/>
    <s v="Hospital Penco Lirquen"/>
    <s v="Apoyo Quirúrgico"/>
    <s v="Mediano Costo "/>
    <s v="Electrobisturí"/>
    <s v="Covidien Valleylab"/>
    <s v="Force FX-8CS"/>
    <s v="S5F18139AX"/>
    <s v="HPL30365"/>
    <n v="2016"/>
    <n v="8"/>
    <n v="0"/>
    <s v="Propio"/>
    <s v="Bueno "/>
    <x v="1"/>
    <s v="NO"/>
    <s v="NO APLICA"/>
    <s v="SI"/>
    <x v="0"/>
    <s v="EXTERNO"/>
    <s v="CODESUR"/>
    <s v="1057540-110-LE23"/>
    <n v="170000"/>
    <n v="2"/>
    <m/>
    <m/>
    <s v="√"/>
    <m/>
    <m/>
    <m/>
    <m/>
    <m/>
    <s v="X"/>
    <m/>
    <m/>
    <m/>
  </r>
  <r>
    <s v="Pabellón - 3A"/>
    <s v="Hospital Penco Lirquen"/>
    <s v="Apoyo Diagnóstico"/>
    <s v="Mediano Costo "/>
    <s v="Electrocardiografo"/>
    <s v="General Electric"/>
    <s v="MAC 800"/>
    <s v="SJ416020027WA"/>
    <s v="HPL30372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s v="X"/>
    <m/>
    <m/>
  </r>
  <r>
    <s v="Pabellón - 3A"/>
    <s v="Hospital Penco Lirquen"/>
    <s v="Apoyo Diagnóstico"/>
    <s v="Bajo costo "/>
    <s v="Marcador digital"/>
    <s v="Alcon"/>
    <s v="Verion Digital Marker"/>
    <s v="M60845"/>
    <m/>
    <n v="2023"/>
    <n v="8"/>
    <n v="7"/>
    <s v="Comodato"/>
    <s v="Bueno "/>
    <x v="1"/>
    <s v="SI"/>
    <s v="NO APLICA"/>
    <s v="SI"/>
    <x v="2"/>
    <s v="EXTERNO"/>
    <s v="ALCON"/>
    <s v="1057540-75-LR23"/>
    <m/>
    <n v="1"/>
    <m/>
    <m/>
    <m/>
    <m/>
    <m/>
    <m/>
    <m/>
    <m/>
    <s v="X"/>
    <m/>
    <m/>
    <m/>
  </r>
  <r>
    <s v="Pabellón - 3A"/>
    <s v="Hospital Penco Lirquen"/>
    <s v="Apoyo Terapéutico"/>
    <s v="Mediano Costo "/>
    <s v="Incubadora"/>
    <s v="Medix"/>
    <s v="TR200"/>
    <n v="1078"/>
    <s v="HPL29859"/>
    <n v="2015"/>
    <n v="8"/>
    <n v="-1"/>
    <s v="Propio"/>
    <s v="Bueno "/>
    <x v="0"/>
    <s v="NO"/>
    <s v="NO APLICA"/>
    <s v="SI"/>
    <x v="0"/>
    <s v="EXTERNO"/>
    <s v="CODESUR"/>
    <s v="1057540-110-LE23"/>
    <n v="300000"/>
    <n v="2"/>
    <m/>
    <m/>
    <m/>
    <s v="√"/>
    <m/>
    <m/>
    <m/>
    <m/>
    <m/>
    <s v="X"/>
    <m/>
    <m/>
  </r>
  <r>
    <s v="Pabellon - 3E"/>
    <s v="Hospital Penco Lirquen"/>
    <s v="Apoyo Quirúrgico"/>
    <s v="Mediano Costo "/>
    <s v="Videolaringoscopio"/>
    <s v="Karl Storz"/>
    <s v="C-MAC MIL #1"/>
    <n v="1277"/>
    <s v="S/N"/>
    <n v="2022"/>
    <n v="7"/>
    <n v="5"/>
    <s v="Propio"/>
    <s v="Bueno "/>
    <x v="2"/>
    <s v="NO"/>
    <n v="2023"/>
    <s v="NO"/>
    <x v="1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MAC #2"/>
    <n v="1551"/>
    <s v="S/N"/>
    <n v="2022"/>
    <n v="7"/>
    <n v="5"/>
    <s v="Propio"/>
    <s v="Bueno "/>
    <x v="2"/>
    <s v="NO"/>
    <n v="2023"/>
    <s v="NO"/>
    <x v="1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Alto Costo"/>
    <s v="Videoendoscopio"/>
    <s v="Karl Storz"/>
    <s v="5.5x65"/>
    <n v="85969"/>
    <s v="S/N"/>
    <n v="2022"/>
    <n v="7"/>
    <n v="5"/>
    <s v="Propio"/>
    <s v="Bueno "/>
    <x v="2"/>
    <s v="NO"/>
    <n v="2023"/>
    <s v="NO"/>
    <x v="1"/>
    <s v="EXTERNO"/>
    <s v="KARL STORZ"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Shaver Handpiece"/>
    <s v="Stryker"/>
    <s v="Formula"/>
    <s v="22B574344"/>
    <s v="HPL30177"/>
    <n v="2022"/>
    <n v="8"/>
    <n v="6"/>
    <s v="Propio"/>
    <s v="Bueno "/>
    <x v="2"/>
    <s v="SI"/>
    <n v="2023"/>
    <s v="NO"/>
    <x v="1"/>
    <s v="CONTRAT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MAC D-BLADE"/>
    <s v="ON2017"/>
    <s v="S/N"/>
    <n v="2022"/>
    <n v="7"/>
    <n v="5"/>
    <s v="Propio"/>
    <s v="Bueno "/>
    <x v="2"/>
    <s v="NO"/>
    <n v="2023"/>
    <s v="NO"/>
    <x v="1"/>
    <s v="EXTERNO"/>
    <m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#3"/>
    <s v="UN2377"/>
    <s v="S/N"/>
    <n v="2022"/>
    <n v="7"/>
    <n v="5"/>
    <s v="Propio"/>
    <s v="Bueno "/>
    <x v="2"/>
    <s v="NO"/>
    <n v="2023"/>
    <s v="NO"/>
    <x v="1"/>
    <s v="EXTERNO"/>
    <m/>
    <s v="COLDAS 2022"/>
    <m/>
    <m/>
    <m/>
    <m/>
    <m/>
    <m/>
    <m/>
    <m/>
    <m/>
    <m/>
    <m/>
    <m/>
    <m/>
    <m/>
  </r>
  <r>
    <s v="Pabellón - 3E"/>
    <s v="Hospital Penco Lirquen"/>
    <s v="Apoyo Endoscópico"/>
    <s v="Mediano Costo "/>
    <s v="Videolaringoscopio"/>
    <s v="Karl Storz"/>
    <s v="C-max 8403 2x"/>
    <s v="YT10604"/>
    <s v="HPL30407"/>
    <n v="2016"/>
    <n v="7"/>
    <n v="-1"/>
    <s v="Propio"/>
    <s v="Bueno "/>
    <x v="2"/>
    <s v="NO"/>
    <s v="NO APLICA"/>
    <s v="NO"/>
    <x v="1"/>
    <s v="EXTERNO"/>
    <m/>
    <m/>
    <m/>
    <m/>
    <m/>
    <m/>
    <m/>
    <m/>
    <m/>
    <m/>
    <m/>
    <m/>
    <m/>
    <m/>
    <m/>
    <m/>
  </r>
  <r>
    <s v="Pabellón - 3E"/>
    <s v="Hospital Penco Lirquen"/>
    <s v="Odontología"/>
    <s v="Mediano Costo "/>
    <s v="Unidad dental portátil"/>
    <s v="Cila"/>
    <s v="DU811"/>
    <n v="7509"/>
    <s v="HPL29881"/>
    <n v="2015"/>
    <n v="8"/>
    <n v="-1"/>
    <s v="Propio"/>
    <s v="Bueno "/>
    <x v="1"/>
    <s v="NO"/>
    <n v="2024"/>
    <s v="SI"/>
    <x v="2"/>
    <s v="EXTERNO"/>
    <s v="RIGOBERTO FUICA"/>
    <s v="1057540-115-LE23"/>
    <m/>
    <n v="1"/>
    <m/>
    <m/>
    <m/>
    <m/>
    <m/>
    <s v="√"/>
    <m/>
    <m/>
    <m/>
    <m/>
    <m/>
    <m/>
  </r>
  <r>
    <s v="Pabellón - 3D"/>
    <s v="Hospital Penco Lirquen"/>
    <s v="Apoyo Quirúrgico"/>
    <s v="Alto Costo"/>
    <s v="Mesa quirúrgica"/>
    <s v="Maquet"/>
    <s v="Meera"/>
    <n v="10370"/>
    <s v="HPL29887"/>
    <n v="2021"/>
    <n v="10"/>
    <n v="7"/>
    <s v="Propio"/>
    <s v="Bueno "/>
    <x v="1"/>
    <s v="NO"/>
    <n v="2023"/>
    <s v="SI"/>
    <x v="2"/>
    <s v="EXTERNO"/>
    <s v="MercSoluciones"/>
    <s v="1057540-70-LE23"/>
    <n v="357000"/>
    <n v="2"/>
    <m/>
    <m/>
    <s v="√"/>
    <m/>
    <m/>
    <m/>
    <m/>
    <s v="X"/>
    <m/>
    <m/>
    <m/>
    <m/>
  </r>
  <r>
    <s v="Pabellón - 3D"/>
    <s v="Hospital Penco Lirquen"/>
    <s v="Apoyo Quirúrgico"/>
    <s v="Alto Costo"/>
    <s v="Mesa quirúrgica"/>
    <s v="Schmitz"/>
    <s v="Mobilis DPX RC40 16146501"/>
    <n v="17453"/>
    <s v="HPL29896"/>
    <n v="2016"/>
    <n v="10"/>
    <n v="2"/>
    <s v="Propio"/>
    <s v="Bueno "/>
    <x v="1"/>
    <s v="NO"/>
    <s v="NO APLICA"/>
    <s v="SI"/>
    <x v="0"/>
    <s v="EXTERNO"/>
    <s v="MercSoluciones"/>
    <s v="1057540-70-LE23"/>
    <n v="357000"/>
    <n v="2"/>
    <m/>
    <m/>
    <s v="√"/>
    <m/>
    <m/>
    <m/>
    <m/>
    <s v="X"/>
    <m/>
    <m/>
    <m/>
    <m/>
  </r>
  <r>
    <s v="Pabellón - 3E"/>
    <s v="Hospital Penco Lirquen"/>
    <s v="Apoyo Quirúrgico"/>
    <s v="Alto Costo"/>
    <s v="Microscopio Quirurgico Otorrino"/>
    <s v="Leica"/>
    <s v="M400-E"/>
    <n v="41214018"/>
    <s v="HPL30028"/>
    <n v="2016"/>
    <n v="10"/>
    <n v="2"/>
    <s v="Propio"/>
    <s v="Bueno "/>
    <x v="1"/>
    <s v="NO"/>
    <s v="NO APLICA"/>
    <s v="SI"/>
    <x v="0"/>
    <s v="EXTERNO"/>
    <s v="NEWLAB"/>
    <s v="1057540-130-LE23"/>
    <n v="595000"/>
    <n v="2"/>
    <m/>
    <m/>
    <s v="√"/>
    <m/>
    <m/>
    <m/>
    <m/>
    <m/>
    <m/>
    <s v="X"/>
    <m/>
    <m/>
  </r>
  <r>
    <s v="Pabellón - 3E"/>
    <s v="Hospital Penco Lirquen"/>
    <s v="Apoyo Quirúrgico"/>
    <s v="Mediano Costo "/>
    <s v="Motor traumatológico Rotary"/>
    <s v="Stryker"/>
    <s v="System 6"/>
    <n v="1514900853"/>
    <s v="HPL30064"/>
    <n v="2016"/>
    <n v="8"/>
    <n v="0"/>
    <s v="Propio"/>
    <s v="Bueno "/>
    <x v="1"/>
    <s v="NO"/>
    <s v="NO APLICA"/>
    <s v="SI"/>
    <x v="2"/>
    <s v="EXTERNO"/>
    <m/>
    <s v="PENDIENTE"/>
    <m/>
    <n v="1"/>
    <m/>
    <m/>
    <m/>
    <m/>
    <m/>
    <m/>
    <m/>
    <m/>
    <m/>
    <s v="X"/>
    <m/>
    <m/>
  </r>
  <r>
    <s v="Pabellón - 3E"/>
    <s v="Hospital Penco Lirquen"/>
    <m/>
    <m/>
    <s v="Motor traumatológico Grandes Fragmentos"/>
    <s v="Stryker"/>
    <s v="Rotary"/>
    <n v="2231416713"/>
    <s v="COLDAS 2023"/>
    <n v="2023"/>
    <n v="8"/>
    <n v="7"/>
    <s v="Propio"/>
    <s v="Bueno "/>
    <x v="1"/>
    <s v="SI"/>
    <n v="2024"/>
    <s v="SI"/>
    <x v="2"/>
    <s v="EXTERNO"/>
    <m/>
    <s v="PENDIENTE"/>
    <m/>
    <n v="1"/>
    <m/>
    <m/>
    <m/>
    <m/>
    <m/>
    <m/>
    <m/>
    <m/>
    <m/>
    <s v="X"/>
    <m/>
    <m/>
  </r>
  <r>
    <s v="Pabellón - 3E"/>
    <s v="Hospital Penco Lirquen"/>
    <s v="Apoyo Quirúrgico"/>
    <s v="Mediano Costo "/>
    <s v="Motor traumatológico Sagital"/>
    <s v="Stryker"/>
    <s v="System 6"/>
    <n v="1515510883"/>
    <s v="HPL30065"/>
    <n v="2016"/>
    <n v="8"/>
    <n v="0"/>
    <s v="Propio"/>
    <s v="Bueno "/>
    <x v="1"/>
    <s v="NO"/>
    <s v="NO APLICA"/>
    <s v="SI"/>
    <x v="2"/>
    <s v="EXTERNO"/>
    <m/>
    <s v="PENDIENTE"/>
    <m/>
    <n v="1"/>
    <m/>
    <m/>
    <m/>
    <m/>
    <m/>
    <m/>
    <m/>
    <m/>
    <m/>
    <s v="X"/>
    <m/>
    <m/>
  </r>
  <r>
    <s v="Pabellón - 3E"/>
    <s v="Hospital Penco Lirquen"/>
    <s v="Apoyo Quirúrgico"/>
    <s v="Mediano Costo "/>
    <s v="Motor traumatológico Sagital"/>
    <s v="Stryker"/>
    <s v="System 6"/>
    <n v="1515510913"/>
    <s v="HPL30066"/>
    <n v="2016"/>
    <n v="8"/>
    <n v="0"/>
    <s v="Propio"/>
    <s v="Bueno "/>
    <x v="1"/>
    <s v="NO"/>
    <s v="NO APLICA"/>
    <s v="SI"/>
    <x v="2"/>
    <s v="EXTERNO"/>
    <m/>
    <s v="PENDIENTE"/>
    <m/>
    <n v="1"/>
    <m/>
    <m/>
    <m/>
    <m/>
    <m/>
    <m/>
    <m/>
    <m/>
    <m/>
    <s v="X"/>
    <m/>
    <m/>
  </r>
  <r>
    <s v="Pabellón - 3E"/>
    <s v="Hospital Penco Lirquen"/>
    <s v="Apoyo Quirúrgico"/>
    <s v="Mediano Costo "/>
    <s v="Motor traumatológico Rotary"/>
    <s v="Stryker"/>
    <s v="System 6"/>
    <n v="1603606523"/>
    <s v="HPL30069"/>
    <n v="2016"/>
    <n v="8"/>
    <n v="0"/>
    <s v="Propio"/>
    <s v="Bueno "/>
    <x v="1"/>
    <s v="NO"/>
    <s v="NO APLICA"/>
    <s v="SI"/>
    <x v="2"/>
    <s v="EXTERNO"/>
    <m/>
    <s v="PENDIENTE"/>
    <m/>
    <n v="1"/>
    <m/>
    <m/>
    <m/>
    <m/>
    <m/>
    <m/>
    <m/>
    <m/>
    <m/>
    <s v="X"/>
    <m/>
    <m/>
  </r>
  <r>
    <s v="Pabellón - 3E"/>
    <s v="Hospital Penco Lirquen"/>
    <s v="Laboratorio/Farmac"/>
    <s v="Mediano Costo "/>
    <s v="Refrigerador Clinico"/>
    <s v="Smeg"/>
    <s v="FV30G1"/>
    <n v="5122200091"/>
    <s v="HPL30080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Pabellón - 3E"/>
    <s v="Hospital Penco Lirquen"/>
    <s v="Apoyo Quirúrgico"/>
    <s v="Alto Costo"/>
    <s v="Microscopio oftalmología"/>
    <s v="Carl Zeiss"/>
    <s v="Lumera I"/>
    <n v="6633124706"/>
    <s v="HPL30083"/>
    <n v="2016"/>
    <n v="10"/>
    <n v="2"/>
    <s v="Propio"/>
    <s v="Bueno "/>
    <x v="1"/>
    <s v="NO"/>
    <s v="NO APLICA"/>
    <s v="SI"/>
    <x v="0"/>
    <s v="EXTERNO"/>
    <s v="NEWLAB"/>
    <s v="1057540-130-LE23"/>
    <n v="595000"/>
    <n v="2"/>
    <m/>
    <m/>
    <s v="√"/>
    <m/>
    <m/>
    <m/>
    <m/>
    <m/>
    <m/>
    <s v="X"/>
    <m/>
    <m/>
  </r>
  <r>
    <s v="Pabellón - 3E"/>
    <s v="Hospital Penco Lirquen"/>
    <s v="Apoyo Terapéutico"/>
    <s v="Mediano Costo "/>
    <s v="Equipo de Isquemia"/>
    <s v="Mediplex"/>
    <s v="Torniquete 9000"/>
    <s v="1407-09297"/>
    <s v="HPL30140"/>
    <n v="2015"/>
    <n v="8"/>
    <n v="-1"/>
    <s v="Propio"/>
    <s v="Bueno "/>
    <x v="1"/>
    <s v="NO"/>
    <s v="NO APLICA"/>
    <s v="SI"/>
    <x v="0"/>
    <s v="EXTERNO"/>
    <s v="CODESUR"/>
    <s v="1057540-110-LE23"/>
    <n v="55000"/>
    <n v="1"/>
    <m/>
    <m/>
    <m/>
    <m/>
    <m/>
    <m/>
    <m/>
    <m/>
    <m/>
    <s v="X"/>
    <m/>
    <m/>
  </r>
  <r>
    <s v="Pabellón - 3E"/>
    <s v="Hospital Penco Lirquen"/>
    <s v="Apoyo Quirúrgico"/>
    <s v="Mediano Costo "/>
    <s v="Pantalla quirúrgica"/>
    <s v="NDS"/>
    <s v="SC-WU24-A1515"/>
    <s v="15-255063"/>
    <s v="HPL30147"/>
    <n v="2016"/>
    <n v="10"/>
    <n v="2"/>
    <s v="Propio"/>
    <s v="Bueno "/>
    <x v="1"/>
    <s v="NO"/>
    <s v="NO APLICA"/>
    <s v="SI"/>
    <x v="2"/>
    <s v="CONTRATO"/>
    <s v="CODESUR"/>
    <s v="1057540-86-LE23"/>
    <m/>
    <n v="1"/>
    <m/>
    <m/>
    <m/>
    <m/>
    <m/>
    <m/>
    <m/>
    <m/>
    <m/>
    <s v="X"/>
    <m/>
    <m/>
  </r>
  <r>
    <s v="Pabellón - 3E"/>
    <s v="Hospital Penco Lirquen"/>
    <s v="Apoyo Quirúrgico"/>
    <s v="Mediano Costo "/>
    <s v="Unidad de video torre laparoscopía"/>
    <s v="Stryker"/>
    <s v="SDC3 0240060100"/>
    <s v="15A030754"/>
    <s v="HPL30149"/>
    <n v="2016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cámara torre laparoscopía"/>
    <s v="Stryker"/>
    <s v="1488HD"/>
    <s v="15D044764"/>
    <s v="HPL30150"/>
    <n v="2016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camara torre artroscopia"/>
    <s v="Stryker"/>
    <s v="1488HD"/>
    <s v="15H540834"/>
    <s v="HPL30151"/>
    <n v="2017"/>
    <n v="8"/>
    <n v="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Odontología"/>
    <s v="Bajo costo"/>
    <s v="Motor Dental"/>
    <s v="NSK"/>
    <s v="Surgic AP NE 189"/>
    <s v="B9200972"/>
    <s v="HPL30223"/>
    <n v="2015"/>
    <n v="8"/>
    <n v="-1"/>
    <s v="Propio"/>
    <s v="Bueno "/>
    <x v="1"/>
    <s v="SI"/>
    <s v="NO APLICA"/>
    <s v="SI"/>
    <x v="2"/>
    <s v="EXTERNO"/>
    <m/>
    <s v="PENDIENTE"/>
    <m/>
    <n v="1"/>
    <m/>
    <m/>
    <m/>
    <m/>
    <m/>
    <m/>
    <m/>
    <m/>
    <m/>
    <s v="X"/>
    <m/>
    <m/>
  </r>
  <r>
    <s v="Pabellón - 6B"/>
    <s v="Hospital Penco Lirquen"/>
    <s v="Apoyo Terapéutico"/>
    <s v="Mediano Costo "/>
    <s v="Bomba de infusión continua"/>
    <s v="Fresenius Kabi"/>
    <s v="Volumat MC Agilia E"/>
    <n v="21272024"/>
    <s v="HPL28457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 - 6B"/>
    <s v="Hospital Penco Lirquen"/>
    <s v="Apoyo Terapéutico"/>
    <s v="Mediano Costo "/>
    <s v="Bomba de infusión continua"/>
    <s v="Fresenius Kabi"/>
    <s v="Volumat MC Agilia E"/>
    <n v="21908354"/>
    <s v="HPL28458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Pabellón 1 - 3B"/>
    <s v="Hospital Penco Lirquen"/>
    <s v="Apoyo Quirúrgico"/>
    <s v="Alto Costo"/>
    <s v="Máquina de Anestesia"/>
    <s v="Drager"/>
    <s v="Fabius GS Premium 8607000"/>
    <s v="ASHJ-0205"/>
    <s v="HPL30218"/>
    <n v="2016"/>
    <n v="8"/>
    <n v="0"/>
    <s v="Propio"/>
    <s v="Bueno "/>
    <x v="0"/>
    <s v="NO"/>
    <s v="NO APLICA"/>
    <s v="SI"/>
    <x v="0"/>
    <s v="EXTERNO"/>
    <s v="Drager"/>
    <s v="1057540-40-LP22"/>
    <m/>
    <n v="2"/>
    <m/>
    <m/>
    <m/>
    <s v="√"/>
    <m/>
    <m/>
    <m/>
    <m/>
    <m/>
    <s v="X"/>
    <m/>
    <m/>
  </r>
  <r>
    <s v="Pabellón 2 - 3B"/>
    <s v="Hospital Penco Lirquen"/>
    <s v="Apoyo Quirúrgico"/>
    <s v="Alto Costo"/>
    <s v="Máquina de Anestesia"/>
    <s v="Drager"/>
    <s v="Fabius GS Premium 8607000"/>
    <s v="ASHJ-0206"/>
    <s v="HPL30219"/>
    <n v="2016"/>
    <n v="8"/>
    <n v="0"/>
    <s v="Propio"/>
    <s v="Bueno "/>
    <x v="0"/>
    <s v="NO"/>
    <s v="NO APLICA"/>
    <s v="SI"/>
    <x v="0"/>
    <s v="EXTERNO"/>
    <s v="Drager"/>
    <s v="1057540-40-LP22"/>
    <m/>
    <n v="2"/>
    <m/>
    <m/>
    <m/>
    <s v="√"/>
    <m/>
    <m/>
    <m/>
    <m/>
    <m/>
    <s v="X"/>
    <m/>
    <m/>
  </r>
  <r>
    <s v="Pabellón"/>
    <s v="Hospital Penco Lirquen"/>
    <s v="Apoyo Quirúrgico"/>
    <s v="Alto Costo"/>
    <s v="Insuflador"/>
    <s v="Stryker "/>
    <s v="Pneumosure XL"/>
    <s v="2301CE0377"/>
    <m/>
    <n v="2024"/>
    <n v="8"/>
    <n v="8"/>
    <s v="Propio"/>
    <s v="Bueno "/>
    <x v="2"/>
    <s v="SI"/>
    <d v="2026-03-01T00:00:00"/>
    <s v="NO"/>
    <x v="2"/>
    <s v="EXTERNO"/>
    <s v="Stryker"/>
    <s v="COLDAS 2023"/>
    <m/>
    <n v="0"/>
    <m/>
    <m/>
    <m/>
    <m/>
    <m/>
    <m/>
    <m/>
    <m/>
    <m/>
    <m/>
    <m/>
    <m/>
  </r>
  <r>
    <s v="Pabellón CMA - 3B"/>
    <s v="Hospital Penco Lirquen"/>
    <s v="Apoyo Quirúrgico"/>
    <s v="Alto Costo"/>
    <s v="Máquina de Anestesia"/>
    <s v="Drager"/>
    <s v="Fabius GS Premium 8607000"/>
    <s v="ASFN-0031"/>
    <s v="HPL30217"/>
    <n v="2015"/>
    <n v="8"/>
    <n v="-1"/>
    <s v="Propio"/>
    <s v="Bueno "/>
    <x v="0"/>
    <s v="NO"/>
    <s v="NO APLICA"/>
    <s v="SI"/>
    <x v="0"/>
    <s v="EXTERNO"/>
    <s v="Drager"/>
    <s v="1057540-40-LP22"/>
    <m/>
    <n v="2"/>
    <m/>
    <m/>
    <m/>
    <s v="√"/>
    <m/>
    <m/>
    <m/>
    <m/>
    <m/>
    <s v="X"/>
    <m/>
    <m/>
  </r>
  <r>
    <s v="Parto Integral"/>
    <s v="Hospital Penco Lirquen"/>
    <s v="Apoyo Diagnóstico"/>
    <s v="Bajo costo"/>
    <s v="Balanza con tallímetro"/>
    <s v="Doran Scales"/>
    <s v="Quote 12957"/>
    <n v="1824"/>
    <s v="HPL29867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2"/>
    <s v="HPL3001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6"/>
    <s v="HPL30013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Brandon Medical"/>
    <s v="CLED10S"/>
    <n v="1098817019"/>
    <s v="HPL30057"/>
    <n v="2021"/>
    <n v="10"/>
    <n v="7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Diagnóstico"/>
    <s v="Bajo costo"/>
    <s v="Balanza pediátrica"/>
    <s v="Health o Meter"/>
    <s v="549KL"/>
    <n v="5490010422"/>
    <s v="HPL30082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-600"/>
    <s v="S/N"/>
    <s v="HPL30312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3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4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adulto"/>
    <s v="Sunmed"/>
    <s v="Greenline"/>
    <s v="S/N"/>
    <s v="HPL30319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pediátrico"/>
    <s v="Sunmed"/>
    <s v="Greenline"/>
    <s v="S/N"/>
    <s v="HPL30322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a clínica eléctrica"/>
    <s v="Malvestio"/>
    <s v="346760H"/>
    <n v="20009351"/>
    <s v="HPL25225"/>
    <n v="2015"/>
    <n v="8"/>
    <n v="-1"/>
    <s v="Propio"/>
    <s v="Bueno "/>
    <x v="1"/>
    <s v="NO"/>
    <s v="NO APLICA"/>
    <s v="SI"/>
    <x v="0"/>
    <s v="CONTRATO"/>
    <s v="SERVITEC"/>
    <s v="1057540-128-LE23"/>
    <n v="238000"/>
    <n v="1"/>
    <m/>
    <m/>
    <s v="√"/>
    <s v="ꓣ"/>
    <m/>
    <m/>
    <m/>
    <m/>
    <m/>
    <m/>
    <m/>
    <m/>
  </r>
  <r>
    <s v="Parto Integral - 2"/>
    <s v="Hospital Penco Lirquen"/>
    <s v="Apoyo Terapéutico"/>
    <s v="Alto Costo"/>
    <s v="Cuna radiante"/>
    <s v="Drager"/>
    <s v="Resuscitaire RWVHA-2C"/>
    <s v="NY10728"/>
    <s v="HPL30143"/>
    <n v="2016"/>
    <n v="8"/>
    <n v="0"/>
    <s v="Propio"/>
    <s v="Bueno "/>
    <x v="1"/>
    <s v="NO"/>
    <s v="NO APLICA"/>
    <s v="SI"/>
    <x v="0"/>
    <s v="CONTRATO"/>
    <s v="Drager"/>
    <s v="1057540-83-LE23"/>
    <n v="1286662"/>
    <n v="2"/>
    <m/>
    <m/>
    <m/>
    <s v="√"/>
    <m/>
    <m/>
    <m/>
    <m/>
    <m/>
    <s v="X"/>
    <m/>
    <m/>
  </r>
  <r>
    <s v="Parto Integral"/>
    <s v="Hospital Penco Lirquen"/>
    <s v="Monitoreo"/>
    <s v="Mediano Costo "/>
    <s v="Monitor ECG Baja Complejidad"/>
    <s v="Fukuda Denshi"/>
    <s v="Dinascope DSL-8001"/>
    <n v="50200461"/>
    <s v="HPL30042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Parto Integral"/>
    <s v="Hospital Penco Lirquen"/>
    <s v="Monitoreo"/>
    <s v="Mediano Costo "/>
    <s v="Monitor desfibrilador"/>
    <s v="Zoll medical"/>
    <s v="Serie R ALS"/>
    <s v="AF15D045660"/>
    <s v="HPL30213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m/>
    <m/>
    <s v="√"/>
    <m/>
    <m/>
    <m/>
    <m/>
    <m/>
    <s v="X"/>
  </r>
  <r>
    <s v="Parto Integral"/>
    <s v="Hospital Penco Lirquen"/>
    <s v="Monitoreo"/>
    <s v="Mediano Costo "/>
    <s v="Monitor de signos vitales"/>
    <s v="Creative medical"/>
    <s v="PC-900"/>
    <s v="J0100JL01720"/>
    <s v="HPL30259"/>
    <n v="2014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Parto Integral - 2"/>
    <s v="Hospital Penco Lirquen"/>
    <s v="Mobiliario"/>
    <s v="Clínico"/>
    <s v="Cama de parto"/>
    <s v="Stryker"/>
    <s v="Trend like ref.4701"/>
    <n v="1602036109"/>
    <s v="HPL3006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7 / 20008945"/>
    <s v="HPL30165"/>
    <n v="2015"/>
    <n v="10"/>
    <n v="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8 / 20008946"/>
    <s v="HPL30166"/>
    <n v="2015"/>
    <n v="10"/>
    <n v="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9 / 20008947"/>
    <s v="HPL30167"/>
    <n v="2015"/>
    <n v="10"/>
    <n v="1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Apoyo Quirúrgico"/>
    <s v="Alto Costo"/>
    <s v="Lampara de techo"/>
    <s v="ACEM"/>
    <s v="SOLED 15"/>
    <s v="S15S1000761"/>
    <s v="HPL30359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Apoyo Quirúrgico"/>
    <s v="Alto Costo"/>
    <s v="Lampara de techo"/>
    <s v="ACEM"/>
    <s v="SOLED 15"/>
    <s v="S15S1000763"/>
    <s v="HPL30361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Apoyo Diagnóstico"/>
    <s v="Bajo costo"/>
    <s v="Oximetro de pulso"/>
    <s v="Heal Force"/>
    <s v="Prince E100"/>
    <s v="XXJ00JH00298"/>
    <s v="HPL30401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Laboratorio/Farmac"/>
    <s v="Mediano Costo "/>
    <s v="Refrigerador Clinico"/>
    <s v="Smeg"/>
    <s v="FV30G1"/>
    <n v="5122200011"/>
    <s v="HPL30076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Parto Integral - 2"/>
    <s v="Hospital Penco Lirquen"/>
    <s v="Monitoreo"/>
    <s v="Alto Costo"/>
    <s v="Monitor Cardiofetal"/>
    <s v="General Electric"/>
    <s v="Corometric 170 series"/>
    <s v="SAS15174336PAS"/>
    <s v="HPL30366"/>
    <n v="2016"/>
    <n v="8"/>
    <n v="0"/>
    <s v="Propio"/>
    <s v="Bueno "/>
    <x v="1"/>
    <s v="NO"/>
    <s v="NO APLICA"/>
    <s v="SI"/>
    <x v="0"/>
    <s v="CONTRATO"/>
    <s v="CODESUR"/>
    <s v="1057540-110-LE23"/>
    <n v="55000"/>
    <n v="1"/>
    <m/>
    <m/>
    <m/>
    <m/>
    <m/>
    <m/>
    <m/>
    <m/>
    <m/>
    <s v="X"/>
    <m/>
    <m/>
  </r>
  <r>
    <s v="Parto Integral - 2"/>
    <s v="Hospital Penco Lirquen"/>
    <s v="Monitoreo"/>
    <s v="Alto Costo"/>
    <s v="Monitor Cardiofetal"/>
    <s v="General Electric"/>
    <s v="Corometric 170 series"/>
    <s v="SAS15304616PAS"/>
    <s v="HPL30367"/>
    <n v="2016"/>
    <n v="8"/>
    <n v="0"/>
    <s v="Propio"/>
    <s v="Bueno "/>
    <x v="1"/>
    <s v="NO"/>
    <s v="NO APLICA"/>
    <s v="SI"/>
    <x v="0"/>
    <s v="CONTRATO"/>
    <s v="CODESUR"/>
    <s v="1057540-110-LE23"/>
    <n v="55000"/>
    <n v="1"/>
    <m/>
    <m/>
    <m/>
    <m/>
    <m/>
    <m/>
    <m/>
    <m/>
    <m/>
    <s v="X"/>
    <m/>
    <m/>
  </r>
  <r>
    <s v="Parto Integral - 2"/>
    <s v="Hospital Penco Lirquen"/>
    <s v="Apoyo Terapéutico"/>
    <s v="Alto Costo"/>
    <s v="Incubadora de transporte"/>
    <s v="Drager"/>
    <s v="TI 500"/>
    <s v="EF10863"/>
    <s v="HPL30240"/>
    <n v="2016"/>
    <n v="8"/>
    <n v="0"/>
    <s v="Propio"/>
    <s v="Bueno "/>
    <x v="0"/>
    <s v="NO"/>
    <s v="NO APLICA"/>
    <s v="SI"/>
    <x v="0"/>
    <s v="EXTERNO"/>
    <s v="CODESUR"/>
    <s v="1057540-110-LE23"/>
    <n v="300000"/>
    <n v="2"/>
    <m/>
    <m/>
    <m/>
    <s v="√"/>
    <m/>
    <m/>
    <m/>
    <m/>
    <m/>
    <s v="X"/>
    <m/>
    <m/>
  </r>
  <r>
    <s v="Rehabilitacion Integral"/>
    <s v="Hospital Penco Lirquen"/>
    <s v="Med. Física Rehabilitación"/>
    <s v="Bajo costo"/>
    <s v="Mesa de mano"/>
    <s v="Enraf Nonius"/>
    <s v="JL-10402"/>
    <n v="501662"/>
    <s v="HPL29925"/>
    <n v="2017"/>
    <n v="8"/>
    <n v="1"/>
    <s v="Propio"/>
    <s v="Bueno "/>
    <x v="2"/>
    <s v="NO"/>
    <s v="NO APLICA"/>
    <s v="NO"/>
    <x v="1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Mobiliario"/>
    <s v="Clínico"/>
    <s v="Camilla ginecológica"/>
    <s v="Malvestio"/>
    <n v="350350"/>
    <n v="20009695"/>
    <s v="HPL30012"/>
    <n v="2015"/>
    <n v="8"/>
    <n v="-1"/>
    <s v="Propio"/>
    <s v="Bueno "/>
    <x v="2"/>
    <s v="NO"/>
    <s v="NO APLICA"/>
    <s v="NO"/>
    <x v="1"/>
    <s v="CONTRATO"/>
    <s v="NEWLAB - L2"/>
    <s v="1057540-78-LE23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tola de aire caliente"/>
    <s v="Black &amp; Decker"/>
    <s v="HG2000-B2C"/>
    <s v="2010 41-PX"/>
    <s v="HPL30171"/>
    <n v="2016"/>
    <n v="8"/>
    <n v="0"/>
    <s v="Propio"/>
    <s v="Bueno "/>
    <x v="2"/>
    <s v="NO"/>
    <s v="NO APLICA"/>
    <s v="NO"/>
    <x v="1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Apoyo Diagnóstico"/>
    <s v="Bajo costo"/>
    <s v="Oximetro de pulso"/>
    <s v="Nellcor"/>
    <s v="Oximax N-65"/>
    <s v="G15802034"/>
    <s v="HPL30255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áquina de coser"/>
    <s v="Brother"/>
    <s v="LS2125"/>
    <s v="M0G131939"/>
    <s v="HPL30268"/>
    <n v="2016"/>
    <n v="8"/>
    <n v="0"/>
    <s v="Propio"/>
    <s v="Bueno "/>
    <x v="2"/>
    <s v="NO"/>
    <s v="NO APLICA"/>
    <s v="NO"/>
    <x v="1"/>
    <s v="INTERNO"/>
    <s v="TECNICO SSGG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Vestibulador"/>
    <s v="N/A"/>
    <s v="N/A"/>
    <s v="N/A"/>
    <s v="HPL3074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cina de pelotas"/>
    <s v="N/A"/>
    <s v="N/A"/>
    <s v="N/A"/>
    <s v="HPL30744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Bicicleta infantil"/>
    <s v="N/A"/>
    <s v="N/A"/>
    <s v="N/A"/>
    <s v="HPL30745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Caminadora infantil"/>
    <s v="N/A"/>
    <s v="N/A"/>
    <s v="N/A"/>
    <s v="HPL3074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Dinamómetro"/>
    <s v="Baseline"/>
    <s v="12-0286"/>
    <s v="S/N"/>
    <s v="HPL30291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Horno ortesis"/>
    <s v="Remso"/>
    <s v="S/N"/>
    <s v="S/N"/>
    <s v="HPL3029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esa de cuádriceps"/>
    <s v="S/M"/>
    <s v="S/N"/>
    <s v="S/N"/>
    <s v="HPL30332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Mediano Costo "/>
    <s v="Ultrasonido"/>
    <s v="Enraf Nonius"/>
    <s v="Sonopuls 490"/>
    <n v="21458"/>
    <s v="HPL29898"/>
    <n v="2015"/>
    <n v="8"/>
    <n v="-1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"/>
    <s v="Hospital Penco Lirquen"/>
    <s v="Med. Física Rehabilitación"/>
    <s v="Bajo costo"/>
    <s v="Compresero"/>
    <s v="White hall"/>
    <s v="ET-12-M"/>
    <n v="15130241"/>
    <s v="HPL29962"/>
    <n v="2016"/>
    <n v="10"/>
    <n v="2"/>
    <s v="Propio"/>
    <s v="Bueno "/>
    <x v="1"/>
    <s v="NO"/>
    <s v="NO APLICA"/>
    <s v="SI"/>
    <x v="2"/>
    <s v="CONTRATO"/>
    <s v="NEWLAB - L1"/>
    <s v="1057540-78-LE23"/>
    <n v="107100"/>
    <n v="1"/>
    <m/>
    <m/>
    <s v="√"/>
    <m/>
    <m/>
    <m/>
    <m/>
    <m/>
    <m/>
    <m/>
    <m/>
    <m/>
  </r>
  <r>
    <s v="Rehabilitacion Integral"/>
    <s v="Hospital Penco Lirquen"/>
    <s v="Mobiliario"/>
    <s v="Clínico"/>
    <s v="Camilla eléctrica 3 secciones"/>
    <s v="Enraf Nonius"/>
    <s v="Manumed-N245"/>
    <s v="2022-N1-3629"/>
    <m/>
    <n v="2023"/>
    <n v="8"/>
    <n v="7"/>
    <s v="Propio"/>
    <s v="Bueno "/>
    <x v="1"/>
    <s v="SI"/>
    <d v="2026-11-24T00:00:00"/>
    <s v="SI"/>
    <x v="2"/>
    <s v="EXTERNO"/>
    <s v="Andover"/>
    <s v="1057540-104-LE23"/>
    <n v="0"/>
    <n v="1"/>
    <m/>
    <m/>
    <m/>
    <m/>
    <m/>
    <m/>
    <m/>
    <m/>
    <m/>
    <m/>
    <s v="X"/>
    <m/>
  </r>
  <r>
    <s v="Rehabilitacion Integral"/>
    <s v="Hospital Penco Lirquen"/>
    <s v="Med. Física Rehabilitación"/>
    <s v="Mediano Costo "/>
    <s v="Tens (electroestimulación)"/>
    <s v="Enraf Nonius"/>
    <s v="S82"/>
    <n v="142797015075"/>
    <s v="HPL30093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3327"/>
    <s v="HPL30097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5"/>
    <s v="HPL30098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6"/>
    <s v="HPL30099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7"/>
    <s v="HPL30100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489"/>
    <s v="HPL30101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1"/>
    <s v="HPL30203"/>
    <n v="2016"/>
    <n v="8"/>
    <n v="0"/>
    <s v="Propio"/>
    <s v="Bueno "/>
    <x v="1"/>
    <s v="NO"/>
    <s v="NO APLICA"/>
    <s v="SI"/>
    <x v="2"/>
    <s v="CONTRATO"/>
    <s v="NEWLAB - L2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7"/>
    <s v="HPL30204"/>
    <n v="2016"/>
    <n v="8"/>
    <n v="0"/>
    <s v="Propio"/>
    <s v="Bueno "/>
    <x v="1"/>
    <s v="NO"/>
    <s v="NO APLICA"/>
    <s v="SI"/>
    <x v="2"/>
    <s v="CONTRATO"/>
    <s v="NEWLAB - L2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9"/>
    <s v="HPL30205"/>
    <n v="2016"/>
    <n v="8"/>
    <n v="0"/>
    <s v="Propio"/>
    <s v="Bueno "/>
    <x v="1"/>
    <s v="NO"/>
    <s v="NO APLICA"/>
    <s v="SI"/>
    <x v="2"/>
    <s v="CONTRATO"/>
    <s v="NEWLAB - L2"/>
    <s v="1057540-78-LE23"/>
    <n v="595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049SN1501000642C"/>
    <s v="HPL30207"/>
    <n v="2016"/>
    <n v="8"/>
    <n v="0"/>
    <s v="Propio"/>
    <s v="Bueno "/>
    <x v="1"/>
    <s v="NO"/>
    <s v="NO APLICA"/>
    <s v="SI"/>
    <x v="2"/>
    <s v="CONTRATO"/>
    <s v="NEWLAB - L1"/>
    <s v="1057540-78-LE23"/>
    <n v="71400"/>
    <n v="1"/>
    <m/>
    <m/>
    <s v="√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533SN1504008977C"/>
    <s v="HPL30208"/>
    <n v="2016"/>
    <n v="8"/>
    <n v="0"/>
    <s v="Propio"/>
    <s v="Bueno "/>
    <x v="1"/>
    <s v="NO"/>
    <s v="NO APLICA"/>
    <s v="SI"/>
    <x v="2"/>
    <s v="CONTRATO"/>
    <s v="NEWLAB - L1"/>
    <s v="1057540-78-LE23"/>
    <n v="71400"/>
    <n v="1"/>
    <m/>
    <m/>
    <s v="√"/>
    <m/>
    <m/>
    <m/>
    <m/>
    <m/>
    <m/>
    <m/>
    <m/>
    <m/>
  </r>
  <r>
    <s v="Rehabilitacion Integral"/>
    <s v="Hospital Penco Lirquen"/>
    <s v="Med. Física Rehabilitación"/>
    <s v="Bajo costo"/>
    <s v="Cicloergómetro de mano"/>
    <s v="S/M"/>
    <s v="S/M"/>
    <s v="PI-005075"/>
    <s v="HPL30276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Cicloergómetro de mano"/>
    <s v="S/M"/>
    <s v="S/M"/>
    <s v="S/N"/>
    <s v="HPL30288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Cicloergómetro de mano"/>
    <s v="S/M"/>
    <s v="S/M"/>
    <s v="T15002452"/>
    <s v="HPL30381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Camilla bipedestación"/>
    <s v="Dynatron"/>
    <s v="-"/>
    <n v="7163129813548"/>
    <m/>
    <n v="2014"/>
    <n v="10"/>
    <n v="0"/>
    <s v="Propio"/>
    <s v="BUENO"/>
    <x v="1"/>
    <s v="NO"/>
    <s v="NO APLICA"/>
    <s v="SI"/>
    <x v="2"/>
    <s v="CONTRATO"/>
    <s v="NEWLAB"/>
    <s v="1057540-78-LE23"/>
    <n v="95200"/>
    <n v="1"/>
    <m/>
    <m/>
    <s v="√"/>
    <m/>
    <m/>
    <m/>
    <m/>
    <m/>
    <m/>
    <m/>
    <m/>
    <m/>
  </r>
  <r>
    <s v="Rehabilitacion Integral "/>
    <s v="Hospital Penco Lirquen"/>
    <s v="Monitoreo"/>
    <s v="Mediano Costo "/>
    <s v="Monitor ECG Baja Complejidad"/>
    <s v="Fukuda Denshi"/>
    <s v="Dinascope DSL-8001"/>
    <n v="50200458"/>
    <s v="HPL30040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Rehabilitacion Integral - 10"/>
    <s v="Hospital Penco Lirquen"/>
    <s v="Med. Física Rehabilitación"/>
    <s v="Mediano Costo "/>
    <s v="Elevador de pacientes"/>
    <s v="AKS"/>
    <s v="Clino 2"/>
    <n v="633"/>
    <s v="HPL29858"/>
    <n v="2017"/>
    <n v="8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Apoyo Diagnóstico"/>
    <s v="Bajo costo"/>
    <s v="Oximetro de pulso"/>
    <s v="Nonin"/>
    <s v="Vantage 9590"/>
    <n v="501479262"/>
    <s v="HPL3005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ed. Física Rehabilitación"/>
    <s v="Bajo costo"/>
    <s v="Congelador (crioterapia)"/>
    <s v="Mademsa"/>
    <s v="MFV-545B"/>
    <s v="13725K76700303"/>
    <s v="HPL30139"/>
    <n v="2016"/>
    <n v="10"/>
    <n v="2"/>
    <s v="Propio"/>
    <s v="Bueno "/>
    <x v="2"/>
    <s v="NO"/>
    <s v="NO APLICA"/>
    <s v="NO"/>
    <x v="1"/>
    <s v="INTERNO"/>
    <s v="TECNICO EQM HPL"/>
    <s v="NO APLICA"/>
    <s v="-"/>
    <m/>
    <m/>
    <m/>
    <m/>
    <m/>
    <m/>
    <m/>
    <m/>
    <m/>
    <m/>
    <m/>
    <m/>
    <m/>
  </r>
  <r>
    <s v="Rehabilitacion Integral - 10"/>
    <s v="Hospital Penco Lirquen"/>
    <s v="Med. Física Rehabilitación"/>
    <s v="Bajo costo"/>
    <s v="Equipo de presoterapia"/>
    <s v="EME physio"/>
    <s v="Pressomed 2900"/>
    <s v="EM12470915"/>
    <s v="HPL30242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ed. Física Rehabilitación"/>
    <s v="Mediano Costo "/>
    <s v="Bicicleta Estática"/>
    <s v="Life Fitness"/>
    <s v="C1 GO"/>
    <s v="1062010018184 / CONSOLA: 112206000052"/>
    <m/>
    <n v="2023"/>
    <n v="8"/>
    <n v="7"/>
    <s v="Propio"/>
    <s v="Bueno "/>
    <x v="1"/>
    <s v="SI"/>
    <d v="2026-11-01T00:00:00"/>
    <s v="SI"/>
    <x v="2"/>
    <s v="EXTERNO"/>
    <s v="Lifefitness"/>
    <s v="COLDAS 2023"/>
    <s v="No aplica"/>
    <n v="2"/>
    <m/>
    <m/>
    <m/>
    <m/>
    <m/>
    <s v="√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86 / CONSOLA: 112307000027"/>
    <m/>
    <n v="2023"/>
    <n v="8"/>
    <n v="7"/>
    <s v="Propio"/>
    <s v="Bueno "/>
    <x v="1"/>
    <s v="SI"/>
    <d v="2026-11-01T00:00:00"/>
    <s v="SI"/>
    <x v="2"/>
    <s v="EXTERNO"/>
    <s v="Lifefitness"/>
    <s v="COLDAS 2023"/>
    <s v="No aplica"/>
    <n v="2"/>
    <m/>
    <m/>
    <m/>
    <m/>
    <m/>
    <s v="√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91 / CONSOLA: 112307000132"/>
    <m/>
    <n v="2023"/>
    <n v="8"/>
    <n v="7"/>
    <s v="Propio"/>
    <s v="Bueno "/>
    <x v="1"/>
    <s v="SI"/>
    <d v="2026-11-01T00:00:00"/>
    <s v="SI"/>
    <x v="2"/>
    <s v="EXTERNO"/>
    <s v="Lifefitness"/>
    <s v="COLDAS 2023"/>
    <s v="No aplica"/>
    <n v="2"/>
    <m/>
    <m/>
    <m/>
    <m/>
    <m/>
    <s v="√"/>
    <m/>
    <m/>
    <m/>
    <m/>
    <m/>
    <s v="X"/>
  </r>
  <r>
    <s v="Rehabilitacion Integral - 10"/>
    <s v="Hospital Penco Lirquen"/>
    <s v="Med. Física Rehabilitación"/>
    <s v="Alto Costo"/>
    <s v="Cicloergómetro (motomed)"/>
    <s v="RECK"/>
    <s v="LAYSON"/>
    <s v="I48-LY-139504"/>
    <m/>
    <n v="2022"/>
    <n v="8"/>
    <n v="6"/>
    <s v="Propio"/>
    <s v="Bueno "/>
    <x v="1"/>
    <s v="SI"/>
    <d v="2024-01-04T00:00:00"/>
    <s v="SI"/>
    <x v="2"/>
    <s v="EXTERNO"/>
    <s v="DR. CHOICE"/>
    <s v="COLDAS 2022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Mediano Costo "/>
    <s v="Electroestimulación"/>
    <s v="Enraf Nonius"/>
    <s v="Endomed 482"/>
    <n v="2308"/>
    <s v="HPL29871"/>
    <n v="2016"/>
    <n v="8"/>
    <n v="0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Laser"/>
    <s v="Enraf Nonius"/>
    <s v="Endolaser 442"/>
    <n v="3302"/>
    <s v="HPL29874"/>
    <n v="2016"/>
    <n v="8"/>
    <n v="0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670"/>
    <n v="14848"/>
    <s v="HPL29889"/>
    <n v="2015"/>
    <n v="8"/>
    <n v="-1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1"/>
    <s v="HPL29899"/>
    <n v="2016"/>
    <n v="8"/>
    <n v="0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3"/>
    <s v="HPL29900"/>
    <n v="2016"/>
    <n v="8"/>
    <n v="0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515"/>
    <s v="HPL29901"/>
    <n v="2016"/>
    <n v="8"/>
    <n v="0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Equipo de linfedema"/>
    <s v="Mego Afek"/>
    <s v="201-ET"/>
    <n v="29008"/>
    <s v="HPL29902"/>
    <n v="2019"/>
    <n v="8"/>
    <n v="3"/>
    <s v="Propio"/>
    <s v="Bueno "/>
    <x v="1"/>
    <s v="NO"/>
    <s v="NO APLICA"/>
    <s v="SI"/>
    <x v="2"/>
    <s v="CONTRATO"/>
    <s v="NEWLAB - L2"/>
    <s v="1057540-78-LE23"/>
    <n v="833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970"/>
    <n v="31472"/>
    <s v="HPL29903"/>
    <n v="2016"/>
    <n v="8"/>
    <n v="0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Equipo terapia combinada"/>
    <s v="Enraf Nonius"/>
    <s v="Sonopuls 492"/>
    <n v="32049"/>
    <s v="HPL29904"/>
    <n v="2016"/>
    <n v="8"/>
    <n v="0"/>
    <s v="Propio"/>
    <s v="Bueno "/>
    <x v="1"/>
    <s v="NO"/>
    <s v="NO APLICA"/>
    <s v="SI"/>
    <x v="2"/>
    <s v="CONTRATO"/>
    <s v="NEWLAB - L1"/>
    <s v="1057540-78-LE23"/>
    <n v="357000"/>
    <n v="2"/>
    <m/>
    <m/>
    <s v="√"/>
    <m/>
    <m/>
    <m/>
    <m/>
    <m/>
    <s v="X"/>
    <m/>
    <m/>
    <m/>
  </r>
  <r>
    <s v="Rehabilitacion Integral - 10"/>
    <s v="Hospital Penco Lirquen"/>
    <s v="Med. Física Rehabilitación"/>
    <s v="Bajo costo"/>
    <s v="Baño parafina"/>
    <s v="Enraf Nonius"/>
    <s v="Paraffin bath"/>
    <n v="40448"/>
    <s v="HPL29905"/>
    <n v="2016"/>
    <n v="8"/>
    <n v="0"/>
    <s v="Propio"/>
    <s v="Bueno "/>
    <x v="1"/>
    <s v="NO"/>
    <s v="NO APLICA"/>
    <s v="SI"/>
    <x v="2"/>
    <s v="CONTRATO"/>
    <s v="NEWLAB - L1"/>
    <s v="1057540-78-LE23"/>
    <n v="1071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Electroterapia miofeedback"/>
    <s v="Gymna"/>
    <s v="MYO-200"/>
    <n v="74209"/>
    <s v="HPL29908"/>
    <n v="2016"/>
    <n v="8"/>
    <n v="0"/>
    <s v="Propio"/>
    <s v="Bueno "/>
    <x v="1"/>
    <s v="NO"/>
    <s v="NO APLICA"/>
    <s v="SI"/>
    <x v="2"/>
    <s v="CONTRATO"/>
    <s v="NEWLAB - L2"/>
    <s v="1057540-78-LE23"/>
    <n v="83300"/>
    <n v="1"/>
    <m/>
    <m/>
    <s v="√"/>
    <m/>
    <m/>
    <m/>
    <m/>
    <m/>
    <m/>
    <m/>
    <m/>
    <m/>
  </r>
  <r>
    <s v="Rehabilitacion Integral - 10"/>
    <s v="Hospital Penco Lirquen"/>
    <s v="Mobiliario"/>
    <s v="Clínico"/>
    <s v="Camilla bipedestación"/>
    <s v="Enraf Nonius"/>
    <n v="5100211"/>
    <n v="8022211"/>
    <s v="HPL29956"/>
    <n v="2016"/>
    <n v="8"/>
    <n v="0"/>
    <s v="Propio"/>
    <s v="Bueno "/>
    <x v="1"/>
    <s v="NO"/>
    <s v="NO APLICA"/>
    <s v="SI"/>
    <x v="2"/>
    <s v="CONTRATO"/>
    <s v="NEWLAB - L1"/>
    <s v="1057540-78-LE23"/>
    <n v="952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Turbion de pies"/>
    <s v="White hall"/>
    <s v="E-22-M"/>
    <n v="15518859"/>
    <s v="HPL29964"/>
    <n v="2016"/>
    <n v="8"/>
    <n v="0"/>
    <s v="Propio"/>
    <s v="Bueno "/>
    <x v="1"/>
    <s v="NO"/>
    <s v="NO APLICA"/>
    <s v="SI"/>
    <x v="2"/>
    <s v="CONTRATO"/>
    <s v="NEWLAB - L1"/>
    <s v="1057540-78-LE23"/>
    <n v="214200"/>
    <n v="2"/>
    <m/>
    <m/>
    <s v="√"/>
    <m/>
    <m/>
    <m/>
    <m/>
    <m/>
    <s v="X"/>
    <m/>
    <m/>
    <m/>
  </r>
  <r>
    <s v="Rehabilitacion Integral - 10"/>
    <s v="Hospital Penco Lirquen"/>
    <s v="Med. Física Rehabilitación"/>
    <s v="Mediano Costo "/>
    <s v="Equipo ondas de choque"/>
    <s v="Enraf Nonius"/>
    <s v="Endopuls 811"/>
    <n v="16209773"/>
    <s v="HPL29966"/>
    <n v="2019"/>
    <n v="8"/>
    <n v="3"/>
    <s v="Propio"/>
    <s v="Bueno "/>
    <x v="1"/>
    <s v="NO"/>
    <s v="NO APLICA"/>
    <s v="SI"/>
    <x v="2"/>
    <s v="CONTRATO"/>
    <s v="NEWLAB - L1"/>
    <s v="1057540-78-LE23"/>
    <n v="178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5"/>
    <s v="HPL30094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ꓣ"/>
    <s v="√"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6"/>
    <s v="HPL30095"/>
    <n v="2015"/>
    <n v="8"/>
    <n v="-1"/>
    <s v="Propio"/>
    <s v="Bueno "/>
    <x v="1"/>
    <s v="NO"/>
    <s v="NO APLICA"/>
    <s v="SI"/>
    <x v="2"/>
    <s v="CONTRATO"/>
    <s v="NEWLAB - L1"/>
    <s v="1057540-78-LE23"/>
    <n v="595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ITO"/>
    <s v="ES-320"/>
    <n v="200905260888"/>
    <s v="HPL30105"/>
    <n v="2016"/>
    <n v="8"/>
    <n v="0"/>
    <s v="Propio"/>
    <s v="Bueno "/>
    <x v="1"/>
    <s v="NO"/>
    <s v="NO APLICA"/>
    <s v="SI"/>
    <x v="2"/>
    <s v="CONTRATO"/>
    <s v="NEWLAB - L2"/>
    <s v="1057540-78-LE23"/>
    <n v="59500"/>
    <n v="1"/>
    <m/>
    <m/>
    <s v="√"/>
    <m/>
    <m/>
    <m/>
    <m/>
    <m/>
    <m/>
    <m/>
    <m/>
    <m/>
  </r>
  <r>
    <s v="Rehabilitacion Integral - 10"/>
    <s v="Hospital Penco Lirquen"/>
    <s v="Mobiliario"/>
    <s v="Clínico"/>
    <s v="Camilla basculante eléctrica"/>
    <s v="Enraf Nonius"/>
    <s v="Manumed Tilt 2 (5500.725)"/>
    <s v="2019-N2-1120"/>
    <s v="HPL30173"/>
    <n v="2019"/>
    <n v="8"/>
    <n v="3"/>
    <s v="Propio"/>
    <s v="Bueno "/>
    <x v="1"/>
    <s v="NO"/>
    <s v="NO APLICA"/>
    <s v="SI"/>
    <x v="2"/>
    <s v="CONTRATO"/>
    <s v="NEWLAB - L1"/>
    <s v="1057540-78-LE23"/>
    <n v="190400"/>
    <n v="2"/>
    <m/>
    <m/>
    <s v="√"/>
    <m/>
    <m/>
    <m/>
    <m/>
    <m/>
    <s v="X"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6808"/>
    <s v="HPL30224"/>
    <n v="2016"/>
    <n v="8"/>
    <n v="0"/>
    <s v="Propio"/>
    <s v="Bueno "/>
    <x v="1"/>
    <s v="NO"/>
    <s v="NO APLICA"/>
    <s v="SI"/>
    <x v="2"/>
    <s v="CONTRATO"/>
    <s v="NEWLAB - L2"/>
    <s v="1057540-78-LE23"/>
    <n v="714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7036"/>
    <s v="HPL30225"/>
    <n v="2016"/>
    <n v="8"/>
    <n v="0"/>
    <s v="Propio"/>
    <s v="Bueno "/>
    <x v="1"/>
    <s v="NO"/>
    <s v="NO APLICA"/>
    <s v="SI"/>
    <x v="2"/>
    <s v="CONTRATO"/>
    <s v="NEWLAB - L2"/>
    <s v="1057540-78-LE23"/>
    <n v="714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Bajo costo"/>
    <s v="Caminadora"/>
    <s v="Lime"/>
    <s v="D113"/>
    <s v="D1132011060000369"/>
    <s v="HPL30236"/>
    <n v="2015"/>
    <n v="8"/>
    <n v="-1"/>
    <s v="Propio"/>
    <s v="Bueno "/>
    <x v="1"/>
    <s v="NO"/>
    <s v="NO APLICA"/>
    <s v="SI"/>
    <x v="2"/>
    <s v="CONTRATO"/>
    <s v="NEWLAB - L2"/>
    <s v="1057540-78-LE23"/>
    <n v="1071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Bajo costo"/>
    <s v="Cicloergómetro de mano"/>
    <s v="S/M"/>
    <s v="S/M"/>
    <s v="QH-016343"/>
    <s v="HPL30278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Apoyo Terapéutico"/>
    <s v="Alto Costo"/>
    <s v="Piscina Terapéutica"/>
    <s v="Swimex"/>
    <s v="SX470T"/>
    <s v="S/N"/>
    <s v="HPL30349"/>
    <n v="2016"/>
    <n v="10"/>
    <n v="2"/>
    <s v="Propio"/>
    <s v="Bueno "/>
    <x v="1"/>
    <s v="NO"/>
    <m/>
    <s v="SI"/>
    <x v="0"/>
    <s v="EXTERNO"/>
    <s v="DOCTOR´S CHOICE"/>
    <s v="1057540-134-LE23"/>
    <n v="2380000"/>
    <n v="2"/>
    <m/>
    <m/>
    <m/>
    <s v="ꓣ"/>
    <s v="√"/>
    <m/>
    <m/>
    <m/>
    <m/>
    <s v="X"/>
    <m/>
    <m/>
  </r>
  <r>
    <s v="Rehabilitacion Integral - 10"/>
    <s v="Hospital Penco Lirquen"/>
    <s v="Med. Física Rehabilitación"/>
    <s v="Bajo costo"/>
    <s v="Caminadora"/>
    <s v="Life fitness"/>
    <s v="T3"/>
    <s v="T3071506028660"/>
    <s v="HPL30383"/>
    <n v="2016"/>
    <n v="8"/>
    <n v="0"/>
    <s v="Propio"/>
    <s v="Bueno "/>
    <x v="1"/>
    <s v="NO"/>
    <s v="NO APLICA"/>
    <s v="SI"/>
    <x v="2"/>
    <s v="CONTRATO"/>
    <s v="NEWLAB - L2"/>
    <s v="1057540-78-LE23"/>
    <n v="1071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Bajo costo"/>
    <s v="Caminadora"/>
    <s v="Life fitness"/>
    <s v="T3"/>
    <s v="T3071506028661"/>
    <s v="HPL30384"/>
    <n v="2016"/>
    <n v="8"/>
    <n v="0"/>
    <s v="Propio"/>
    <s v="Bueno "/>
    <x v="1"/>
    <s v="NO"/>
    <s v="NO APLICA"/>
    <s v="SI"/>
    <x v="2"/>
    <s v="CONTRATO"/>
    <s v="NEWLAB - L2"/>
    <s v="1057540-78-LE23"/>
    <n v="107100"/>
    <n v="1"/>
    <m/>
    <m/>
    <s v="√"/>
    <m/>
    <m/>
    <m/>
    <m/>
    <m/>
    <m/>
    <m/>
    <m/>
    <m/>
  </r>
  <r>
    <s v="Rehabilitacion Integral - 10"/>
    <s v="Hospital Penco Lirquen"/>
    <s v="Med. Física Rehabilitación"/>
    <s v="Bajo costo"/>
    <s v="Cicloergometro"/>
    <s v="Enraf Nonius"/>
    <s v="Monark 970"/>
    <s v="WBK2943271"/>
    <s v="HPL30395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icloergometro"/>
    <s v="Enraf Nonius"/>
    <s v="Monark 970"/>
    <s v="WBK2948302"/>
    <s v="HPL30396"/>
    <n v="2016"/>
    <n v="8"/>
    <n v="0"/>
    <s v="Propio"/>
    <s v="Bueno "/>
    <x v="1"/>
    <s v="NO"/>
    <s v="NO APLICA"/>
    <s v="SI"/>
    <x v="2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Trotadora"/>
    <s v="Life fitness"/>
    <s v="Aspire SL"/>
    <s v="ASPTRMW24020233"/>
    <m/>
    <n v="2024"/>
    <n v="10"/>
    <n v="10"/>
    <s v="Propio"/>
    <s v="Bueno "/>
    <x v="1"/>
    <s v="SI"/>
    <d v="2027-03-01T00:00:00"/>
    <s v="SI"/>
    <x v="2"/>
    <s v="EXTERNO"/>
    <s v="Lifefitness"/>
    <s v="COLDAS 2023 (4500619370)"/>
    <m/>
    <n v="2"/>
    <m/>
    <m/>
    <m/>
    <m/>
    <m/>
    <m/>
    <m/>
    <m/>
    <s v="X"/>
    <m/>
    <m/>
    <m/>
  </r>
  <r>
    <s v="Rehabilitacion Integral - 10"/>
    <s v="Hospital Penco Lirquen"/>
    <s v="Med. Física Rehabilitación"/>
    <s v="Bajo costo"/>
    <s v="Trotadora"/>
    <s v="Life fitness"/>
    <s v="Aspire SL"/>
    <s v="ASPTRMW24020234"/>
    <m/>
    <n v="2024"/>
    <n v="10"/>
    <n v="10"/>
    <s v="Propio"/>
    <s v="BUENO"/>
    <x v="1"/>
    <s v="SI"/>
    <d v="2027-03-01T00:00:00"/>
    <s v="SI"/>
    <x v="2"/>
    <s v="EXTERNO"/>
    <s v="Lifefitness"/>
    <s v="COLDAS 2023 (4500619370)"/>
    <m/>
    <n v="2"/>
    <m/>
    <m/>
    <m/>
    <m/>
    <m/>
    <m/>
    <m/>
    <m/>
    <s v="X"/>
    <m/>
    <m/>
    <m/>
  </r>
  <r>
    <s v="Salud del personal"/>
    <s v="Hospital Penco Lirquen"/>
    <s v="Mobiliario"/>
    <s v="Clínico"/>
    <s v="Camilla de examen"/>
    <s v="Malvestio"/>
    <n v="350100"/>
    <n v="20019516"/>
    <s v="HPL12004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Salud del personal"/>
    <s v="Hospital Penco Lirquen"/>
    <s v="Mobiliario"/>
    <s v="Clínico"/>
    <s v="Camilla de examen"/>
    <s v="Malvestio"/>
    <n v="350100"/>
    <n v="20019522"/>
    <s v="HPL1194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Salud del personal"/>
    <s v="Hospital Penco Lirquen"/>
    <s v="Apoyo Diagnóstico"/>
    <s v="Bajo costo"/>
    <s v="Oto-oftalmoscopio de pared"/>
    <s v="Riester"/>
    <s v="Ri-scope L"/>
    <s v="S/N"/>
    <s v="HPL30121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Apoyo Diagnóstico"/>
    <s v="Bajo costo"/>
    <s v="Oto-oftalmoscopio de pared"/>
    <s v="Riester"/>
    <s v="Ri-scope L"/>
    <s v="S/N"/>
    <s v="HPL30122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Apoyo Diagnóstico"/>
    <s v="Bajo costo"/>
    <s v="Balanza con tallímetro"/>
    <s v="ADE"/>
    <s v="M320600-0L"/>
    <s v="50930-0000409"/>
    <s v="HPL11936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nitoreo"/>
    <s v="Mediano Costo "/>
    <s v="Monitor de signos vitales"/>
    <s v="Edan"/>
    <s v="M3A"/>
    <s v="302019-M14505610013"/>
    <s v="HPL11939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Salud del personal - 5"/>
    <s v="Hospital Penco Lirquen"/>
    <s v="Apoyo Diagnóstico"/>
    <s v="Bajo costo"/>
    <s v="Termómetro digital"/>
    <s v="Omrom"/>
    <s v="MC-720"/>
    <s v="20161100942RF"/>
    <s v="HPL30172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Salud del personal - 5"/>
    <s v="Hospital Penco Lirquen"/>
    <s v="Laboratorio/Farmac"/>
    <s v="Mediano Costo "/>
    <s v="Refrigerador Clinico"/>
    <s v="Smeg"/>
    <s v="FV30G1"/>
    <n v="5122200021"/>
    <s v="HPL11932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SEDILE"/>
    <s v="Hospital Penco Lirquen"/>
    <s v="Apoyo Terapéutico"/>
    <s v="Mediano Costo "/>
    <s v="Bomba de nutrición enteral"/>
    <s v="Fresenius Kabi"/>
    <s v="AMIKA-ES"/>
    <n v="25140460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42003806"/>
    <m/>
    <n v="2023"/>
    <n v="8"/>
    <n v="7"/>
    <s v="Comodato"/>
    <s v="BUENO"/>
    <x v="2"/>
    <s v="NO"/>
    <s v="NO APLICA"/>
    <s v="NO"/>
    <x v="1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7131748"/>
    <m/>
    <n v="2023"/>
    <n v="8"/>
    <n v="7"/>
    <s v="Comodato"/>
    <s v="BUENO"/>
    <x v="2"/>
    <s v="NO"/>
    <s v="NO APLICA"/>
    <s v="NO"/>
    <x v="1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9180007"/>
    <m/>
    <n v="2023"/>
    <n v="8"/>
    <n v="7"/>
    <s v="Comodato"/>
    <s v="BUENO"/>
    <x v="2"/>
    <s v="NO"/>
    <s v="NO APLICA"/>
    <s v="NO"/>
    <x v="1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20245883"/>
    <m/>
    <n v="2023"/>
    <n v="8"/>
    <n v="7"/>
    <s v="Comodato"/>
    <s v="BUENO"/>
    <x v="2"/>
    <s v="NO"/>
    <s v="NO APLICA"/>
    <s v="NO"/>
    <x v="1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0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140459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3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328670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6"/>
    <m/>
    <n v="2023"/>
    <n v="8"/>
    <n v="7"/>
    <s v="Comodato"/>
    <s v="BUENO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SEDILE - 17A"/>
    <s v="Hospital Penco Lirquen"/>
    <s v="Esterilización"/>
    <s v="Alto Costo"/>
    <s v="Autoclave"/>
    <s v="Matachana"/>
    <s v="21ED"/>
    <n v="123218"/>
    <s v="HPL29920"/>
    <n v="2016"/>
    <n v="10"/>
    <n v="2"/>
    <s v="Propio"/>
    <s v="Bueno "/>
    <x v="3"/>
    <s v="NO"/>
    <m/>
    <s v="SI"/>
    <x v="0"/>
    <s v="EXTERNO"/>
    <s v="International Clinics"/>
    <s v="PENDIENTE"/>
    <n v="2249100"/>
    <n v="2"/>
    <m/>
    <s v="ꓣ"/>
    <m/>
    <m/>
    <m/>
    <m/>
    <m/>
    <s v="X"/>
    <m/>
    <m/>
    <m/>
    <m/>
  </r>
  <r>
    <s v="SEDILE - 17A"/>
    <s v="Hospital Penco Lirquen"/>
    <s v="Apoyo Diagnóstico"/>
    <s v="Bajo costo"/>
    <s v="Balanza evaluación nutricional"/>
    <s v="OMRON"/>
    <s v="HBF-514C"/>
    <s v="20220101101F"/>
    <m/>
    <n v="2022"/>
    <n v="10"/>
    <n v="8"/>
    <s v="Propio"/>
    <s v="Bueno "/>
    <x v="2"/>
    <s v="NO"/>
    <d v="2023-06-01T00:00:00"/>
    <s v="NO"/>
    <x v="1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2F"/>
    <m/>
    <n v="2022"/>
    <n v="10"/>
    <n v="8"/>
    <s v="Propio"/>
    <s v="Bueno "/>
    <x v="2"/>
    <s v="NO"/>
    <d v="2023-06-01T00:00:00"/>
    <s v="NO"/>
    <x v="1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4F"/>
    <m/>
    <n v="2022"/>
    <n v="10"/>
    <n v="8"/>
    <s v="Propio"/>
    <s v="Bueno "/>
    <x v="2"/>
    <s v="NO"/>
    <d v="2023-06-01T00:00:00"/>
    <s v="NO"/>
    <x v="1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Laboratorio/Farmac"/>
    <s v="Mediano Costo "/>
    <s v="Refrigerador Clinico"/>
    <s v="Smeg"/>
    <s v="FV30G1"/>
    <n v="5122200041"/>
    <s v="HPL30077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SEDILE - BODEGA EQUIPOS MÉDICOS (-1) 17A"/>
    <s v="Hospital Penco Lirquen"/>
    <s v="Apoyo Diagnóstico"/>
    <s v="Bajo costo"/>
    <s v="Balanza gramera"/>
    <s v="Prodelab"/>
    <n v="50001"/>
    <n v="151217"/>
    <m/>
    <n v="2016"/>
    <n v="10"/>
    <n v="2"/>
    <s v="Propio"/>
    <s v="MALO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699"/>
    <s v="HPL29864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700"/>
    <s v="HPL29865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Calentador de suero"/>
    <s v="Hot line"/>
    <s v="HL-90"/>
    <n v="19990856"/>
    <s v="HPL29969"/>
    <n v="2016"/>
    <n v="8"/>
    <n v="0"/>
    <s v="Propio"/>
    <s v="MALO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3"/>
    <s v="HPL2997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4"/>
    <s v="HPL2997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1"/>
    <s v="HPL29972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4"/>
    <s v="HPL29975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5"/>
    <s v="HPL29976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6"/>
    <s v="HPL29977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7"/>
    <s v="HPL29978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8"/>
    <s v="HPL29979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9"/>
    <s v="HPL29980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90"/>
    <s v="HPL2998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092"/>
    <s v="HPL29983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0"/>
    <s v="HPL30001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2"/>
    <s v="HPL30003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3"/>
    <s v="HPL30004"/>
    <n v="2015"/>
    <n v="8"/>
    <n v="-1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4"/>
    <s v="HPL30005"/>
    <n v="2016"/>
    <n v="8"/>
    <n v="0"/>
    <s v="Propio"/>
    <s v="Bueno "/>
    <x v="2"/>
    <s v="NO"/>
    <s v="NO APLICA"/>
    <s v="NO"/>
    <x v="1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Fresenius Kabi"/>
    <s v="Agilia VP MC"/>
    <n v="24338311"/>
    <s v="HPL28461"/>
    <n v="2021"/>
    <n v="8"/>
    <n v="5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 con capnografía"/>
    <s v="Nonin"/>
    <n v="9843"/>
    <n v="501319003"/>
    <s v="HPL30055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Esfingomanómetro digital"/>
    <s v="Mati med"/>
    <s v="TP-200"/>
    <s v="B13"/>
    <s v="HPL30222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Riester"/>
    <s v="Ri-scope L"/>
    <s v="box1"/>
    <s v="HPL30231"/>
    <n v="2015"/>
    <n v="8"/>
    <n v="-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2"/>
    <s v="HPL30232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5"/>
    <s v="HPL3023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7"/>
    <s v="HPL30235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"/>
    <s v="Nellcor"/>
    <s v="Oximax N-65"/>
    <s v="G15802062"/>
    <s v="HPL30257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Quirúrgico"/>
    <s v="Mediano Costo "/>
    <s v="Lámpara de procedimientos"/>
    <s v="Welchallyn"/>
    <s v="GS600"/>
    <s v="S/N"/>
    <s v="HPL30315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adulto"/>
    <s v="Sunmed"/>
    <s v="Kit especial"/>
    <s v="S/N"/>
    <s v="HPL30320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pediátrico"/>
    <s v="Sunmed"/>
    <s v="S/N"/>
    <s v="S/N"/>
    <s v="HPL3032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Sierra corta yeso"/>
    <s v="Martin"/>
    <s v="Elektronik"/>
    <s v="S/N"/>
    <s v="HPL30353"/>
    <n v="2017"/>
    <n v="10"/>
    <n v="3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ICU Medical"/>
    <s v="Plum A"/>
    <n v="18346057"/>
    <m/>
    <n v="2016"/>
    <n v="8"/>
    <n v="0"/>
    <s v="Comodato"/>
    <s v="MALO"/>
    <x v="2"/>
    <s v="NO"/>
    <s v="NO APLICA"/>
    <s v="NO"/>
    <x v="1"/>
    <s v="CONTRATO"/>
    <m/>
    <m/>
    <m/>
    <m/>
    <m/>
    <m/>
    <m/>
    <m/>
    <m/>
    <m/>
    <m/>
    <m/>
    <m/>
    <m/>
    <m/>
    <m/>
  </r>
  <r>
    <s v="Urgencia"/>
    <s v="Hospital Penco Lirquen"/>
    <s v="Monitoreo"/>
    <s v="Mediano Costo "/>
    <s v="Desfibrilador externo automático (DEA)"/>
    <s v="Mindray"/>
    <s v="BeneHeart C2"/>
    <s v="AE7-01001130"/>
    <s v="HPL30209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de signos vitales"/>
    <s v="Mindray"/>
    <s v="DPM3"/>
    <s v="DQ-18000401"/>
    <s v="HPL30239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5G-08197"/>
    <s v="HPL30196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√"/>
    <m/>
    <m/>
    <m/>
    <m/>
    <m/>
    <s v="X"/>
  </r>
  <r>
    <s v="Urgencia"/>
    <s v="Hospital Penco Lirquen"/>
    <s v="Monitoreo"/>
    <s v="Mediano Costo"/>
    <s v="Monitor de signos vitales"/>
    <s v="General Electric"/>
    <s v="V100"/>
    <s v="SH622300059SA"/>
    <s v="HPL31304"/>
    <n v="2022"/>
    <n v="8"/>
    <n v="6"/>
    <s v="Propio"/>
    <s v="Bueno "/>
    <x v="0"/>
    <s v="SI"/>
    <d v="2024-12-01T00:00:00"/>
    <s v="SI"/>
    <x v="2"/>
    <s v="EXTERNO"/>
    <s v="PV EQUIP"/>
    <s v="COLDAS"/>
    <m/>
    <n v="2"/>
    <m/>
    <m/>
    <m/>
    <m/>
    <m/>
    <s v="√"/>
    <m/>
    <m/>
    <m/>
    <m/>
    <m/>
    <s v="X"/>
  </r>
  <r>
    <s v="Urgencia"/>
    <s v="Hospital Penco Lirquen"/>
    <s v="Monitoreo"/>
    <s v="Mediano Costo"/>
    <s v="Monitor de signos vitales"/>
    <s v="General Electric"/>
    <s v="V100"/>
    <s v="SH622300072SA"/>
    <s v="HPL31305"/>
    <n v="2022"/>
    <n v="8"/>
    <n v="6"/>
    <s v="Propio"/>
    <s v="Bueno "/>
    <x v="0"/>
    <s v="SI"/>
    <d v="2024-12-01T00:00:00"/>
    <s v="SI"/>
    <x v="2"/>
    <s v="EXTERNO"/>
    <s v="PV EQUIP"/>
    <s v="COLDAS"/>
    <m/>
    <n v="2"/>
    <m/>
    <m/>
    <m/>
    <m/>
    <m/>
    <s v="√"/>
    <m/>
    <m/>
    <m/>
    <m/>
    <m/>
    <s v="X"/>
  </r>
  <r>
    <s v="Urgencia"/>
    <s v="Hospital Penco Lirquen"/>
    <s v="Monitoreo"/>
    <s v="Mediano Costo"/>
    <s v="Monitor de signos vitales"/>
    <s v="General Electric"/>
    <s v="V100"/>
    <s v="SH622330003SA"/>
    <s v="HPL31306"/>
    <n v="2022"/>
    <n v="8"/>
    <n v="6"/>
    <s v="Propio"/>
    <s v="Bueno "/>
    <x v="0"/>
    <s v="SI"/>
    <d v="2024-12-01T00:00:00"/>
    <s v="SI"/>
    <x v="2"/>
    <s v="EXTERNO"/>
    <s v="PV EQUIP"/>
    <s v="COLDAS"/>
    <m/>
    <n v="2"/>
    <m/>
    <m/>
    <m/>
    <m/>
    <m/>
    <s v="√"/>
    <m/>
    <m/>
    <m/>
    <m/>
    <m/>
    <s v="X"/>
  </r>
  <r>
    <s v="Urgencia"/>
    <s v="Hospital Penco Lirquen"/>
    <s v="Monitoreo"/>
    <s v="Mediano Costo"/>
    <s v="Monitor de signos vitales"/>
    <s v="General Electric"/>
    <s v="V100"/>
    <s v="SH622300047SA"/>
    <s v="HPL31307"/>
    <n v="2022"/>
    <n v="8"/>
    <n v="6"/>
    <s v="Propio"/>
    <s v="Bueno "/>
    <x v="0"/>
    <s v="SI"/>
    <d v="2024-12-01T00:00:00"/>
    <s v="SI"/>
    <x v="2"/>
    <s v="EXTERNO"/>
    <s v="PV EQUIP"/>
    <s v="COLDAS"/>
    <m/>
    <n v="2"/>
    <m/>
    <m/>
    <m/>
    <m/>
    <m/>
    <s v="√"/>
    <m/>
    <m/>
    <m/>
    <m/>
    <m/>
    <s v="X"/>
  </r>
  <r>
    <s v="Urgencia"/>
    <s v="Hospital Penco Lirquen"/>
    <s v="Monitoreo"/>
    <s v="Mediano Costo "/>
    <s v="Desfibrilador externo automático (DEA)"/>
    <s v="Zoll"/>
    <s v="AED plus"/>
    <s v="(21) X16K874144"/>
    <s v="HPL30119"/>
    <n v="2017"/>
    <n v="8"/>
    <n v="1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9K-06534"/>
    <s v="HPL30199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desfibrilador"/>
    <s v="Zoll medical"/>
    <s v="Serie R ALS"/>
    <s v="AF15D045649"/>
    <s v="HPL30210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desfibrilador "/>
    <s v="Zoll medical"/>
    <s v="Serie R ALS"/>
    <s v="AF15D045654"/>
    <s v="HPL30211"/>
    <n v="2016"/>
    <n v="8"/>
    <n v="0"/>
    <s v="Propio"/>
    <s v="Bueno "/>
    <x v="0"/>
    <s v="NO"/>
    <s v="NO APLICA"/>
    <s v="SI"/>
    <x v="0"/>
    <s v="INTERNO"/>
    <s v="TECNICO EQM HPL"/>
    <s v="NO APLICA"/>
    <s v="-"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373"/>
    <s v="HPL29911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09"/>
    <s v="HPL29913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38"/>
    <s v="HPL29917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36"/>
    <s v="HPL30029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4"/>
    <s v="HPL30030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8"/>
    <s v="HPL30033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1"/>
    <s v="HPL30034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2"/>
    <s v="HPL30035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5"/>
    <s v="HPL30037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7"/>
    <s v="HPL30039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69"/>
    <s v="HPL30044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31190WA"/>
    <s v="HPL30369"/>
    <n v="2015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51303WA"/>
    <s v="HPL30370"/>
    <n v="2016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83"/>
    <m/>
    <n v="2023"/>
    <n v="8"/>
    <n v="7"/>
    <s v="Propio"/>
    <s v="BUENO"/>
    <x v="0"/>
    <s v="SI"/>
    <d v="2025-11-23T00:00:00"/>
    <s v="SI"/>
    <x v="2"/>
    <s v="INTERNO"/>
    <s v="TECNICO EQM HPL"/>
    <s v="COLDAS 2023 (BLUMEDICAL)"/>
    <n v="0"/>
    <n v="2"/>
    <m/>
    <m/>
    <m/>
    <s v="√"/>
    <m/>
    <m/>
    <m/>
    <m/>
    <m/>
    <s v="X"/>
    <m/>
    <m/>
  </r>
  <r>
    <s v="Urgencia"/>
    <s v="Hospital Penco Lirquen"/>
    <s v="Monitoreo"/>
    <s v="Mediano Costo "/>
    <s v="Desfibrilador externo automático (DEA)"/>
    <s v="NIHON KOHDEN"/>
    <s v="AED-3100"/>
    <n v="30559"/>
    <m/>
    <n v="2023"/>
    <n v="8"/>
    <n v="7"/>
    <s v="Propio"/>
    <s v="BUENO"/>
    <x v="0"/>
    <s v="SI"/>
    <d v="2025-11-23T00:00:00"/>
    <s v="SI"/>
    <x v="2"/>
    <s v="INTERNO"/>
    <s v="TECNICO EQM HPL"/>
    <s v="COLDAS 2023 (BLUMEDICAL)"/>
    <n v="0"/>
    <n v="2"/>
    <m/>
    <m/>
    <m/>
    <s v="√"/>
    <m/>
    <m/>
    <m/>
    <m/>
    <m/>
    <s v="X"/>
    <m/>
    <m/>
  </r>
  <r>
    <s v="Urgencia"/>
    <s v="Hospital Penco Lirquen"/>
    <s v="Monitoreo"/>
    <s v="Mediano Costo "/>
    <s v="Desfibrilador externo automático (DEA)"/>
    <s v="NIHON KOHDEN"/>
    <s v="AED-3100"/>
    <n v="30584"/>
    <m/>
    <n v="2023"/>
    <n v="8"/>
    <n v="7"/>
    <s v="Propio"/>
    <s v="BUENO"/>
    <x v="0"/>
    <s v="SI"/>
    <d v="2025-11-23T00:00:00"/>
    <s v="SI"/>
    <x v="2"/>
    <s v="INTERNO"/>
    <s v="TECNICO EQM HPL"/>
    <s v="COLDAS 2023 (BLUMEDICAL)"/>
    <n v="0"/>
    <n v="2"/>
    <m/>
    <m/>
    <m/>
    <s v="√"/>
    <m/>
    <m/>
    <m/>
    <m/>
    <m/>
    <s v="X"/>
    <m/>
    <m/>
  </r>
  <r>
    <s v="Urgencia"/>
    <s v="Hospital Penco Lirquen"/>
    <s v="Monitoreo"/>
    <s v="Mediano Costo "/>
    <s v="Desfibrilador externo automático (DEA)"/>
    <s v="NIHON KOHDEN"/>
    <s v="AED-3100"/>
    <n v="30574"/>
    <m/>
    <n v="2023"/>
    <n v="8"/>
    <n v="7"/>
    <s v="Propio"/>
    <s v="BUENO"/>
    <x v="0"/>
    <s v="SI"/>
    <d v="2025-11-23T00:00:00"/>
    <s v="SI"/>
    <x v="2"/>
    <s v="INTERNO"/>
    <s v="TECNICO EQM HPL"/>
    <s v="COLDAS 2023 (BLUMEDICAL)"/>
    <n v="0"/>
    <n v="2"/>
    <m/>
    <m/>
    <m/>
    <s v="√"/>
    <m/>
    <m/>
    <m/>
    <m/>
    <m/>
    <s v="X"/>
    <m/>
    <m/>
  </r>
  <r>
    <s v="Urgencia"/>
    <s v="Hospital Penco Lirquen"/>
    <s v="Monitoreo"/>
    <s v="Mediano Costo "/>
    <s v="Desfibrilador externo automático (DEA)"/>
    <s v="NIHON KOHDEN"/>
    <s v="AED-3100"/>
    <n v="30594"/>
    <m/>
    <n v="2023"/>
    <n v="8"/>
    <n v="7"/>
    <s v="Propio"/>
    <s v="BUENO"/>
    <x v="0"/>
    <s v="SI"/>
    <d v="2025-11-23T00:00:00"/>
    <s v="SI"/>
    <x v="2"/>
    <s v="INTERNO"/>
    <s v="TECNICO EQM HPL"/>
    <s v="COLDAS 2023 (BLUMEDICAL)"/>
    <n v="0"/>
    <n v="2"/>
    <m/>
    <m/>
    <m/>
    <s v="√"/>
    <m/>
    <m/>
    <m/>
    <m/>
    <m/>
    <s v="X"/>
    <m/>
    <m/>
  </r>
  <r>
    <s v="Urgencia - 1B"/>
    <s v="Hospital Penco Lirquen"/>
    <s v="Apoyo Terapéutico"/>
    <s v="Mediano Costo "/>
    <s v="Bomba de infusión continua"/>
    <s v="Fresenius Kabi"/>
    <s v="Volumat MC Agilia E"/>
    <n v="21425792"/>
    <s v="HPL28423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 - 1B"/>
    <s v="Hospital Penco Lirquen"/>
    <s v="Apoyo Terapéutico"/>
    <s v="Alto Costo"/>
    <s v="Ventilador mecánico invasivo de transporte"/>
    <s v="Drager"/>
    <s v="Oxylog 3000 plus"/>
    <s v="ASNH-0102"/>
    <s v="HPL30220"/>
    <n v="2020"/>
    <n v="8"/>
    <n v="4"/>
    <s v="Propio"/>
    <s v="Bueno "/>
    <x v="0"/>
    <s v="NO"/>
    <s v="NO APLICA"/>
    <s v="SI"/>
    <x v="0"/>
    <s v="CONTRATO"/>
    <s v="TDM"/>
    <s v="1057540-101-LE23"/>
    <n v="2499246"/>
    <n v="2"/>
    <m/>
    <m/>
    <m/>
    <m/>
    <m/>
    <s v="√"/>
    <m/>
    <m/>
    <m/>
    <m/>
    <m/>
    <s v="X"/>
  </r>
  <r>
    <s v="Urgencia - 6"/>
    <s v="Hospital Penco Lirquen"/>
    <s v="Apoyo Diagnóstico"/>
    <s v="Bajo costo"/>
    <s v="Oto-oftalmoscopio de pared"/>
    <s v="Welchallyn"/>
    <n v="77712"/>
    <s v="box6"/>
    <s v="HPL30234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"/>
    <s v="Hospital Penco Lirquen"/>
    <s v="Laboratorio/Farmac"/>
    <s v="Mediano Costo "/>
    <s v="Refrigerador Clinico"/>
    <s v="Smeg"/>
    <s v="FV30G1"/>
    <n v="5120200011"/>
    <s v="HPL30075"/>
    <n v="2016"/>
    <n v="10"/>
    <n v="2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Urgencia - 6A"/>
    <s v="Hospital Penco Lirquen"/>
    <s v="Imagenología"/>
    <s v="Alto Costo"/>
    <s v="Ecógrafo"/>
    <s v="General Electric"/>
    <s v="Logiq E"/>
    <s v="420339WX4"/>
    <s v="HPL30189"/>
    <n v="2015"/>
    <n v="8"/>
    <n v="-1"/>
    <s v="Propio"/>
    <s v="Bueno "/>
    <x v="3"/>
    <s v="NO"/>
    <m/>
    <s v="SI"/>
    <x v="0"/>
    <s v="EXTERNO"/>
    <s v="HOSER"/>
    <s v="1057540-17-LE23"/>
    <n v="1666000"/>
    <n v="2"/>
    <m/>
    <s v="√"/>
    <m/>
    <m/>
    <m/>
    <m/>
    <m/>
    <s v="X"/>
    <m/>
    <m/>
    <m/>
    <m/>
  </r>
  <r>
    <s v="Urgencia - 6A"/>
    <s v="Hospital Penco Lirquen"/>
    <s v="Apoyo Diagnóstico"/>
    <s v="Bajo costo"/>
    <s v="Oximetro de pulso"/>
    <s v="Nellcor"/>
    <s v="Oximax N-65"/>
    <s v="G15801876"/>
    <s v="HPL30252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1877"/>
    <s v="HPL30253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2024"/>
    <s v="HPL30254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6"/>
    <s v="HPL30354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7"/>
    <s v="HPL30355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8"/>
    <s v="HPL30356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9"/>
    <s v="HPL30357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0"/>
    <s v="HPL30358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2"/>
    <s v="HPL30360"/>
    <n v="2016"/>
    <n v="10"/>
    <n v="2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Mediano Costo "/>
    <s v="Electrocardiografo"/>
    <s v="Nihon Kohden"/>
    <s v="Cardiofax C ECG 1150"/>
    <s v="04055K"/>
    <s v="HPL30130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Laboratorio/Farmac"/>
    <s v="Mediano Costo "/>
    <s v="Refrigerador"/>
    <s v="General Electric"/>
    <s v="GAG5SAMRCS"/>
    <s v="2D1610-0094"/>
    <s v="HPL30180"/>
    <n v="2015"/>
    <n v="10"/>
    <n v="1"/>
    <s v="Propio"/>
    <s v="Bueno "/>
    <x v="1"/>
    <s v="NO"/>
    <s v="NO APLICA"/>
    <s v="SI"/>
    <x v="0"/>
    <s v="CONTRATO"/>
    <s v="CLIMATICPRO"/>
    <s v="1057540-100-LE23"/>
    <n v="53550"/>
    <n v="1"/>
    <m/>
    <m/>
    <m/>
    <m/>
    <m/>
    <m/>
    <m/>
    <s v="X"/>
    <m/>
    <m/>
    <m/>
    <m/>
  </r>
  <r>
    <s v="Urgencia - 6A"/>
    <s v="Hospital Penco Lirquen"/>
    <s v="Otros"/>
    <s v="Mediano Costo "/>
    <s v="Carro elevador de cadaveres"/>
    <s v="Matachana"/>
    <s v="LIFTING TROLLEY"/>
    <s v="ELE0216139"/>
    <s v="HPL30241"/>
    <n v="2015"/>
    <n v="8"/>
    <n v="-1"/>
    <s v="Propio"/>
    <s v="Bueno "/>
    <x v="1"/>
    <s v="NO"/>
    <m/>
    <s v="SI"/>
    <x v="0"/>
    <s v="EXTERNO"/>
    <s v="INTERNATIONAL CLINICS"/>
    <s v="PENDIENTE"/>
    <n v="315350"/>
    <n v="1"/>
    <m/>
    <s v="√"/>
    <m/>
    <m/>
    <m/>
    <m/>
    <m/>
    <m/>
    <m/>
    <m/>
    <m/>
    <m/>
  </r>
  <r>
    <s v="Urgencia - 6A"/>
    <s v="Hospital Penco Lirquen"/>
    <s v="Otros"/>
    <s v="Alto Costo"/>
    <s v="Camara Mortuoria doble"/>
    <s v="Matachana"/>
    <s v="21cm2c2p"/>
    <s v="f-10173"/>
    <s v="HPL30247"/>
    <n v="2015"/>
    <n v="8"/>
    <n v="-1"/>
    <s v="Propio"/>
    <s v="Bueno "/>
    <x v="1"/>
    <s v="NO"/>
    <s v="NO APLICA"/>
    <s v="SI"/>
    <x v="0"/>
    <s v="EXTERNO"/>
    <s v="INTERNATIONAL CLINICS"/>
    <s v="PENDIENTE"/>
    <n v="868700"/>
    <n v="1"/>
    <m/>
    <s v="√"/>
    <m/>
    <m/>
    <m/>
    <m/>
    <m/>
    <m/>
    <m/>
    <m/>
    <m/>
    <m/>
  </r>
  <r>
    <s v="Urgencia - 6A"/>
    <s v="Hospital Penco Lirquen"/>
    <s v="Apoyo Diagnóstico"/>
    <s v="Mediano Costo "/>
    <s v="Electrocardiografo"/>
    <s v="General Electric"/>
    <s v="MAC 800"/>
    <s v="SJ416020029WA"/>
    <s v="HPL30373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2WA"/>
    <s v="HPL30374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8WA"/>
    <s v="HPL30375"/>
    <n v="2016"/>
    <n v="8"/>
    <n v="0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B"/>
    <s v="Hospital Penco Lirquen"/>
    <s v="Apoyo Terapéutico"/>
    <s v="Bajo costo"/>
    <s v="Calentador de suero"/>
    <s v="Ethermics"/>
    <s v="DC 250L"/>
    <s v="1778112-000"/>
    <s v="HPL30156"/>
    <n v="2016"/>
    <n v="8"/>
    <n v="0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rgencia - 7B"/>
    <s v="Hospital Penco Lirquen"/>
    <m/>
    <m/>
    <s v="Camilla de trasporte de paciente"/>
    <s v="Malvestio"/>
    <s v="Itala"/>
    <n v="20100093"/>
    <m/>
    <n v="2023"/>
    <n v="8"/>
    <n v="7"/>
    <s v="Propio"/>
    <s v="Bueno "/>
    <x v="1"/>
    <s v="SI"/>
    <d v="2024-06-15T00:00:00"/>
    <s v="SI"/>
    <x v="2"/>
    <s v="EXTERNO"/>
    <s v="COLDAS"/>
    <s v="BLUEMEDICAL"/>
    <m/>
    <n v="1"/>
    <m/>
    <m/>
    <m/>
    <s v="ꓣ"/>
    <s v="√"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 E"/>
    <n v="21248881"/>
    <s v="HPL28422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389"/>
    <s v="HPL28340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432"/>
    <s v="HPL28459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60298"/>
    <s v="HPL28460"/>
    <n v="2019"/>
    <n v="8"/>
    <n v="3"/>
    <s v="Comodato"/>
    <s v="Bueno "/>
    <x v="2"/>
    <s v="NO"/>
    <s v="NO APLICA"/>
    <s v="NO"/>
    <x v="1"/>
    <s v="CONTRATO"/>
    <s v="Fresenius Kabi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477"/>
    <m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2958862"/>
    <m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018150"/>
    <m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501"/>
    <m/>
    <n v="2023"/>
    <n v="8"/>
    <n v="7"/>
    <s v="Comodato"/>
    <s v="Bueno "/>
    <x v="2"/>
    <s v="NO"/>
    <s v="NO APLICA"/>
    <s v="NO"/>
    <x v="1"/>
    <s v="CONTRATO"/>
    <s v="Fresenius"/>
    <m/>
    <m/>
    <m/>
    <m/>
    <m/>
    <m/>
    <m/>
    <m/>
    <m/>
    <m/>
    <m/>
    <m/>
    <m/>
    <m/>
    <m/>
  </r>
  <r>
    <s v="Urgencias - 6B"/>
    <s v="Hospital Penco Lirquen"/>
    <s v="Apoyo Diagnóstico"/>
    <s v="Mediano Costo "/>
    <s v="Capnógrafo"/>
    <s v="MASIMO"/>
    <s v="EMMA"/>
    <s v="REF 605102"/>
    <m/>
    <n v="2023"/>
    <n v="8"/>
    <n v="7"/>
    <s v="Propio"/>
    <s v="Bueno "/>
    <x v="2"/>
    <s v="SI"/>
    <d v="2024-03-20T00:00:00"/>
    <s v="NO"/>
    <x v="1"/>
    <s v="EXTERNO"/>
    <s v="PV EQUIP"/>
    <s v="COLDAS 2022"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814"/>
    <s v="HPL30186"/>
    <n v="2019"/>
    <n v="10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0"/>
    <s v="HPL28468"/>
    <n v="2021"/>
    <n v="8"/>
    <n v="5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4"/>
    <s v="HPL28469"/>
    <n v="2021"/>
    <n v="8"/>
    <n v="5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7"/>
    <s v="HPL28470"/>
    <n v="2021"/>
    <n v="8"/>
    <n v="5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1"/>
    <s v="HPL28486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2"/>
    <s v="HPL28487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ase humidificadora para VMI"/>
    <s v="Fisher &amp; Paykel Healthcare"/>
    <s v="MR850"/>
    <s v="210310559905"/>
    <s v="HPL30175"/>
    <n v="2022"/>
    <n v="8"/>
    <n v="6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795"/>
    <s v="HPL30185"/>
    <n v="2019"/>
    <n v="10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"/>
    <s v="Hospital Penco Lirquen"/>
    <s v="Monitoreo"/>
    <s v="Mediano Costo"/>
    <s v="Monitor de presión (holter)"/>
    <s v="Cardioline"/>
    <s v="WALK 200b"/>
    <s v="AACO57"/>
    <m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Terapéutico"/>
    <s v="Alto Costo"/>
    <s v="Ventilador mecánico Invasivo"/>
    <s v="MECKics"/>
    <s v="MV2000-EVO 5"/>
    <s v="MV2000UA1C0549"/>
    <s v="HPL30272"/>
    <n v="2021"/>
    <n v="8"/>
    <n v="5"/>
    <s v="Préstamo"/>
    <s v="Bueno "/>
    <x v="0"/>
    <s v="NO"/>
    <s v="NO APLICA"/>
    <s v="SI"/>
    <x v="0"/>
    <s v="CONTRATO"/>
    <s v="TDM"/>
    <s v="1057540-101-LE23"/>
    <n v="2499246"/>
    <n v="2"/>
    <m/>
    <m/>
    <m/>
    <m/>
    <m/>
    <s v="√"/>
    <m/>
    <m/>
    <m/>
    <m/>
    <m/>
    <s v="X"/>
  </r>
  <r>
    <s v="UTI"/>
    <s v="Hospital Penco Lirquen"/>
    <s v="Monitoreo"/>
    <s v="Mediano Costo "/>
    <s v="Monitor desfibrilador "/>
    <s v="Zoll medical"/>
    <s v="Serie R ALS"/>
    <s v="AF20F118297"/>
    <s v="HPL30215"/>
    <n v="2020"/>
    <n v="8"/>
    <n v="4"/>
    <s v="Propio"/>
    <s v="Bueno "/>
    <x v="0"/>
    <s v="NO"/>
    <s v="NO APLICA"/>
    <s v="SI"/>
    <x v="0"/>
    <s v="INTERNO"/>
    <s v="TECNICO EQM HPL"/>
    <s v="NO APLICA"/>
    <s v="-"/>
    <n v="2"/>
    <m/>
    <m/>
    <m/>
    <m/>
    <s v="√"/>
    <m/>
    <m/>
    <m/>
    <m/>
    <m/>
    <s v="X"/>
    <m/>
  </r>
  <r>
    <s v="UTI "/>
    <s v="Hospital Penco Lirquen"/>
    <s v="Monitoreo"/>
    <s v="Alto Costo"/>
    <s v="Monitor ECG transporte mediana complejidad (pequeño adosado a 03740)"/>
    <s v="Nihon Kohden"/>
    <s v="BSM-1763K"/>
    <n v="6678"/>
    <s v="HPL29879"/>
    <n v="2020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14"/>
    <s v="HPL30124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17"/>
    <s v="HPL30125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3"/>
    <s v="HPL30126"/>
    <n v="2021"/>
    <n v="8"/>
    <n v="5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6"/>
    <s v="HPL30127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39"/>
    <s v="HPL30128"/>
    <n v="2021"/>
    <n v="8"/>
    <n v="5"/>
    <s v="Propi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40"/>
    <s v="HPL30129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s v="08694"/>
    <s v="HPL30132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s v="08697"/>
    <s v="HPL30133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s v="08699"/>
    <s v="HPL30134"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n v="8528"/>
    <m/>
    <n v="2021"/>
    <n v="8"/>
    <n v="5"/>
    <s v="Préstamo"/>
    <s v="Bueno "/>
    <x v="0"/>
    <s v="NO"/>
    <s v="NO APLICA"/>
    <s v="SI"/>
    <x v="0"/>
    <s v="INTERNO"/>
    <s v="TECNICO EQM HPL"/>
    <s v="NO APLICA"/>
    <m/>
    <n v="2"/>
    <m/>
    <m/>
    <m/>
    <m/>
    <s v="√"/>
    <m/>
    <m/>
    <m/>
    <m/>
    <m/>
    <s v="X"/>
    <m/>
  </r>
  <r>
    <s v="UTI -  1B"/>
    <s v="Hospital Penco Lirquen"/>
    <s v="Apoyo Terapéutico"/>
    <s v="Mediano Costo "/>
    <s v="Bomba de infusión continua"/>
    <s v="Braun"/>
    <s v="Perfusor Space"/>
    <n v="512451"/>
    <s v="HPL29929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59"/>
    <s v="HPL29930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64"/>
    <s v="HPL29931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Fresenius Kabi"/>
    <s v="Volumat MC Agilia"/>
    <n v="22266993"/>
    <s v="HPL28463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Monitor de Coagulación Sanguínea"/>
    <s v="Coaguchek"/>
    <s v="Pro II Kit W-LAN"/>
    <s v="TZ1140845"/>
    <m/>
    <n v="2022"/>
    <n v="10"/>
    <n v="8"/>
    <s v="Propio"/>
    <s v="Bueno "/>
    <x v="2"/>
    <s v="SI"/>
    <n v="2023"/>
    <s v="NO"/>
    <x v="1"/>
    <s v="EXTERNO"/>
    <m/>
    <s v="COLDAS 2022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69"/>
    <s v="HPL29932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1"/>
    <s v="HPL29933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3"/>
    <s v="HPL29935"/>
    <n v="2020"/>
    <n v="8"/>
    <n v="4"/>
    <s v="Propio"/>
    <s v="Bueno "/>
    <x v="2"/>
    <s v="NO"/>
    <s v="NO APLICA"/>
    <s v="NO"/>
    <x v="1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Fresenius Kabi"/>
    <s v="Volumat MC Agilia"/>
    <n v="22958488"/>
    <s v="HPL28467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Bajo costo"/>
    <s v="Bomba de nutrición enteral"/>
    <s v="Fresenius Kabi"/>
    <s v="AMIKA-ES"/>
    <n v="24668407"/>
    <s v="HPL28483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 - Back up"/>
    <s v="Fresenius Kabi"/>
    <s v="Volumat MC Agilia"/>
    <n v="22958408"/>
    <m/>
    <n v="2023"/>
    <n v="8"/>
    <n v="7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Alto Costo"/>
    <s v="Ventilador mecánico Invasivo"/>
    <s v="MECKics"/>
    <s v="MV2000-EVO 5"/>
    <s v="MV2000UA1C0551"/>
    <s v="HPL30273"/>
    <n v="2021"/>
    <n v="8"/>
    <n v="5"/>
    <s v="Préstamo"/>
    <s v="Bueno "/>
    <x v="0"/>
    <s v="NO"/>
    <s v="NO APLICA"/>
    <s v="SI"/>
    <x v="0"/>
    <s v="EXTERNO"/>
    <s v="TDM"/>
    <s v="1057540-101-LE23"/>
    <n v="2499246"/>
    <n v="2"/>
    <m/>
    <m/>
    <m/>
    <m/>
    <m/>
    <s v="√"/>
    <m/>
    <m/>
    <m/>
    <m/>
    <m/>
    <s v="X"/>
  </r>
  <r>
    <s v="UTI - 1B"/>
    <s v="Hospital Penco Lirquen"/>
    <s v="Apoyo Terapéutico"/>
    <s v="Alto Costo"/>
    <s v="Ventilador mecánico Invasivo"/>
    <s v="Philips"/>
    <s v="Trilogy 100"/>
    <s v="TV11909271B"/>
    <s v="HPL30385"/>
    <n v="2020"/>
    <n v="8"/>
    <n v="4"/>
    <s v="Préstamo"/>
    <s v="Bueno "/>
    <x v="0"/>
    <s v="NO"/>
    <s v="NO APLICA"/>
    <s v="SI"/>
    <x v="0"/>
    <s v="EXTERNO"/>
    <s v="TDM"/>
    <s v="1057540-101-LE23"/>
    <n v="2499246"/>
    <n v="2"/>
    <m/>
    <m/>
    <m/>
    <m/>
    <m/>
    <s v="√"/>
    <m/>
    <m/>
    <m/>
    <m/>
    <m/>
    <s v="X"/>
  </r>
  <r>
    <s v="UTI - 1C"/>
    <s v="Hospital Penco Lirquen"/>
    <s v="Apoyo Terapéutico"/>
    <s v="Mediano Costo "/>
    <s v="Calentador de paciente"/>
    <s v="3M Bair Hugger"/>
    <n v="775"/>
    <n v="145319"/>
    <s v="HPL29921"/>
    <n v="2020"/>
    <n v="8"/>
    <n v="4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12"/>
    <s v="HPL30072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44"/>
    <s v="HPL30073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163"/>
    <s v="HPL30074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459"/>
    <s v="HPL30107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563"/>
    <s v="HPL30108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 Healthcare"/>
    <s v="Airvo 2"/>
    <s v="200611138798"/>
    <s v="HPL30169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 Healthcare"/>
    <s v="Airvo 2"/>
    <s v="200612139226"/>
    <s v="HPL30170"/>
    <n v="2021"/>
    <n v="8"/>
    <n v="5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Apoyo Terapéutico"/>
    <s v="Mediano Costo "/>
    <s v="Marcapasos externo"/>
    <s v="Medtronic"/>
    <n v="5392"/>
    <s v="DJH039556P"/>
    <s v="HPL30237"/>
    <n v="2021"/>
    <n v="8"/>
    <n v="5"/>
    <s v="Propio"/>
    <s v="Bueno "/>
    <x v="2"/>
    <s v="NO"/>
    <s v="NO APLICA"/>
    <s v="NO"/>
    <x v="1"/>
    <s v="EXTERNO"/>
    <m/>
    <m/>
    <m/>
    <m/>
    <m/>
    <m/>
    <m/>
    <m/>
    <m/>
    <m/>
    <m/>
    <m/>
    <m/>
    <m/>
    <m/>
    <m/>
  </r>
  <r>
    <s v="UTI - 1C"/>
    <s v="Hospital Penco Lirquen"/>
    <s v="Apoyo Terapéutico"/>
    <s v="Mediano Costo "/>
    <s v="Bomba de infusión continua - Back Up"/>
    <s v="Fresenius Kabi"/>
    <s v="Volumat MC Agilia"/>
    <n v="23644256"/>
    <m/>
    <n v="2023"/>
    <n v="8"/>
    <n v="7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1C"/>
    <s v="Hospital Penco Lirquen"/>
    <s v="Apoyo Diagnóstico"/>
    <s v="Mediano Costo "/>
    <s v="Electrocardiografo"/>
    <s v="General Electric"/>
    <s v="MAC2000"/>
    <s v="STD20110229PA"/>
    <s v="HPL30380"/>
    <n v="2020"/>
    <n v="8"/>
    <n v="4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TI - 1C"/>
    <s v="Hospital Penco Lirquen"/>
    <s v="Mobiliario"/>
    <s v="Clínico"/>
    <s v="Cama clínica eléctrica"/>
    <s v="Hill-Rom"/>
    <s v="Centuris P750"/>
    <s v="V113CC1555"/>
    <s v="HPL30386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1"/>
    <s v="HPL30387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2"/>
    <s v="HPL30388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4"/>
    <s v="HPL30389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5"/>
    <s v="HPL30390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6"/>
    <s v="HPL30391"/>
    <n v="2020"/>
    <n v="8"/>
    <n v="4"/>
    <s v="Propio"/>
    <s v="Bueno "/>
    <x v="1"/>
    <s v="NO"/>
    <s v="NO APLICA"/>
    <s v="SI"/>
    <x v="2"/>
    <s v="CONTRATO"/>
    <s v="SERVITEC"/>
    <s v="1057540-128-LE23"/>
    <n v="238000"/>
    <n v="1"/>
    <m/>
    <m/>
    <s v="√"/>
    <s v="ꓣ"/>
    <m/>
    <m/>
    <m/>
    <m/>
    <m/>
    <m/>
    <m/>
    <m/>
  </r>
  <r>
    <s v="UTI - 6B"/>
    <s v="Hospital Penco Lirquen"/>
    <s v="Apoyo Terapéutico"/>
    <s v="Mediano Costo "/>
    <s v="Bomba de infusión continua"/>
    <s v="Fresenius Kabi"/>
    <s v="Volumat MC Agilia"/>
    <n v="22958501"/>
    <s v="HPL28454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 E"/>
    <n v="21634126"/>
    <s v="HPL28465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170022"/>
    <s v="HPL28462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657687"/>
    <s v="HPL28466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3460275"/>
    <s v="HPL28464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6"/>
    <s v="HPL28482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8"/>
    <s v="HPL28484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9"/>
    <s v="HPL28485"/>
    <n v="2019"/>
    <n v="8"/>
    <n v="3"/>
    <s v="Comodato"/>
    <s v="Bueno "/>
    <x v="2"/>
    <s v="NO"/>
    <s v="NO APLICA"/>
    <s v="NO"/>
    <x v="1"/>
    <s v="EXTERNO"/>
    <s v="Fresenius Kabi"/>
    <m/>
    <m/>
    <m/>
    <m/>
    <m/>
    <m/>
    <m/>
    <m/>
    <m/>
    <m/>
    <m/>
    <m/>
    <m/>
    <m/>
    <m/>
  </r>
  <r>
    <s v="UTI - 9B"/>
    <s v="Hospital Penco Lirquen"/>
    <s v="Apoyo Diagnóstico"/>
    <s v="Bajo costo"/>
    <s v="Balanza con tallímetro"/>
    <s v="Seca"/>
    <s v="GMDH &amp; CO"/>
    <n v="5769092145228"/>
    <s v="HPL24769"/>
    <n v="2015"/>
    <n v="10"/>
    <n v="1"/>
    <s v="Propio"/>
    <s v="Bueno "/>
    <x v="2"/>
    <s v="NO"/>
    <s v="NO APLICA"/>
    <s v="NO"/>
    <x v="1"/>
    <s v="INTERNO"/>
    <s v="TECNICO EQM HPL"/>
    <s v="NO APLICA"/>
    <m/>
    <m/>
    <m/>
    <m/>
    <m/>
    <m/>
    <m/>
    <m/>
    <m/>
    <m/>
    <m/>
    <m/>
    <m/>
    <m/>
  </r>
  <r>
    <s v="UTI - 9B"/>
    <s v="Hospital Penco Lirquen"/>
    <s v="Apoyo Quirúrgico"/>
    <s v="Bajo costo"/>
    <s v="Bomba de aspiración"/>
    <s v="Ca-mi"/>
    <s v="ASKIR 36BR"/>
    <n v="16718"/>
    <s v="HPL29892"/>
    <n v="2020"/>
    <n v="10"/>
    <n v="6"/>
    <s v="Propio"/>
    <s v="Bueno "/>
    <x v="1"/>
    <s v="NO"/>
    <s v="NO APLICA"/>
    <s v="SI"/>
    <x v="2"/>
    <s v="INTERNO"/>
    <s v="TECNICO EQM HPL"/>
    <s v="NO APLICA"/>
    <m/>
    <n v="2"/>
    <m/>
    <m/>
    <s v="ꓣ"/>
    <m/>
    <m/>
    <m/>
    <m/>
    <m/>
    <s v="X"/>
    <m/>
    <m/>
    <m/>
  </r>
  <r>
    <s v="UTI - 9D"/>
    <s v="Hospital Penco Lirquen"/>
    <s v="Apoyo Terapéutico"/>
    <s v="Alto Costo"/>
    <s v="Ventilador mecánico no Invasivo"/>
    <s v="Philips"/>
    <s v="Trilogy 202"/>
    <s v="TV016091211"/>
    <s v="HPL24850"/>
    <n v="2016"/>
    <n v="8"/>
    <n v="0"/>
    <s v="Propio"/>
    <s v="Bueno "/>
    <x v="0"/>
    <s v="NO"/>
    <m/>
    <s v="SI"/>
    <x v="0"/>
    <s v="EXTERNO"/>
    <s v="TDM"/>
    <s v="1057540-101-LE23"/>
    <n v="2427846"/>
    <n v="2"/>
    <m/>
    <m/>
    <m/>
    <m/>
    <m/>
    <s v="√"/>
    <m/>
    <m/>
    <m/>
    <m/>
    <m/>
    <s v="X"/>
  </r>
  <r>
    <s v="prueba "/>
    <s v="prueba"/>
    <s v="prueba2"/>
    <m/>
    <m/>
    <m/>
    <m/>
    <m/>
    <m/>
    <m/>
    <m/>
    <m/>
    <m/>
    <m/>
    <x v="4"/>
    <m/>
    <m/>
    <m/>
    <x v="1"/>
    <m/>
    <m/>
    <m/>
    <m/>
    <m/>
    <m/>
    <m/>
    <m/>
    <m/>
    <m/>
    <m/>
    <m/>
    <m/>
    <m/>
    <m/>
    <m/>
    <m/>
  </r>
  <r>
    <s v="UTI - 9D"/>
    <s v="Hospital Penco Lirquen"/>
    <s v="Apoyo Terapéutico"/>
    <s v="Alto Costo"/>
    <s v="Ventilador mecánico no Invasivo"/>
    <s v="Philips"/>
    <s v="Trilogy 202"/>
    <s v="TV016091214"/>
    <s v="HPL24776"/>
    <n v="2016"/>
    <n v="8"/>
    <n v="0"/>
    <s v="Propio"/>
    <s v="Bueno "/>
    <x v="0"/>
    <s v="NO"/>
    <m/>
    <s v="SI"/>
    <x v="0"/>
    <s v="EXTERNO"/>
    <s v="TDM"/>
    <s v="1057540-101-LE23"/>
    <n v="2427846"/>
    <n v="2"/>
    <m/>
    <m/>
    <m/>
    <m/>
    <m/>
    <s v="√"/>
    <m/>
    <m/>
    <m/>
    <m/>
    <m/>
    <s v="X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">
  <r>
    <s v="Ambulancia - 7B"/>
    <s v="Hospital Penco Lirquen"/>
    <s v="Monitoreo"/>
    <s v="Mediano Costo "/>
    <s v="Monitor ECG Baja Complejidad"/>
    <s v="Nihon Kohden"/>
    <s v="SVM-7260"/>
    <s v="00292"/>
    <s v="HPL30123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Ambulancia - 7B"/>
    <s v="Hospital Penco Lirquen"/>
    <s v="Monitoreo"/>
    <s v="Mediano Costo "/>
    <s v="Monitor ECG Baja Complejidad"/>
    <s v="Mindray"/>
    <s v="uMEC10"/>
    <s v="KN-03065493"/>
    <s v="HPL30261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Bodega de abastecimiento - 16"/>
    <s v="Hospital Penco Lirquen"/>
    <s v="Laboratorio/Farmac"/>
    <s v="Bajo costo"/>
    <s v="Frigobar"/>
    <s v="Mabe"/>
    <s v="MAC 120 BO"/>
    <s v="13112529DA0363"/>
    <s v="HPL30138"/>
    <n v="2016"/>
    <n v="10"/>
    <n v="1"/>
    <s v="Propio"/>
    <s v="Bueno "/>
    <x v="1"/>
    <s v="NO"/>
    <s v="NO APLICA"/>
    <s v="SI"/>
    <x v="0"/>
    <s v="CONTRATO"/>
    <s v="CLIMATICPRO"/>
    <s v="1057540-100-LE23"/>
    <n v="51716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 "/>
    <s v="Refrigerador Clinico"/>
    <s v="Pitec"/>
    <s v="REF-38"/>
    <n v="5660"/>
    <s v="HPL29878"/>
    <n v="2015"/>
    <n v="10"/>
    <n v="0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 "/>
    <s v="Refrigerador Clinico"/>
    <s v="Smeg"/>
    <s v="FV30G1"/>
    <n v="5122200051"/>
    <s v="HPL30078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"/>
    <s v="Refrigerador Clinico"/>
    <s v="MIDEA BIOMEDICAL"/>
    <s v="MC-5L1006"/>
    <s v="540-N6541304-4219-3410004"/>
    <m/>
    <n v="2024"/>
    <n v="8"/>
    <n v="7"/>
    <s v="Propio"/>
    <s v="Bueno "/>
    <x v="1"/>
    <s v="SI"/>
    <d v="2026-12-17T00:00:00"/>
    <s v="SI"/>
    <x v="1"/>
    <s v="EXTERNO"/>
    <s v="GRUPOBIOS"/>
    <s v="1057540-3018-LE24"/>
    <m/>
    <n v="1"/>
    <m/>
    <m/>
    <m/>
    <m/>
    <m/>
    <m/>
    <m/>
    <m/>
    <m/>
    <m/>
    <m/>
    <s v="X"/>
  </r>
  <r>
    <s v="Bodega de Equipos Médicos"/>
    <s v="Hospital Penco Lirquen"/>
    <s v="Apoyo Terapéutico"/>
    <s v="Mediano Costo "/>
    <s v="Bomba de infusión continua"/>
    <s v="Fresenius Kabi"/>
    <s v="Agilia VP MC"/>
    <n v="22324977"/>
    <s v="HPL28451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 E"/>
    <n v="21003348"/>
    <s v="HPL28452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Agilia VP MC"/>
    <n v="22959117"/>
    <s v="HPL28450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"/>
    <n v="22170040"/>
    <s v="HPL28453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Infusomat Space"/>
    <n v="282070"/>
    <s v="HPL29924"/>
    <n v="2016"/>
    <n v="8"/>
    <n v="-1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48"/>
    <s v="HPL29927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50"/>
    <s v="HPL29928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2"/>
    <s v="HPL29934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4"/>
    <s v="HPL29936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81"/>
    <s v="HPL29937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Monitoreo"/>
    <s v="Mediano Costo "/>
    <s v="Desfibrilador externo automático (DEA)"/>
    <s v="Philips"/>
    <s v="Heart Start"/>
    <s v="A19K-06543"/>
    <s v="HPL30200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Bodega de Equipos Médicos"/>
    <s v="Hospital Penco Lirquen"/>
    <s v="Apoyo Quirúrgico"/>
    <s v="Mediano Costo "/>
    <s v="Fuente de luz torre endoscopia"/>
    <s v="Fujifilm"/>
    <s v="Fujinon"/>
    <s v="2S095G422"/>
    <s v="HPL30181"/>
    <n v="2016"/>
    <n v="8"/>
    <n v="-1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Monitoreo"/>
    <s v="Mediano Costo "/>
    <s v="Monitor torre de endoscopia"/>
    <s v="Radiance"/>
    <s v="NDS"/>
    <s v="15-260562"/>
    <s v="HPL30148"/>
    <n v="2016"/>
    <n v="8"/>
    <n v="-1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Quirúrgico"/>
    <s v="Mediano Costo "/>
    <s v="Unidad de camara torre endoscopia"/>
    <s v="Fujifilm"/>
    <s v="EPX 4450 HD"/>
    <s v="2V568G169"/>
    <s v="HPL30182"/>
    <n v="2016"/>
    <n v="8"/>
    <n v="-1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colonoscopio"/>
    <s v="Fujifilm"/>
    <s v="EC-530FL"/>
    <s v="1C654K218"/>
    <s v="HPL30159"/>
    <n v="2016"/>
    <n v="7"/>
    <n v="-2"/>
    <s v="Propio"/>
    <s v="MALO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panendoscopio"/>
    <s v="Fujifilm"/>
    <s v="EG-530WR"/>
    <s v="8G361K252"/>
    <s v="HPL30195"/>
    <n v="2019"/>
    <n v="7"/>
    <n v="1"/>
    <s v="Propio"/>
    <s v="MALO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Quirúrgico"/>
    <s v="Bajo costo"/>
    <s v="Bomba de aspiración"/>
    <s v="Ca-mi"/>
    <s v="ASKIR 36BR"/>
    <n v="15580"/>
    <s v="HPL29891"/>
    <n v="2020"/>
    <n v="10"/>
    <n v="5"/>
    <s v="Propio"/>
    <s v="Bueno "/>
    <x v="1"/>
    <s v="NO"/>
    <s v="NO APLICA"/>
    <s v="SI"/>
    <x v="3"/>
    <s v="INTERNO"/>
    <s v="TECNICO EQM HPL"/>
    <s v="NO APLICA"/>
    <m/>
    <n v="2"/>
    <m/>
    <m/>
    <s v="√"/>
    <m/>
    <m/>
    <m/>
    <m/>
    <m/>
    <s v="X"/>
    <m/>
    <m/>
    <m/>
  </r>
  <r>
    <s v="Bodega de Equipos Médicos"/>
    <s v="Hospital Penco Lirquen"/>
    <s v="Apoyo Quirúrgico"/>
    <s v="Bajo costo"/>
    <s v="Bomba de aspiración"/>
    <s v="Ca-mi"/>
    <s v="ASKIR 36BR"/>
    <n v="15572"/>
    <s v="HPL29890"/>
    <n v="2021"/>
    <n v="10"/>
    <n v="6"/>
    <s v="Propio"/>
    <s v="Bueno "/>
    <x v="1"/>
    <s v="NO"/>
    <s v="NO APLICA"/>
    <s v="SI"/>
    <x v="3"/>
    <s v="INTERNO"/>
    <s v="TECNICO EQM HPL"/>
    <s v="NO APLICA"/>
    <m/>
    <n v="2"/>
    <m/>
    <m/>
    <s v="√"/>
    <m/>
    <m/>
    <m/>
    <m/>
    <m/>
    <s v="X"/>
    <m/>
    <m/>
    <m/>
  </r>
  <r>
    <s v="Bodega de Equipos Médicos - 11"/>
    <s v="Hospital Penco Lirquen"/>
    <s v="Apoyo Quirúrgico"/>
    <s v="Bajo costo"/>
    <s v="Bomba de aspiración"/>
    <s v="Spencer"/>
    <s v="Blanco"/>
    <s v="OP1-15-6793-001"/>
    <s v="HPL30275"/>
    <n v="2020"/>
    <n v="10"/>
    <n v="5"/>
    <s v="Propio"/>
    <s v="MALO"/>
    <x v="1"/>
    <s v="NO"/>
    <s v="NO APLICA"/>
    <s v="SI"/>
    <x v="3"/>
    <s v="INTERNO"/>
    <s v="TECNICO EQM HPL"/>
    <s v="NO APLICA"/>
    <m/>
    <n v="2"/>
    <m/>
    <m/>
    <s v="√"/>
    <m/>
    <m/>
    <m/>
    <m/>
    <m/>
    <s v="X"/>
    <m/>
    <m/>
    <m/>
  </r>
  <r>
    <s v="Bodega Equipos Médicos"/>
    <s v="Hospital Penco Lirquen"/>
    <s v="Apoyo Diagnóstico"/>
    <s v="Mediano Costo"/>
    <s v="Electrocardiografo"/>
    <s v="Nihon Kohden"/>
    <s v="ECG-9620L"/>
    <n v="1810"/>
    <m/>
    <m/>
    <n v="8"/>
    <m/>
    <s v="Propio"/>
    <s v="Bueno"/>
    <x v="1"/>
    <s v="NO"/>
    <s v="NO APLICA"/>
    <s v="SI"/>
    <x v="1"/>
    <s v="INTERNO"/>
    <s v="TECNICO EQM HPL"/>
    <s v="NO APLICA"/>
    <m/>
    <n v="1"/>
    <m/>
    <m/>
    <m/>
    <m/>
    <m/>
    <m/>
    <m/>
    <m/>
    <m/>
    <m/>
    <s v="X"/>
    <m/>
  </r>
  <r>
    <s v="Bodega Equipos Médicos"/>
    <s v="Hospital Penco Lirquen"/>
    <s v="Monitoreo"/>
    <s v="Mediano Costo "/>
    <s v="Monitor ECG Baja Complejidad"/>
    <s v="Biolight"/>
    <s v="S12"/>
    <s v="S72B0002302"/>
    <m/>
    <n v="2024"/>
    <n v="8"/>
    <n v="7"/>
    <s v="Propio"/>
    <s v="Bueno "/>
    <x v="0"/>
    <s v="SI"/>
    <d v="2027-12-05T00:00:00"/>
    <s v="SI"/>
    <x v="1"/>
    <s v="EXTERNO"/>
    <s v="SUPPORT MEDICAL"/>
    <s v="COLDAS 2024"/>
    <m/>
    <n v="2"/>
    <m/>
    <m/>
    <m/>
    <m/>
    <m/>
    <s v="X"/>
    <m/>
    <m/>
    <m/>
    <m/>
    <m/>
    <s v="X"/>
  </r>
  <r>
    <s v="Corta Estadia"/>
    <s v="Hospital Penco Lirquen"/>
    <s v="Apoyo Diagnóstico"/>
    <s v="Bajo costo"/>
    <s v="Balanza con tallímetro"/>
    <s v="Doran Scales"/>
    <s v="Quote 12957"/>
    <n v="1693"/>
    <s v="HPL25418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Balanza con tallímetro"/>
    <s v="Doran Scales"/>
    <s v="Quote 12957"/>
    <n v="1704"/>
    <s v="HPL21695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Mobiliario"/>
    <s v="Clínico"/>
    <s v="Cama clínica mecánica"/>
    <s v="Malvestio"/>
    <n v="345450"/>
    <n v="20009413"/>
    <s v="HPL21781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"/>
    <s v="Hospital Penco Lirquen"/>
    <s v="Monitoreo"/>
    <s v="Mediano Costo "/>
    <s v="Desfibrilador externo automático (DEA)"/>
    <s v="Philips"/>
    <s v="Heart Start"/>
    <s v="A19K-06055"/>
    <s v="HPL30198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Apoyo Diagnóstico"/>
    <s v="Mediano Costo "/>
    <s v="Electrocardiografo"/>
    <s v="Bionet"/>
    <s v="Cardiotouch 3000"/>
    <s v="T2P1200011"/>
    <s v="HPL21795"/>
    <n v="2015"/>
    <n v="8"/>
    <n v="-2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50"/>
    <s v="HPL25510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68"/>
    <s v="HPL21701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Apoyo Diagnóstico"/>
    <s v="Bajo costo"/>
    <s v="Oximetro de pulso"/>
    <s v="Nellcor"/>
    <s v="Oximax N-65"/>
    <s v="G15802058"/>
    <s v="HPL3034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Oximetro de pulso"/>
    <s v="Nellcor"/>
    <s v="Oximax N-65"/>
    <s v="G15802050"/>
    <m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Corta Estadía"/>
    <s v="Hospital Penco Lirquen"/>
    <s v="Laboratorio/Farmac"/>
    <s v="Bajo costo"/>
    <s v="Frigobar "/>
    <s v="Gelator"/>
    <s v="RURG-100G"/>
    <s v="AB41413080340000117"/>
    <s v="HPL25513"/>
    <n v="2021"/>
    <n v="8"/>
    <n v="4"/>
    <s v="Propio"/>
    <s v="Bueno "/>
    <x v="1"/>
    <s v="NO"/>
    <s v="NO APLICA"/>
    <s v="SI"/>
    <x v="0"/>
    <s v="EXTERNO"/>
    <s v="CLIMATICPRO"/>
    <s v="1057540-100-LE23"/>
    <n v="51703"/>
    <n v="1"/>
    <m/>
    <m/>
    <m/>
    <m/>
    <m/>
    <m/>
    <m/>
    <m/>
    <s v="X"/>
    <m/>
    <m/>
    <m/>
  </r>
  <r>
    <s v="Corta Estadia - 4"/>
    <s v="Hospital Penco Lirquen"/>
    <s v="Apoyo Terapéutico"/>
    <s v="Mediano Costo "/>
    <s v="Bomba de infusión continua"/>
    <s v="Fresenius Kabi"/>
    <s v="Volumat MC Agilia E"/>
    <n v="21633992"/>
    <s v="HPL28417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Corta Estadia - 4"/>
    <s v="Hospital Penco Lirquen"/>
    <s v="Mobiliario"/>
    <s v="Clínico"/>
    <s v="Cama clínica mecánica"/>
    <s v="Malvestio"/>
    <n v="345450"/>
    <n v="20009414"/>
    <s v="HPL21782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5"/>
    <s v="HPL21783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6"/>
    <s v="HPL21785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7"/>
    <s v="HPL21786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8"/>
    <s v="HPL24416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9"/>
    <s v="HPL21787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0"/>
    <s v="HPL21801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1"/>
    <s v="HPL21802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2"/>
    <s v="HPL24417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3"/>
    <s v="HPL21803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4"/>
    <s v="HPL21805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5"/>
    <s v="HPL21806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DAN"/>
    <s v="Hospital Penco Lirquen"/>
    <m/>
    <m/>
    <s v="Lupa"/>
    <s v="N/A"/>
    <s v="N/A"/>
    <s v="N/A"/>
    <s v="HPL27432"/>
    <n v="2022"/>
    <n v="8"/>
    <n v="5"/>
    <s v="Propio"/>
    <s v="Bueno "/>
    <x v="2"/>
    <s v="NO"/>
    <n v="2023"/>
    <s v="NO"/>
    <x v="2"/>
    <s v="INTERNO"/>
    <m/>
    <s v="N/A"/>
    <s v="N/A"/>
    <m/>
    <m/>
    <m/>
    <m/>
    <m/>
    <m/>
    <m/>
    <m/>
    <m/>
    <m/>
    <m/>
    <m/>
    <m/>
  </r>
  <r>
    <s v="DAN"/>
    <s v="Hospital Penco Lirquen"/>
    <s v="Esterilización"/>
    <s v="Mediano Costo "/>
    <s v="Neutralizador de OPA"/>
    <s v="Medivators"/>
    <s v="Medi-New"/>
    <n v="200522"/>
    <s v="HPL27431"/>
    <n v="2016"/>
    <n v="10"/>
    <n v="1"/>
    <s v="Propio"/>
    <s v="Bueno "/>
    <x v="2"/>
    <s v="NO"/>
    <s v="NO APLICA"/>
    <s v="NO"/>
    <x v="2"/>
    <s v="CONTRATO"/>
    <s v="N/A"/>
    <m/>
    <m/>
    <m/>
    <m/>
    <m/>
    <m/>
    <m/>
    <m/>
    <m/>
    <m/>
    <m/>
    <m/>
    <m/>
    <m/>
    <m/>
  </r>
  <r>
    <s v="DAN - 17A"/>
    <s v="Hospital Penco Lirquen"/>
    <s v="Esterilización"/>
    <s v="Mediano Costo "/>
    <s v="Lavadora de Endoscopios"/>
    <s v="Medivators"/>
    <s v="SSD-102"/>
    <n v="77712602"/>
    <s v="HPL30324"/>
    <n v="2016"/>
    <n v="10"/>
    <n v="1"/>
    <s v="Propio"/>
    <s v="Bueno "/>
    <x v="2"/>
    <s v="NO"/>
    <s v="NO APLICA"/>
    <s v="SI"/>
    <x v="0"/>
    <s v="CONTRATO"/>
    <s v="NO APLICA"/>
    <s v="NO APLICA"/>
    <m/>
    <m/>
    <m/>
    <m/>
    <m/>
    <m/>
    <m/>
    <m/>
    <m/>
    <m/>
    <m/>
    <m/>
    <m/>
    <m/>
  </r>
  <r>
    <s v="DAN - 17A"/>
    <s v="Hospital Penco Lirquen"/>
    <s v="Esterilización"/>
    <s v="Mediano Costo "/>
    <s v="Lavadora de Endoscopios"/>
    <s v="Endoclens "/>
    <s v="NSX"/>
    <n v="2700230064"/>
    <m/>
    <n v="2024"/>
    <n v="8"/>
    <n v="7"/>
    <s v="Propio"/>
    <s v="Bueno "/>
    <x v="1"/>
    <s v="SI"/>
    <d v="2025-01-01T00:00:00"/>
    <s v="SI"/>
    <x v="3"/>
    <s v="EXTERNO"/>
    <s v="NSP"/>
    <s v="COLDAS 2023"/>
    <m/>
    <n v="1"/>
    <m/>
    <s v="√"/>
    <m/>
    <m/>
    <m/>
    <m/>
    <m/>
    <m/>
    <m/>
    <m/>
    <m/>
    <m/>
  </r>
  <r>
    <s v="Endoscopia y PCM"/>
    <s v="Hospital Penco Lirquen"/>
    <s v="Apoyo Diagnóstico"/>
    <s v="Alto Costo"/>
    <s v="Bomba de Inyección"/>
    <s v="Olympus"/>
    <s v="OFP-2"/>
    <n v="2231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Mobiliario"/>
    <s v="Clínico"/>
    <s v="Camilla de trasporte de paciente"/>
    <s v="Malvestio"/>
    <s v="Runner 800"/>
    <n v="20009469"/>
    <s v="HPL3000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ndoscopia y PCM"/>
    <s v="Hospital Penco Lirquen"/>
    <s v="Mobiliario"/>
    <s v="Clínico"/>
    <s v="Camilla de trasporte de paciente"/>
    <s v="Malvestio"/>
    <s v="Runner 800"/>
    <n v="20009475"/>
    <s v="HPL30006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ndoscopia y PCM"/>
    <s v="Hospital Penco Lirquen"/>
    <s v="Apoyo Diagnóstico"/>
    <s v="Alto Costo"/>
    <s v="Fuente de luz"/>
    <s v="Olympus"/>
    <s v="CLV-190"/>
    <n v="7308012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Monitor"/>
    <s v="LG"/>
    <s v="27HK510S"/>
    <s v="211MTV56J359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1"/>
    <s v="33R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2"/>
    <s v="31R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Torre de endoscopía (carro)"/>
    <s v="Olympus"/>
    <s v="TC-C4"/>
    <n v="22213550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Unidad regulación CO2"/>
    <s v="Olympus"/>
    <s v="Olympus UCR"/>
    <n v="7362589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erificador de fugas (compresor)"/>
    <s v="Olympus"/>
    <s v="MU-1"/>
    <n v="7380555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erificador de fugas (pieza de mano)"/>
    <s v="Olympus"/>
    <s v="MB-155"/>
    <s v="S/N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0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2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36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65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rocesador"/>
    <s v="Olympus"/>
    <s v="CV-190"/>
    <n v="7384033"/>
    <m/>
    <n v="2023"/>
    <n v="7"/>
    <n v="5"/>
    <s v="Propio"/>
    <s v="Bueno"/>
    <x v="1"/>
    <s v="SI"/>
    <n v="2026"/>
    <s v="SI"/>
    <x v="3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Monitoreo"/>
    <s v="Mediano Costo "/>
    <s v="Monitor desfibrilador"/>
    <s v="Instramed"/>
    <s v="Cardiomax"/>
    <s v="10608CM2833"/>
    <s v="HPL30137"/>
    <n v="2014"/>
    <n v="8"/>
    <n v="-3"/>
    <s v="Propio"/>
    <s v="Bueno"/>
    <x v="0"/>
    <s v="NO"/>
    <s v="NO APLICA"/>
    <s v="SI"/>
    <x v="0"/>
    <s v="INTERNO"/>
    <s v="TECNICO EQM HPL"/>
    <s v="NO APLICA"/>
    <s v="-"/>
    <n v="2"/>
    <m/>
    <m/>
    <s v="X"/>
    <m/>
    <m/>
    <m/>
    <m/>
    <m/>
    <s v="X"/>
    <m/>
    <m/>
    <m/>
  </r>
  <r>
    <s v="Endoscopia y PCM"/>
    <s v="Hospital Penco Lirquen"/>
    <s v="Monitoreo"/>
    <s v="Mediano Costo "/>
    <s v="Monitor ECG Baja Complejidad"/>
    <s v="Fukuda Denshi"/>
    <s v="Dinascope DSL-8001"/>
    <n v="50200459"/>
    <s v="HPL30041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Endoscopía y PCM"/>
    <s v="Hospital Penco Lirquen"/>
    <s v="Odontología"/>
    <s v="Bajo costo"/>
    <s v="Motor de implantes odontológicos"/>
    <s v="W&amp;H"/>
    <s v="Implantmed"/>
    <n v="17202"/>
    <s v="HPL29894"/>
    <n v="2021"/>
    <n v="8"/>
    <n v="4"/>
    <s v="Propio"/>
    <s v="Bueno "/>
    <x v="1"/>
    <s v="NO"/>
    <s v="NO APLICA"/>
    <s v="SI"/>
    <x v="3"/>
    <s v="EXTERNO"/>
    <s v="DENTAL LAVAL"/>
    <s v="COLDAS 2022"/>
    <n v="185640"/>
    <n v="1"/>
    <m/>
    <m/>
    <m/>
    <m/>
    <m/>
    <m/>
    <s v="X"/>
    <m/>
    <m/>
    <m/>
    <m/>
    <m/>
  </r>
  <r>
    <s v="Endoscopia y PCM "/>
    <s v="Hospital Penco Lirquen"/>
    <s v="Monitoreo"/>
    <s v="Mediano Costo "/>
    <s v="Monitor desfibrilador con carro de paro"/>
    <s v="Zoll medical"/>
    <s v="Zoll M2"/>
    <s v="BA22K000030"/>
    <m/>
    <n v="2024"/>
    <n v="8"/>
    <n v="7"/>
    <s v="Propio"/>
    <s v="Bueno "/>
    <x v="0"/>
    <s v="SI"/>
    <d v="2026-12-27T00:00:00"/>
    <s v="SI"/>
    <x v="1"/>
    <s v="EXTERNO"/>
    <s v="PV EQUIP"/>
    <s v="COLDAS 2024"/>
    <m/>
    <n v="2"/>
    <m/>
    <m/>
    <m/>
    <m/>
    <m/>
    <s v="X"/>
    <m/>
    <m/>
    <m/>
    <m/>
    <m/>
    <s v="X"/>
  </r>
  <r>
    <s v="Endoscopia y PCM "/>
    <s v="Hospital Penco Lirquen"/>
    <s v="Monitoreo"/>
    <s v="Mediano Costo "/>
    <s v="Monitor ECG Baja Complejidad"/>
    <s v="Biolight"/>
    <s v="S12"/>
    <s v="S72B0002301"/>
    <m/>
    <n v="2024"/>
    <n v="8"/>
    <n v="7"/>
    <s v="Propio"/>
    <s v="Bueno "/>
    <x v="0"/>
    <s v="SI"/>
    <d v="2027-12-05T00:00:00"/>
    <s v="SI"/>
    <x v="1"/>
    <s v="EXTERNO"/>
    <s v="SUPPORT MEDICAL"/>
    <s v="COLDAS 2024"/>
    <m/>
    <n v="2"/>
    <m/>
    <m/>
    <m/>
    <m/>
    <m/>
    <s v="X"/>
    <m/>
    <m/>
    <m/>
    <m/>
    <m/>
    <s v="X"/>
  </r>
  <r>
    <s v="Endoscopia y PCM "/>
    <s v="Hospital Penco Lirquen"/>
    <s v="Monitoreo"/>
    <s v="Alto Costo"/>
    <s v="Monitor ECG mediana complejidad"/>
    <s v="Progetti"/>
    <s v="TGS50"/>
    <s v="Q068E034129"/>
    <s v="HPL30277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Endoscopia y PCM - 13"/>
    <s v="Hospital Penco Lirquen"/>
    <s v="Apoyo Quirúrgico"/>
    <s v="Mediano Costo "/>
    <s v="Electrobisturí"/>
    <s v="Erbe "/>
    <s v="VIO 200S"/>
    <n v="11523751"/>
    <s v="HPL29958"/>
    <n v="2022"/>
    <n v="8"/>
    <n v="5"/>
    <s v="Propio"/>
    <s v="Bueno "/>
    <x v="1"/>
    <s v="NO"/>
    <m/>
    <s v="SI"/>
    <x v="3"/>
    <s v="EXTERNO"/>
    <s v="CODESUR"/>
    <s v="1057540-110-LE23"/>
    <n v="226100"/>
    <n v="2"/>
    <m/>
    <m/>
    <s v="X"/>
    <m/>
    <m/>
    <m/>
    <m/>
    <m/>
    <s v="X"/>
    <m/>
    <m/>
    <m/>
  </r>
  <r>
    <s v="Endoscopia y PCM - 13"/>
    <s v="Hospital Penco Lirquen"/>
    <s v="Apoyo Quirúrgico"/>
    <s v="Mediano Costo "/>
    <s v="Electrobisturí"/>
    <s v="Covidien Valleylab"/>
    <s v="Force 2-8PCH"/>
    <s v="F2G41573T"/>
    <s v="HPL30248"/>
    <n v="2014"/>
    <n v="8"/>
    <n v="-3"/>
    <s v="Propio"/>
    <s v="Bueno "/>
    <x v="1"/>
    <s v="NO"/>
    <s v="NO APLICA"/>
    <s v="SI"/>
    <x v="0"/>
    <s v="EXTERNO"/>
    <s v="CODESUR"/>
    <s v="1057540-110-LE23"/>
    <n v="170000"/>
    <n v="2"/>
    <m/>
    <m/>
    <s v="X"/>
    <m/>
    <m/>
    <m/>
    <m/>
    <m/>
    <s v="X"/>
    <m/>
    <m/>
    <m/>
  </r>
  <r>
    <s v="Endoscopia y PCM - 13A"/>
    <s v="Hospital Penco Lirquen"/>
    <s v="Odontología"/>
    <s v="Bajo costo"/>
    <s v="Amalgamador"/>
    <s v="Smaco"/>
    <s v="SYG-300"/>
    <s v="Y3006L0026"/>
    <s v="HPL30406"/>
    <n v="2019"/>
    <n v="8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ndoscopia y PCM - 13A"/>
    <s v="Hospital Penco Lirquen"/>
    <s v="Apoyo Quirúrgico"/>
    <s v="Mediano Costo "/>
    <s v="Electrobisturí módulo argón (adosado a VIO 200S)"/>
    <s v="Erbe "/>
    <s v="APC 2"/>
    <n v="11523577"/>
    <s v="HPL29957"/>
    <n v="2022"/>
    <n v="8"/>
    <n v="5"/>
    <s v="Propio"/>
    <s v="Bueno "/>
    <x v="2"/>
    <s v="NO"/>
    <s v="NO APLICA"/>
    <s v="NO"/>
    <x v="2"/>
    <s v="EXTERNO"/>
    <s v="ZEPEDA"/>
    <s v="POR LICITAR"/>
    <s v="no aplica"/>
    <m/>
    <m/>
    <m/>
    <m/>
    <m/>
    <m/>
    <m/>
    <m/>
    <m/>
    <m/>
    <m/>
    <m/>
    <m/>
  </r>
  <r>
    <s v="Endoscopia y PCM - 13A"/>
    <s v="Hospital Penco Lirquen"/>
    <s v="Apoyo Quirúrgico"/>
    <s v="Mediano Costo "/>
    <s v="Lámpara de procedimientos"/>
    <s v="Drager"/>
    <s v="Polaris 50"/>
    <s v="3314H000261791"/>
    <s v="HPL30184"/>
    <n v="2020"/>
    <n v="10"/>
    <n v="5"/>
    <s v="Propio"/>
    <s v="Bueno "/>
    <x v="2"/>
    <s v="NO"/>
    <s v="NO APLICA"/>
    <s v="NO"/>
    <x v="2"/>
    <s v="INTERNO"/>
    <s v="TECNICO EQM HPL"/>
    <s v="NO APLICA"/>
    <s v="-"/>
    <m/>
    <m/>
    <m/>
    <m/>
    <m/>
    <m/>
    <m/>
    <m/>
    <m/>
    <m/>
    <m/>
    <m/>
    <m/>
  </r>
  <r>
    <s v="Endoscopia y PCM - 13A"/>
    <s v="Hospital Penco Lirquen"/>
    <s v="Apoyo Quirúrgico"/>
    <s v="Alto Costo"/>
    <s v="Mesa quirúrgica"/>
    <s v="Maquet"/>
    <s v="1131.12BO"/>
    <n v="1848"/>
    <s v="HPL29868"/>
    <n v="2016"/>
    <n v="10"/>
    <n v="1"/>
    <s v="Propio"/>
    <s v="Bueno "/>
    <x v="1"/>
    <s v="NO"/>
    <s v="NO APLICA"/>
    <s v="SI"/>
    <x v="0"/>
    <s v="CONTRATO"/>
    <s v="MercSoluciones"/>
    <s v="1057540-70-LE23"/>
    <n v="535500"/>
    <n v="2"/>
    <m/>
    <m/>
    <s v="X"/>
    <m/>
    <m/>
    <m/>
    <m/>
    <m/>
    <s v="X"/>
    <m/>
    <m/>
    <m/>
  </r>
  <r>
    <s v="Equipos Médicos"/>
    <s v="Hospital Penco Lirquen"/>
    <s v="Monitoreo"/>
    <s v="Mediano Costo "/>
    <s v="Monitor de signos vitales"/>
    <s v="Indura"/>
    <s v="Lifecare 740"/>
    <n v="1022045"/>
    <s v="HPL29945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Especialidades - 15"/>
    <s v="Hospital Penco Lirquen"/>
    <s v="Apoyo Terapéutico"/>
    <s v="Mediano Costo "/>
    <s v="Bomba de infusión continua"/>
    <s v="Fresenius Kabi"/>
    <s v="Volumat MC Agilia"/>
    <n v="22116832"/>
    <s v="HPL28415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Especialidades - 15B"/>
    <s v="Hospital Penco Lirquen"/>
    <s v="Apoyo Diagnóstico"/>
    <s v="Alto Costo"/>
    <s v="Holter de arritmia"/>
    <s v="Schiller"/>
    <s v="Medilog AR"/>
    <n v="3060015926"/>
    <m/>
    <n v="2023"/>
    <n v="8"/>
    <n v="6"/>
    <s v="Propio"/>
    <s v="Bueno "/>
    <x v="1"/>
    <s v="SI"/>
    <d v="2025-10-11T00:00:00"/>
    <s v="SI"/>
    <x v="3"/>
    <s v="EXTERNO"/>
    <s v="Cardiomedics"/>
    <s v="1057540-76-LE23"/>
    <m/>
    <n v="1"/>
    <m/>
    <m/>
    <m/>
    <m/>
    <m/>
    <m/>
    <m/>
    <m/>
    <s v="X"/>
    <m/>
    <m/>
    <m/>
  </r>
  <r>
    <s v="Especialidades - 15B"/>
    <s v="Hospital Penco Lirquen"/>
    <s v="Apoyo Diagnóstico"/>
    <s v="Alto Costo"/>
    <s v="Holter de arritmia"/>
    <s v="Schiller"/>
    <s v="Medilog AR"/>
    <n v="3060015953"/>
    <m/>
    <n v="2023"/>
    <n v="8"/>
    <n v="6"/>
    <s v="Propio"/>
    <s v="Bueno "/>
    <x v="1"/>
    <s v="SI"/>
    <d v="2025-10-11T00:00:00"/>
    <s v="SI"/>
    <x v="3"/>
    <s v="EXTERNO"/>
    <s v="Cardiomedics"/>
    <s v="1057540-76-LE23"/>
    <m/>
    <n v="1"/>
    <m/>
    <m/>
    <m/>
    <m/>
    <m/>
    <m/>
    <m/>
    <m/>
    <s v="X"/>
    <m/>
    <m/>
    <m/>
  </r>
  <r>
    <s v="Especialidades - 3A"/>
    <s v="Hospital Penco Lirquen"/>
    <s v="Apoyo Terapéutico"/>
    <s v="Mediano Costo "/>
    <s v="Bomba de infusión continua"/>
    <s v="Fresenius Kabi"/>
    <s v="Volumat MC Agilia"/>
    <n v="22116885"/>
    <s v="HPL28431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Especialidades 1er piso"/>
    <s v="Hospital Penco Lirquen"/>
    <s v="Apoyo Diagnóstico"/>
    <s v="Mediano Costo "/>
    <s v="Electrocardiografo"/>
    <s v="CareWell"/>
    <s v="ECG -1112"/>
    <s v="112L09500256E13"/>
    <m/>
    <n v="2009"/>
    <n v="8"/>
    <n v="-8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m/>
    <m/>
    <s v="X"/>
  </r>
  <r>
    <s v="Especialidades cuidados paliativos"/>
    <s v="Hospital Penco Lirquen"/>
    <s v="Apoyo Diagnóstico"/>
    <s v="Bajo costo"/>
    <s v="Balanza con tallímetro"/>
    <s v="Seca"/>
    <n v="700"/>
    <n v="5700125168335"/>
    <s v="HPL12077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Apoyo Terapéutico"/>
    <s v="Mediano Costo"/>
    <s v="Balanza silla de ruedas"/>
    <s v="SECA"/>
    <n v="952"/>
    <n v="10000000832975"/>
    <m/>
    <n v="2024"/>
    <n v="8"/>
    <n v="7"/>
    <s v="Propio"/>
    <s v="Bueno "/>
    <x v="2"/>
    <s v="SI"/>
    <d v="2026-05-01T00:00:00"/>
    <s v="SI"/>
    <x v="3"/>
    <s v="EXTERNO"/>
    <s v="DIPROLAB"/>
    <s v="1057931-4-LE24"/>
    <n v="0"/>
    <n v="1"/>
    <m/>
    <m/>
    <m/>
    <m/>
    <m/>
    <m/>
    <m/>
    <m/>
    <m/>
    <m/>
    <s v="X"/>
    <m/>
  </r>
  <r>
    <s v="Especialidades cuidados paliativos"/>
    <s v="Hospital Penco Lirquen"/>
    <s v="Apoyo Terapéutico"/>
    <s v="Mediano Costo"/>
    <s v="Bioimpedanciómetro"/>
    <s v="Biospace"/>
    <s v="Inbody 120"/>
    <s v="F323001047"/>
    <m/>
    <n v="2024"/>
    <n v="8"/>
    <n v="7"/>
    <s v="Propio"/>
    <s v="Bueno "/>
    <x v="2"/>
    <s v="SI"/>
    <d v="2026-05-01T00:00:00"/>
    <s v="SI"/>
    <x v="3"/>
    <s v="EXTERNO"/>
    <s v="GLOBALMED"/>
    <s v="1057931-5-L124"/>
    <n v="0"/>
    <n v="1"/>
    <m/>
    <m/>
    <m/>
    <m/>
    <m/>
    <m/>
    <m/>
    <m/>
    <m/>
    <m/>
    <s v="X"/>
    <m/>
  </r>
  <r>
    <s v="Especialidades cuidados paliativos"/>
    <s v="Hospital Penco Lirquen"/>
    <s v="Mobiliario"/>
    <s v="Clínico"/>
    <s v="Camilla de examen"/>
    <s v="Malvestio"/>
    <n v="350100"/>
    <n v="20019515"/>
    <s v="HPL30018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7"/>
    <s v="HPL4993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9"/>
    <s v="HPL5039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29"/>
    <s v="HPL5047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32"/>
    <s v="HPL5003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Apoyo Diagnóstico"/>
    <s v="Mediano Costo"/>
    <s v="Electrocardiógrafo "/>
    <s v="General Electric"/>
    <s v="MAC 5"/>
    <s v="SUE24372178SA"/>
    <m/>
    <n v="2024"/>
    <n v="8"/>
    <n v="7"/>
    <s v="Propio"/>
    <s v="Bueno "/>
    <x v="1"/>
    <s v="SI"/>
    <d v="2026-12-01T00:00:00"/>
    <s v="SI"/>
    <x v="1"/>
    <s v="EXTERNO"/>
    <s v="PV EQUIP "/>
    <s v="1057931-74-SE24"/>
    <m/>
    <n v="2"/>
    <m/>
    <m/>
    <m/>
    <m/>
    <m/>
    <s v="X"/>
    <m/>
    <m/>
    <m/>
    <m/>
    <m/>
    <s v="X"/>
  </r>
  <r>
    <s v="Especialidades cuidados paliativos"/>
    <s v="Hospital Penco Lirquen"/>
    <s v="Monitoreo"/>
    <s v="Mediano Costo "/>
    <s v="Monitor de signos vitales"/>
    <s v="General Electric"/>
    <s v="V100"/>
    <s v="SH617070056SA"/>
    <s v="HPL5044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cuidados paliativos"/>
    <s v="Hospital Penco Lirquen"/>
    <s v="Apoyo Terapéutico"/>
    <s v="Mediano Costo"/>
    <s v="Monitor Signos Vitales"/>
    <s v="Nothern Meditec Limited"/>
    <s v="Aquarius"/>
    <s v="JHC01B508004"/>
    <m/>
    <n v="2024"/>
    <n v="8"/>
    <n v="7"/>
    <s v="Propio"/>
    <s v="Bueno "/>
    <x v="0"/>
    <s v="SI"/>
    <d v="2026-06-01T00:00:00"/>
    <s v="SI"/>
    <x v="3"/>
    <s v="EXTERNO"/>
    <s v="BALDER"/>
    <s v="1057931-4-LE24"/>
    <n v="0"/>
    <n v="1"/>
    <m/>
    <m/>
    <m/>
    <m/>
    <m/>
    <m/>
    <m/>
    <m/>
    <m/>
    <m/>
    <s v="X"/>
    <m/>
  </r>
  <r>
    <s v="Especialidades cuidados paliativos"/>
    <s v="Hospital Penco Lirquen"/>
    <s v="Apoyo Diagnóstico"/>
    <s v="Bajo costo"/>
    <s v="Oftalmoscopio Portátil"/>
    <s v="WELCH ALLYN"/>
    <s v="POCKET LED"/>
    <s v="S/N #1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ftalmoscopio Portátil"/>
    <s v="WELCH ALLYN"/>
    <s v="POCKET LED"/>
    <s v="S/N #2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-oftalmoscopio de pared"/>
    <s v="Ezer"/>
    <s v="S/N"/>
    <s v="S/N"/>
    <s v="HPL30334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Apoyo Diagnóstico"/>
    <s v="Bajo costo"/>
    <s v="Oto-Oftalmoscopio de pared"/>
    <s v="WELCH ALLYN"/>
    <n v="77712"/>
    <s v="24103 (BOX C205)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-Oftalmoscopio de pared"/>
    <s v="WELCH ALLYN"/>
    <n v="77712"/>
    <s v="24106 (BOX C209)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scopio Portátil "/>
    <s v="WELCH ALLYN"/>
    <s v="POCKET LED"/>
    <s v="S/N #1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scopio Portátil "/>
    <s v="WELCH ALLYN"/>
    <s v="POCKET LED"/>
    <s v="S/N #2"/>
    <m/>
    <n v="2024"/>
    <n v="8"/>
    <n v="7"/>
    <s v="Propio"/>
    <s v="Bueno "/>
    <x v="1"/>
    <s v="SI"/>
    <d v="2026-12-11T00:00:00"/>
    <s v="SI"/>
    <x v="1"/>
    <s v="EXTERNO"/>
    <s v="ARQUIMED"/>
    <s v="1057931-68-SE24"/>
    <m/>
    <n v="2"/>
    <m/>
    <m/>
    <m/>
    <m/>
    <m/>
    <s v="X"/>
    <m/>
    <m/>
    <m/>
    <m/>
    <m/>
    <s v="X"/>
  </r>
  <r>
    <s v="Especialidades cuidados paliativos "/>
    <s v="Hospital Penco Lirquen"/>
    <s v="Monitoreo"/>
    <s v="Mediano Costo "/>
    <s v="Monitor de signos vitales"/>
    <s v="General Electric"/>
    <s v="V100"/>
    <s v="SH617070057SA"/>
    <s v="HPL5046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1"/>
    <m/>
    <n v="2022"/>
    <n v="8"/>
    <n v="5"/>
    <s v="Propio"/>
    <s v="Bueno "/>
    <x v="2"/>
    <s v="NO"/>
    <s v="NO APLICA"/>
    <s v="NO"/>
    <x v="2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2"/>
    <m/>
    <n v="2022"/>
    <n v="8"/>
    <n v="5"/>
    <s v="Propio"/>
    <s v="Bueno "/>
    <x v="2"/>
    <s v="NO"/>
    <s v="NO APLICA"/>
    <s v="NO"/>
    <x v="2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75068"/>
    <m/>
    <n v="2022"/>
    <n v="8"/>
    <n v="5"/>
    <s v="Propio"/>
    <s v="Bueno "/>
    <x v="2"/>
    <s v="NO"/>
    <s v="NO APLICA"/>
    <s v="NO"/>
    <x v="2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m/>
    <m/>
    <n v="2022"/>
    <n v="8"/>
    <n v="5"/>
    <s v="Propio"/>
    <s v="Bueno "/>
    <x v="2"/>
    <s v="NO"/>
    <s v="NO APLICA"/>
    <s v="NO"/>
    <x v="2"/>
    <s v="EXTERNO"/>
    <s v="MedTec"/>
    <m/>
    <m/>
    <m/>
    <m/>
    <m/>
    <m/>
    <m/>
    <m/>
    <m/>
    <m/>
    <m/>
    <m/>
    <m/>
    <m/>
    <m/>
  </r>
  <r>
    <s v="Especialidades cuidados paliativos -15"/>
    <s v="Hospital Penco Lirquen"/>
    <s v="Apoyo Terapéutico"/>
    <s v="Mediano Costo "/>
    <s v="Bomba de infusión continua"/>
    <s v="Fresenius Kabi"/>
    <s v="Volumat MC Agilia"/>
    <n v="22170032"/>
    <s v="HPL28416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Especialidades Dental"/>
    <s v="Hospital Penco Lirquen"/>
    <s v="Odontología"/>
    <s v="Bajo costo"/>
    <s v="Horno Guttafusion"/>
    <s v="VDW"/>
    <s v="Guttafusion"/>
    <n v="15230031"/>
    <s v="HPL29963"/>
    <n v="2016"/>
    <n v="8"/>
    <n v="-1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15885"/>
    <s v="HPL18746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1"/>
    <s v="HPL19002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8"/>
    <s v="HPL18796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04"/>
    <s v="HPL18795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15"/>
    <s v="HPL19020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8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9"/>
    <n v="2015"/>
    <n v="5"/>
    <n v="-5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ocalizador Apical"/>
    <s v="MORITA"/>
    <s v="ROOT ZX MINI"/>
    <s v="K314K016738"/>
    <m/>
    <n v="2023"/>
    <n v="8"/>
    <n v="6"/>
    <s v="Propio"/>
    <s v="Bueno "/>
    <x v="2"/>
    <s v="SI"/>
    <d v="2025-11-08T00:00:00"/>
    <s v="NO"/>
    <x v="2"/>
    <s v="EXTERNO"/>
    <s v="BUHOS"/>
    <s v="COLDAS 2023"/>
    <m/>
    <m/>
    <m/>
    <m/>
    <m/>
    <m/>
    <m/>
    <m/>
    <m/>
    <m/>
    <m/>
    <m/>
    <m/>
    <m/>
  </r>
  <r>
    <s v="Especialidades Dental"/>
    <s v="Hospital Penco Lirquen"/>
    <s v="Monitoreo"/>
    <s v="Mediano Costo "/>
    <s v="Monitor de signos vitales"/>
    <s v="Iris"/>
    <s v="PMS8210A"/>
    <n v="1006012"/>
    <s v="HPL18715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Dental - 12"/>
    <s v="Hospital Penco Lirquen"/>
    <s v="Odontología"/>
    <s v="Mediano Costo "/>
    <s v="Unidad dental"/>
    <s v="Amaro"/>
    <s v="SL8600"/>
    <n v="13069"/>
    <m/>
    <n v="2024"/>
    <n v="8"/>
    <n v="0"/>
    <s v="Propio"/>
    <s v="Bueno "/>
    <x v="1"/>
    <s v="SI"/>
    <d v="2027-09-01T00:00:00"/>
    <s v="SI"/>
    <x v="1"/>
    <s v="EXTERNO"/>
    <s v="GRUPO LECAROS"/>
    <m/>
    <m/>
    <n v="2"/>
    <m/>
    <m/>
    <s v="X"/>
    <m/>
    <m/>
    <m/>
    <m/>
    <m/>
    <s v="X"/>
    <m/>
    <m/>
    <m/>
  </r>
  <r>
    <s v="Especialidades Dental - 12"/>
    <s v="Hospital Penco Lirquen"/>
    <s v="Odontología"/>
    <s v="Bajo costo"/>
    <s v="Activador de Irrigacion Ultrasonico"/>
    <s v="Woodpecker"/>
    <s v="Endo 3"/>
    <s v="I22A2286E3"/>
    <m/>
    <n v="2024"/>
    <n v="8"/>
    <n v="7"/>
    <s v="Propio"/>
    <s v="Bueno "/>
    <x v="1"/>
    <s v="SI"/>
    <d v="2025-12-04T00:00:00"/>
    <s v="SI"/>
    <x v="1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Activador de Irrigacion Ultrasonico"/>
    <s v="Woodpecker"/>
    <s v="Endo 3"/>
    <s v="I22A1915E3"/>
    <m/>
    <n v="2024"/>
    <n v="8"/>
    <n v="7"/>
    <s v="Propio"/>
    <s v="Bueno "/>
    <x v="1"/>
    <s v="SI"/>
    <d v="2025-12-04T00:00:00"/>
    <s v="SI"/>
    <x v="1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Amalgamador"/>
    <s v="Smaco"/>
    <s v="SYG-300"/>
    <s v="Y3006L0144"/>
    <s v="HPL19869"/>
    <n v="2019"/>
    <n v="8"/>
    <n v="2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Equipo óxido nitroso"/>
    <s v="Accutron"/>
    <n v="26400"/>
    <n v="42480"/>
    <s v="HPL29906"/>
    <n v="2021"/>
    <n v="8"/>
    <n v="4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Escaner de Mesa"/>
    <s v="Straumann"/>
    <s v="Serie 7"/>
    <s v="7S04593"/>
    <s v=" "/>
    <n v="2022"/>
    <n v="8"/>
    <n v="5"/>
    <s v="Propio"/>
    <s v="Bueno "/>
    <x v="2"/>
    <s v="NO"/>
    <n v="2023"/>
    <s v="SI"/>
    <x v="1"/>
    <s v="EXTERNO"/>
    <s v="PENDIENTE"/>
    <s v="PENDIENTE"/>
    <n v="2142000"/>
    <n v="1"/>
    <m/>
    <m/>
    <m/>
    <m/>
    <m/>
    <m/>
    <m/>
    <m/>
    <m/>
    <s v="X"/>
    <m/>
    <m/>
  </r>
  <r>
    <s v="Especialidades Dental - 12"/>
    <s v="Hospital Penco Lirquen"/>
    <s v="Odontología"/>
    <s v="Alto Costo"/>
    <s v="Escaner Intraoral"/>
    <s v="Straumann"/>
    <s v="Virtuo Vivo Cart"/>
    <s v="DWIOC-10-001696"/>
    <s v=" "/>
    <n v="2022"/>
    <n v="8"/>
    <n v="5"/>
    <s v="Propio"/>
    <s v="Bueno "/>
    <x v="2"/>
    <s v="NO"/>
    <n v="2023"/>
    <s v="SI"/>
    <x v="1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Bajo costo"/>
    <s v="Estampadora"/>
    <s v="Bioart"/>
    <s v="Plast Vac P7"/>
    <n v="73492"/>
    <s v="HPL29907"/>
    <n v="2021"/>
    <n v="8"/>
    <n v="4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Fresadora de Aire"/>
    <s v="Straumann"/>
    <s v="Serie M"/>
    <s v="AAC87093"/>
    <s v=" "/>
    <n v="2022"/>
    <n v="8"/>
    <n v="5"/>
    <s v="Propio"/>
    <s v="Bueno "/>
    <x v="2"/>
    <s v="NO"/>
    <n v="2023"/>
    <s v="SI"/>
    <x v="1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Bajo costo"/>
    <s v="Generador ultrasonido dental"/>
    <s v="Acteon"/>
    <s v="P5 newtron"/>
    <n v="408839013"/>
    <s v="HPL30051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8839016"/>
    <s v="HPL30052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4"/>
    <s v="HPL30053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5"/>
    <s v="HPL30054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0"/>
    <s v="HPL19021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2"/>
    <s v="HPL18710"/>
    <n v="2016"/>
    <n v="8"/>
    <n v="-1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Horno para Glaceado"/>
    <s v="Straumann"/>
    <s v="VITA Smart Fire"/>
    <n v="2920220822"/>
    <s v=" "/>
    <n v="2022"/>
    <n v="8"/>
    <n v="5"/>
    <s v="Propio"/>
    <s v="Bueno "/>
    <x v="2"/>
    <s v="NO"/>
    <n v="2023"/>
    <s v="SI"/>
    <x v="1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Alto Costo"/>
    <s v="Horno para Sinterizado de Zirconio"/>
    <s v="Straumann"/>
    <s v="Cares Therm III"/>
    <s v="AAC90887"/>
    <s v=" "/>
    <n v="2022"/>
    <n v="8"/>
    <n v="5"/>
    <s v="Propio"/>
    <s v="Bueno "/>
    <x v="2"/>
    <s v="NO"/>
    <n v="2023"/>
    <s v="SI"/>
    <x v="1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Mediano Costo"/>
    <s v="Horno Post-Curado"/>
    <s v="Sprintray"/>
    <s v="Procure"/>
    <s v="N2175F6T"/>
    <s v=" "/>
    <n v="2022"/>
    <n v="8"/>
    <n v="5"/>
    <s v="Propio"/>
    <s v="Bueno "/>
    <x v="2"/>
    <s v="NO"/>
    <n v="2023"/>
    <s v="NO"/>
    <x v="2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Impresora 3D"/>
    <s v="Sprintray"/>
    <s v="Pro95"/>
    <s v="J005X6V4"/>
    <s v=" "/>
    <n v="2022"/>
    <n v="8"/>
    <n v="5"/>
    <s v="Propio"/>
    <s v="Bueno "/>
    <x v="2"/>
    <s v="NO"/>
    <n v="2023"/>
    <s v="NO"/>
    <x v="2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Bajo costo"/>
    <s v="Localizador Apical y Detector Pulpar"/>
    <s v="Woodpecker"/>
    <s v="Woodpex X"/>
    <s v="R2470041WX"/>
    <m/>
    <n v="2024"/>
    <n v="8"/>
    <n v="7"/>
    <s v="Propio"/>
    <s v="Bueno "/>
    <x v="1"/>
    <s v="SI"/>
    <d v="2026-01-14T00:00:00"/>
    <s v="SI"/>
    <x v="1"/>
    <s v="EXTERNO"/>
    <s v="BIOTECH"/>
    <s v="COLDAS 2024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Lupa con luz"/>
    <s v="Machting"/>
    <s v="S/N"/>
    <s v="S/N"/>
    <m/>
    <n v="2024"/>
    <m/>
    <n v="-1"/>
    <s v="Propio"/>
    <s v="Bueno "/>
    <x v="2"/>
    <s v="SI"/>
    <d v="2025-12-04T00:00:00"/>
    <s v="NO"/>
    <x v="2"/>
    <s v="EXTERNO"/>
    <s v="BIOTECH"/>
    <s v="COLDAS 2024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Máquina de anestesia computarizada"/>
    <s v="Dental HI TEC"/>
    <s v="Sleeper One 5"/>
    <s v="S5B00552"/>
    <s v="HPL30363"/>
    <n v="2021"/>
    <n v="8"/>
    <n v="4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Apoyo Quirúrgico"/>
    <s v="Alto Costo"/>
    <s v="Microscopio otorrino"/>
    <s v="Ecleris"/>
    <s v="Halolux 150"/>
    <s v="MC2141R0008113283"/>
    <s v="HPL18634"/>
    <n v="2016"/>
    <n v="10"/>
    <n v="1"/>
    <s v="Propio"/>
    <s v="Bueno "/>
    <x v="2"/>
    <s v="NO"/>
    <s v="NO APLICA"/>
    <s v="SI"/>
    <x v="0"/>
    <s v="EXTERNO"/>
    <s v="NEWLAB"/>
    <s v="1057540-130-LE23"/>
    <m/>
    <m/>
    <m/>
    <m/>
    <m/>
    <m/>
    <m/>
    <m/>
    <m/>
    <m/>
    <m/>
    <m/>
    <m/>
    <m/>
  </r>
  <r>
    <s v="Especialidades Dental - 12"/>
    <s v="Hospital Penco Lirquen"/>
    <s v="Odontología"/>
    <s v="Bajo costo"/>
    <s v="Motor de sobremesa"/>
    <s v="NSK"/>
    <s v="Volvere i7"/>
    <n v="109592"/>
    <s v="HPL29910"/>
    <n v="2021"/>
    <n v="8"/>
    <n v="4"/>
    <s v="Propio"/>
    <s v="Bueno "/>
    <x v="2"/>
    <s v="NO"/>
    <s v="NO APLICA"/>
    <s v="NO"/>
    <x v="2"/>
    <s v="EXTERNO"/>
    <s v="ESKA DENTAL"/>
    <s v=" 1057540-852-AG22"/>
    <m/>
    <m/>
    <m/>
    <m/>
    <m/>
    <m/>
    <m/>
    <m/>
    <m/>
    <m/>
    <m/>
    <m/>
    <m/>
    <m/>
  </r>
  <r>
    <s v="Especialidades Dental - 12"/>
    <s v="Hospital Penco Lirquen"/>
    <s v="Odontología"/>
    <s v="Bajo costo"/>
    <s v="Motor Endodoncia"/>
    <s v="Woodpecker"/>
    <s v="Ai-Motor"/>
    <s v="E22A0365AI"/>
    <m/>
    <n v="2024"/>
    <n v="8"/>
    <n v="7"/>
    <s v="Propio"/>
    <s v="Bueno "/>
    <x v="1"/>
    <s v="SI"/>
    <d v="2025-12-04T00:00:00"/>
    <s v="SI"/>
    <x v="1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Motor endodóntico"/>
    <s v="JERRY"/>
    <s v="Endo Smart II"/>
    <s v="ZA4B510A014"/>
    <m/>
    <n v="2022"/>
    <n v="8"/>
    <n v="5"/>
    <s v="Propio"/>
    <s v="Bueno "/>
    <x v="2"/>
    <s v="NO"/>
    <n v="2023"/>
    <s v="NO"/>
    <x v="2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Unidad dental"/>
    <s v="Amaro"/>
    <s v="SL8600"/>
    <n v="13070"/>
    <m/>
    <n v="2024"/>
    <n v="8"/>
    <n v="0"/>
    <s v="Propio"/>
    <s v="Bueno "/>
    <x v="1"/>
    <s v="SI"/>
    <d v="2027-09-01T00:00:00"/>
    <s v="SI"/>
    <x v="1"/>
    <s v="EXTERNO"/>
    <s v="GRUPO LECAROS"/>
    <m/>
    <m/>
    <n v="2"/>
    <m/>
    <m/>
    <s v="X"/>
    <m/>
    <m/>
    <m/>
    <m/>
    <m/>
    <s v="X"/>
    <m/>
    <m/>
    <m/>
  </r>
  <r>
    <s v="Especialidades Dental - 12"/>
    <s v="Hospital Penco Lirquen"/>
    <s v="Odontología"/>
    <s v="Mediano Costo"/>
    <s v="Sistema de Lavado y Secado"/>
    <s v="Sprintray"/>
    <s v="Pro Wash/Dry"/>
    <s v="074685FL"/>
    <s v=" "/>
    <n v="2022"/>
    <n v="8"/>
    <n v="5"/>
    <s v="Propio"/>
    <s v="Bueno "/>
    <x v="2"/>
    <s v="NO"/>
    <n v="2023"/>
    <s v="NO"/>
    <x v="2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lapicero)"/>
    <s v="Woodpecker"/>
    <s v="FI-P"/>
    <s v="FP20B0174L"/>
    <s v="HPL30251"/>
    <n v="2021"/>
    <n v="8"/>
    <n v="4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pistola)"/>
    <s v="Woodpecker"/>
    <s v="FI-G"/>
    <s v="FG2130769L"/>
    <s v="HPL30249"/>
    <n v="2021"/>
    <n v="8"/>
    <n v="4"/>
    <s v="Propio"/>
    <s v="Bueno "/>
    <x v="2"/>
    <s v="NO"/>
    <s v="NO APLICA"/>
    <s v="NO"/>
    <x v="2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Sistema de Obturacion Gutapercha"/>
    <s v="Woodpecker"/>
    <s v="Fi-P"/>
    <s v="FP23A0020L"/>
    <m/>
    <n v="2024"/>
    <n v="8"/>
    <n v="7"/>
    <s v="Propio"/>
    <s v="Bueno "/>
    <x v="1"/>
    <s v="SI"/>
    <d v="2025-12-04T00:00:00"/>
    <s v="SI"/>
    <x v="1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Mediano Costo "/>
    <s v="Suctor Extraoral"/>
    <s v="Eighteeth"/>
    <s v="VacStation"/>
    <s v="EV1C0605A379"/>
    <s v="HPL30245"/>
    <n v="2020"/>
    <n v="8"/>
    <n v="3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uctor Extraoral"/>
    <s v="Eighteeth"/>
    <s v="VacStation"/>
    <s v="EV1C0605A381"/>
    <s v="HPL30246"/>
    <n v="2020"/>
    <n v="8"/>
    <n v="3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 costo"/>
    <s v="TAC dental"/>
    <s v="Morita"/>
    <s v="Veraview X800 F150"/>
    <s v="X821T000392"/>
    <m/>
    <n v="2023"/>
    <n v="8"/>
    <n v="6"/>
    <s v="Propio"/>
    <s v="Bueno "/>
    <x v="3"/>
    <s v="SI"/>
    <d v="2026-08-01T00:00:00"/>
    <s v="SI"/>
    <x v="3"/>
    <s v="EXTERNO"/>
    <s v="BUHOS"/>
    <s v="1057931-5-LP23"/>
    <m/>
    <n v="2"/>
    <m/>
    <m/>
    <m/>
    <s v="X"/>
    <m/>
    <m/>
    <m/>
    <m/>
    <m/>
    <s v="X"/>
    <m/>
    <m/>
  </r>
  <r>
    <s v="Especialidades Dental - 12"/>
    <s v="Hospital Penco Lirquen"/>
    <s v="Odontología"/>
    <s v="Mediano Costo "/>
    <s v="Unidad dental"/>
    <s v="Zurik"/>
    <s v="N1"/>
    <n v="1811401"/>
    <s v="HPL19007"/>
    <n v="2019"/>
    <n v="8"/>
    <n v="2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7/VD16H0029"/>
    <s v="HPL18802"/>
    <n v="2016"/>
    <n v="8"/>
    <n v="-1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8/VD16F0030"/>
    <s v="HPL18849"/>
    <n v="2016"/>
    <n v="8"/>
    <n v="-1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W15D0124/VD16H0017"/>
    <s v=" HPL18997 "/>
    <n v="2016"/>
    <n v="8"/>
    <n v="0"/>
    <s v="Propio"/>
    <s v="Bueno "/>
    <x v="1"/>
    <s v="NO"/>
    <s v="NO APLICA"/>
    <s v="SI"/>
    <x v="0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Dabi Atlante Prestige"/>
    <s v="New Croma"/>
    <n v="500003296698"/>
    <m/>
    <n v="2024"/>
    <n v="8"/>
    <n v="7"/>
    <s v="Propio"/>
    <s v="Bueno "/>
    <x v="1"/>
    <s v="SI"/>
    <d v="2026-12-01T00:00:00"/>
    <s v="SI"/>
    <x v="1"/>
    <s v="EXTERNO"/>
    <s v="MAYORDENT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Mediano Costo "/>
    <s v="Unidad dental"/>
    <s v="Dabi Atlante Prestige"/>
    <s v="New Croma"/>
    <n v="500003289586"/>
    <m/>
    <n v="2025"/>
    <n v="8"/>
    <n v="8"/>
    <s v="Propio"/>
    <s v="Bueno "/>
    <x v="1"/>
    <s v="SI"/>
    <d v="2027-01-06T00:00:00"/>
    <s v="SI"/>
    <x v="1"/>
    <s v="EXTERNO"/>
    <s v="MAYORDENT"/>
    <s v="COLDAS 2024"/>
    <m/>
    <m/>
    <m/>
    <m/>
    <m/>
    <m/>
    <m/>
    <m/>
    <m/>
    <m/>
    <m/>
    <m/>
    <m/>
    <m/>
  </r>
  <r>
    <s v="Especialidades Dental - 12"/>
    <s v="Hospital Penco Lirquen"/>
    <s v="Odontología"/>
    <s v="Bajo costo"/>
    <s v="Unidad Dental Portatil"/>
    <s v="Dynamic "/>
    <s v="DU893"/>
    <s v="DUOB4051372"/>
    <m/>
    <n v="2024"/>
    <n v="8"/>
    <n v="7"/>
    <s v="Propio"/>
    <s v="Bueno "/>
    <x v="1"/>
    <s v="SI"/>
    <d v="2025-12-04T00:00:00"/>
    <s v="SI"/>
    <x v="1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Imagenología"/>
    <s v="Alto Costo"/>
    <s v="RX dental"/>
    <s v="Belmont"/>
    <s v="Bel Ray 097 II"/>
    <s v="515L0090"/>
    <s v="HPL18789"/>
    <n v="2017"/>
    <n v="10"/>
    <n v="2"/>
    <s v="Propio"/>
    <s v="Bueno "/>
    <x v="3"/>
    <s v="NO"/>
    <s v="NO APLICA"/>
    <s v="SI"/>
    <x v="0"/>
    <s v="CONTRATO"/>
    <s v="MercSoluciones"/>
    <s v="1057540-49-LE23"/>
    <n v="333200"/>
    <n v="2"/>
    <m/>
    <m/>
    <s v="X"/>
    <m/>
    <m/>
    <m/>
    <m/>
    <m/>
    <s v="X"/>
    <m/>
    <m/>
    <m/>
  </r>
  <r>
    <s v="Especialidades Ginecologica "/>
    <s v="Hospital Penco Lirquen"/>
    <s v="Mobiliario"/>
    <s v="Clínico"/>
    <s v="Camilla de examen"/>
    <s v="Malvestio"/>
    <n v="350350"/>
    <n v="20009693"/>
    <s v="HPL12343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4"/>
    <s v="HPL1228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7"/>
    <s v="HPL12360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0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1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Mimsal "/>
    <s v="Luxi Flex"/>
    <s v="S/N"/>
    <s v="HPL30302"/>
    <n v="2021"/>
    <n v="10"/>
    <n v="6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N/A"/>
    <s v="S/N"/>
    <s v="S/N"/>
    <s v="HPL30303"/>
    <n v="2021"/>
    <n v="10"/>
    <n v="6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Ginecologica - (8 B)"/>
    <s v="Hospital Penco Lirquen"/>
    <s v="Imagenología"/>
    <s v="Alto Costo"/>
    <s v="Ecógrafo"/>
    <s v="General Electric"/>
    <s v="Voluson S10"/>
    <s v="VSX802441"/>
    <s v="HPL30394"/>
    <n v="2019"/>
    <n v="8"/>
    <n v="2"/>
    <s v="Propio"/>
    <s v="Bueno "/>
    <x v="3"/>
    <s v="NO"/>
    <s v="NO APLICA"/>
    <s v="SI"/>
    <x v="0"/>
    <s v="CONTRATO"/>
    <s v="HOSER"/>
    <s v="1057540-17-LE23"/>
    <n v="1832600"/>
    <n v="2"/>
    <m/>
    <s v="√"/>
    <m/>
    <m/>
    <m/>
    <m/>
    <m/>
    <m/>
    <s v="X"/>
    <m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2"/>
    <s v="HPL30190"/>
    <n v="2017"/>
    <n v="5"/>
    <n v="-3"/>
    <s v="Propio"/>
    <s v="Bueno "/>
    <x v="1"/>
    <s v="NO"/>
    <s v="NO APLICA"/>
    <s v="SI"/>
    <x v="0"/>
    <s v="EXTERNO"/>
    <s v="CODESUR"/>
    <s v="1057540-110-LE23"/>
    <n v="30000"/>
    <n v="1"/>
    <m/>
    <m/>
    <m/>
    <m/>
    <m/>
    <m/>
    <m/>
    <m/>
    <s v="X"/>
    <m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3"/>
    <s v="HPL30191"/>
    <n v="2017"/>
    <n v="5"/>
    <n v="-3"/>
    <s v="Propio"/>
    <s v="Bueno "/>
    <x v="1"/>
    <s v="NO"/>
    <s v="NO APLICA"/>
    <s v="SI"/>
    <x v="0"/>
    <s v="EXTERNO"/>
    <s v="CODESUR"/>
    <s v="1057540-110-LE23"/>
    <n v="30000"/>
    <n v="1"/>
    <m/>
    <m/>
    <m/>
    <m/>
    <m/>
    <m/>
    <m/>
    <m/>
    <s v="X"/>
    <m/>
    <m/>
    <m/>
  </r>
  <r>
    <s v="Especialidades Ginecologica - 2"/>
    <s v="Hospital Penco Lirquen"/>
    <s v="Imagenología"/>
    <s v="Alto Costo"/>
    <s v="Ecógrafo"/>
    <s v="Samsung"/>
    <s v="Ugeo H60NLAB/WR"/>
    <s v="S0TAM3HF700007M"/>
    <s v="HPL12285"/>
    <n v="2014"/>
    <n v="8"/>
    <n v="-3"/>
    <s v="Propio"/>
    <s v="Bueno "/>
    <x v="3"/>
    <s v="NO"/>
    <s v="NO APLICA"/>
    <s v="SI"/>
    <x v="0"/>
    <s v="CONTRATO"/>
    <s v="MercSoluciones"/>
    <s v="1057540-49-LE23"/>
    <n v="571200"/>
    <n v="2"/>
    <m/>
    <s v="√"/>
    <m/>
    <m/>
    <m/>
    <m/>
    <m/>
    <s v="X"/>
    <m/>
    <m/>
    <m/>
    <m/>
  </r>
  <r>
    <s v="Especialidades Medico Quirurgico"/>
    <s v="Hospital Penco Lirquen"/>
    <s v="Apoyo Diagnóstico"/>
    <s v="Bajo costo"/>
    <s v="Balanza con tallímetro"/>
    <s v="Seca"/>
    <n v="700"/>
    <n v="3453"/>
    <s v="HPL12135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D 300"/>
    <s v="PD0000013O111535"/>
    <s v="HPL12134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rodoc PD 300"/>
    <s v="PD0000013O111536"/>
    <s v="HPL12080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4"/>
    <s v="HPL1203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8"/>
    <s v="HPL12074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6"/>
    <s v="HPL12395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8"/>
    <s v="HPL12105"/>
    <n v="2015"/>
    <n v="8"/>
    <n v="-2"/>
    <s v="Propio"/>
    <s v="MALO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1"/>
    <s v="HPL11979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4"/>
    <s v="HPL12124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8"/>
    <s v="HPL1214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9"/>
    <s v="HPL1216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0"/>
    <s v="HLP12010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1"/>
    <s v="HPL1204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3"/>
    <s v="HPL12084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5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6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560"/>
    <s v="S/N"/>
    <s v="HPL30304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600"/>
    <s v="S/N"/>
    <s v="HPL30305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nitoreo"/>
    <s v="Mediano Costo "/>
    <s v="Monitor de signos vitales"/>
    <s v="General Electric"/>
    <s v="V100"/>
    <s v="SH617070055SA"/>
    <s v="HPL12145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Medico Quirurgico"/>
    <s v="Hospital Penco Lirquen"/>
    <s v="Apoyo Diagnóstico"/>
    <s v="Bajo costo"/>
    <s v="Oto oftalmoscopio de pared"/>
    <s v="Ezer"/>
    <s v="varios"/>
    <s v="S/N"/>
    <s v="HPL30335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Oto oftalmoscopio de pared"/>
    <s v="Ezer"/>
    <s v="varios"/>
    <s v="S/N"/>
    <s v="HPL30336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Medico Quirurgico - 15"/>
    <s v="Hospital Penco Lirquen"/>
    <s v="Apoyo Quirúrgico"/>
    <s v="Mediano Costo "/>
    <s v="Electrobisturí"/>
    <s v="Covidien Valleylab"/>
    <s v="Force FX-8CS"/>
    <s v="S5H18791AX"/>
    <s v="HPL19433"/>
    <n v="2016"/>
    <n v="8"/>
    <n v="-1"/>
    <s v="Propio"/>
    <s v="Bueno "/>
    <x v="1"/>
    <s v="NO"/>
    <s v="NO APLICA"/>
    <s v="SI"/>
    <x v="0"/>
    <s v="EXTERNO"/>
    <s v="CODESUR"/>
    <s v="1057540-110-LE23"/>
    <n v="170000"/>
    <n v="2"/>
    <m/>
    <m/>
    <s v="X"/>
    <m/>
    <m/>
    <m/>
    <m/>
    <m/>
    <s v="X"/>
    <m/>
    <m/>
    <m/>
  </r>
  <r>
    <s v="Especialidades Medico Quirurgico - 15A"/>
    <s v="Hospital Penco Lirquen"/>
    <s v="Apoyo Diagnóstico"/>
    <s v="Mediano Costo "/>
    <s v="Electrocardiografo"/>
    <s v="General Electric"/>
    <s v="MAC 800"/>
    <s v="SJ417020047WA"/>
    <s v="HPL12171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Especialidades Médico Quirurgico - 9C"/>
    <s v="Hospital Penco Lirquen"/>
    <s v="Apoyo Terapéutico"/>
    <s v="Mediano Costo"/>
    <s v="Camilla de transporte"/>
    <s v="Luxury Saikang"/>
    <s v="SKB041"/>
    <n v="324017008"/>
    <m/>
    <n v="2025"/>
    <m/>
    <s v=""/>
    <s v="Propio"/>
    <s v="Bueno "/>
    <x v="2"/>
    <s v="SI"/>
    <d v="2026-01-07T00:00:00"/>
    <s v="SI"/>
    <x v="1"/>
    <s v="EXTERNO"/>
    <s v="PTM"/>
    <s v="COLDAS 2024"/>
    <m/>
    <m/>
    <m/>
    <m/>
    <m/>
    <m/>
    <m/>
    <m/>
    <m/>
    <m/>
    <m/>
    <m/>
    <m/>
    <m/>
  </r>
  <r>
    <s v="Especialidades Médico Quirurgico - 9C"/>
    <s v="Hospital Penco Lirquen"/>
    <s v="Apoyo Terapéutico"/>
    <s v="Mediano Costo"/>
    <s v="Carro de curaciones"/>
    <s v="Francehopital"/>
    <s v="PS405-WH"/>
    <s v="OP_21_10326"/>
    <m/>
    <n v="2025"/>
    <m/>
    <s v=""/>
    <s v="Propio"/>
    <s v="Bueno "/>
    <x v="2"/>
    <s v="SI"/>
    <d v="2026-01-07T00:00:00"/>
    <s v="SI"/>
    <x v="1"/>
    <s v="EXTERNO"/>
    <s v="PTM"/>
    <s v="COLDAS 2024"/>
    <m/>
    <m/>
    <m/>
    <m/>
    <m/>
    <m/>
    <m/>
    <m/>
    <m/>
    <m/>
    <m/>
    <m/>
    <m/>
    <m/>
  </r>
  <r>
    <s v="Especialidades Médico Quirurgico - 9C"/>
    <s v="Hospital Penco Lirquen"/>
    <s v="Mobiliario"/>
    <s v="Clínico"/>
    <s v="Sillón de tratamiento"/>
    <s v="Malvestio"/>
    <s v="Idea 2 "/>
    <n v="20100211"/>
    <m/>
    <n v="2023"/>
    <m/>
    <s v=""/>
    <s v="Propio "/>
    <s v="Bueno "/>
    <x v="2"/>
    <s v="SI"/>
    <m/>
    <s v="NO"/>
    <x v="2"/>
    <s v="EXTERNO"/>
    <s v="BLUEMEDICAL"/>
    <m/>
    <m/>
    <m/>
    <m/>
    <m/>
    <m/>
    <m/>
    <m/>
    <m/>
    <m/>
    <m/>
    <m/>
    <m/>
    <m/>
    <m/>
  </r>
  <r>
    <s v="Especialidades Neurologia"/>
    <s v="Hospital Penco Lirquen"/>
    <s v="Monitoreo"/>
    <s v="Mediano Costo "/>
    <s v="Monitor de signos vitales"/>
    <s v="General Electric"/>
    <s v="V100"/>
    <s v="SH617070060SA"/>
    <s v="HPL18642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Neurologia "/>
    <s v="Hospital Penco Lirquen"/>
    <s v="Mobiliario"/>
    <s v="Clínico"/>
    <s v="Camilla de examen"/>
    <s v="Malvestio"/>
    <n v="320810"/>
    <n v="20019381"/>
    <s v="HPL30017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Neurologia "/>
    <s v="Hospital Penco Lirquen"/>
    <s v="Apoyo Diagnóstico"/>
    <s v="Mediano Costo "/>
    <s v="Espirómetro portátil"/>
    <s v="MGC diagnostics"/>
    <s v="CPF-S7D"/>
    <n v="220004754"/>
    <s v="HPL30047"/>
    <n v="2017"/>
    <n v="8"/>
    <n v="0"/>
    <s v="Propio"/>
    <s v="Bueno "/>
    <x v="1"/>
    <s v="NO"/>
    <s v="NO APLICA"/>
    <s v="NO"/>
    <x v="3"/>
    <s v="EXTERNO"/>
    <m/>
    <m/>
    <m/>
    <m/>
    <m/>
    <m/>
    <m/>
    <m/>
    <m/>
    <m/>
    <m/>
    <m/>
    <m/>
    <m/>
    <m/>
    <m/>
  </r>
  <r>
    <s v="Especialidades Neurologia "/>
    <s v="Hospital Penco Lirquen"/>
    <s v="Apoyo Terapéutico"/>
    <s v="Bajo costo"/>
    <s v="Jeringa de calibración de volumen fijo 3 litros"/>
    <s v="MGC diagnostics"/>
    <n v="192808"/>
    <n v="118460"/>
    <s v="HPL29919"/>
    <n v="2015"/>
    <n v="8"/>
    <n v="-2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Bajo costo"/>
    <s v="Lampara de examen"/>
    <s v="Heine"/>
    <s v="EL3 LED"/>
    <n v="1100405363"/>
    <s v="HPL18647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Bajo costo"/>
    <s v="Oto-oftalmoscopio de pared"/>
    <s v="Riester"/>
    <s v="Ri-scope L"/>
    <s v="varios"/>
    <s v="HPL30392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Neurologia - 15"/>
    <s v="Hospital Penco Lirquen"/>
    <s v="Apoyo Diagnóstico"/>
    <s v="Alto Costo"/>
    <s v="Electroencefalógrafo"/>
    <s v="Natus"/>
    <s v="Xltek EE G32U"/>
    <s v="10399J1896"/>
    <s v="HPL18643"/>
    <n v="2017"/>
    <n v="8"/>
    <n v="0"/>
    <s v="Propio"/>
    <s v="Bueno "/>
    <x v="1"/>
    <s v="NO"/>
    <s v="NO APLICA"/>
    <s v="SI"/>
    <x v="3"/>
    <s v="CONTRATO"/>
    <s v="NEWLAB - L1"/>
    <s v="1057540-78-LE23"/>
    <n v="297500"/>
    <n v="1"/>
    <m/>
    <m/>
    <s v="X"/>
    <m/>
    <m/>
    <m/>
    <m/>
    <m/>
    <m/>
    <m/>
    <m/>
    <m/>
  </r>
  <r>
    <s v="Especialidades oftalmologia"/>
    <s v="Hospital Penco Lirquen"/>
    <s v="Monitoreo"/>
    <s v="Mediano Costo "/>
    <s v="Monitor de signos vitales"/>
    <s v="General Electric"/>
    <s v="V100"/>
    <s v="SH617070208SA"/>
    <s v="HPL18562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Oftalmología"/>
    <s v="Hospital Penco Lirquen"/>
    <s v="Apoyo Diagnóstico"/>
    <s v="Clínico"/>
    <s v="Ecógrafo Ocular"/>
    <s v="Sonomed Escalon"/>
    <s v="VuPad A/B"/>
    <s v="5575-1123-2817A"/>
    <m/>
    <n v="2023"/>
    <n v="8"/>
    <n v="6"/>
    <s v="Comodato"/>
    <s v="Bueno "/>
    <x v="1"/>
    <s v="SI"/>
    <s v="NO APLICA"/>
    <s v="SI"/>
    <x v="1"/>
    <s v="EXTERNO"/>
    <s v="ALCON"/>
    <s v="1057540-75-LR23"/>
    <m/>
    <n v="1"/>
    <m/>
    <s v="√"/>
    <m/>
    <m/>
    <m/>
    <m/>
    <m/>
    <m/>
    <m/>
    <m/>
    <m/>
    <m/>
  </r>
  <r>
    <s v="Especialidades oftalmologia "/>
    <s v="Hospital Penco Lirquen"/>
    <s v="Apoyo Diagnóstico"/>
    <s v="Alto Costo"/>
    <s v="Autorefractometro"/>
    <s v="Topcon"/>
    <s v="KR8800"/>
    <n v="4120123"/>
    <s v="HPL18555"/>
    <n v="2016"/>
    <n v="8"/>
    <n v="-1"/>
    <s v="Propio"/>
    <s v="Bueno "/>
    <x v="1"/>
    <s v="NO"/>
    <s v="NO APLICA"/>
    <s v="SI"/>
    <x v="0"/>
    <s v="CONTRATO"/>
    <s v="NEWLAB"/>
    <s v="1057540-61-LE24"/>
    <n v="285600"/>
    <n v="1"/>
    <m/>
    <m/>
    <m/>
    <m/>
    <m/>
    <m/>
    <m/>
    <m/>
    <s v="X"/>
    <m/>
    <m/>
    <m/>
  </r>
  <r>
    <s v="Especialidades oftalmologia "/>
    <s v="Hospital Penco Lirquen"/>
    <s v="Mobiliario"/>
    <s v="Clínico"/>
    <s v="Camilla de examen"/>
    <s v="Malvestio"/>
    <n v="350100"/>
    <n v="20009620"/>
    <s v="HPL18672"/>
    <n v="2016"/>
    <n v="8"/>
    <n v="-1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oftalmologia "/>
    <s v="Hospital Penco Lirquen"/>
    <s v="Apoyo Diagnóstico"/>
    <s v="Alto Costo"/>
    <s v="Lampara de hendidura"/>
    <s v="Shin nippon"/>
    <s v="S2-500"/>
    <s v="2012-0489"/>
    <s v="HPL18556"/>
    <n v="2016"/>
    <n v="8"/>
    <n v="-1"/>
    <s v="Propio"/>
    <s v="Bueno "/>
    <x v="1"/>
    <s v="NO"/>
    <s v="NO APLICA"/>
    <s v="SI"/>
    <x v="0"/>
    <s v="CONTRATO"/>
    <s v="NEWLAB"/>
    <s v="1057540-61-LE24"/>
    <n v="214200"/>
    <n v="1"/>
    <m/>
    <m/>
    <m/>
    <m/>
    <m/>
    <m/>
    <m/>
    <m/>
    <s v="X"/>
    <m/>
    <m/>
    <m/>
  </r>
  <r>
    <s v="Especialidades oftalmologia "/>
    <s v="Hospital Penco Lirquen"/>
    <s v="Apoyo Diagnóstico"/>
    <s v="Mediano Costo "/>
    <s v="Lensómetro"/>
    <s v="Topcon"/>
    <s v="CL-200"/>
    <n v="397156"/>
    <s v="HPL18592"/>
    <n v="2016"/>
    <n v="8"/>
    <n v="-1"/>
    <s v="Propio"/>
    <s v="Bueno "/>
    <x v="1"/>
    <s v="NO"/>
    <s v="NO APLICA"/>
    <s v="SI"/>
    <x v="0"/>
    <s v="CONTRATO"/>
    <s v="NEWLAB"/>
    <s v="1057540-61-LE24"/>
    <n v="178500"/>
    <n v="1"/>
    <m/>
    <m/>
    <m/>
    <m/>
    <m/>
    <m/>
    <m/>
    <m/>
    <s v="X"/>
    <m/>
    <m/>
    <m/>
  </r>
  <r>
    <s v="Especialidades oftalmologia "/>
    <s v="Hospital Penco Lirquen"/>
    <s v="Apoyo Diagnóstico"/>
    <s v="Mediano Costo "/>
    <s v="Lensómetro"/>
    <s v="Topcon"/>
    <s v="CL300"/>
    <n v="2814208"/>
    <s v="HPL29950"/>
    <n v="2016"/>
    <n v="8"/>
    <n v="-1"/>
    <s v="Propio"/>
    <s v="Bueno "/>
    <x v="1"/>
    <s v="NO"/>
    <s v="NO APLICA"/>
    <s v="SI"/>
    <x v="0"/>
    <s v="CONTRATO"/>
    <s v="NEWLAB"/>
    <s v="1057540-61-LE24"/>
    <n v="178500"/>
    <n v="1"/>
    <m/>
    <m/>
    <m/>
    <m/>
    <m/>
    <m/>
    <m/>
    <m/>
    <s v="X"/>
    <m/>
    <m/>
    <m/>
  </r>
  <r>
    <s v="Especialidades oftalmologia "/>
    <s v="Hospital Penco Lirquen"/>
    <s v="Apoyo Diagnóstico"/>
    <s v="Bajo costo"/>
    <s v="Oftalmoscopio directo"/>
    <s v="Heine"/>
    <s v="Beta200S"/>
    <n v="1100569379"/>
    <s v="HPL3005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374"/>
    <s v="HPL30060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423"/>
    <s v="HPL30061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Welchallyn"/>
    <n v="11730"/>
    <s v="S/N"/>
    <s v="HPL3033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216679"/>
    <s v="HPL2994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100580719"/>
    <s v="HPL30059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650612"/>
    <s v="HPL29939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832911"/>
    <s v="HPL29940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wn"/>
    <s v="ACP8"/>
    <n v="157184"/>
    <s v="HPL29922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Nidek"/>
    <s v="CP-770"/>
    <n v="167962"/>
    <s v="HPL29923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0"/>
    <s v="HPL29947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5"/>
    <s v="HPL29948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Retinoscopio"/>
    <s v="Welchallyn"/>
    <n v="18240"/>
    <s v="S/N"/>
    <s v="HPL30351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- 15"/>
    <s v="Hospital Penco Lirquen"/>
    <s v="Apoyo Diagnóstico"/>
    <s v="Alto Costo"/>
    <s v="Campímetro"/>
    <s v="Zeizz"/>
    <s v="HFA3 850"/>
    <s v="850-15137"/>
    <s v="HPL18572"/>
    <n v="2017"/>
    <n v="8"/>
    <n v="0"/>
    <s v="Propio"/>
    <s v="Bueno "/>
    <x v="1"/>
    <s v="NO"/>
    <s v="NO APLICA"/>
    <s v="SI"/>
    <x v="0"/>
    <s v="CONTRATO"/>
    <s v="NEWLAB"/>
    <s v="1057540-61-LE24"/>
    <n v="571200"/>
    <n v="1"/>
    <m/>
    <m/>
    <m/>
    <m/>
    <m/>
    <m/>
    <m/>
    <m/>
    <s v="X"/>
    <m/>
    <m/>
    <m/>
  </r>
  <r>
    <s v="Especialidades oftalmologia - 15"/>
    <s v="Hospital Penco Lirquen"/>
    <s v="Apoyo Diagnóstico"/>
    <s v="Mediano Costo "/>
    <s v="Ecobiometro"/>
    <s v="Haag streit diagnostic"/>
    <s v="Lenstar LS900"/>
    <n v="20441"/>
    <s v="HPL18557"/>
    <n v="2016"/>
    <n v="8"/>
    <n v="-1"/>
    <s v="Propio"/>
    <s v="Bueno "/>
    <x v="1"/>
    <s v="NO"/>
    <s v="NO APLICA"/>
    <s v="SI"/>
    <x v="0"/>
    <s v="CONTRATO"/>
    <s v="NEWLAB"/>
    <s v="1057540-61-LE24"/>
    <n v="214200"/>
    <n v="1"/>
    <m/>
    <m/>
    <m/>
    <m/>
    <m/>
    <m/>
    <m/>
    <m/>
    <s v="X"/>
    <m/>
    <m/>
    <m/>
  </r>
  <r>
    <s v="Especialidades oftalmologia - 15"/>
    <s v="Hospital Penco Lirquen"/>
    <s v="Apoyo Diagnóstico"/>
    <s v="Mediano Costo "/>
    <s v="Foroptero"/>
    <s v="Nidek"/>
    <s v="RT3100"/>
    <n v="721204"/>
    <s v="HPL18593"/>
    <n v="2016"/>
    <n v="8"/>
    <n v="-1"/>
    <s v="Propio"/>
    <s v="Bueno "/>
    <x v="1"/>
    <s v="NO"/>
    <s v="NO APLICA"/>
    <s v="SI"/>
    <x v="0"/>
    <s v="CONTRATO"/>
    <s v="NEWLAB"/>
    <s v="1057540-61-LE24"/>
    <n v="452200"/>
    <n v="1"/>
    <m/>
    <m/>
    <m/>
    <m/>
    <m/>
    <m/>
    <m/>
    <m/>
    <s v="X"/>
    <m/>
    <m/>
    <m/>
  </r>
  <r>
    <s v="Especialidades oftalmologia - 15"/>
    <s v="Hospital Penco Lirquen"/>
    <s v="Apoyo Diagnóstico"/>
    <s v="Alto Costo"/>
    <s v="Lampara de hendidura "/>
    <s v="Nidek"/>
    <s v="SL1800"/>
    <n v="7091889"/>
    <s v="HPL18589"/>
    <n v="2014"/>
    <n v="8"/>
    <n v="-3"/>
    <s v="Propio"/>
    <s v="Bueno "/>
    <x v="1"/>
    <s v="NO"/>
    <s v="NO APLICA"/>
    <s v="SI"/>
    <x v="0"/>
    <s v="CONTRATO"/>
    <s v="NEWLAB"/>
    <s v="1057540-61-LE24"/>
    <n v="214200"/>
    <n v="1"/>
    <m/>
    <m/>
    <m/>
    <m/>
    <m/>
    <m/>
    <m/>
    <m/>
    <s v="X"/>
    <m/>
    <m/>
    <m/>
  </r>
  <r>
    <s v="Especialidades oftalmologia - 15"/>
    <s v="Hospital Penco Lirquen"/>
    <s v="Apoyo Quirúrgico"/>
    <s v="Mediano Costo "/>
    <s v="Lámpara de procedimientos"/>
    <s v="Welchallyn"/>
    <s v="LS-135"/>
    <s v="S/N"/>
    <s v="HPL30306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ftalmologia - 15"/>
    <s v="Hospital Penco Lirquen"/>
    <s v="Apoyo Diagnóstico"/>
    <s v="Alto Costo"/>
    <s v="Tomógrafo de Coherencia Óptica (OCT)"/>
    <s v="Topcon"/>
    <s v="Maestro 2"/>
    <s v="AV3140183"/>
    <m/>
    <n v="2022"/>
    <n v="8"/>
    <n v="5"/>
    <s v="Propio"/>
    <s v="Bueno "/>
    <x v="1"/>
    <s v="NO"/>
    <d v="2024-01-01T00:00:00"/>
    <s v="SI"/>
    <x v="3"/>
    <s v="CONTRATO"/>
    <s v="NEWLAB"/>
    <s v="1057540-61-LE24"/>
    <n v="773500"/>
    <n v="1"/>
    <m/>
    <s v="√"/>
    <m/>
    <m/>
    <m/>
    <m/>
    <m/>
    <m/>
    <m/>
    <m/>
    <m/>
    <m/>
  </r>
  <r>
    <s v="Especialidades oftalmologia - 15"/>
    <s v="Hospital Penco Lirquen"/>
    <s v="Apoyo Diagnóstico"/>
    <s v="Mediano Costo "/>
    <s v="Tonómetro aplanático"/>
    <s v="Clement Clarke"/>
    <s v="Perkins"/>
    <s v="T21595"/>
    <s v="HPL30382"/>
    <n v="2016"/>
    <n v="8"/>
    <n v="-1"/>
    <s v="Propio"/>
    <s v="Bueno "/>
    <x v="1"/>
    <s v="NO"/>
    <s v="NO APLICA"/>
    <s v="SI"/>
    <x v="0"/>
    <s v="EXTERNO"/>
    <s v="NEWLAB"/>
    <s v="1057540-61-LE24"/>
    <n v="202300"/>
    <n v="1"/>
    <m/>
    <m/>
    <m/>
    <m/>
    <m/>
    <m/>
    <m/>
    <m/>
    <s v="X"/>
    <m/>
    <m/>
    <m/>
  </r>
  <r>
    <s v="Especialidades oftalmología - 15A"/>
    <s v="Hospital Penco Lirquen"/>
    <s v="Apoyo Diagnóstico"/>
    <s v="Mediano Costo "/>
    <s v="Biometro óptico"/>
    <s v="Alcon"/>
    <s v="ARGOS ver1.5"/>
    <n v="23030102072"/>
    <m/>
    <n v="2023"/>
    <n v="8"/>
    <n v="6"/>
    <s v="Comodato"/>
    <s v="Bueno "/>
    <x v="1"/>
    <s v="SI"/>
    <s v="NO APLICA"/>
    <s v="SI"/>
    <x v="3"/>
    <s v="EXTERNO"/>
    <s v="ALCON"/>
    <s v="1057540-75-LR23"/>
    <m/>
    <n v="1"/>
    <m/>
    <m/>
    <m/>
    <m/>
    <m/>
    <m/>
    <m/>
    <m/>
    <s v="X"/>
    <m/>
    <m/>
    <m/>
  </r>
  <r>
    <s v="Especialidades oftalmologia -15"/>
    <s v="Hospital Penco Lirquen"/>
    <s v="Apoyo Diagnóstico"/>
    <s v="Alto Costo"/>
    <s v="Autorefractometro"/>
    <s v="Nidek"/>
    <s v="Ark1"/>
    <n v="433711"/>
    <s v="HPL18536"/>
    <n v="2016"/>
    <n v="8"/>
    <n v="-1"/>
    <s v="Propio"/>
    <s v="Bueno "/>
    <x v="1"/>
    <s v="NO"/>
    <s v="NO APLICA"/>
    <s v="SI"/>
    <x v="0"/>
    <s v="EXTERNO"/>
    <s v="NEWLAB"/>
    <s v="1057540-61-LE24"/>
    <n v="285600"/>
    <n v="1"/>
    <m/>
    <m/>
    <m/>
    <m/>
    <m/>
    <m/>
    <m/>
    <m/>
    <s v="X"/>
    <m/>
    <m/>
    <m/>
  </r>
  <r>
    <s v="Especialidades Otorrino"/>
    <s v="Hospital Penco Lirquen"/>
    <s v="Apoyo Diagnóstico"/>
    <s v="Alto Costo"/>
    <s v="Audiómetro"/>
    <s v="Interacoustics"/>
    <s v="AC40e"/>
    <s v="SN0948242"/>
    <s v="HPL18601"/>
    <n v="2016"/>
    <n v="8"/>
    <n v="-1"/>
    <s v="Propio"/>
    <s v="Bueno "/>
    <x v="1"/>
    <s v="NO"/>
    <s v="NO APLICA"/>
    <s v="SI"/>
    <x v="0"/>
    <s v="EXTERNO"/>
    <s v="VAFEL"/>
    <s v="1057540-20-LE24"/>
    <n v="2216667"/>
    <n v="1"/>
    <m/>
    <m/>
    <m/>
    <s v="X"/>
    <m/>
    <m/>
    <m/>
    <m/>
    <m/>
    <m/>
    <m/>
    <m/>
  </r>
  <r>
    <s v="Especialidades Otorrino"/>
    <s v="Hospital Penco Lirquen"/>
    <s v="Apoyo Diagnóstico"/>
    <s v="Alto Costo"/>
    <s v="Camara silente con campo libre"/>
    <s v="Signal med"/>
    <s v="S/N"/>
    <s v="S/N"/>
    <s v="HPL30285"/>
    <n v="2016"/>
    <n v="10"/>
    <n v="1"/>
    <s v="Propio"/>
    <s v="Bueno "/>
    <x v="1"/>
    <s v="NO"/>
    <s v="NO APLICA"/>
    <s v="SI"/>
    <x v="0"/>
    <s v="CONTRATO"/>
    <s v="VAFEL"/>
    <s v="1057540-20-LE24"/>
    <n v="2216667"/>
    <n v="1"/>
    <m/>
    <m/>
    <m/>
    <s v="X"/>
    <m/>
    <m/>
    <m/>
    <m/>
    <m/>
    <m/>
    <m/>
    <m/>
  </r>
  <r>
    <s v="Especialidades Otorrino"/>
    <s v="Hospital Penco Lirquen"/>
    <s v="Mobiliario"/>
    <s v="Clínico"/>
    <s v="Camilla de examen"/>
    <s v="Malvestio"/>
    <n v="350100"/>
    <n v="20019535"/>
    <s v="HPL18658"/>
    <n v="2016"/>
    <n v="8"/>
    <n v="-1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18"/>
    <s v="HPL29875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41"/>
    <s v="HPL2987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Styker"/>
    <s v="N/A"/>
    <n v="78760"/>
    <s v="HPL29909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Impedanciometro"/>
    <s v="Interacoustics"/>
    <s v="AT235"/>
    <s v="SN0948826"/>
    <s v="HPL18600"/>
    <n v="2016"/>
    <n v="8"/>
    <n v="-1"/>
    <s v="Propio"/>
    <s v="Bueno "/>
    <x v="1"/>
    <s v="NO"/>
    <s v="NO APLICA"/>
    <s v="SI"/>
    <x v="0"/>
    <s v="EXTERNO"/>
    <s v="VAFEL"/>
    <s v="1057540-20-LE24"/>
    <n v="2216666"/>
    <n v="1"/>
    <m/>
    <m/>
    <m/>
    <s v="X"/>
    <m/>
    <m/>
    <m/>
    <m/>
    <m/>
    <m/>
    <m/>
    <m/>
  </r>
  <r>
    <s v="Especialidades otorrino"/>
    <s v="Hospital Penco Lirquen"/>
    <s v="Apoyo Diagnóstico"/>
    <s v="Mediano Costo "/>
    <s v="Irrigador de aire"/>
    <s v="Interacoustics"/>
    <s v="Air FX"/>
    <s v="SN1035445"/>
    <m/>
    <n v="2023"/>
    <n v="8"/>
    <n v="6"/>
    <s v="Propio"/>
    <s v="Bueno"/>
    <x v="2"/>
    <s v="SI"/>
    <n v="2025"/>
    <s v="NO"/>
    <x v="2"/>
    <s v="EXTERNO"/>
    <s v="GAES"/>
    <s v="COLDAS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Lampara de examen"/>
    <s v="Heine"/>
    <s v="EL3 LED"/>
    <n v="1100774234"/>
    <s v="HPL18630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200"/>
    <s v="S/N"/>
    <s v="HPL3034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4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5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Sillón otorrino"/>
    <s v="Optomic"/>
    <s v="OPTIMUS"/>
    <n v="45170625"/>
    <m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Unidad otorrino"/>
    <s v="Optomic"/>
    <s v="Op-s8"/>
    <n v="44160379"/>
    <s v="HPL1862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Quirúrgico"/>
    <s v="Bajo costo"/>
    <s v="Bomba de aspiración"/>
    <s v="Allied"/>
    <s v="Gomco 1180"/>
    <n v="20120823001"/>
    <s v="HPL30084"/>
    <n v="2017"/>
    <n v="10"/>
    <n v="2"/>
    <s v="Propio"/>
    <s v="Bueno "/>
    <x v="1"/>
    <s v="NO"/>
    <s v="NO APLICA"/>
    <s v="SI"/>
    <x v="3"/>
    <s v="INTERNO"/>
    <s v="TECNICO EQM HPL"/>
    <s v="NO APLICA"/>
    <m/>
    <n v="2"/>
    <m/>
    <m/>
    <s v="X"/>
    <m/>
    <m/>
    <m/>
    <m/>
    <m/>
    <s v="X"/>
    <m/>
    <m/>
    <m/>
  </r>
  <r>
    <s v="Especialidades Otorrino - 15"/>
    <s v="Hospital Penco Lirquen"/>
    <s v="Apoyo Quirúrgico"/>
    <s v="Mediano Costo "/>
    <s v="Fuente de luz"/>
    <s v="Olympus"/>
    <s v="CLK-4"/>
    <n v="7727087"/>
    <s v="HPL29955"/>
    <n v="2016"/>
    <n v="8"/>
    <n v="-1"/>
    <s v="Propio"/>
    <s v="Bueno "/>
    <x v="1"/>
    <s v="NO"/>
    <s v="NO APLICA"/>
    <s v="SI"/>
    <x v="0"/>
    <s v="CONTRATO"/>
    <s v="SURMEDICAL"/>
    <s v="PENDIENTE"/>
    <m/>
    <n v="1"/>
    <m/>
    <m/>
    <m/>
    <s v="X"/>
    <m/>
    <m/>
    <m/>
    <m/>
    <m/>
    <m/>
    <m/>
    <m/>
  </r>
  <r>
    <s v="Especialidades Otorrino - 15"/>
    <s v="Hospital Penco Lirquen"/>
    <s v="Apoyo Endoscópico"/>
    <s v="Mediano Costo "/>
    <s v="Nasofibroscopio"/>
    <s v="Olympus"/>
    <s v="ENF P4"/>
    <n v="2654008"/>
    <s v="HPL29949"/>
    <n v="2016"/>
    <n v="7"/>
    <n v="-2"/>
    <s v="Propio"/>
    <s v="Bueno "/>
    <x v="1"/>
    <s v="NO"/>
    <s v="NO APLICA"/>
    <s v="SI"/>
    <x v="0"/>
    <s v="EXTERNO"/>
    <s v="SURMEDICAL"/>
    <s v="PENDIENTE"/>
    <n v="200000"/>
    <n v="1"/>
    <m/>
    <m/>
    <m/>
    <m/>
    <s v="X"/>
    <m/>
    <m/>
    <m/>
    <m/>
    <m/>
    <m/>
    <m/>
  </r>
  <r>
    <s v="Especialidades Otorrino - 15"/>
    <s v="Hospital Penco Lirquen"/>
    <s v="Apoyo Diagnóstico"/>
    <s v="Alto Costo"/>
    <s v="Video oculo instagmografo VNG"/>
    <s v="Biomed jena GmbH"/>
    <s v="VNG"/>
    <s v="19-216-317"/>
    <s v="HPL30158"/>
    <n v="2016"/>
    <n v="8"/>
    <n v="-1"/>
    <s v="Propio"/>
    <s v="Bueno "/>
    <x v="1"/>
    <s v="NO"/>
    <s v="NO APLICA"/>
    <s v="SI"/>
    <x v="0"/>
    <s v="EXTERNO"/>
    <s v="PENDIENTE"/>
    <s v="PENDIENTE"/>
    <m/>
    <n v="1"/>
    <m/>
    <m/>
    <m/>
    <s v="X"/>
    <m/>
    <m/>
    <m/>
    <m/>
    <m/>
    <m/>
    <m/>
    <m/>
  </r>
  <r>
    <s v="Especialidades Otorrino - 15"/>
    <s v="Hospital Penco Lirquen"/>
    <s v="Apoyo Quirúrgico"/>
    <s v="Bajo costo"/>
    <s v="Bomba de aspiración"/>
    <s v="Thomas"/>
    <n v="1336"/>
    <n v="30800001904"/>
    <s v="HPL18632"/>
    <n v="2016"/>
    <n v="10"/>
    <n v="1"/>
    <s v="Propio"/>
    <s v="Bueno "/>
    <x v="1"/>
    <s v="NO"/>
    <s v="NO APLICA"/>
    <s v="SI"/>
    <x v="3"/>
    <s v="INTERNO"/>
    <s v="TECNICO EQM HPL"/>
    <s v="NO APLICA"/>
    <m/>
    <n v="2"/>
    <m/>
    <m/>
    <s v="X"/>
    <m/>
    <m/>
    <m/>
    <m/>
    <m/>
    <s v="X"/>
    <m/>
    <m/>
    <m/>
  </r>
  <r>
    <s v="Especialidades Pediatria"/>
    <s v="Hospital Penco Lirquen"/>
    <s v="Apoyo Diagnóstico"/>
    <s v="Bajo costo"/>
    <s v="Balanza "/>
    <s v="SECA"/>
    <n v="354"/>
    <n v="8354255150727"/>
    <s v="HPL12270"/>
    <n v="2015"/>
    <n v="10"/>
    <n v="0"/>
    <s v="Propio"/>
    <s v="Bueno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3541317009"/>
    <s v="HPL30071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2725287096590"/>
    <s v="HPL12256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0814"/>
    <s v="HPL12271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8347"/>
    <s v="HPL12231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20"/>
    <s v="HPL30019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33"/>
    <s v="HPL12251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42"/>
    <s v="HPL12306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nitoreo"/>
    <s v="Mediano Costo "/>
    <s v="Monitor de signos vitales"/>
    <s v="General Electric"/>
    <s v="V100"/>
    <s v="SH617070007SA"/>
    <s v="HPL12230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pecialidades Pediatria"/>
    <s v="Hospital Penco Lirquen"/>
    <s v="Apoyo Diagnóstico"/>
    <s v="Bajo costo"/>
    <s v="Oto-oftalmoscopio de pared"/>
    <s v="Ezer"/>
    <s v="varios"/>
    <s v="S/N"/>
    <s v="HPL30339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Oto-oftalmoscopio de pared"/>
    <s v="Ezer"/>
    <s v="varios"/>
    <s v="S/N"/>
    <s v="HPL3034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Health o Meter"/>
    <s v="402 KL"/>
    <n v="4020065916"/>
    <s v="HPL5103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SECA"/>
    <s v="700 HPL5049"/>
    <n v="5700125168335"/>
    <s v="HPL5049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pediatrica con cartabon"/>
    <s v="Seca"/>
    <n v="354"/>
    <s v="S/N"/>
    <s v="HPL30280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Mobiliario"/>
    <s v="Clínico"/>
    <s v="Camilla de examen"/>
    <s v="Malvestio"/>
    <n v="350100"/>
    <n v="20019536"/>
    <s v="HPL11969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Especialidades PRAIS"/>
    <s v="Hospital Penco Lirquen"/>
    <s v="Apoyo Quirúrgico"/>
    <s v="Mediano Costo "/>
    <s v="Lámpara de procedimientos"/>
    <s v="Welchallyn"/>
    <s v="GS-600"/>
    <s v="S/N"/>
    <s v="HPL30307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2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RAIS - 15"/>
    <s v="Hospital Penco Lirquen"/>
    <s v="Apoyo Diagnóstico"/>
    <s v="Bajo costo"/>
    <s v="Balanza con tallímetro"/>
    <s v="SECA"/>
    <n v="700"/>
    <n v="5700057160812"/>
    <s v="HPL30112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siquiatria"/>
    <s v="Hospital Penco Lirquen"/>
    <s v="Apoyo Diagnóstico"/>
    <s v="Bajo costo"/>
    <s v="Balanza con tallímetro"/>
    <s v="Seca"/>
    <s v="Precision"/>
    <n v="5700057160819"/>
    <s v="HPL18914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Especialidades Psiquiatria "/>
    <s v="Hospital Penco Lirquen"/>
    <s v="Monitoreo"/>
    <s v="Mediano Costo "/>
    <s v="Monitor de signos vitales"/>
    <s v="General Electric"/>
    <s v="V100"/>
    <s v="SH617070028SA"/>
    <s v="HPL18918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Esterilizacion"/>
    <s v="Hospital Penco Lirquen"/>
    <s v="Esterilización"/>
    <s v="Bajo costo"/>
    <s v="Cargador batería 4 celdas"/>
    <s v="Stryker"/>
    <s v="Universal Charger"/>
    <n v="2234812323"/>
    <m/>
    <n v="2022"/>
    <n v="10"/>
    <n v="7"/>
    <s v="Propio"/>
    <s v="Bueno "/>
    <x v="2"/>
    <s v="NO"/>
    <n v="2023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126310333"/>
    <s v="HPL30062"/>
    <n v="2015"/>
    <n v="8"/>
    <n v="-2"/>
    <s v="Propio"/>
    <s v="Bueno "/>
    <x v="2"/>
    <s v="NO"/>
    <s v="NO APLICA"/>
    <s v="NO"/>
    <x v="2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505500173"/>
    <s v="HPL30063"/>
    <n v="2015"/>
    <n v="8"/>
    <n v="-2"/>
    <s v="Propio"/>
    <s v="Bueno "/>
    <x v="2"/>
    <s v="NO"/>
    <s v="NO APLICA"/>
    <s v="NO"/>
    <x v="2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3M"/>
    <s v="ATTEST AUTOREADER 490"/>
    <n v="110591"/>
    <m/>
    <n v="2015"/>
    <n v="10"/>
    <n v="0"/>
    <s v="Comodato"/>
    <s v="Bueno "/>
    <x v="2"/>
    <s v="NO"/>
    <n v="2017"/>
    <s v="NO"/>
    <x v="2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Bionova"/>
    <s v="Terragene IC10/20FR"/>
    <n v="64"/>
    <m/>
    <n v="2015"/>
    <n v="10"/>
    <n v="0"/>
    <s v="Comodato"/>
    <s v="REGULAR "/>
    <x v="2"/>
    <s v="NO"/>
    <n v="2017"/>
    <s v="NO"/>
    <x v="2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/A"/>
    <s v="N/A"/>
    <s v="N/A"/>
    <s v="HPL27312"/>
    <n v="2022"/>
    <n v="8"/>
    <n v="5"/>
    <s v="Propio"/>
    <s v="Bueno "/>
    <x v="2"/>
    <s v="NO"/>
    <n v="2023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atura light"/>
    <s v="D/EN1020"/>
    <s v="S/N"/>
    <s v="HPL30325"/>
    <n v="2015"/>
    <n v="8"/>
    <n v="-2"/>
    <s v="Propio"/>
    <s v="Bueno "/>
    <x v="2"/>
    <s v="NO"/>
    <s v="NO APLICA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S/M"/>
    <s v="S/N"/>
    <s v="S/N"/>
    <s v="HPL30326"/>
    <n v="2015"/>
    <n v="8"/>
    <n v="-2"/>
    <s v="Propio"/>
    <s v="Bueno "/>
    <x v="2"/>
    <s v="NO"/>
    <s v="NO APLICA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Getinge"/>
    <s v="Standart"/>
    <s v="S/N"/>
    <s v="HPL30328"/>
    <n v="2016"/>
    <n v="8"/>
    <n v="-1"/>
    <s v="Propio"/>
    <s v="Bueno "/>
    <x v="2"/>
    <s v="NO"/>
    <s v="NO APLICA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ealing Machine"/>
    <s v="N/A"/>
    <s v="C233012"/>
    <m/>
    <n v="2015"/>
    <n v="10"/>
    <n v="0"/>
    <s v="Comodato"/>
    <s v="Bueno "/>
    <x v="2"/>
    <s v="NO"/>
    <n v="2017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ealing Machine"/>
    <s v="N/A"/>
    <s v="C235004"/>
    <m/>
    <n v="2015"/>
    <n v="10"/>
    <n v="0"/>
    <s v="Comodato"/>
    <s v="Bueno "/>
    <x v="2"/>
    <s v="NO"/>
    <n v="2017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FRE-500"/>
    <s v="N/A"/>
    <s v="N/A"/>
    <m/>
    <n v="2015"/>
    <n v="10"/>
    <n v="0"/>
    <s v="Propio"/>
    <s v="Bueno "/>
    <x v="2"/>
    <s v="NO"/>
    <n v="2017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TERIKING"/>
    <s v="Steriking RS120A"/>
    <n v="30171033"/>
    <m/>
    <n v="2018"/>
    <n v="10"/>
    <n v="3"/>
    <s v="Propio"/>
    <s v="Bueno "/>
    <x v="2"/>
    <s v="NO"/>
    <n v="2020"/>
    <s v="NO"/>
    <x v="2"/>
    <s v="INTERNO"/>
    <s v="TECNICO EQM HPL"/>
    <s v="NO APLICA"/>
    <s v="no aplica"/>
    <m/>
    <m/>
    <m/>
    <m/>
    <m/>
    <m/>
    <m/>
    <m/>
    <m/>
    <m/>
    <m/>
    <m/>
    <m/>
  </r>
  <r>
    <s v="Esterilización"/>
    <s v="Hospital Penco Lirquen"/>
    <s v="Apoyo Diagnóstico"/>
    <s v="Alto Costo"/>
    <s v="Autoclave"/>
    <s v="Matachana"/>
    <s v="SC-502-2"/>
    <s v="E-34583"/>
    <m/>
    <n v="2023"/>
    <n v="10"/>
    <n v="8"/>
    <s v="Propio"/>
    <s v="Bueno"/>
    <x v="3"/>
    <s v="SI"/>
    <n v="2024"/>
    <s v="SI"/>
    <x v="3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17A"/>
    <s v="Hospital Penco Lirquen"/>
    <s v="Esterilización"/>
    <s v="Mediano Costo "/>
    <s v="Lavadora Ultrasónica"/>
    <s v="Bandelin"/>
    <s v="MC 1001"/>
    <n v="33600130121001"/>
    <s v="HPL30118"/>
    <n v="2016"/>
    <n v="10"/>
    <n v="1"/>
    <s v="Propio"/>
    <s v="Bueno "/>
    <x v="1"/>
    <s v="NO"/>
    <s v="NO APLICA"/>
    <s v="SI"/>
    <x v="0"/>
    <s v="EXTERNO"/>
    <s v="INTERNATIONAL CLINICS"/>
    <s v="1057540-129-LE23"/>
    <n v="1600000"/>
    <n v="1"/>
    <m/>
    <m/>
    <s v="X"/>
    <m/>
    <m/>
    <m/>
    <m/>
    <m/>
    <m/>
    <m/>
    <m/>
    <m/>
  </r>
  <r>
    <s v="Esterilizacion - 17A"/>
    <s v="Hospital Penco Lirquen"/>
    <s v="Esterilización"/>
    <s v="Alto Costo"/>
    <s v="Esterilizador de Plasma"/>
    <s v="Renosem"/>
    <s v="Reno-S130"/>
    <s v="S130141198"/>
    <s v="HPL27334"/>
    <n v="2016"/>
    <n v="10"/>
    <n v="1"/>
    <s v="Propio"/>
    <s v="Bueno "/>
    <x v="1"/>
    <s v="NO"/>
    <s v="NO APLICA"/>
    <s v="SI"/>
    <x v="0"/>
    <s v="EXTERNO"/>
    <s v="TECNIKA"/>
    <s v="1057540-91-LP23"/>
    <n v="7021000"/>
    <n v="2"/>
    <m/>
    <m/>
    <m/>
    <s v="X"/>
    <m/>
    <m/>
    <m/>
    <m/>
    <m/>
    <s v="X"/>
    <m/>
    <m/>
  </r>
  <r>
    <s v="Esterilizacion - 17A"/>
    <s v="Hospital Penco Lirquen"/>
    <s v="Esterilización"/>
    <s v="Alto Costo"/>
    <s v="Lavadora descontaminadora"/>
    <s v="Steelco"/>
    <s v="DS 610 2SL 2S"/>
    <s v="1506510DC014"/>
    <s v="HPL27239"/>
    <n v="2016"/>
    <n v="10"/>
    <n v="1"/>
    <s v="Propio"/>
    <s v="Bueno "/>
    <x v="1"/>
    <s v="NO"/>
    <s v="NO APLICA"/>
    <s v="SI"/>
    <x v="0"/>
    <s v="EXTERNO"/>
    <s v="GEMCO"/>
    <s v="1057540-91-LP23"/>
    <n v="6035504"/>
    <n v="2"/>
    <m/>
    <s v="√"/>
    <m/>
    <m/>
    <m/>
    <m/>
    <m/>
    <m/>
    <s v="X"/>
    <m/>
    <m/>
    <m/>
  </r>
  <r>
    <s v="Esterilizacion - 17A"/>
    <s v="Hospital Penco Lirquen"/>
    <s v="Laboratorio/Farmac"/>
    <s v="Mediano Costo "/>
    <s v="Refrigerador "/>
    <s v="Daewoo"/>
    <s v="FR-127GM"/>
    <s v="TR172EA7260063"/>
    <s v="HPL27337"/>
    <n v="2015"/>
    <n v="10"/>
    <n v="0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Esterilizacion - 17A"/>
    <s v="Hospital Penco Lirquen"/>
    <s v="Esterilización"/>
    <s v="Mediano Costo "/>
    <s v="Secadora de tubos"/>
    <s v="Steelco"/>
    <s v="AD 400"/>
    <s v="1511410GO002"/>
    <s v="HPL27250"/>
    <n v="2016"/>
    <n v="10"/>
    <n v="1"/>
    <s v="Propio"/>
    <s v="Bueno "/>
    <x v="1"/>
    <s v="NO"/>
    <s v="NO APLICA"/>
    <s v="SI"/>
    <x v="0"/>
    <s v="EXTERNO"/>
    <s v="GEMCO"/>
    <s v="1057540-91-LP23"/>
    <n v="5325974"/>
    <n v="2"/>
    <m/>
    <s v="√"/>
    <m/>
    <m/>
    <m/>
    <m/>
    <m/>
    <m/>
    <s v="X"/>
    <m/>
    <m/>
    <m/>
  </r>
  <r>
    <s v="Esterilizacion - 17B"/>
    <s v="Hospital Penco Lirquen"/>
    <s v="Esterilización"/>
    <s v="Alto Costo"/>
    <s v="Autoclave"/>
    <s v="Matachana"/>
    <s v="SC-502-2"/>
    <s v="E-31058"/>
    <s v="HPL27341"/>
    <n v="2018"/>
    <n v="10"/>
    <n v="3"/>
    <s v="Propio"/>
    <s v="Bueno "/>
    <x v="3"/>
    <s v="NO"/>
    <s v="NO APLICA"/>
    <s v="SI"/>
    <x v="0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17B"/>
    <s v="Hospital Penco Lirquen"/>
    <s v="Esterilización"/>
    <s v="Alto Costo"/>
    <s v="Autoclave"/>
    <s v="Matachana"/>
    <s v="SC-500-2"/>
    <s v="E-31059"/>
    <s v="HPL27340"/>
    <n v="2018"/>
    <n v="10"/>
    <n v="3"/>
    <s v="Propio"/>
    <s v="Bueno "/>
    <x v="3"/>
    <s v="NO"/>
    <s v="NO APLICA"/>
    <s v="SI"/>
    <x v="0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bodega equipos médicos (6to)"/>
    <s v="Hospital Penco Lirquen"/>
    <s v="Esterilización"/>
    <s v="Bajo costo"/>
    <s v="Selladora de pedal"/>
    <s v="FS-500"/>
    <s v="S/N"/>
    <s v="S/N"/>
    <s v="HPL30352"/>
    <n v="2015"/>
    <n v="10"/>
    <n v="0"/>
    <s v="Propio"/>
    <s v="MALO"/>
    <x v="2"/>
    <s v="NO"/>
    <s v="NO APLICA"/>
    <s v="NO"/>
    <x v="2"/>
    <s v="INTERNO"/>
    <s v="NO APLICA"/>
    <s v="NO APLICA"/>
    <s v="NO APLICA"/>
    <m/>
    <m/>
    <m/>
    <m/>
    <m/>
    <m/>
    <m/>
    <m/>
    <m/>
    <m/>
    <m/>
    <m/>
    <m/>
  </r>
  <r>
    <s v="Farmacia Central - 16"/>
    <s v="Hospital Penco Lirquen"/>
    <s v="Laboratorio/Farmac"/>
    <s v="Alto Costo"/>
    <s v="Reenvasadora"/>
    <s v="Autobag"/>
    <s v="PS 125 one step"/>
    <s v="AP00063411"/>
    <s v="HPL5231"/>
    <n v="2016"/>
    <n v="10"/>
    <n v="1"/>
    <s v="Propio"/>
    <s v="Bueno "/>
    <x v="1"/>
    <s v="NO"/>
    <s v="NO APLICA"/>
    <s v="SI"/>
    <x v="0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Alto Costo"/>
    <s v="Reenvasadora"/>
    <s v="Autobag"/>
    <s v="PS 125 one step"/>
    <s v="AP00094201"/>
    <s v="HPL30409"/>
    <n v="2019"/>
    <n v="10"/>
    <n v="4"/>
    <s v="Propio"/>
    <s v="Bueno "/>
    <x v="1"/>
    <s v="NO"/>
    <s v="NO APLICA"/>
    <s v="SI"/>
    <x v="0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Mediano Costo "/>
    <s v="Refrigerador Clinico"/>
    <s v="Smeg"/>
    <s v="FV30G1"/>
    <n v="5122200031"/>
    <s v="HPL25068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Farmacia Central - 16"/>
    <s v="Hospital Penco Lirquen"/>
    <s v="Laboratorio/Farmac"/>
    <s v="Mediano Costo "/>
    <s v="Refrigerador Clinico"/>
    <s v="Smeg"/>
    <s v="FV25G1"/>
    <n v="4090200011"/>
    <s v="HPL5175"/>
    <n v="2017"/>
    <n v="10"/>
    <n v="2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Farmacia Central - 16"/>
    <s v="Hospital Penco Lirquen"/>
    <s v="Laboratorio/Farmac"/>
    <s v="Mediano Costo "/>
    <s v="Refrigerador Clínico"/>
    <s v="HAIER"/>
    <s v="HYC-940"/>
    <s v="BE03LSE0N00QJM860008"/>
    <m/>
    <n v="2022"/>
    <n v="10"/>
    <n v="7"/>
    <s v="Propio"/>
    <s v="Bueno "/>
    <x v="1"/>
    <s v="SI"/>
    <n v="2025"/>
    <s v="SI"/>
    <x v="3"/>
    <s v="CONTRATO"/>
    <s v="ARQUIMED"/>
    <s v="COLDAS 2022"/>
    <s v="-"/>
    <n v="1"/>
    <m/>
    <s v="√"/>
    <m/>
    <m/>
    <m/>
    <m/>
    <m/>
    <m/>
    <m/>
    <m/>
    <m/>
    <m/>
  </r>
  <r>
    <s v="Farmacia Central (especialidades) - 16"/>
    <s v="Hospital Penco Lirquen"/>
    <s v="Laboratorio/Farmac"/>
    <s v="Mediano Costo "/>
    <s v="Refrigerador Clinico"/>
    <s v="Smeg"/>
    <s v="FV30G1"/>
    <n v="5122200121"/>
    <s v="HPL20227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Farmacia Central (urgencia) - 16"/>
    <s v="Hospital Penco Lirquen"/>
    <s v="Laboratorio/Farmac"/>
    <s v="Mediano Costo "/>
    <s v="Refrigerador Clinico"/>
    <s v="Smeg"/>
    <s v="FV30G1"/>
    <n v="5122200101"/>
    <s v="HPL30081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Ginecologia"/>
    <s v="Hospital Penco Lirquen"/>
    <s v="Apoyo Terapéutico"/>
    <s v="Mediano Costo "/>
    <s v="Bomba de infusión continua"/>
    <s v="Fresenius Kabi"/>
    <s v="Volumat MC Agilia"/>
    <n v="22657717"/>
    <s v="HPL28418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Ginecologia "/>
    <s v="Hospital Penco Lirquen"/>
    <s v="Apoyo Terapéutico"/>
    <s v="Mediano Costo "/>
    <s v="Bomba de infusión continua"/>
    <s v="Fresenius Kabi"/>
    <s v="Agilia VP MC"/>
    <n v="24338312"/>
    <s v="HPL28420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Ginecologia - 2"/>
    <s v="Hospital Penco Lirquen"/>
    <s v="Apoyo Terapéutico"/>
    <s v="Mediano Costo "/>
    <s v="Bomba de infusión continua"/>
    <s v="Fresenius Kabi"/>
    <s v="Volumat MC Agilia"/>
    <n v="23406388"/>
    <s v="HPL28419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Ginecologia Hospitalizados"/>
    <s v="Hospital Penco Lirquen"/>
    <s v="Apoyo Diagnóstico"/>
    <s v="Bajo costo"/>
    <s v="Balanza pediátrica"/>
    <s v="Nitia"/>
    <s v="Baby Scale"/>
    <s v="S/N"/>
    <s v="HPL30279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5"/>
    <s v="HPL30014"/>
    <n v="2015"/>
    <n v="10"/>
    <n v="0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6"/>
    <s v="HPL30015"/>
    <n v="2015"/>
    <n v="10"/>
    <n v="0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Monitoreo"/>
    <s v="Mediano Costo "/>
    <s v="Monitor de signos vitales"/>
    <s v="Creative medical"/>
    <s v="PC-900"/>
    <s v="J0100KC00256"/>
    <s v="HPL30260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Ginecologia Hospitalizados - 2"/>
    <s v="Hospital Penco Lirquen"/>
    <s v="Mobiliario"/>
    <s v="Clínico"/>
    <s v="Cama clínica eléctrica"/>
    <s v="Malvestio"/>
    <s v="346760H"/>
    <n v="20009349"/>
    <s v="HPL24693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Ginecologia Hospitalizados - 2"/>
    <s v="Hospital Penco Lirquen"/>
    <s v="Mobiliario"/>
    <s v="Clínico"/>
    <s v="Cama clínica eléctrica"/>
    <s v="Malvestio"/>
    <s v="346760H"/>
    <n v="20009354"/>
    <s v="HPL29996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Ginecologia Hospitalizados - 2"/>
    <s v="Hospital Penco Lirquen"/>
    <s v="Monitoreo"/>
    <s v="Alto Costo"/>
    <s v="Detector de latido cardiofetal"/>
    <s v="Edan"/>
    <s v="Sonotrax"/>
    <s v="304130-M12C04480047"/>
    <s v="HPL30183"/>
    <n v="2017"/>
    <n v="8"/>
    <n v="0"/>
    <s v="Propio"/>
    <s v="Bueno "/>
    <x v="1"/>
    <s v="NO"/>
    <s v="NO APLICA"/>
    <s v="SI"/>
    <x v="3"/>
    <s v="EXTERNO"/>
    <s v="CODESUR"/>
    <s v="1057540-110-LE23"/>
    <n v="30000"/>
    <n v="1"/>
    <m/>
    <m/>
    <m/>
    <m/>
    <m/>
    <m/>
    <m/>
    <m/>
    <s v="X"/>
    <m/>
    <m/>
    <m/>
  </r>
  <r>
    <s v="Ginecologia Hospitalizados - 2"/>
    <s v="Hospital Penco Lirquen"/>
    <s v="Apoyo Diagnóstico"/>
    <s v="Bajo costo"/>
    <s v="Oximetro de pulso"/>
    <s v="Heal Force"/>
    <s v="Prince E100"/>
    <s v="XXJ00JH00297"/>
    <s v="HPL3040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DOM"/>
    <s v="Hospital Penco Lirquen"/>
    <s v="Apoyo Terapéutico"/>
    <s v="Bajo costo "/>
    <s v="Concentrador de Oxigeno Estacionario"/>
    <s v="M50"/>
    <s v="SYSMED"/>
    <n v="241020018"/>
    <m/>
    <n v="2024"/>
    <n v="5"/>
    <n v="4"/>
    <s v="Propio"/>
    <s v="Bueno "/>
    <x v="1"/>
    <s v="SI"/>
    <d v="2026-12-19T00:00:00"/>
    <s v="SI"/>
    <x v="1"/>
    <s v="EXTERNO"/>
    <s v="MEDIPLEX"/>
    <s v="1057540-103-L124"/>
    <m/>
    <n v="1"/>
    <m/>
    <m/>
    <m/>
    <m/>
    <m/>
    <m/>
    <m/>
    <m/>
    <m/>
    <m/>
    <m/>
    <s v="X"/>
  </r>
  <r>
    <s v="HODOM"/>
    <s v="Hospital Penco Lirquen"/>
    <s v="Apoyo Terapéutico"/>
    <s v="Bajo costo "/>
    <s v="Concentrador de Oxigeno Estacionario"/>
    <s v="M50"/>
    <s v="SYSMED"/>
    <n v="237050062"/>
    <m/>
    <n v="2024"/>
    <n v="5"/>
    <n v="4"/>
    <s v="Propio"/>
    <s v="Bueno "/>
    <x v="1"/>
    <s v="SI"/>
    <d v="2026-12-19T00:00:00"/>
    <s v="SI"/>
    <x v="1"/>
    <s v="EXTERNO"/>
    <s v="MEDIPLEX"/>
    <s v="1057540-103-L124"/>
    <m/>
    <n v="1"/>
    <m/>
    <m/>
    <m/>
    <m/>
    <m/>
    <m/>
    <m/>
    <m/>
    <m/>
    <m/>
    <m/>
    <s v="X"/>
  </r>
  <r>
    <s v="HODOM"/>
    <s v="Hospital Penco Lirquen"/>
    <s v="Monitoreo"/>
    <s v="Mediano Costo "/>
    <s v="Desfibrilador externo automático (DEA)"/>
    <s v="Philips"/>
    <s v="Heart Start"/>
    <s v="A19J-10092"/>
    <s v="HPL30197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HODOM"/>
    <s v="Hospital Penco Lirquen"/>
    <s v="Apoyo Terapéutico"/>
    <s v="Bajo costo "/>
    <s v="Monitor de Presión"/>
    <s v="OMRON"/>
    <s v="HEM 7120"/>
    <s v="20190829965LG"/>
    <m/>
    <n v="2019"/>
    <n v="8"/>
    <n v="2"/>
    <m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DOM"/>
    <s v="Hospital Penco Lirquen"/>
    <s v="Monitoreo"/>
    <s v="Mediano Costo "/>
    <s v="Monitor de signos vitales"/>
    <s v="Criticare"/>
    <s v="506DN "/>
    <n v="122010785"/>
    <s v="HPL30045"/>
    <n v="2021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Hodom - 5"/>
    <s v="Hospital Penco Lirquen"/>
    <s v="Apoyo Terapéutico"/>
    <s v="Mediano Costo "/>
    <s v="Bomba de infusión continua - Back Up"/>
    <s v="Fresenius Kabi"/>
    <s v="Volumat MC Agilia"/>
    <n v="23018128"/>
    <s v="NO APLICA"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8873"/>
    <s v="NO APLICA"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58618"/>
    <s v="NO APLICA"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nutrición enteral"/>
    <s v="Fresenius Kabi"/>
    <s v="AMIKA-ES"/>
    <n v="22170066"/>
    <s v="HPL28421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DOM - 5"/>
    <s v="Hospital Penco Lirquen"/>
    <s v="Apoyo Diagnóstico"/>
    <s v="Mediano Costo "/>
    <s v="Electrocardiografo"/>
    <s v="General Electric"/>
    <s v="MAC 600"/>
    <s v="SS520240069PA"/>
    <s v="HPL30379"/>
    <n v="2021"/>
    <n v="8"/>
    <n v="4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HODOM - 5"/>
    <s v="Hospital Penco Lirquen"/>
    <s v="Apoyo Quirúrgico"/>
    <s v="Bajo costo"/>
    <s v="Bomba de aspiración"/>
    <s v="Ca-mi"/>
    <s v="ASKIR 36BR"/>
    <n v="16720"/>
    <s v="HPL29893"/>
    <n v="2020"/>
    <n v="10"/>
    <n v="5"/>
    <s v="Propio"/>
    <s v="Bueno "/>
    <x v="1"/>
    <s v="NO"/>
    <s v="NO APLICA"/>
    <s v="SI"/>
    <x v="3"/>
    <s v="INTERNO"/>
    <s v="TECNICO EQM HPL"/>
    <s v="NO APLICA"/>
    <m/>
    <n v="2"/>
    <m/>
    <m/>
    <s v="X"/>
    <m/>
    <m/>
    <m/>
    <m/>
    <m/>
    <s v="X"/>
    <m/>
    <m/>
    <m/>
  </r>
  <r>
    <s v="HODOM - 5"/>
    <s v="Hospital Penco Lirquen"/>
    <s v="Apoyo Quirúrgico"/>
    <s v="Bajo costo"/>
    <s v="Bomba de aspiración"/>
    <s v="Yuwell"/>
    <s v="7E-C"/>
    <s v="(-)00042"/>
    <m/>
    <n v="2022"/>
    <n v="10"/>
    <n v="7"/>
    <s v="Propio"/>
    <s v="Bueno "/>
    <x v="1"/>
    <s v="NO"/>
    <n v="2023"/>
    <s v="SI"/>
    <x v="3"/>
    <s v="INTERNO"/>
    <s v="TECNICO EQM HPL"/>
    <s v="NO APLICA"/>
    <m/>
    <n v="2"/>
    <m/>
    <m/>
    <s v="X"/>
    <m/>
    <m/>
    <m/>
    <m/>
    <m/>
    <s v="X"/>
    <m/>
    <m/>
    <m/>
  </r>
  <r>
    <s v="Hospital de dia"/>
    <s v="Hospital Penco Lirquen"/>
    <s v="Monitoreo"/>
    <s v="Mediano Costo "/>
    <s v="Monitor de signos vitales"/>
    <s v="Iris"/>
    <s v="PMS8210A"/>
    <n v="1005050"/>
    <s v="HPL29944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Hospital de dia"/>
    <s v="Hospital Penco Lirquen"/>
    <s v="Monitoreo"/>
    <s v="Mediano Costo "/>
    <s v="Desfibrilador externo automático (DEA)"/>
    <s v="Zoll medical"/>
    <s v="Powerheart AED G3 Elite"/>
    <n v="7509337"/>
    <m/>
    <n v="2024"/>
    <n v="8"/>
    <n v="7"/>
    <s v="Propio "/>
    <s v="Bueno "/>
    <x v="0"/>
    <s v="SI"/>
    <m/>
    <s v="SI"/>
    <x v="1"/>
    <s v="INTERNO"/>
    <s v="TECNICO EQM HPL"/>
    <s v="NO APLICA"/>
    <m/>
    <n v="2"/>
    <m/>
    <m/>
    <s v="X"/>
    <m/>
    <m/>
    <m/>
    <m/>
    <m/>
    <s v="X"/>
    <m/>
    <m/>
    <m/>
  </r>
  <r>
    <s v="Hospital de dia"/>
    <s v="Hospital Penco Lirquen"/>
    <s v="Monitoreo"/>
    <s v="Mediano Costo "/>
    <s v="Monitor de signos vitales"/>
    <s v="Contec"/>
    <s v="COTEC08A"/>
    <n v="23081500148"/>
    <m/>
    <n v="2024"/>
    <n v="8"/>
    <n v="7"/>
    <s v="Propio "/>
    <s v="Bueno "/>
    <x v="0"/>
    <s v="SI"/>
    <m/>
    <s v="SI"/>
    <x v="1"/>
    <s v="INTERNO"/>
    <s v="TECNICO EQM HPL"/>
    <s v="NO APLICA"/>
    <m/>
    <n v="2"/>
    <m/>
    <m/>
    <s v="√"/>
    <m/>
    <m/>
    <m/>
    <m/>
    <m/>
    <s v="X"/>
    <m/>
    <m/>
    <m/>
  </r>
  <r>
    <s v="Hospital de dia"/>
    <s v="Hospital Penco Lirquen"/>
    <s v="Monitoreo"/>
    <s v="Mediano Costo "/>
    <s v="Monitor ECG Baja Complejidad"/>
    <s v="Fukuda Denshi"/>
    <s v="Dinascope DSL-8001"/>
    <n v="50200449"/>
    <s v="HPL21418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Hospital de día "/>
    <s v="Hospital Penco Lirquen"/>
    <s v="Laboratorio/Farmac"/>
    <s v="Bajo costo"/>
    <s v="Frigobar"/>
    <s v="Mademsa"/>
    <s v="MMB 91 S"/>
    <n v="1000297"/>
    <s v="HPL29942"/>
    <n v="2020"/>
    <n v="10"/>
    <n v="5"/>
    <s v="Propio"/>
    <s v="Bueno "/>
    <x v="1"/>
    <s v="NO"/>
    <s v="NO APLICA"/>
    <s v="SI"/>
    <x v="3"/>
    <s v="EXTERNO"/>
    <s v="CLIMATICPRO"/>
    <s v="1057540-100-LE23"/>
    <n v="51703"/>
    <n v="1"/>
    <m/>
    <m/>
    <m/>
    <m/>
    <m/>
    <m/>
    <m/>
    <m/>
    <s v="X"/>
    <m/>
    <m/>
    <m/>
  </r>
  <r>
    <s v="Hospital de dia - 4"/>
    <s v="Hospital Penco Lirquen"/>
    <s v="Mobiliario"/>
    <s v="Clínico"/>
    <s v="Cama clínica mecánica"/>
    <s v="Malvestio"/>
    <n v="345500"/>
    <n v="20009260"/>
    <s v="HPL29991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m/>
    <m/>
    <m/>
    <m/>
    <m/>
    <m/>
    <s v="X"/>
    <m/>
    <m/>
    <m/>
    <m/>
  </r>
  <r>
    <s v="Hospital de dia - 4"/>
    <s v="Hospital Penco Lirquen"/>
    <s v="Apoyo Diagnóstico"/>
    <s v="Mediano Costo "/>
    <s v="Electrocardiografo"/>
    <s v="General Electric"/>
    <s v="MAC 800"/>
    <s v="SJ416020028WA"/>
    <s v="HPL21417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m/>
    <s v="X"/>
  </r>
  <r>
    <s v="Hospital Higueras"/>
    <s v="Hospital Penco Lirquen"/>
    <s v="Apoyo Endoscópico"/>
    <s v="Mediano Costo "/>
    <s v="Videocolonoscopio"/>
    <s v="Fujifilm"/>
    <s v="EC-530FL"/>
    <s v="1C654K219"/>
    <s v="HPL30160"/>
    <n v="2016"/>
    <n v="7"/>
    <n v="-2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duodenoscopio"/>
    <s v="Fujifilm"/>
    <s v="ED-530XT"/>
    <s v="1D102K375"/>
    <s v="HPL30161"/>
    <n v="2016"/>
    <n v="7"/>
    <n v="-2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duodenoscopio"/>
    <s v="Fujifilm"/>
    <s v="ED-530XT"/>
    <s v="1D102K420"/>
    <s v="HPL30162"/>
    <n v="2016"/>
    <n v="7"/>
    <n v="-2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663"/>
    <s v="HPL30163"/>
    <n v="2016"/>
    <n v="7"/>
    <n v="-2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760"/>
    <s v="HPL30164"/>
    <n v="2016"/>
    <n v="7"/>
    <n v="-2"/>
    <s v="Propio"/>
    <s v="Bueno "/>
    <x v="2"/>
    <s v="NO"/>
    <s v="NO APLICA"/>
    <s v="NO"/>
    <x v="2"/>
    <s v="CONTRATO"/>
    <s v="NO APLICA"/>
    <s v="NO APLICA"/>
    <n v="0"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696"/>
    <s v="HPL29863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703"/>
    <s v="HPL25049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para camillas"/>
    <s v="Seca"/>
    <n v="6561321103"/>
    <n v="5769113189798"/>
    <s v="HPL30113"/>
    <n v="2016"/>
    <n v="10"/>
    <n v="1"/>
    <s v="Propio"/>
    <s v="Bueno "/>
    <x v="2"/>
    <s v="NO"/>
    <s v="NO APLICA"/>
    <s v="NO"/>
    <x v="2"/>
    <s v="EX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09"/>
    <s v="HPL28445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3"/>
    <s v="HPL28446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5"/>
    <s v="HPL28447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6"/>
    <s v="HPL28448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8"/>
    <s v="HPL28449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n v="320810"/>
    <n v="20009093"/>
    <s v="HPL25357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s v="Runner 800"/>
    <n v="20057648"/>
    <s v="HPL3002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Mediano Costo "/>
    <s v="Electrocardiografo"/>
    <s v="Nihon Kohden"/>
    <s v="Cardiofax C ECG 1150"/>
    <s v="11959K"/>
    <s v="HPL25053"/>
    <n v="2015"/>
    <n v="8"/>
    <n v="-2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Mediano Costo "/>
    <s v="Electrocardiografo"/>
    <s v="General Electric"/>
    <s v="MAC 800"/>
    <s v="SJ416020040WA"/>
    <s v="HPL25052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Mediano Costo "/>
    <s v="Electrocardiografo"/>
    <s v="General Electric"/>
    <s v="MAC 800"/>
    <s v="SJ416020041WA"/>
    <s v="HPL24767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Alto Costo"/>
    <s v="Equipo telemedicina"/>
    <s v="Smart"/>
    <s v="Document camera 450"/>
    <s v="S/N"/>
    <s v="HPL30292"/>
    <n v="2015"/>
    <n v="8"/>
    <n v="-2"/>
    <s v="Propio"/>
    <s v="Bueno "/>
    <x v="2"/>
    <s v="NO"/>
    <s v="NO APLICA"/>
    <s v="NO"/>
    <x v="2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2"/>
    <s v="HPL30102"/>
    <n v="2015"/>
    <n v="8"/>
    <n v="-2"/>
    <s v="Propio"/>
    <s v="Bueno "/>
    <x v="2"/>
    <s v="NO"/>
    <s v="NO APLICA"/>
    <s v="NO"/>
    <x v="2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8"/>
    <s v="HPL30103"/>
    <n v="2015"/>
    <n v="8"/>
    <n v="-2"/>
    <s v="Propio"/>
    <s v="Bueno "/>
    <x v="2"/>
    <s v="NO"/>
    <s v="NO APLICA"/>
    <s v="NO"/>
    <x v="2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8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9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0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1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Monitoreo"/>
    <s v="Mediano Costo "/>
    <s v="Monitor de signos vitales"/>
    <s v="General Electric"/>
    <s v="V100"/>
    <s v="SH617010131SA"/>
    <s v="HPL25249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2SA"/>
    <s v="HPL24770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3SA"/>
    <s v="HPL25250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4SA"/>
    <s v="HPL25263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5SA"/>
    <s v="HPL30371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6SA"/>
    <s v="HPL24760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Criticare"/>
    <s v="506DN"/>
    <n v="111720499"/>
    <s v="HPL25045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"/>
    <s v="Monitor de signos vitales"/>
    <s v="General Electric"/>
    <s v="V100"/>
    <s v="SH622300074SA"/>
    <s v="HPL31303"/>
    <n v="2022"/>
    <n v="8"/>
    <n v="5"/>
    <s v="Propio"/>
    <s v="Bueno "/>
    <x v="0"/>
    <s v="SI"/>
    <d v="2024-12-01T00:00:00"/>
    <s v="SI"/>
    <x v="0"/>
    <s v="EX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398"/>
    <s v="HPL25043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3"/>
    <s v="HPL25252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7"/>
    <s v="HPL25044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51"/>
    <s v="HPL25081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73"/>
    <s v="HPL24730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3"/>
    <s v="HPL25041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5"/>
    <s v="HPL25042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6"/>
    <s v="HPL30031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3"/>
    <s v="HPL30036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4"/>
    <s v="HPL25264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67"/>
    <s v="HPL30043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Philips"/>
    <s v="Efficia CM100"/>
    <s v="CN12099177"/>
    <m/>
    <n v="2024"/>
    <n v="8"/>
    <n v="7"/>
    <s v="Propio"/>
    <s v="Bueno "/>
    <x v="0"/>
    <s v="SI"/>
    <n v="2026"/>
    <s v="SI"/>
    <x v="3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6"/>
    <m/>
    <n v="2024"/>
    <n v="8"/>
    <n v="7"/>
    <s v="Propio"/>
    <s v="Bueno "/>
    <x v="0"/>
    <s v="SI"/>
    <n v="2026"/>
    <s v="SI"/>
    <x v="3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5"/>
    <m/>
    <n v="2024"/>
    <n v="8"/>
    <n v="7"/>
    <s v="Propio"/>
    <s v="Bueno "/>
    <x v="0"/>
    <s v="SI"/>
    <n v="2026"/>
    <s v="SI"/>
    <x v="3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Alto Costo"/>
    <s v="Monitor ECG mediana complejidad"/>
    <s v="Nihon Kohden"/>
    <s v="BSM-6301K"/>
    <n v="8352"/>
    <s v="HPL29882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3"/>
    <s v="HPL25047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7"/>
    <s v="HPL29885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4"/>
    <s v="HPL29883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6"/>
    <s v="HPL29884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8"/>
    <s v="HPL29886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CSM-1501 (G5)"/>
    <s v="01634"/>
    <s v="HPL24766"/>
    <n v="2021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5"/>
    <s v="HPL24763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PVM-2703"/>
    <n v="118479"/>
    <s v="HPL24773"/>
    <n v="2019"/>
    <n v="8"/>
    <n v="2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10"/>
    <s v="HPL30262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29"/>
    <s v="HPL30263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590"/>
    <s v="HPL30264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27"/>
    <s v="HPL30265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57"/>
    <s v="HPL30266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751"/>
    <s v="HPL30267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Apoyo Diagnóstico"/>
    <s v="Bajo costo"/>
    <s v="Oto-oftalmoscopio de pared"/>
    <s v="Riester"/>
    <s v="Ri-scope L"/>
    <s v="S/N"/>
    <s v="HPL3012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Oximetro de pulso"/>
    <s v="Nellcor"/>
    <s v="Oximax N-65"/>
    <s v="G15802064"/>
    <s v="HPL3025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 "/>
    <s v="Ultrasonido Pocket"/>
    <s v="Medtec"/>
    <s v="C10LN"/>
    <s v="KLACBEA011"/>
    <s v="NO APLICA"/>
    <n v="2023"/>
    <n v="8"/>
    <n v="6"/>
    <s v="Comodato"/>
    <s v="Bueno "/>
    <x v="2"/>
    <s v="SI"/>
    <s v="NO APLICA"/>
    <s v="NO"/>
    <x v="2"/>
    <s v="CONTRATO"/>
    <s v="MEDTEC"/>
    <s v="1057540-54-LP23"/>
    <m/>
    <m/>
    <m/>
    <m/>
    <m/>
    <m/>
    <m/>
    <m/>
    <m/>
    <m/>
    <m/>
    <m/>
    <m/>
    <m/>
  </r>
  <r>
    <s v="Hospitalizados"/>
    <s v="Hospital Penco Lirquen"/>
    <s v="Apoyo Quirúrgico"/>
    <s v="Bajo costo"/>
    <s v="Bomba de aspiración"/>
    <s v="Ca-mi"/>
    <s v="ASKIR 36BR"/>
    <n v="17300"/>
    <s v="HPL29895"/>
    <n v="2020"/>
    <n v="10"/>
    <n v="5"/>
    <s v="Propio"/>
    <s v="Bueno "/>
    <x v="1"/>
    <s v="NO"/>
    <s v="NO APLICA"/>
    <s v="SI"/>
    <x v="3"/>
    <s v="INTERNO"/>
    <s v="TECNICO EQM HPL"/>
    <s v="NO APLICA"/>
    <m/>
    <n v="2"/>
    <m/>
    <m/>
    <s v="√"/>
    <m/>
    <m/>
    <m/>
    <m/>
    <m/>
    <s v="X"/>
    <m/>
    <m/>
    <m/>
  </r>
  <r>
    <s v="Hospitalizados - 1B"/>
    <s v="Hospital Penco Lirquen"/>
    <s v="Apoyo Terapéutico"/>
    <s v="Mediano Costo "/>
    <s v="Bomba de infusión continua"/>
    <s v="Fresenius Kabi"/>
    <s v="Volumat MC Agilia E"/>
    <n v="21789439"/>
    <s v="HPL28427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 E"/>
    <n v="21961763"/>
    <s v="HPL28444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267028"/>
    <s v="HPL28435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418653"/>
    <s v="HPL28443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09"/>
    <s v="HPL28479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0"/>
    <s v="HPL28480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1"/>
    <s v="HPL28481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n v="200612139055"/>
    <s v="HPL30104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s v="200611138691"/>
    <s v="HPL30168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170047"/>
    <s v="HPL28434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4181"/>
    <s v="HPL28441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7710"/>
    <s v="HPL28437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6B"/>
    <s v="Hospital Penco Lirquen"/>
    <s v="Apoyo Terapéutico"/>
    <s v="Mediano Costo "/>
    <s v="Bomba de infusión continua"/>
    <s v="Fresenius Kabi"/>
    <s v="Volumat MC Agilia"/>
    <n v="22267021"/>
    <s v="HPL28442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A"/>
    <s v="Hospital Penco Lirquen"/>
    <s v="Apoyo Diagnóstico"/>
    <s v="Bajo costo"/>
    <s v="Balanza para camillas"/>
    <s v="RADWAG"/>
    <s v="C315.48.500.C-1"/>
    <n v="775883"/>
    <m/>
    <n v="2023"/>
    <n v="10"/>
    <n v="8"/>
    <s v="Propio"/>
    <s v="Bueno "/>
    <x v="2"/>
    <s v="SI"/>
    <d v="2024-09-24T00:00:00"/>
    <s v="NO"/>
    <x v="2"/>
    <s v="EXTERNO"/>
    <s v="Arquimed"/>
    <s v="1057540-19-L123"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578701"/>
    <s v="HPL28424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01"/>
    <s v="HPL28425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74"/>
    <s v="HPL28426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67283"/>
    <s v="HPL28440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789514"/>
    <s v="HPL28428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53"/>
    <s v="HPL28429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74"/>
    <s v="HPL28430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16889"/>
    <s v="HPL28432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70046"/>
    <s v="HPL28433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324983"/>
    <s v="HPL28436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52"/>
    <s v="HPL28438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64"/>
    <s v="HPL28439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 - Back Up"/>
    <s v="Fresenius Kabi"/>
    <s v="Volumat MC Agilia"/>
    <n v="23404909"/>
    <m/>
    <n v="2023"/>
    <n v="8"/>
    <n v="6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5"/>
    <s v="HPL28471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7"/>
    <s v="HPL28472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0"/>
    <s v="HPL28473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3"/>
    <s v="HPL28474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4"/>
    <s v="HPL28475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5"/>
    <s v="HPL28476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6"/>
    <s v="HPL28477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6"/>
    <s v="HPL24842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7"/>
    <s v="HPL24694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8"/>
    <s v="HPL24675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9"/>
    <s v="HPL25211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0"/>
    <s v="HPL29993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1"/>
    <s v="HPL25215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2"/>
    <s v="HPL29994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3"/>
    <s v="HPL25132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4"/>
    <s v="HPL2482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5"/>
    <s v="HPL25213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6"/>
    <s v="HPL25150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7"/>
    <s v="HPL2513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8"/>
    <s v="HPL24869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0"/>
    <s v="HPL2496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2"/>
    <s v="HPL24829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5"/>
    <s v="HPL24676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6"/>
    <s v="HPL24985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7"/>
    <s v="HPL24712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8"/>
    <s v="HPL29997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9"/>
    <s v="HPL2999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0"/>
    <s v="HPL2514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1"/>
    <s v="HPL24498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2"/>
    <s v="HPL24970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3"/>
    <s v="HPL25176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4"/>
    <s v="HPL25210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0"/>
    <s v="HPL29985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1"/>
    <s v="HPL24711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2"/>
    <s v="HPL29986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3"/>
    <s v="HPL24948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4"/>
    <s v="HPL24677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5"/>
    <s v="HPL24695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6"/>
    <s v="HPL25224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8"/>
    <s v="HPL24844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9"/>
    <s v="HPL24872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0"/>
    <s v="HPL24617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1"/>
    <s v="HPL29988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2"/>
    <s v="HPL24986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3"/>
    <s v="HPL25111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4"/>
    <s v="HPL24958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5"/>
    <s v="HPL24657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6"/>
    <s v="HPL29989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7"/>
    <s v="HPL25169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8"/>
    <s v="HPL29990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9"/>
    <s v="HPL24659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61"/>
    <s v="HPL29992"/>
    <n v="2015"/>
    <n v="8"/>
    <n v="-2"/>
    <s v="Propio"/>
    <s v="Bueno "/>
    <x v="1"/>
    <s v="NO"/>
    <s v="NO APLICA"/>
    <s v="SI"/>
    <x v="0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252"/>
    <s v="HPL29941"/>
    <n v="2020"/>
    <n v="10"/>
    <n v="5"/>
    <s v="Propio"/>
    <s v="Bueno "/>
    <x v="2"/>
    <s v="NO"/>
    <s v="NO APLICA"/>
    <s v="NO"/>
    <x v="2"/>
    <s v="INTERNO"/>
    <s v="TECNICO INDUSTRIAL HPL"/>
    <s v="NO APLICA"/>
    <m/>
    <m/>
    <m/>
    <m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558"/>
    <s v="HPL29943"/>
    <n v="2020"/>
    <n v="10"/>
    <n v="5"/>
    <s v="Propio"/>
    <s v="Bueno "/>
    <x v="2"/>
    <s v="NO"/>
    <s v="NO APLICA"/>
    <s v="NO"/>
    <x v="2"/>
    <s v="INTERNO"/>
    <s v="TECNICO INDUSTRIAL HPL"/>
    <s v="NO APLICA"/>
    <m/>
    <m/>
    <m/>
    <m/>
    <m/>
    <m/>
    <m/>
    <m/>
    <m/>
    <m/>
    <m/>
    <m/>
    <m/>
    <m/>
  </r>
  <r>
    <s v="Hospitalizados - 9D"/>
    <s v="Hospital Penco Lirquen"/>
    <s v="Apoyo Diagnóstico"/>
    <s v="Bajo costo"/>
    <s v="Balanza para camillas"/>
    <s v="Seca"/>
    <n v="6561321103"/>
    <n v="10000000062501"/>
    <s v="HPL30116"/>
    <n v="2016"/>
    <n v="10"/>
    <n v="1"/>
    <s v="Propio"/>
    <s v="Bueno "/>
    <x v="2"/>
    <s v="NO"/>
    <s v="NO APLICA"/>
    <s v="NO"/>
    <x v="2"/>
    <s v="EXTERNO"/>
    <s v="TECNICO EQM HPL"/>
    <s v="NO APLICA"/>
    <m/>
    <m/>
    <m/>
    <m/>
    <m/>
    <m/>
    <m/>
    <m/>
    <m/>
    <m/>
    <m/>
    <m/>
    <m/>
    <m/>
  </r>
  <r>
    <s v="Hospitalizados - 9D"/>
    <s v="Hospital Penco Lirquen"/>
    <s v="Apoyo Diagnóstico"/>
    <s v="Bajo costo"/>
    <s v="Oximetro de pulso"/>
    <s v="Nellcor"/>
    <s v="Oximax N-65"/>
    <s v="G15802061"/>
    <s v="HPL3025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Hospitalizados - 9D"/>
    <s v="Hospital Penco Lirquen"/>
    <s v="Laboratorio/Farmac"/>
    <s v="Mediano Costo "/>
    <s v="Refrigerador Clinico"/>
    <s v="Smeg"/>
    <s v="FV30G1"/>
    <n v="5122200131"/>
    <s v="HPL21420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Hospitalizados (UTI) - 9D"/>
    <s v="Hospital Penco Lirquen"/>
    <s v="Laboratorio/Farmac"/>
    <s v="Mediano Costo "/>
    <s v="Refrigerador Clinico"/>
    <s v="Smeg"/>
    <s v="FV30G1"/>
    <n v="5122200111"/>
    <s v="HPL24792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Hospitalizados -9B"/>
    <s v="Hospital Penco Lirquen"/>
    <s v="Mobiliario"/>
    <s v="Clínico"/>
    <s v="Cama clínica eléctrica"/>
    <s v="Malvestio"/>
    <s v="346760H"/>
    <n v="20009353"/>
    <s v="HPL29995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Imagenologia"/>
    <s v="Hospital Penco Lirquen"/>
    <s v="Monitoreo"/>
    <s v="Mediano Costo "/>
    <s v="Monitor desfibrilador "/>
    <s v="Zoll medical"/>
    <s v="Serie R ALS"/>
    <s v="AF20G120257"/>
    <s v="HPL30216"/>
    <n v="2021"/>
    <n v="8"/>
    <n v="4"/>
    <s v="Propio"/>
    <s v="Bueno "/>
    <x v="0"/>
    <s v="NO"/>
    <s v="NO APLICA"/>
    <s v="SI"/>
    <x v="0"/>
    <s v="INTERNO"/>
    <s v="TECNICO EQM HPL"/>
    <s v="NO APLICA"/>
    <s v="-"/>
    <n v="2"/>
    <m/>
    <m/>
    <m/>
    <m/>
    <m/>
    <s v="X"/>
    <m/>
    <m/>
    <m/>
    <m/>
    <m/>
    <s v="X"/>
  </r>
  <r>
    <s v="Imagenologia"/>
    <s v="Hospital Penco Lirquen"/>
    <s v="Monitoreo"/>
    <s v="Mediano Costo "/>
    <s v="Monitor ECG Baja Complejidad"/>
    <s v="Fukuda Denshi"/>
    <s v="Dinascope DSL-8001"/>
    <n v="50200456"/>
    <s v="HPL30038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Imagenologia - 1C"/>
    <s v="Hospital Penco Lirquen"/>
    <s v="Imagenología"/>
    <s v="Alto Costo"/>
    <s v="Ecógrafo portatil"/>
    <s v="General Electric"/>
    <s v="Logiq E"/>
    <s v="6076723WX0"/>
    <s v="HPL30194"/>
    <n v="2020"/>
    <n v="8"/>
    <n v="3"/>
    <s v="Propio"/>
    <s v="Bueno "/>
    <x v="3"/>
    <s v="NO"/>
    <s v="NO APLICA"/>
    <s v="SI"/>
    <x v="0"/>
    <s v="EXTERNO"/>
    <s v="HOSER"/>
    <s v="1057540-17-LE23"/>
    <n v="1832600"/>
    <n v="2"/>
    <m/>
    <s v="√"/>
    <m/>
    <m/>
    <m/>
    <m/>
    <m/>
    <m/>
    <s v="X"/>
    <m/>
    <m/>
    <m/>
  </r>
  <r>
    <s v="Imagenologia - 8A"/>
    <s v="Hospital Penco Lirquen"/>
    <s v="Imagenología"/>
    <s v="Alto Costo"/>
    <s v="Rx Arco C"/>
    <s v="Philips"/>
    <s v="BV pulsera"/>
    <n v="3937"/>
    <s v="HPL29877"/>
    <n v="2016"/>
    <n v="10"/>
    <n v="1"/>
    <s v="Propio"/>
    <s v="Bueno "/>
    <x v="3"/>
    <s v="NO"/>
    <s v="NO APLICA"/>
    <s v="SI"/>
    <x v="0"/>
    <s v="EXTERNO"/>
    <s v="Philips"/>
    <s v="1057540-3-LQ23"/>
    <n v="12792504"/>
    <n v="2"/>
    <s v="√"/>
    <m/>
    <m/>
    <m/>
    <m/>
    <s v="X"/>
    <m/>
    <m/>
    <m/>
    <m/>
    <m/>
    <s v="X"/>
  </r>
  <r>
    <s v="Imagenologia - 8A"/>
    <s v="Hospital Penco Lirquen"/>
    <s v="Imagenología"/>
    <s v="Alto Costo"/>
    <s v="Rx Mamografo Digital"/>
    <s v="Siemens"/>
    <s v="Mamomat Fusion"/>
    <n v="1127"/>
    <s v="HPL29860"/>
    <n v="2016"/>
    <n v="10"/>
    <n v="1"/>
    <s v="Propio"/>
    <s v="Bueno "/>
    <x v="3"/>
    <s v="NO"/>
    <m/>
    <s v="SI"/>
    <x v="0"/>
    <s v="EXTERNO"/>
    <s v="Siemens"/>
    <s v="1057540-3-LQ23"/>
    <n v="40962546"/>
    <n v="2"/>
    <s v="√"/>
    <m/>
    <m/>
    <m/>
    <m/>
    <m/>
    <s v="X"/>
    <m/>
    <m/>
    <m/>
    <m/>
    <m/>
  </r>
  <r>
    <s v="Imagenologia - 8A"/>
    <s v="Hospital Penco Lirquen"/>
    <s v="Imagenología"/>
    <s v="Alto Costo"/>
    <s v="RX Osteopulmonar "/>
    <s v="Philips"/>
    <s v="Digital Diagnost Flex"/>
    <n v="15000236"/>
    <s v="HPL29960"/>
    <n v="2016"/>
    <n v="10"/>
    <n v="1"/>
    <s v="Propio"/>
    <s v="Bueno "/>
    <x v="3"/>
    <s v="NO"/>
    <s v="NO APLICA"/>
    <s v="SI"/>
    <x v="0"/>
    <s v="EXTERNO"/>
    <s v="Philips"/>
    <s v="1057540-3-LQ23"/>
    <n v="39876864"/>
    <n v="2"/>
    <m/>
    <m/>
    <m/>
    <m/>
    <m/>
    <s v="X"/>
    <m/>
    <m/>
    <m/>
    <m/>
    <m/>
    <s v="X"/>
  </r>
  <r>
    <s v="Imagenologia - 8A"/>
    <s v="Hospital Penco Lirquen"/>
    <s v="Imagenología"/>
    <s v="Alto Costo"/>
    <s v="RX Portatil"/>
    <s v="Philips"/>
    <s v="Mobile Diagnost WDR"/>
    <n v="15100217"/>
    <s v="HPL29961"/>
    <n v="2016"/>
    <n v="10"/>
    <n v="1"/>
    <s v="Propio"/>
    <s v="Bueno "/>
    <x v="3"/>
    <s v="NO"/>
    <s v="NO APLICA"/>
    <s v="SI"/>
    <x v="0"/>
    <s v="EXTERNO"/>
    <s v="Philips"/>
    <s v="1057540-3-LQ23"/>
    <n v="24097500"/>
    <n v="2"/>
    <m/>
    <m/>
    <m/>
    <m/>
    <m/>
    <s v="X"/>
    <m/>
    <m/>
    <m/>
    <m/>
    <m/>
    <s v="X"/>
  </r>
  <r>
    <s v="Imagenologia - 8B"/>
    <s v="Hospital Penco Lirquen"/>
    <s v="Apoyo Terapéutico"/>
    <s v="Mediano Costo "/>
    <s v="Calentador de medio de contraste"/>
    <s v="Thermo"/>
    <s v="Heratherm"/>
    <s v="IMC 40497711"/>
    <m/>
    <n v="2024"/>
    <n v="8"/>
    <n v="7"/>
    <s v="Comodato"/>
    <s v="Bueno "/>
    <x v="1"/>
    <s v="NO APLICA"/>
    <n v="2026"/>
    <s v="SI"/>
    <x v="1"/>
    <s v="EXTERNO"/>
    <s v="BIOMUNDO"/>
    <m/>
    <m/>
    <n v="2"/>
    <m/>
    <m/>
    <s v="X"/>
    <m/>
    <m/>
    <m/>
    <m/>
    <m/>
    <m/>
    <m/>
    <s v="X"/>
    <m/>
  </r>
  <r>
    <s v="Imagenologia - 8B"/>
    <s v="Hospital Penco Lirquen"/>
    <s v="Apoyo Terapéutico"/>
    <s v="Mediano Costo "/>
    <s v="Inyectora de medio de contraste"/>
    <s v="Incaier"/>
    <s v="Discovery D1"/>
    <n v="1116000002"/>
    <m/>
    <n v="2024"/>
    <n v="8"/>
    <n v="7"/>
    <s v="Comodato"/>
    <s v="Bueno "/>
    <x v="1"/>
    <s v="NO APLICA"/>
    <n v="2026"/>
    <s v="SI"/>
    <x v="1"/>
    <s v="EXTERNO"/>
    <s v="BIOMUNDO"/>
    <m/>
    <m/>
    <n v="2"/>
    <m/>
    <m/>
    <s v="X"/>
    <m/>
    <m/>
    <m/>
    <m/>
    <m/>
    <m/>
    <m/>
    <s v="X"/>
    <m/>
  </r>
  <r>
    <s v="Imagenologia - 8B"/>
    <s v="Hospital Penco Lirquen"/>
    <s v="Imagenología"/>
    <s v="Alto Costo"/>
    <s v="Ecógrafo"/>
    <s v="General Electric"/>
    <s v="Logiq S8"/>
    <s v="507954SU2"/>
    <s v="HPL30192"/>
    <n v="2019"/>
    <n v="8"/>
    <n v="2"/>
    <s v="Propio"/>
    <s v="Bueno "/>
    <x v="3"/>
    <s v="NO"/>
    <s v="NO APLICA"/>
    <s v="SI"/>
    <x v="0"/>
    <s v="EXTERNO"/>
    <s v="HOSER"/>
    <s v="1057540-17-LE23"/>
    <n v="1832600"/>
    <n v="2"/>
    <m/>
    <s v="√"/>
    <m/>
    <m/>
    <m/>
    <m/>
    <m/>
    <m/>
    <s v="X"/>
    <m/>
    <m/>
    <m/>
  </r>
  <r>
    <s v="Imagenologia - 8B"/>
    <s v="Hospital Penco Lirquen"/>
    <s v="Imagenología"/>
    <s v="Alto Costo"/>
    <s v="Tomografo Computarizado"/>
    <s v="Philips"/>
    <s v="Incisive"/>
    <n v="510014"/>
    <s v="HPL29318"/>
    <n v="2021"/>
    <n v="10"/>
    <n v="6"/>
    <s v="Propio"/>
    <s v="Bueno "/>
    <x v="3"/>
    <s v="SI"/>
    <n v="2025"/>
    <s v="SI"/>
    <x v="0"/>
    <s v="EXTERNO"/>
    <s v="Philips - En Garantía"/>
    <s v="1057931-17-LR20"/>
    <s v="-"/>
    <n v="2"/>
    <m/>
    <m/>
    <m/>
    <m/>
    <m/>
    <s v="X"/>
    <m/>
    <m/>
    <m/>
    <m/>
    <m/>
    <s v="X"/>
  </r>
  <r>
    <s v="Laboratorio"/>
    <s v="Hospital Penco Lirquen"/>
    <s v="Laboratorio/Farmac"/>
    <s v="Bajo costo"/>
    <s v="Aglutinoscopio"/>
    <s v="Biomedcentral"/>
    <s v="VMP-15A"/>
    <s v="0116N04"/>
    <s v="HPL27713"/>
    <n v="2016"/>
    <n v="8"/>
    <n v="-1"/>
    <s v="Propio"/>
    <s v="Bueno "/>
    <x v="2"/>
    <s v="NO"/>
    <s v="NO APLICA"/>
    <s v="NO"/>
    <x v="2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Alto Costo"/>
    <s v="Analizador de gases"/>
    <s v="Cobas"/>
    <s v="B221 S4 System"/>
    <n v="25184"/>
    <m/>
    <n v="2024"/>
    <n v="8"/>
    <n v="7"/>
    <s v="Comodato"/>
    <s v="Bueno"/>
    <x v="3"/>
    <s v="NO"/>
    <s v="NO APLICA"/>
    <s v="SI"/>
    <x v="3"/>
    <s v="CONTRATO"/>
    <s v="ROCHE"/>
    <s v="1057540-126-LP23"/>
    <n v="0"/>
    <n v="2"/>
    <s v="√"/>
    <m/>
    <m/>
    <m/>
    <m/>
    <m/>
    <s v="X"/>
    <m/>
    <m/>
    <m/>
    <m/>
    <m/>
  </r>
  <r>
    <s v="Laboratorio"/>
    <s v="Hospital Penco Lirquen"/>
    <s v="Laboratorio/Farmac"/>
    <s v="Alto Costo"/>
    <s v="Analizador de gases"/>
    <s v="Cobas"/>
    <s v="B221 S4 System"/>
    <n v="25185"/>
    <m/>
    <n v="2024"/>
    <n v="8"/>
    <n v="7"/>
    <s v="Comodato"/>
    <s v="Bueno"/>
    <x v="3"/>
    <s v="NO"/>
    <s v="NO APLICA"/>
    <s v="SI"/>
    <x v="3"/>
    <s v="CONTRATO"/>
    <s v="ROCHE"/>
    <s v="1057540-126-LP23"/>
    <n v="0"/>
    <n v="2"/>
    <s v="√"/>
    <m/>
    <m/>
    <m/>
    <m/>
    <m/>
    <s v="X"/>
    <m/>
    <m/>
    <m/>
    <m/>
    <m/>
  </r>
  <r>
    <s v="Laboratorio"/>
    <s v="Hospital Penco Lirquen"/>
    <s v="Laboratorio/Farmac"/>
    <s v="Alto Costo"/>
    <s v="Analizador de microbiología"/>
    <s v="Cobas"/>
    <s v="pure e402"/>
    <s v="22F4-05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orina"/>
    <s v="Cobas"/>
    <s v="U601"/>
    <s v="SU0902847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701"/>
    <s v="SV1002171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411"/>
    <n v="20638"/>
    <m/>
    <n v="2024"/>
    <n v="8"/>
    <n v="7"/>
    <s v="Comodato"/>
    <s v="Bueno"/>
    <x v="1"/>
    <s v="NO"/>
    <s v="NO APLICA"/>
    <s v="SI"/>
    <x v="1"/>
    <s v="CONTRATO"/>
    <s v="ROCHE"/>
    <s v="1057540-126-LP23"/>
    <n v="0"/>
    <n v="1"/>
    <s v="√"/>
    <m/>
    <m/>
    <m/>
    <m/>
    <m/>
    <m/>
    <m/>
    <m/>
    <m/>
    <m/>
    <m/>
  </r>
  <r>
    <s v="Laboratorio"/>
    <s v="Hospital Penco Lirquen"/>
    <s v="Laboratorio/Farmac"/>
    <s v="Alto Costo"/>
    <s v="Analizador de química clínica"/>
    <s v="Cobas"/>
    <s v="pure c303"/>
    <s v="22L2-04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química clínica"/>
    <s v="Cobas"/>
    <s v="pro sample supply unit"/>
    <s v="22J5-08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Analizador de química clínica"/>
    <s v="Cobas"/>
    <s v="pro  c503"/>
    <s v="22R5-06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Analizador de química clínica (Hormonas)"/>
    <s v="Cobas"/>
    <s v="pure sample supply Unit"/>
    <s v="22H6-07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Fluorecencia "/>
    <s v="SD Biosensor"/>
    <s v="standar F200"/>
    <s v="FA20EBIT63596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Analizador VHS"/>
    <s v="Alifax"/>
    <m/>
    <s v="T16868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Balanza agitadora de sangre"/>
    <s v="GRIFOLDS"/>
    <s v="Mixer Plus3"/>
    <s v="G1320319"/>
    <s v=" "/>
    <n v="2019"/>
    <n v="10"/>
    <n v="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Apoyo Diagnóstico"/>
    <s v="Bajo costo"/>
    <s v="Balanza agitadora de sangre"/>
    <s v="LIUNBERG &amp; KOGEL"/>
    <s v="Biomixer 3030-1"/>
    <n v="3310657"/>
    <m/>
    <n v="2022"/>
    <n v="10"/>
    <n v="7"/>
    <s v="Propio"/>
    <s v="Bueno "/>
    <x v="1"/>
    <s v="NO"/>
    <s v="NO APLICA"/>
    <s v="SI"/>
    <x v="3"/>
    <s v="EXTERNO"/>
    <s v="NEWLAB"/>
    <s v="1057540-16-LE24"/>
    <n v="178500"/>
    <n v="1"/>
    <m/>
    <m/>
    <m/>
    <m/>
    <s v="X"/>
    <m/>
    <m/>
    <m/>
    <m/>
    <m/>
    <m/>
    <m/>
  </r>
  <r>
    <s v="Laboratorio"/>
    <s v="Hospital Penco Lirquen"/>
    <s v="Apoyo Diagnóstico"/>
    <s v="Bajo costo"/>
    <s v="Balanza digital"/>
    <s v="Kern"/>
    <s v="KB 200-2N"/>
    <s v="W1103711"/>
    <s v="HPL27663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Baño termoregulado"/>
    <s v="Julaba"/>
    <s v="Pura 4"/>
    <n v="10398692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05020302-2"/>
    <s v="HPL27664"/>
    <n v="2016"/>
    <n v="10"/>
    <n v="1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16031401-1"/>
    <s v="HPL27714"/>
    <n v="2016"/>
    <n v="10"/>
    <n v="1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Centrifuga"/>
    <s v="CHANGSHA"/>
    <s v="TD5"/>
    <s v="G1703054TB"/>
    <s v=" "/>
    <m/>
    <n v="8"/>
    <s v=" "/>
    <s v="Propio"/>
    <s v="Bueno"/>
    <x v="2"/>
    <s v="NO"/>
    <s v="NO APLICA"/>
    <s v="NO"/>
    <x v="2"/>
    <s v="EXTERNO"/>
    <s v="NO APLICA"/>
    <m/>
    <m/>
    <m/>
    <m/>
    <m/>
    <m/>
    <m/>
    <m/>
    <m/>
    <m/>
    <m/>
    <m/>
    <m/>
    <m/>
    <m/>
  </r>
  <r>
    <s v="Laboratorio"/>
    <s v="Hospital Penco Lirquen"/>
    <s v="Laboratorio/Farmac"/>
    <s v="Alto Costo"/>
    <s v="Centrifuga "/>
    <s v="Jouan"/>
    <s v="C3-12"/>
    <n v="39809574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Centrifuga coagulación"/>
    <s v="Thermo scientific"/>
    <s v="Mega fuge 8"/>
    <n v="721123022307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Mediano Costo"/>
    <s v="Centrifuga Digital para Tarjetas"/>
    <s v="GRIFOLDS"/>
    <s v="DGSPIN"/>
    <s v="320-0007993"/>
    <s v=" "/>
    <n v="2024"/>
    <n v="8"/>
    <n v="7"/>
    <s v="Comodato"/>
    <s v="Bueno "/>
    <x v="2"/>
    <s v="NO"/>
    <s v="NO APLICA"/>
    <s v="NO"/>
    <x v="2"/>
    <s v="EXTERN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Alto Costo"/>
    <s v="Coagulómetro"/>
    <s v="Cobas"/>
    <s v="T 411"/>
    <s v="18008-00804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2"/>
    <m/>
    <m/>
    <m/>
    <m/>
    <s v="X"/>
    <m/>
    <m/>
    <m/>
    <m/>
    <m/>
    <s v="X"/>
    <m/>
  </r>
  <r>
    <s v="Laboratorio"/>
    <s v="Hospital Penco Lirquen"/>
    <s v="Laboratorio/Farmac"/>
    <s v="Alto Costo"/>
    <s v="Contador hematológico"/>
    <s v="Sysmex"/>
    <s v="XN-1000"/>
    <n v="52045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Mediano Costo"/>
    <s v="Destapadora de Tubos"/>
    <s v="Amilab"/>
    <s v="Vacutainer"/>
    <n v="2577"/>
    <s v=" "/>
    <n v="2021"/>
    <n v="8"/>
    <n v="4"/>
    <s v="Comodato"/>
    <s v="Bueno "/>
    <x v="2"/>
    <s v="NO"/>
    <s v="NO APLICA"/>
    <s v="NO"/>
    <x v="2"/>
    <s v="EXTERNO"/>
    <s v="AMILAB"/>
    <m/>
    <m/>
    <m/>
    <m/>
    <m/>
    <m/>
    <m/>
    <m/>
    <m/>
    <m/>
    <m/>
    <m/>
    <m/>
    <m/>
    <m/>
  </r>
  <r>
    <s v="Laboratorio"/>
    <s v="Hospital Penco Lirquen"/>
    <s v="Laboratorio/Farmac"/>
    <s v="Alto Costo"/>
    <s v="Equipo de bioquímica"/>
    <s v="Cobas"/>
    <s v="pro ISE analytical unit"/>
    <s v="22R9-06"/>
    <m/>
    <n v="2024"/>
    <n v="8"/>
    <n v="7"/>
    <s v="Comodato"/>
    <s v="Bueno"/>
    <x v="1"/>
    <s v="NO"/>
    <s v="NO APLICA"/>
    <s v="SI"/>
    <x v="3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Apoyo Industrial"/>
    <s v="Alto Costo"/>
    <s v="Equipo de tratamiento de agua"/>
    <s v="Vigaflow"/>
    <s v="VLAB"/>
    <n v="2022020135"/>
    <m/>
    <n v="2023"/>
    <n v="8"/>
    <n v="6"/>
    <s v="Comodato"/>
    <s v="Bueno "/>
    <x v="2"/>
    <s v="NO"/>
    <s v="NO APLICA"/>
    <s v="NO"/>
    <x v="3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Mediano Costo "/>
    <s v="Estufa cultivo TBC"/>
    <s v="Amilab"/>
    <s v="Camara TBC 800"/>
    <n v="2608"/>
    <s v="HPL27710"/>
    <n v="2017"/>
    <n v="8"/>
    <n v="0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362"/>
    <s v="HPL30293"/>
    <n v="2016"/>
    <n v="8"/>
    <n v="-1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943"/>
    <s v="HPL30294"/>
    <n v="2016"/>
    <n v="8"/>
    <n v="-1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Bajo costo"/>
    <s v="Frigobar TBC"/>
    <s v="LIBERO"/>
    <s v="LFB-101S"/>
    <s v="S/N"/>
    <s v=" SST 28.244 "/>
    <n v="2016"/>
    <n v="8"/>
    <n v="-1"/>
    <s v="Propio"/>
    <s v="Bueno "/>
    <x v="1"/>
    <s v="NO"/>
    <s v="NO APLICA"/>
    <s v="SI"/>
    <x v="3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Alto Costo"/>
    <s v="Hemocultivo"/>
    <s v="Biomérieux"/>
    <s v="Bact/ Alert 3D"/>
    <s v="207CR8126"/>
    <m/>
    <n v="2024"/>
    <n v="8"/>
    <n v="7"/>
    <s v="Comodato"/>
    <s v="Bueno"/>
    <x v="2"/>
    <s v="NO"/>
    <s v="NO APLICA"/>
    <s v="NO"/>
    <x v="3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Alto Costo"/>
    <s v="Hemoglobinómetro"/>
    <s v="Fresenius Kabi"/>
    <s v="Colab TM"/>
    <s v="22TM1424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Hemoglobinometro UMT"/>
    <s v="Hemocue"/>
    <s v="Hb301"/>
    <n v="1913821129"/>
    <s v=" "/>
    <s v=" "/>
    <n v="8"/>
    <e v="#VALUE!"/>
    <s v="Propio"/>
    <s v="Bueno "/>
    <x v="2"/>
    <s v="NO"/>
    <s v="NO APLICA"/>
    <s v="NO"/>
    <x v="2"/>
    <s v="CONTRATO"/>
    <s v=" "/>
    <m/>
    <m/>
    <m/>
    <m/>
    <m/>
    <m/>
    <m/>
    <m/>
    <m/>
    <m/>
    <m/>
    <m/>
    <m/>
    <m/>
    <m/>
  </r>
  <r>
    <s v="Laboratorio"/>
    <s v="Hospital Penco Lirquen"/>
    <s v="Laboratorio/Farmac"/>
    <s v="Alto Costo"/>
    <s v="Identidad y suceptibilidad bacteriana"/>
    <s v="Biomérieux"/>
    <s v="Vitek 2 compact"/>
    <s v="VK2C22551"/>
    <m/>
    <n v="2024"/>
    <n v="8"/>
    <n v="7"/>
    <s v="Comodato"/>
    <s v="Bueno"/>
    <x v="2"/>
    <s v="NO"/>
    <s v="NO APLICA"/>
    <s v="NO"/>
    <x v="3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Mediano Costo"/>
    <s v="Incubador de Tarjetas"/>
    <s v="GRIFOLDS"/>
    <s v="DGTHERM"/>
    <s v="319-0007571"/>
    <s v=" "/>
    <n v="2022"/>
    <n v="8"/>
    <n v="5"/>
    <s v="Comodato"/>
    <s v="Bueno "/>
    <x v="2"/>
    <s v="NO"/>
    <s v="NO APLICA"/>
    <s v="NO"/>
    <x v="2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Alto Costo"/>
    <s v="Lector de tarjetas"/>
    <s v="Grifolds"/>
    <s v="DG reader net"/>
    <n v="5120000865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Mediano Costo"/>
    <s v="Lector de trazabilidad de UMT"/>
    <s v="GRIFOLDS"/>
    <s v="DG-READERNET"/>
    <s v="512-0000766"/>
    <s v=" "/>
    <n v="2022"/>
    <n v="8"/>
    <n v="5"/>
    <s v="Comodato"/>
    <s v="Bueno "/>
    <x v="2"/>
    <s v="NO"/>
    <s v="NO APLICA"/>
    <s v="NO"/>
    <x v="2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29"/>
    <n v="2016"/>
    <n v="8"/>
    <n v="-1"/>
    <m/>
    <s v="Bueno "/>
    <x v="2"/>
    <s v="NO"/>
    <s v="NO APLICA"/>
    <s v="NO"/>
    <x v="2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30"/>
    <n v="2016"/>
    <n v="8"/>
    <n v="-1"/>
    <m/>
    <s v="Bueno "/>
    <x v="2"/>
    <s v="NO"/>
    <s v="NO APLICA"/>
    <s v="NO"/>
    <x v="2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zclador Vortex"/>
    <s v="Thermo scientific"/>
    <s v="LP vortex mixter"/>
    <s v="F5KT18089"/>
    <s v="HPL27680"/>
    <n v="2016"/>
    <n v="8"/>
    <n v="-1"/>
    <m/>
    <s v="Bueno "/>
    <x v="2"/>
    <s v="NO"/>
    <s v="NO APLICA"/>
    <s v="NO"/>
    <x v="2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Pesa digital UMT"/>
    <s v="Soehnle"/>
    <s v="Siena"/>
    <s v="S/N"/>
    <s v=" "/>
    <s v=" "/>
    <s v=" "/>
    <e v="#VALUE!"/>
    <s v="Propio"/>
    <s v="Bueno "/>
    <x v="2"/>
    <s v="NO"/>
    <s v="NO APLICA"/>
    <s v="NO"/>
    <x v="2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Mediano Costo "/>
    <s v="Refrigerador Clinico"/>
    <s v="MAIGAS"/>
    <s v="LG-350"/>
    <s v="FCV55542"/>
    <s v=" "/>
    <n v="2017"/>
    <n v="8"/>
    <n v="0"/>
    <s v="Propio"/>
    <s v="Bueno "/>
    <x v="1"/>
    <s v="NO"/>
    <s v="NO APLICA"/>
    <s v="SI"/>
    <x v="3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Mediano Costo"/>
    <s v="Refrigerador Clinico"/>
    <s v="MIDEA BIOMEDICAL"/>
    <s v="MC-5L1006"/>
    <s v="540-N6541304-4219-3410003"/>
    <m/>
    <n v="2024"/>
    <n v="8"/>
    <n v="7"/>
    <s v="Propio"/>
    <s v="Bueno "/>
    <x v="1"/>
    <s v="SI"/>
    <d v="2026-12-17T00:00:00"/>
    <s v="SI"/>
    <x v="1"/>
    <s v="EXTERNO"/>
    <s v="GRUPOBIOS"/>
    <s v="1057540-3018-LE24"/>
    <m/>
    <n v="1"/>
    <m/>
    <m/>
    <m/>
    <m/>
    <m/>
    <m/>
    <m/>
    <m/>
    <m/>
    <m/>
    <m/>
    <s v="X"/>
  </r>
  <r>
    <s v="Laboratorio"/>
    <s v="Hospital Penco Lirquen"/>
    <s v="Laboratorio/Farmac"/>
    <s v="Alto Costo"/>
    <s v="Refrigerador Clínico"/>
    <s v="Midea"/>
    <s v="MC-5L1006"/>
    <s v="541-K5740002"/>
    <m/>
    <n v="2024"/>
    <n v="8"/>
    <n v="7"/>
    <s v="Comodato"/>
    <s v="Bueno"/>
    <x v="2"/>
    <s v="NO"/>
    <s v="NO APLICA"/>
    <s v="NO"/>
    <x v="3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Alto Costo"/>
    <s v="Refrigerador Ultracongelador Vertical 100Lt"/>
    <s v="Haier"/>
    <s v="DW-86L100J"/>
    <s v="BE0FT3E1T00QGLB90011"/>
    <m/>
    <n v="2022"/>
    <n v="8"/>
    <n v="5"/>
    <s v="Propio"/>
    <s v="Bueno "/>
    <x v="1"/>
    <s v="NO"/>
    <m/>
    <s v="SI"/>
    <x v="3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Bajo costo"/>
    <s v="Selladora UMT"/>
    <s v="GRIFOLDS"/>
    <s v="Weldt"/>
    <n v="63059919"/>
    <s v=" "/>
    <s v=" "/>
    <n v="8"/>
    <m/>
    <s v="Propio"/>
    <s v="Bueno "/>
    <x v="2"/>
    <s v="NO"/>
    <s v="NO APLICA"/>
    <s v="NO"/>
    <x v="2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Alto Costo"/>
    <s v="Ultracongelador"/>
    <s v="Midea"/>
    <s v="MD-86L108"/>
    <s v="540-K4780703"/>
    <m/>
    <m/>
    <m/>
    <m/>
    <s v="Propio"/>
    <s v="Bueno"/>
    <x v="2"/>
    <s v="NO"/>
    <s v="NO APLICA"/>
    <s v="NO"/>
    <x v="2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Ultracongelador"/>
    <s v="ThermoFisher"/>
    <s v="Megafuse"/>
    <n v="43077902"/>
    <m/>
    <n v="2024"/>
    <n v="8"/>
    <n v="7"/>
    <s v="Comodato"/>
    <s v="Bueno"/>
    <x v="2"/>
    <s v="NO"/>
    <s v="NO APLICA"/>
    <s v="NO"/>
    <x v="3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Bajo costo"/>
    <s v="Visualizador de venas "/>
    <s v="Venoscope"/>
    <s v="VT03"/>
    <s v="S/N"/>
    <s v=" "/>
    <n v="2021"/>
    <n v="8"/>
    <n v="4"/>
    <s v="Comodato"/>
    <s v="Bueno "/>
    <x v="2"/>
    <s v="NO"/>
    <s v="NO APLICA"/>
    <s v="NO"/>
    <x v="2"/>
    <s v="EXTERNO"/>
    <s v="AMILAB"/>
    <m/>
    <m/>
    <m/>
    <m/>
    <m/>
    <m/>
    <m/>
    <m/>
    <m/>
    <m/>
    <m/>
    <m/>
    <m/>
    <m/>
    <m/>
  </r>
  <r>
    <s v="Laboratorio "/>
    <s v="Hospital Penco Lirquen"/>
    <s v="Monitoreo"/>
    <s v="Mediano Costo "/>
    <s v="Monitor de signos vitales"/>
    <s v="Criticare"/>
    <s v="506DN "/>
    <n v="122010786"/>
    <s v="HPL30046"/>
    <n v="2022"/>
    <n v="8"/>
    <n v="5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Laboratorio - 14A"/>
    <s v="Hospital Penco Lirquen"/>
    <s v="Laboratorio/Farmac"/>
    <s v="Alto Costo"/>
    <s v="Cámara de bioseguridad"/>
    <s v="ESCO"/>
    <s v="AC2-3E8"/>
    <s v="2012-65696"/>
    <s v="HPL27703"/>
    <n v="2017"/>
    <n v="8"/>
    <n v="0"/>
    <s v="Propio"/>
    <s v="Bueno "/>
    <x v="3"/>
    <s v="NO"/>
    <s v="NO APLICA"/>
    <s v="SI"/>
    <x v="0"/>
    <s v="EXTERNO"/>
    <s v="NEWLAB"/>
    <s v="1057540-16-LE24"/>
    <n v="4998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lavadora de globulos"/>
    <s v="ALC"/>
    <s v="42 CM"/>
    <n v="30006061"/>
    <s v="HPL27719"/>
    <n v="2016"/>
    <n v="8"/>
    <n v="-1"/>
    <s v="Propio"/>
    <s v="Bueno "/>
    <x v="1"/>
    <s v="NO"/>
    <s v="NO APLICA"/>
    <s v="SI"/>
    <x v="0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universal"/>
    <s v="Yingtai"/>
    <s v="TD5A"/>
    <n v="24131601008"/>
    <s v="HPL27766"/>
    <n v="2016"/>
    <n v="8"/>
    <n v="-1"/>
    <s v="Propio"/>
    <s v="Bueno "/>
    <x v="1"/>
    <s v="NO"/>
    <s v="NO APLICA"/>
    <s v="SI"/>
    <x v="0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Alto Costo"/>
    <s v="Centrifuga universal"/>
    <s v="Eppendorf"/>
    <s v="Centrifuge 5810"/>
    <s v="5810KM169103"/>
    <s v="HPL30193"/>
    <n v="2022"/>
    <n v="8"/>
    <n v="5"/>
    <s v="Propio"/>
    <s v="Bueno "/>
    <x v="1"/>
    <s v="SI"/>
    <n v="2024"/>
    <s v="SI"/>
    <x v="3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universal sobremesa"/>
    <s v="N/A"/>
    <s v="TDZ4WS"/>
    <s v="B013060155"/>
    <s v="HPL30221"/>
    <n v="2015"/>
    <n v="8"/>
    <n v="-2"/>
    <s v="Propio"/>
    <s v="Bueno "/>
    <x v="1"/>
    <s v="NO"/>
    <s v="NO APLICA"/>
    <s v="SI"/>
    <x v="0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Estufa de secado"/>
    <s v="Memmert"/>
    <s v="UF 110"/>
    <s v="B4152848"/>
    <s v="HPL27740"/>
    <n v="2016"/>
    <n v="8"/>
    <n v="-1"/>
    <s v="Propio"/>
    <s v="Bueno "/>
    <x v="1"/>
    <s v="NO"/>
    <s v="NO APLICA"/>
    <s v="SI"/>
    <x v="0"/>
    <s v="EXTERNO"/>
    <s v="NEWLAB"/>
    <s v="1057540-16-LE24"/>
    <n v="833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n v="2020004"/>
    <s v="HPL27987"/>
    <n v="2016"/>
    <n v="8"/>
    <n v="-1"/>
    <s v="Propio"/>
    <s v="Bueno "/>
    <x v="1"/>
    <s v="NO"/>
    <s v="NO APLICA"/>
    <s v="SI"/>
    <x v="0"/>
    <s v="EXTERNO"/>
    <s v="NEWLAB"/>
    <s v="1057540-16-LE24"/>
    <n v="5355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s v="SM1-16020003"/>
    <s v="HPL27783"/>
    <n v="2016"/>
    <n v="8"/>
    <n v="-1"/>
    <s v="Propio"/>
    <s v="Bueno "/>
    <x v="1"/>
    <s v="NO"/>
    <s v="NO APLICA"/>
    <s v="SI"/>
    <x v="0"/>
    <s v="EXTERNO"/>
    <s v="NEWLAB"/>
    <s v="1057540-16-LE24"/>
    <n v="5355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RPR"/>
    <s v="Digisystem"/>
    <s v="DSR-2100D-N"/>
    <s v="RD1-160200046"/>
    <s v="HPL27784"/>
    <n v="2016"/>
    <n v="8"/>
    <n v="-1"/>
    <s v="Propio"/>
    <s v="Bueno "/>
    <x v="1"/>
    <s v="NO"/>
    <s v="NO APLICA"/>
    <s v="SI"/>
    <x v="0"/>
    <s v="EXTERNO"/>
    <s v="NEWLAB"/>
    <s v="1057540-16-LE24"/>
    <n v="53550"/>
    <n v="1"/>
    <m/>
    <m/>
    <m/>
    <m/>
    <s v="X"/>
    <m/>
    <m/>
    <m/>
    <m/>
    <m/>
    <m/>
    <m/>
  </r>
  <r>
    <s v="Laboratorio - 14B"/>
    <s v="Hospital Penco Lirquen"/>
    <s v="Apoyo Quirúrgico"/>
    <s v="Alto Costo"/>
    <s v="Microscopio universal"/>
    <s v="Olympus"/>
    <s v="CX 41"/>
    <s v="5B42517"/>
    <s v="HPL27691"/>
    <n v="2016"/>
    <n v="10"/>
    <n v="1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E41716"/>
    <s v="HPL27692"/>
    <n v="2016"/>
    <n v="10"/>
    <n v="1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F41779"/>
    <s v="HPL27779"/>
    <n v="2016"/>
    <n v="10"/>
    <n v="1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BX 43"/>
    <s v="5K41897"/>
    <s v="HPL27799"/>
    <n v="2016"/>
    <n v="10"/>
    <n v="1"/>
    <s v="Propio"/>
    <s v="Bueno "/>
    <x v="1"/>
    <s v="NO"/>
    <s v="NO APLICA"/>
    <s v="SI"/>
    <x v="0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Laboratorio/Farmac"/>
    <s v="Mediano Costo "/>
    <s v="Piano hematologico"/>
    <s v="P + L electronica"/>
    <s v="S/M"/>
    <n v="2913"/>
    <s v="HPL29872"/>
    <n v="2013"/>
    <n v="8"/>
    <n v="-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Laboratorio/Farmac"/>
    <s v="Mediano Costo "/>
    <s v="Piano hematologico"/>
    <s v="Selecta"/>
    <s v="Cell Counter CC1431"/>
    <n v="622576"/>
    <s v="HPL2993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Laboratorio/Farmac"/>
    <s v="Mediano Costo "/>
    <s v="Refrigerador Clinico"/>
    <s v="Smeg"/>
    <s v="FD30G1"/>
    <n v="5122200061"/>
    <s v="HPL27881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Smeg"/>
    <s v="FD30G1"/>
    <n v="5122200081"/>
    <s v="HPL27882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Smeg"/>
    <s v="FD30G1"/>
    <n v="5122200141"/>
    <s v="HPL27883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Haier"/>
    <s v="HYC-610-ARQ"/>
    <s v="QJG2E0001"/>
    <s v="HPL27880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"/>
    <s v="Amilab"/>
    <s v="S/N"/>
    <n v="2064"/>
    <s v="HPL29869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"/>
    <s v="Amilab"/>
    <s v="S/N"/>
    <n v="2246"/>
    <s v="HPL29870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 UMT"/>
    <s v="Sanyo"/>
    <s v="MBR-1070"/>
    <n v="10040121"/>
    <s v="HPL27729"/>
    <n v="2015"/>
    <n v="10"/>
    <n v="0"/>
    <s v="Propio"/>
    <s v="Bueno "/>
    <x v="3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Pabellón"/>
    <s v="Hospital Penco Lirquen"/>
    <s v="Apoyo Diagnóstico"/>
    <s v="Bajo costo"/>
    <s v="Balanza pediatrica con cartabon"/>
    <s v="Seca"/>
    <n v="354"/>
    <n v="8354245151019"/>
    <s v="HPL30115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Base de anestesia"/>
    <s v="Fresenius Kabi"/>
    <s v="Base primea"/>
    <n v="23252533"/>
    <s v="HPL30024"/>
    <n v="2017"/>
    <n v="8"/>
    <n v="0"/>
    <s v="Propi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Bomba anestesia TIVA"/>
    <s v="Fresenius Kabi"/>
    <s v="Agilia SP TIVA CL"/>
    <n v="24789111"/>
    <s v="HPL30025"/>
    <n v="2019"/>
    <n v="8"/>
    <n v="2"/>
    <s v="Propi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nfusión continua"/>
    <s v="Fresenius Kabi"/>
    <s v="Agilia SP TIVA CL"/>
    <n v="24789112"/>
    <s v="HPL28456"/>
    <n v="2020"/>
    <n v="8"/>
    <n v="3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rrigación histeroscopio"/>
    <s v="Storz"/>
    <s v="Hamou endomat 26331020"/>
    <s v="XT14714"/>
    <s v="HPL30397"/>
    <n v="2015"/>
    <n v="8"/>
    <n v="-2"/>
    <s v="Propio"/>
    <s v="Bueno "/>
    <x v="2"/>
    <s v="NO"/>
    <s v="NO APLICA"/>
    <s v="NO"/>
    <x v="2"/>
    <s v="EXTERNO"/>
    <s v="STORZ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40110"/>
    <s v="HPL30376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01"/>
    <s v="HPL30377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45"/>
    <s v="HPL30378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examen"/>
    <s v="Malvestio"/>
    <m/>
    <n v="20009617"/>
    <s v="HPL30010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Apoyo Terapéutico"/>
    <s v="Mediano Costo"/>
    <s v="Camilla de transporte"/>
    <s v="Luxury Saikang"/>
    <s v="SKB041"/>
    <n v="324017005"/>
    <m/>
    <n v="2025"/>
    <m/>
    <s v=""/>
    <s v="Propio"/>
    <s v="Bueno "/>
    <x v="2"/>
    <s v="SI"/>
    <d v="2026-01-07T00:00:00"/>
    <m/>
    <x v="2"/>
    <s v="EXTERNO"/>
    <s v="PTM"/>
    <s v="COLDAS 2024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2"/>
    <s v="HPL2997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3"/>
    <s v="HPL29974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1"/>
    <s v="HPL2998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4"/>
    <s v="HPL29984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n v="320810"/>
    <n v="20009468"/>
    <s v="HPL29999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1"/>
    <s v="HPL3000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6"/>
    <s v="HPL3000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7"/>
    <s v="HPL3000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83"/>
    <s v="HPL30009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771"/>
    <s v="HPL3001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de Anestesia (mobiliario)"/>
    <s v="Malvestio"/>
    <s v="Linkar 329622"/>
    <n v="287"/>
    <s v="HPL29856"/>
    <n v="2016"/>
    <n v="8"/>
    <n v="-1"/>
    <s v="Propio"/>
    <s v="Bueno "/>
    <x v="2"/>
    <s v="NO"/>
    <s v="NO APLICA"/>
    <s v="NO"/>
    <x v="2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de Anestesia (mobiliario)"/>
    <s v="Malvestio"/>
    <s v="Linkar 329622"/>
    <n v="288"/>
    <s v="HPL29857"/>
    <n v="2016"/>
    <n v="8"/>
    <n v="-1"/>
    <s v="Propio"/>
    <s v="Bueno "/>
    <x v="2"/>
    <s v="NO"/>
    <s v="NO APLICA"/>
    <s v="NO"/>
    <x v="2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Paro (mobiliario)"/>
    <s v="Capsa- solution"/>
    <s v="Avalo"/>
    <s v="S2132310"/>
    <s v="HPL30362"/>
    <n v="2015"/>
    <n v="8"/>
    <n v="-2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tre clínico metálico "/>
    <s v="N/A"/>
    <s v="S/N"/>
    <s v="S/N"/>
    <s v="HPL30287"/>
    <n v="2015"/>
    <n v="8"/>
    <n v="-2"/>
    <s v="Propio"/>
    <s v="Bueno "/>
    <x v="2"/>
    <s v="NO"/>
    <s v="NO APLICA"/>
    <s v="NO"/>
    <x v="2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Dermátomo"/>
    <s v="Aesculap"/>
    <s v="Acculan 3 TI"/>
    <s v="S/N"/>
    <s v="HPL30290"/>
    <n v="2016"/>
    <n v="8"/>
    <n v="-1"/>
    <s v="Propio"/>
    <s v="Bueno "/>
    <x v="2"/>
    <s v="NO"/>
    <s v="NO APLICA"/>
    <s v="NO"/>
    <x v="2"/>
    <s v="EXTERNO"/>
    <m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XU4057"/>
    <s v="HPL30399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YU4084"/>
    <s v="HPL30408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Lámpara de procedimientos"/>
    <s v="Welchallyn"/>
    <s v="GS-600"/>
    <s v="150112"/>
    <s v="HPL30141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Alto Costo"/>
    <s v="Lampara Quirúrgica"/>
    <s v="Trilux"/>
    <s v="Aurimio L120"/>
    <n v="96"/>
    <s v="HPL29853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Terapéutico"/>
    <s v="Bajo costo"/>
    <s v="Laringoscopio"/>
    <s v="Truphatek"/>
    <s v="S/N"/>
    <s v="S/N"/>
    <s v="HPL30316"/>
    <n v="2015"/>
    <n v="8"/>
    <n v="-2"/>
    <s v="Propio"/>
    <s v="Bueno "/>
    <x v="2"/>
    <s v="NO"/>
    <s v="NO APLICA"/>
    <s v="NO"/>
    <x v="2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Sunmed"/>
    <s v="Kit especial"/>
    <s v="S/N"/>
    <s v="HPL30317"/>
    <n v="2016"/>
    <n v="8"/>
    <n v="-1"/>
    <s v="Propio"/>
    <s v="Bueno "/>
    <x v="2"/>
    <s v="NO"/>
    <s v="NO APLICA"/>
    <s v="NO"/>
    <x v="2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Equip"/>
    <s v="Macintosh"/>
    <s v="S/N"/>
    <s v="HPL30318"/>
    <n v="2016"/>
    <n v="8"/>
    <n v="-1"/>
    <s v="Propio"/>
    <s v="Bueno "/>
    <x v="2"/>
    <s v="NO"/>
    <s v="NO APLICA"/>
    <s v="NO"/>
    <x v="2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pediátrico"/>
    <s v="Equip"/>
    <s v="Macintosh"/>
    <s v="S/N"/>
    <s v="HPL30321"/>
    <n v="2016"/>
    <n v="8"/>
    <n v="-1"/>
    <s v="Propio"/>
    <s v="Bueno "/>
    <x v="2"/>
    <s v="NO"/>
    <s v="NO APLICA"/>
    <s v="NO"/>
    <x v="2"/>
    <s v="INTERNO"/>
    <m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5"/>
    <s v="HPL30022"/>
    <n v="2017"/>
    <n v="10"/>
    <n v="2"/>
    <s v="Propi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6"/>
    <s v="HPL30023"/>
    <n v="2017"/>
    <n v="10"/>
    <n v="2"/>
    <s v="Propi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Pabellón"/>
    <s v="Hospital Penco Lirquen"/>
    <s v="Monitoreo"/>
    <s v="Mediano Costo "/>
    <s v="Monitor ECG Baja Complejidad"/>
    <s v="Philips"/>
    <s v="Efficia CM100"/>
    <s v="CN12099172"/>
    <m/>
    <n v="2023"/>
    <n v="8"/>
    <n v="6"/>
    <s v="Propio"/>
    <s v="Bueno "/>
    <x v="0"/>
    <s v="NO"/>
    <m/>
    <s v="SI"/>
    <x v="3"/>
    <s v="INTERNO"/>
    <s v="Andover"/>
    <s v="COLDAS"/>
    <m/>
    <n v="1"/>
    <m/>
    <m/>
    <m/>
    <m/>
    <m/>
    <m/>
    <m/>
    <m/>
    <m/>
    <m/>
    <m/>
    <s v="X"/>
  </r>
  <r>
    <s v="Pabellón"/>
    <s v="Hospital Penco Lirquen"/>
    <s v="Apoyo Quirúrgico"/>
    <s v="Mediano Costo "/>
    <s v="Morcelador"/>
    <s v="Storz"/>
    <n v="20701020"/>
    <s v="XT3940"/>
    <s v="HPL30398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Pantalla quirúrgica"/>
    <s v="NDS"/>
    <s v="SC-WU24-A1515"/>
    <s v="15-250669"/>
    <s v="HPL30144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antalla quirúrgica"/>
    <s v="NDS"/>
    <s v="SC-WU24-A1515"/>
    <s v="15-250670"/>
    <s v="HPL30145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antalla quirúrgica"/>
    <s v="NDS"/>
    <s v="SC-WU24-A1515"/>
    <s v="15-255061"/>
    <s v="HPL30146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laca Radiante"/>
    <s v="Drager"/>
    <s v="GSDTC2"/>
    <s v="S/N"/>
    <s v="HPL30350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Shaver Handpiece"/>
    <s v="Stryker"/>
    <s v="Formula"/>
    <s v="22A542174"/>
    <s v="HPL30176"/>
    <n v="2022"/>
    <n v="8"/>
    <n v="5"/>
    <s v="Propio"/>
    <s v="Bueno "/>
    <x v="2"/>
    <s v="NO"/>
    <n v="2023"/>
    <s v="NO"/>
    <x v="2"/>
    <s v="EXTERNO"/>
    <s v="Stryker"/>
    <s v="NO APLICA"/>
    <m/>
    <m/>
    <m/>
    <m/>
    <m/>
    <m/>
    <m/>
    <m/>
    <m/>
    <m/>
    <m/>
    <m/>
    <m/>
    <m/>
  </r>
  <r>
    <s v="Pabellón"/>
    <s v="Hospital Penco Lirquen"/>
    <s v="Apoyo Quirúrgico"/>
    <s v="Alto Costo"/>
    <s v="Insuflador"/>
    <s v="Stryker "/>
    <s v="Pneumosure XL"/>
    <s v="2301CE0377"/>
    <m/>
    <n v="2024"/>
    <n v="8"/>
    <n v="7"/>
    <s v="Propio"/>
    <s v="Bueno "/>
    <x v="2"/>
    <s v="SI"/>
    <d v="2026-03-01T00:00:00"/>
    <s v="SI"/>
    <x v="3"/>
    <s v="EXTERNO"/>
    <s v="Stryker"/>
    <s v="COLDAS 2023"/>
    <n v="0"/>
    <n v="1"/>
    <m/>
    <m/>
    <s v="X"/>
    <m/>
    <m/>
    <m/>
    <m/>
    <m/>
    <m/>
    <m/>
    <m/>
    <m/>
  </r>
  <r>
    <s v="Pabellón"/>
    <s v="Hospital Penco Lirquen"/>
    <s v="Monitoreo"/>
    <s v="Mediano Costo "/>
    <s v="Monitor desfibrilador"/>
    <s v="Zoll medical"/>
    <s v="Serie R ALS"/>
    <s v="AF15D045672"/>
    <s v="HPL30214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s v="X"/>
    <m/>
    <m/>
    <m/>
    <m/>
    <m/>
    <s v="X"/>
    <m/>
    <m/>
    <m/>
  </r>
  <r>
    <s v="Pabellón"/>
    <s v="Hospital Penco Lirquen"/>
    <s v="Monitoreo"/>
    <s v="Mediano Costo "/>
    <s v="Monitor desfibrilador "/>
    <s v="Zoll medical"/>
    <s v="Serie R ALS"/>
    <s v="AF15D045656"/>
    <s v="HPL30212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05"/>
    <s v="HPL29912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25"/>
    <s v="HPL29914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26"/>
    <s v="HPL29915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32"/>
    <s v="HPL29916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67"/>
    <s v="HPL29918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Fukuda Denshi"/>
    <s v="Dinascope DSL-8001"/>
    <n v="50200447"/>
    <s v="HPL30032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General Electric"/>
    <s v="B20"/>
    <s v="SGF15131188WA"/>
    <s v="HPL30368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s v="√"/>
    <m/>
    <m/>
    <m/>
    <m/>
    <m/>
    <s v="X"/>
    <m/>
    <m/>
    <m/>
  </r>
  <r>
    <s v="Pabellón "/>
    <s v="Hospital Penco Lirquen"/>
    <s v="Mobiliario"/>
    <s v="Clínico"/>
    <s v="Cama clínica eléctrica"/>
    <s v="Joson Care"/>
    <s v="ES-96HD"/>
    <n v="1309050226"/>
    <s v="HPL30284"/>
    <n v="2015"/>
    <n v="8"/>
    <n v="-2"/>
    <s v="Propio"/>
    <s v="Bueno "/>
    <x v="1"/>
    <s v="NO"/>
    <s v="NO APLICA"/>
    <s v="SI"/>
    <x v="0"/>
    <s v="INTERNO"/>
    <s v="TECNICO EQM HPL"/>
    <s v="NO APLICA"/>
    <n v="264460"/>
    <n v="1"/>
    <m/>
    <m/>
    <m/>
    <m/>
    <m/>
    <m/>
    <m/>
    <m/>
    <m/>
    <m/>
    <m/>
    <s v="X"/>
  </r>
  <r>
    <s v="Pabellón - 3A"/>
    <s v="Hospital Penco Lirquen"/>
    <s v="Apoyo Quirúrgico"/>
    <s v="Mediano Costo "/>
    <s v="Electrobisturí"/>
    <s v="Covidien Valleylab"/>
    <s v="Force FX-8CS"/>
    <s v="S5F17901AX"/>
    <s v="HPL30364"/>
    <n v="2016"/>
    <n v="8"/>
    <n v="-1"/>
    <s v="Propio"/>
    <s v="Bueno "/>
    <x v="1"/>
    <s v="NO"/>
    <s v="NO APLICA"/>
    <s v="SI"/>
    <x v="0"/>
    <s v="EXTERNO"/>
    <s v="CODESUR"/>
    <s v="1057540-110-LE23"/>
    <n v="170000"/>
    <n v="2"/>
    <m/>
    <m/>
    <s v="X"/>
    <m/>
    <m/>
    <m/>
    <m/>
    <m/>
    <s v="X"/>
    <m/>
    <m/>
    <m/>
  </r>
  <r>
    <s v="Pabellón - 3A"/>
    <s v="Hospital Penco Lirquen"/>
    <s v="Apoyo Quirúrgico"/>
    <s v="Mediano Costo "/>
    <s v="Electrobisturí"/>
    <s v="Covidien Valleylab"/>
    <s v="Force FX-8CS"/>
    <s v="S5F18139AX"/>
    <s v="HPL30365"/>
    <n v="2016"/>
    <n v="8"/>
    <n v="-1"/>
    <s v="Propio"/>
    <s v="Bueno "/>
    <x v="1"/>
    <s v="NO"/>
    <s v="NO APLICA"/>
    <s v="SI"/>
    <x v="0"/>
    <s v="EXTERNO"/>
    <s v="CODESUR"/>
    <s v="1057540-110-LE23"/>
    <n v="170000"/>
    <n v="2"/>
    <m/>
    <m/>
    <s v="X"/>
    <m/>
    <m/>
    <m/>
    <m/>
    <m/>
    <s v="X"/>
    <m/>
    <m/>
    <m/>
  </r>
  <r>
    <s v="Pabellón - 3A"/>
    <s v="Hospital Penco Lirquen"/>
    <s v="Apoyo Terapéutico"/>
    <s v="Mediano Costo "/>
    <s v="Incubadora"/>
    <s v="Medix"/>
    <s v="TR200"/>
    <n v="1078"/>
    <s v="HPL29859"/>
    <n v="2015"/>
    <n v="8"/>
    <n v="-2"/>
    <s v="Propio"/>
    <s v="Bueno "/>
    <x v="0"/>
    <s v="NO"/>
    <s v="NO APLICA"/>
    <s v="SI"/>
    <x v="0"/>
    <s v="EXTERNO"/>
    <s v="CODESUR"/>
    <s v="1057540-110-LE23"/>
    <n v="300000"/>
    <n v="2"/>
    <m/>
    <m/>
    <s v="X"/>
    <m/>
    <m/>
    <m/>
    <m/>
    <m/>
    <s v="X"/>
    <m/>
    <m/>
    <m/>
  </r>
  <r>
    <s v="Pabellón - 3A"/>
    <s v="Hospital Penco Lirquen"/>
    <s v="Apoyo Diagnóstico"/>
    <s v="Bajo costo"/>
    <s v="Balanza con tallímetro"/>
    <s v="Doran Scales"/>
    <s v="DS 2100"/>
    <n v="1706"/>
    <s v="HPL29866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continua"/>
    <s v="Fresenius Kabi"/>
    <s v="Injectomat TIVA Agilia"/>
    <s v="18080/23161347"/>
    <s v="HPL28455"/>
    <n v="2017"/>
    <n v="8"/>
    <n v="0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54143"/>
    <s v="HPL30048"/>
    <n v="2022"/>
    <n v="8"/>
    <n v="5"/>
    <s v="Propio"/>
    <s v="Bueno "/>
    <x v="2"/>
    <s v="SI"/>
    <n v="2024"/>
    <s v="NO"/>
    <x v="2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61111"/>
    <s v="HPL30049"/>
    <n v="2022"/>
    <n v="8"/>
    <n v="5"/>
    <s v="Propio"/>
    <s v="Bueno "/>
    <x v="2"/>
    <s v="SI"/>
    <n v="2024"/>
    <s v="NO"/>
    <x v="2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rrigación torre artroscopia"/>
    <s v="Stryker"/>
    <s v="Flosteady"/>
    <s v="1606CE0746"/>
    <s v="HPL30152"/>
    <n v="2017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Terapéutico"/>
    <s v="Bajo costo"/>
    <s v="Calentador de suero"/>
    <s v="Ethermics"/>
    <s v="DC 250L"/>
    <s v="1857627-000"/>
    <s v="HPL3015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Alto Costo"/>
    <s v="Columna de gases"/>
    <s v="Trilux"/>
    <s v="DVE"/>
    <n v="1545"/>
    <s v="HPL29861"/>
    <n v="2016"/>
    <n v="10"/>
    <n v="1"/>
    <s v="Propio"/>
    <s v="Bueno "/>
    <x v="1"/>
    <s v="NO"/>
    <s v="NO APLICA"/>
    <s v="SI"/>
    <x v="3"/>
    <s v="CONTRATO"/>
    <s v="CODESUR"/>
    <s v="1057540-86-LE23"/>
    <n v="714000"/>
    <n v="1"/>
    <m/>
    <m/>
    <m/>
    <m/>
    <m/>
    <m/>
    <m/>
    <m/>
    <s v="X"/>
    <m/>
    <m/>
    <m/>
  </r>
  <r>
    <s v="Pabellón - 3A"/>
    <s v="Hospital Penco Lirquen"/>
    <s v="Apoyo Quirúrgico"/>
    <s v="Alto Costo"/>
    <s v="Columna de gases"/>
    <s v="Trilux"/>
    <s v="DVE"/>
    <n v="1546"/>
    <s v="HPL29862"/>
    <n v="2016"/>
    <n v="10"/>
    <n v="1"/>
    <s v="Propio"/>
    <s v="Bueno "/>
    <x v="1"/>
    <s v="NO"/>
    <s v="NO APLICA"/>
    <s v="SI"/>
    <x v="3"/>
    <s v="CONTRATO"/>
    <s v="CODESUR"/>
    <s v="1057540-86-LE23"/>
    <n v="714000"/>
    <n v="1"/>
    <m/>
    <m/>
    <m/>
    <m/>
    <m/>
    <m/>
    <m/>
    <m/>
    <s v="X"/>
    <m/>
    <m/>
    <m/>
  </r>
  <r>
    <s v="Pabellón - 3A"/>
    <s v="Hospital Penco Lirquen"/>
    <s v="Apoyo Quirúrgico"/>
    <s v="Alto Costo"/>
    <s v="Consola pieza de mano torre artroscopia"/>
    <s v="Stryker"/>
    <s v="Crossfire 2"/>
    <s v="16F025684"/>
    <s v="HPL30154"/>
    <n v="2017"/>
    <n v="10"/>
    <n v="2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Terapéutico"/>
    <s v="Alto Costo"/>
    <s v="Cuna radiante"/>
    <s v="Drager"/>
    <s v="Resuscitaire"/>
    <s v="NY10729"/>
    <s v="HPL30289"/>
    <n v="2016"/>
    <n v="8"/>
    <n v="-1"/>
    <s v="Propio"/>
    <s v="Bueno "/>
    <x v="1"/>
    <s v="NO"/>
    <s v="NO APLICA"/>
    <s v="SI"/>
    <x v="0"/>
    <s v="CONTRATO"/>
    <s v="Drager"/>
    <s v="1057540-83-LE23"/>
    <n v="643331"/>
    <n v="1"/>
    <m/>
    <m/>
    <m/>
    <m/>
    <m/>
    <m/>
    <m/>
    <s v="X"/>
    <m/>
    <m/>
    <m/>
    <m/>
  </r>
  <r>
    <s v="Pabellón - 3A"/>
    <s v="Hospital Penco Lirquen"/>
    <s v="Imagenología"/>
    <s v="Alto Costo"/>
    <s v="Ecógrafo"/>
    <s v="General Electric"/>
    <s v="Logiq S7"/>
    <s v="288250SU4"/>
    <s v="HPL30179"/>
    <n v="2015"/>
    <n v="8"/>
    <n v="-2"/>
    <s v="Propio"/>
    <s v="Bueno "/>
    <x v="3"/>
    <s v="NO"/>
    <s v="NO APLICA"/>
    <s v="SI"/>
    <x v="0"/>
    <s v="EXTERNO"/>
    <s v="HOSER"/>
    <s v="1057540-17-LE23"/>
    <n v="1832600"/>
    <n v="2"/>
    <m/>
    <s v="√"/>
    <m/>
    <m/>
    <m/>
    <m/>
    <m/>
    <m/>
    <s v="X"/>
    <m/>
    <m/>
    <m/>
  </r>
  <r>
    <s v="Pabellón - 3A"/>
    <s v="Hospital Penco Lirquen"/>
    <s v="Apoyo Quirúrgico"/>
    <s v="Mediano Costo "/>
    <s v="Electrobisturí"/>
    <s v="Storz"/>
    <s v="Autocon III UH400"/>
    <n v="40100309"/>
    <s v="HPL30027"/>
    <n v="2017"/>
    <n v="8"/>
    <n v="0"/>
    <s v="Propio"/>
    <s v="MALO"/>
    <x v="1"/>
    <s v="NO"/>
    <s v="NO APLICA"/>
    <s v="NO"/>
    <x v="0"/>
    <s v="EXTERNO"/>
    <s v="SIN REPRESENTANTE EN CHILE"/>
    <s v="1057540-65-LE21"/>
    <m/>
    <m/>
    <m/>
    <m/>
    <m/>
    <m/>
    <m/>
    <m/>
    <m/>
    <m/>
    <m/>
    <m/>
    <m/>
    <m/>
  </r>
  <r>
    <s v="Pabellón - 3A"/>
    <s v="Hospital Penco Lirquen"/>
    <s v="Apoyo Diagnóstico"/>
    <s v="Mediano Costo "/>
    <s v="Electrocardiografo"/>
    <s v="General Electric"/>
    <s v="MAC 800"/>
    <s v="SJ416020027WA"/>
    <s v="HPL30372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s v="X"/>
    <m/>
    <m/>
  </r>
  <r>
    <s v="Pabellón - 3A"/>
    <s v="Hospital Penco Lirquen"/>
    <s v="Apoyo Terapéutico"/>
    <s v="Mediano Costo "/>
    <s v="Equipo de Isquemia "/>
    <s v="Zimmer"/>
    <s v="ATS 4000TS"/>
    <n v="402007220009"/>
    <s v="HPL30111"/>
    <n v="2021"/>
    <n v="8"/>
    <n v="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Alto Costo"/>
    <s v="Facoemulsificador"/>
    <s v="Alcon"/>
    <s v="Infiniti 50350511"/>
    <s v="0501121401X"/>
    <s v="HPL30131"/>
    <n v="2016"/>
    <n v="8"/>
    <n v="-1"/>
    <s v="Propio"/>
    <s v="MALO"/>
    <x v="2"/>
    <s v="NO"/>
    <s v="NO APLICA"/>
    <s v="NO"/>
    <x v="2"/>
    <s v="EXTERNO"/>
    <s v="ALCON"/>
    <m/>
    <m/>
    <m/>
    <m/>
    <m/>
    <m/>
    <m/>
    <m/>
    <m/>
    <m/>
    <m/>
    <m/>
    <m/>
    <m/>
    <m/>
  </r>
  <r>
    <s v="Pabellón - 3A"/>
    <s v="Hospital Penco Lirquen"/>
    <s v="Apoyo Quirúrgico"/>
    <s v="Alto Costo"/>
    <s v="Facoemulsificador"/>
    <s v="Alcon"/>
    <s v="CENTURION"/>
    <s v="2101472801X"/>
    <s v="HPL30174"/>
    <n v="2021"/>
    <n v="8"/>
    <n v="4"/>
    <s v="Comodato"/>
    <s v="Bueno "/>
    <x v="1"/>
    <s v="NO"/>
    <s v="NO APLICA"/>
    <s v="SI"/>
    <x v="3"/>
    <s v="EXTERNO"/>
    <s v="ALCON"/>
    <s v="1057540-75-LR23"/>
    <m/>
    <n v="1"/>
    <m/>
    <m/>
    <m/>
    <s v="X"/>
    <m/>
    <m/>
    <m/>
    <m/>
    <m/>
    <m/>
    <m/>
    <m/>
  </r>
  <r>
    <s v="Pabellón - 3A"/>
    <s v="Hospital Penco Lirquen"/>
    <s v="Apoyo Quirúrgico"/>
    <s v="Mediano Costo "/>
    <s v="Fuente de luz torre artroscopia"/>
    <s v="Stryker"/>
    <s v="L900"/>
    <s v="16J541444"/>
    <s v="HPL30155"/>
    <n v="2017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Fuente de luz torre laparoscopía"/>
    <s v="Stryker"/>
    <s v="L9000 0220210000"/>
    <s v="16A006674"/>
    <s v="HPL30153"/>
    <n v="2016"/>
    <n v="8"/>
    <n v="-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Insuflador de CO2"/>
    <s v="Aesculap"/>
    <s v="Flow 40"/>
    <s v="1012CE378"/>
    <s v="HPL30136"/>
    <n v="2015"/>
    <n v="8"/>
    <n v="-2"/>
    <s v="Propio"/>
    <s v="MALO"/>
    <x v="2"/>
    <s v="NO"/>
    <s v="NO APLICA"/>
    <s v="NO"/>
    <x v="2"/>
    <s v="EXTERNO"/>
    <s v="BBRAUN"/>
    <s v="NO APLICA"/>
    <m/>
    <m/>
    <m/>
    <m/>
    <m/>
    <m/>
    <m/>
    <m/>
    <m/>
    <m/>
    <m/>
    <m/>
    <m/>
    <m/>
  </r>
  <r>
    <s v="Pabellón - 3A"/>
    <s v="Hospital Penco Lirquen"/>
    <s v="Apoyo Quirúrgico"/>
    <s v="Mediano Costo "/>
    <s v="Insuflador de CO2 torre laparoscopia"/>
    <s v="Stryker"/>
    <s v="Neumosure"/>
    <s v="1510CE0298"/>
    <s v="HPL30142"/>
    <n v="2016"/>
    <n v="8"/>
    <n v="-1"/>
    <s v="Propio"/>
    <s v="Bueno "/>
    <x v="1"/>
    <s v="NO"/>
    <s v="NO APLICA"/>
    <s v="SI"/>
    <x v="0"/>
    <s v="EXTERNO"/>
    <s v="Stryker"/>
    <s v="1057540-71-LE23"/>
    <n v="7380000"/>
    <n v="1"/>
    <m/>
    <m/>
    <m/>
    <m/>
    <m/>
    <m/>
    <m/>
    <s v="X"/>
    <m/>
    <m/>
    <m/>
    <m/>
  </r>
  <r>
    <s v="Pabellón - 3A"/>
    <s v="Hospital Penco Lirquen"/>
    <s v="Apoyo Quirúrgico"/>
    <s v="Alto Costo"/>
    <s v="Lampara Quirúrgica"/>
    <s v="Trilux"/>
    <s v="Aurimio L120"/>
    <n v="45"/>
    <s v="HPL29460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Quirúrgico"/>
    <s v="Alto Costo"/>
    <s v="Lampara Quirúrgica"/>
    <s v="Trilux"/>
    <s v="Aurimio L120"/>
    <n v="100"/>
    <s v="HPL29854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Quirúrgico"/>
    <s v="Alto Costo"/>
    <s v="Lampara Quirúrgica"/>
    <s v="Trilux"/>
    <s v="Aurimio L120"/>
    <n v="214"/>
    <s v="HPL29855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Diagnóstico"/>
    <s v="Bajo costo "/>
    <s v="Marcador digital"/>
    <s v="Alcon"/>
    <s v="Verion Digital Marker"/>
    <s v="M60845"/>
    <m/>
    <n v="2023"/>
    <n v="8"/>
    <n v="6"/>
    <s v="Comodato"/>
    <s v="Bueno "/>
    <x v="1"/>
    <s v="SI"/>
    <s v="NO APLICA"/>
    <s v="SI"/>
    <x v="3"/>
    <s v="EXTERNO"/>
    <s v="ALCON"/>
    <s v="1057540-75-LR23"/>
    <m/>
    <n v="1"/>
    <m/>
    <m/>
    <m/>
    <m/>
    <m/>
    <m/>
    <m/>
    <m/>
    <s v="X"/>
    <m/>
    <m/>
    <m/>
  </r>
  <r>
    <s v="Pabellón - 3D"/>
    <s v="Hospital Penco Lirquen"/>
    <s v="Apoyo Quirúrgico"/>
    <s v="Alto Costo"/>
    <s v="Mesa quirúrgica"/>
    <s v="Maquet"/>
    <s v="Meera"/>
    <n v="10370"/>
    <s v="HPL29887"/>
    <n v="2021"/>
    <n v="10"/>
    <n v="6"/>
    <s v="Propio"/>
    <s v="Bueno "/>
    <x v="1"/>
    <s v="NO"/>
    <n v="2023"/>
    <s v="SI"/>
    <x v="3"/>
    <s v="EXTERNO"/>
    <s v="MercSoluciones"/>
    <s v="1057540-70-LE23"/>
    <n v="535500"/>
    <n v="2"/>
    <m/>
    <m/>
    <s v="X"/>
    <m/>
    <m/>
    <m/>
    <m/>
    <m/>
    <s v="X"/>
    <m/>
    <m/>
    <m/>
  </r>
  <r>
    <s v="Pabellón - 3D"/>
    <s v="Hospital Penco Lirquen"/>
    <s v="Apoyo Quirúrgico"/>
    <s v="Alto Costo"/>
    <s v="Mesa quirúrgica"/>
    <s v="Schmitz"/>
    <s v="Mobilis DPX RC40 16146501"/>
    <n v="17453"/>
    <s v="HPL29896"/>
    <n v="2016"/>
    <n v="10"/>
    <n v="1"/>
    <s v="Propio"/>
    <s v="Bueno "/>
    <x v="1"/>
    <s v="NO"/>
    <s v="NO APLICA"/>
    <s v="SI"/>
    <x v="0"/>
    <s v="EXTERNO"/>
    <s v="MercSoluciones"/>
    <s v="1057540-70-LE23"/>
    <n v="535500"/>
    <n v="2"/>
    <m/>
    <m/>
    <s v="X"/>
    <m/>
    <m/>
    <m/>
    <m/>
    <m/>
    <s v="X"/>
    <m/>
    <m/>
    <m/>
  </r>
  <r>
    <s v="Pabellon - 3E"/>
    <s v="Hospital Penco Lirquen"/>
    <s v="Apoyo Quirúrgico"/>
    <s v="Mediano Costo "/>
    <s v="Videolaringoscopio"/>
    <s v="Karl Storz"/>
    <s v="C-MAC MIL #1"/>
    <n v="1277"/>
    <s v="S/N"/>
    <n v="2022"/>
    <n v="7"/>
    <n v="4"/>
    <s v="Propio"/>
    <s v="Bueno "/>
    <x v="2"/>
    <s v="NO"/>
    <n v="2023"/>
    <s v="NO"/>
    <x v="2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Alto Costo"/>
    <s v="Microscopio oftalmología"/>
    <s v="Carl Zeiss"/>
    <s v="Lumera I"/>
    <n v="6633124706"/>
    <s v="HPL30083"/>
    <n v="2016"/>
    <n v="10"/>
    <n v="1"/>
    <s v="Propio"/>
    <s v="Bueno "/>
    <x v="1"/>
    <s v="NO"/>
    <s v="NO APLICA"/>
    <s v="SI"/>
    <x v="0"/>
    <s v="EXTERNO"/>
    <s v="NEWLAB"/>
    <s v="1057540-130-LE23"/>
    <n v="595000"/>
    <n v="2"/>
    <m/>
    <m/>
    <s v="X"/>
    <m/>
    <m/>
    <m/>
    <m/>
    <m/>
    <m/>
    <s v="X"/>
    <m/>
    <m/>
  </r>
  <r>
    <s v="Pabellón - 3E"/>
    <s v="Hospital Penco Lirquen"/>
    <s v="Apoyo Quirúrgico"/>
    <s v="Alto Costo"/>
    <s v="Microscopio Quirurgico Otorrino"/>
    <s v="Leica"/>
    <s v="M400-E"/>
    <n v="41214018"/>
    <s v="HPL30028"/>
    <n v="2016"/>
    <n v="10"/>
    <n v="1"/>
    <s v="Propio"/>
    <s v="Bueno "/>
    <x v="1"/>
    <s v="NO"/>
    <s v="NO APLICA"/>
    <s v="SI"/>
    <x v="0"/>
    <s v="EXTERNO"/>
    <s v="NEWLAB"/>
    <s v="1057540-130-LE23"/>
    <n v="595000"/>
    <n v="2"/>
    <m/>
    <m/>
    <s v="X"/>
    <m/>
    <m/>
    <m/>
    <m/>
    <m/>
    <m/>
    <s v="X"/>
    <m/>
    <m/>
  </r>
  <r>
    <s v="Pabellón - 3E"/>
    <s v="Hospital Penco Lirquen"/>
    <s v="Apoyo Terapéutico"/>
    <s v="Mediano Costo "/>
    <s v="Equipo de Isquemia"/>
    <s v="Mediplex"/>
    <s v="Torniquete 9000"/>
    <s v="1407-09297"/>
    <s v="HPL30140"/>
    <n v="2015"/>
    <n v="8"/>
    <n v="-2"/>
    <s v="Propio"/>
    <s v="Bueno "/>
    <x v="1"/>
    <s v="NO"/>
    <s v="NO APLICA"/>
    <s v="SI"/>
    <x v="0"/>
    <s v="EXTERNO"/>
    <s v="CODESUR"/>
    <s v="1057540-110-LE23"/>
    <n v="55000"/>
    <n v="1"/>
    <m/>
    <m/>
    <m/>
    <m/>
    <m/>
    <m/>
    <m/>
    <m/>
    <s v="X"/>
    <m/>
    <m/>
    <m/>
  </r>
  <r>
    <s v="Pabellón - 3E"/>
    <s v="Hospital Penco Lirquen"/>
    <s v="Odontología"/>
    <s v="Bajo costo"/>
    <s v="Motor Dental"/>
    <s v="NSK"/>
    <s v="Surgic AP NE 189"/>
    <s v="B9200972"/>
    <s v="HPL30223"/>
    <n v="2015"/>
    <n v="8"/>
    <n v="-2"/>
    <s v="Propio"/>
    <s v="Bueno "/>
    <x v="1"/>
    <s v="SI"/>
    <s v="NO APLICA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Grandes Fragmentos"/>
    <s v="Stryker"/>
    <s v="Rotary"/>
    <n v="2231416713"/>
    <s v="COLDAS 2023"/>
    <n v="2023"/>
    <n v="8"/>
    <n v="6"/>
    <s v="Propio"/>
    <s v="Bueno "/>
    <x v="1"/>
    <s v="SI"/>
    <n v="2024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Rotary"/>
    <s v="Stryker"/>
    <s v="System 6"/>
    <n v="1514900853"/>
    <s v="HPL30064"/>
    <n v="2016"/>
    <n v="8"/>
    <n v="-1"/>
    <s v="Propio"/>
    <s v="Bueno "/>
    <x v="1"/>
    <s v="NO"/>
    <s v="NO APLICA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Rotary"/>
    <s v="Stryker"/>
    <s v="System 6"/>
    <n v="1603606523"/>
    <s v="HPL30069"/>
    <n v="2016"/>
    <n v="8"/>
    <n v="-1"/>
    <s v="Propio"/>
    <s v="Bueno "/>
    <x v="1"/>
    <s v="NO"/>
    <s v="NO APLICA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Sagital"/>
    <s v="Stryker"/>
    <s v="System 6"/>
    <n v="1515510883"/>
    <s v="HPL30065"/>
    <n v="2016"/>
    <n v="8"/>
    <n v="-1"/>
    <s v="Propio"/>
    <s v="Bueno "/>
    <x v="1"/>
    <s v="NO"/>
    <s v="NO APLICA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Sagital"/>
    <s v="Stryker"/>
    <s v="System 6"/>
    <n v="1515510913"/>
    <s v="HPL30066"/>
    <n v="2016"/>
    <n v="8"/>
    <n v="-1"/>
    <s v="Propio"/>
    <s v="Bueno "/>
    <x v="1"/>
    <s v="NO"/>
    <s v="NO APLICA"/>
    <s v="NO"/>
    <x v="3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Pantalla quirúrgica"/>
    <s v="NDS"/>
    <s v="SC-WU24-A1515"/>
    <s v="15-255063"/>
    <s v="HPL30147"/>
    <n v="2016"/>
    <n v="10"/>
    <n v="1"/>
    <s v="Propio"/>
    <s v="Bueno "/>
    <x v="1"/>
    <s v="NO"/>
    <s v="NO APLICA"/>
    <s v="SI"/>
    <x v="3"/>
    <s v="CONTRATO"/>
    <s v="CODESUR"/>
    <s v="1057540-86-LE23"/>
    <m/>
    <n v="1"/>
    <m/>
    <m/>
    <m/>
    <m/>
    <m/>
    <m/>
    <m/>
    <m/>
    <s v="X"/>
    <m/>
    <m/>
    <m/>
  </r>
  <r>
    <s v="Pabellón - 3E"/>
    <s v="Hospital Penco Lirquen"/>
    <s v="Laboratorio/Farmac"/>
    <s v="Mediano Costo "/>
    <s v="Refrigerador Clinico"/>
    <s v="Smeg"/>
    <s v="FV30G1"/>
    <n v="5122200091"/>
    <s v="HPL30080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Pabellón - 3E"/>
    <s v="Hospital Penco Lirquen"/>
    <s v="Apoyo Quirúrgico"/>
    <s v="Mediano Costo "/>
    <s v="Shaver Handpiece"/>
    <s v="Stryker"/>
    <s v="Formula"/>
    <s v="22B574344"/>
    <s v="HPL30177"/>
    <n v="2022"/>
    <n v="8"/>
    <n v="5"/>
    <s v="Propio"/>
    <s v="Bueno "/>
    <x v="2"/>
    <s v="SI"/>
    <n v="2023"/>
    <s v="NO"/>
    <x v="2"/>
    <s v="CONTRAT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Unidad de camara torre artroscopia"/>
    <s v="Stryker"/>
    <s v="1488HD"/>
    <s v="15H540834"/>
    <s v="HPL30151"/>
    <n v="2017"/>
    <n v="8"/>
    <n v="0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cámara torre laparoscopía"/>
    <s v="Stryker"/>
    <s v="1488HD"/>
    <s v="15D044764"/>
    <s v="HPL30150"/>
    <n v="2016"/>
    <n v="8"/>
    <n v="-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video torre laparoscopía"/>
    <s v="Stryker"/>
    <s v="SDC3 0240060100"/>
    <s v="15A030754"/>
    <s v="HPL30149"/>
    <n v="2016"/>
    <n v="8"/>
    <n v="-1"/>
    <s v="Propio"/>
    <s v="Bueno "/>
    <x v="1"/>
    <s v="NO"/>
    <s v="NO APLICA"/>
    <s v="SI"/>
    <x v="0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Odontología"/>
    <s v="Mediano Costo "/>
    <s v="Unidad dental portátil"/>
    <s v="Cila"/>
    <s v="DU811"/>
    <n v="7509"/>
    <s v="HPL29881"/>
    <n v="2015"/>
    <n v="8"/>
    <n v="-2"/>
    <s v="Propio"/>
    <s v="Bueno "/>
    <x v="1"/>
    <s v="NO"/>
    <n v="2024"/>
    <s v="SI"/>
    <x v="3"/>
    <s v="EXTERNO"/>
    <s v="RIGOBERTO FUICA"/>
    <s v="1057540-115-LE23"/>
    <n v="300000"/>
    <n v="3"/>
    <m/>
    <s v="√"/>
    <m/>
    <m/>
    <m/>
    <s v="X"/>
    <m/>
    <m/>
    <m/>
    <s v="X"/>
    <m/>
    <m/>
  </r>
  <r>
    <s v="Pabellón - 3E"/>
    <s v="Hospital Penco Lirquen"/>
    <s v="Apoyo Quirúrgico"/>
    <s v="Alto Costo"/>
    <s v="Videoendoscopio"/>
    <s v="Karl Storz"/>
    <s v="5.5x65"/>
    <n v="85969"/>
    <s v="S/N"/>
    <n v="2022"/>
    <n v="7"/>
    <n v="4"/>
    <s v="Propio"/>
    <s v="Bueno "/>
    <x v="2"/>
    <s v="NO"/>
    <n v="2023"/>
    <s v="NO"/>
    <x v="2"/>
    <s v="EXTERNO"/>
    <s v="KARL STORZ"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MAC #2"/>
    <n v="1551"/>
    <s v="S/N"/>
    <n v="2022"/>
    <n v="7"/>
    <n v="4"/>
    <s v="Propio"/>
    <s v="Bueno "/>
    <x v="2"/>
    <s v="NO"/>
    <n v="2023"/>
    <s v="NO"/>
    <x v="2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MAC D-BLADE"/>
    <s v="ON2017"/>
    <s v="S/N"/>
    <n v="2022"/>
    <n v="7"/>
    <n v="4"/>
    <s v="Propio"/>
    <s v="Bueno "/>
    <x v="2"/>
    <s v="NO"/>
    <n v="2023"/>
    <s v="NO"/>
    <x v="2"/>
    <s v="EXTERNO"/>
    <m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#3"/>
    <s v="UN2377"/>
    <s v="S/N"/>
    <n v="2022"/>
    <n v="7"/>
    <n v="4"/>
    <s v="Propio"/>
    <s v="Bueno "/>
    <x v="2"/>
    <s v="NO"/>
    <n v="2023"/>
    <s v="NO"/>
    <x v="2"/>
    <s v="EXTERNO"/>
    <m/>
    <s v="COLDAS 2022"/>
    <m/>
    <m/>
    <m/>
    <m/>
    <m/>
    <m/>
    <m/>
    <m/>
    <m/>
    <m/>
    <m/>
    <m/>
    <m/>
    <m/>
  </r>
  <r>
    <s v="Pabellón - 3E"/>
    <s v="Hospital Penco Lirquen"/>
    <s v="Apoyo Endoscópico"/>
    <s v="Mediano Costo "/>
    <s v="Videolaringoscopio"/>
    <s v="Karl Storz"/>
    <s v="C-max 8403 2x"/>
    <s v="YT10604"/>
    <s v="HPL30407"/>
    <n v="2016"/>
    <n v="7"/>
    <n v="-2"/>
    <s v="Propio"/>
    <s v="Bueno "/>
    <x v="2"/>
    <s v="NO"/>
    <s v="NO APLICA"/>
    <s v="NO"/>
    <x v="2"/>
    <s v="EXTERNO"/>
    <m/>
    <m/>
    <m/>
    <m/>
    <m/>
    <m/>
    <m/>
    <m/>
    <m/>
    <m/>
    <m/>
    <m/>
    <m/>
    <m/>
    <m/>
    <m/>
  </r>
  <r>
    <s v="Pabellón - 6B"/>
    <s v="Hospital Penco Lirquen"/>
    <s v="Apoyo Terapéutico"/>
    <s v="Mediano Costo "/>
    <s v="Bomba de infusión continua"/>
    <s v="Fresenius Kabi"/>
    <s v="Volumat MC Agilia E"/>
    <n v="21272024"/>
    <s v="HPL28457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 - 6B"/>
    <s v="Hospital Penco Lirquen"/>
    <s v="Apoyo Terapéutico"/>
    <s v="Mediano Costo "/>
    <s v="Bomba de infusión continua"/>
    <s v="Fresenius Kabi"/>
    <s v="Volumat MC Agilia E"/>
    <n v="21908354"/>
    <s v="HPL28458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Pabellón 1 - 3B"/>
    <s v="Hospital Penco Lirquen"/>
    <s v="Apoyo Quirúrgico"/>
    <s v="Alto Costo"/>
    <s v="Máquina de Anestesia"/>
    <s v="Drager"/>
    <s v="Fabius GS Premium 8607000"/>
    <s v="ASHJ-0205"/>
    <s v="HPL30218"/>
    <n v="2016"/>
    <n v="8"/>
    <n v="-1"/>
    <s v="Propio"/>
    <s v="Bueno "/>
    <x v="0"/>
    <s v="NO"/>
    <s v="NO APLICA"/>
    <s v="SI"/>
    <x v="0"/>
    <s v="EXTERNO"/>
    <s v="Drager"/>
    <s v="1057540-40-LP22"/>
    <n v="10130432"/>
    <n v="2"/>
    <m/>
    <m/>
    <m/>
    <s v="X"/>
    <m/>
    <m/>
    <m/>
    <m/>
    <m/>
    <s v="X"/>
    <m/>
    <m/>
  </r>
  <r>
    <s v="Pabellón 2 - 3B"/>
    <s v="Hospital Penco Lirquen"/>
    <s v="Apoyo Quirúrgico"/>
    <s v="Alto Costo"/>
    <s v="Máquina de Anestesia"/>
    <s v="Drager"/>
    <s v="Fabius GS Premium 8607000"/>
    <s v="ASHJ-0206"/>
    <s v="HPL30219"/>
    <n v="2016"/>
    <n v="8"/>
    <n v="-1"/>
    <s v="Propio"/>
    <s v="Bueno "/>
    <x v="0"/>
    <s v="NO"/>
    <s v="NO APLICA"/>
    <s v="SI"/>
    <x v="0"/>
    <s v="EXTERNO"/>
    <s v="Drager"/>
    <s v="1057540-40-LP22"/>
    <n v="10130432"/>
    <n v="2"/>
    <m/>
    <m/>
    <m/>
    <s v="X"/>
    <m/>
    <m/>
    <m/>
    <m/>
    <m/>
    <s v="X"/>
    <m/>
    <m/>
  </r>
  <r>
    <s v="Pabellón CMA - 3B"/>
    <s v="Hospital Penco Lirquen"/>
    <s v="Apoyo Quirúrgico"/>
    <s v="Alto Costo"/>
    <s v="Máquina de Anestesia"/>
    <s v="Drager"/>
    <s v="Fabius GS Premium 8607000"/>
    <s v="ASFN-0031"/>
    <s v="HPL30217"/>
    <n v="2015"/>
    <n v="8"/>
    <n v="-2"/>
    <s v="Propio"/>
    <s v="Bueno "/>
    <x v="0"/>
    <s v="NO"/>
    <s v="NO APLICA"/>
    <s v="SI"/>
    <x v="0"/>
    <s v="EXTERNO"/>
    <s v="Drager"/>
    <s v="1057540-40-LP22"/>
    <n v="10130432"/>
    <n v="2"/>
    <m/>
    <m/>
    <m/>
    <s v="X"/>
    <m/>
    <m/>
    <m/>
    <m/>
    <m/>
    <s v="X"/>
    <m/>
    <m/>
  </r>
  <r>
    <s v="Parto Integral"/>
    <s v="Hospital Penco Lirquen"/>
    <s v="Apoyo Diagnóstico"/>
    <s v="Bajo costo"/>
    <s v="Balanza con tallímetro"/>
    <s v="Doran Scales"/>
    <s v="Quote 12957"/>
    <n v="1824"/>
    <s v="HPL29867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Diagnóstico"/>
    <s v="Bajo costo"/>
    <s v="Balanza pediátrica"/>
    <s v="Health o Meter"/>
    <s v="549KL"/>
    <n v="5490010422"/>
    <s v="HPL30082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a clínica eléctrica"/>
    <s v="Malvestio"/>
    <s v="346760H"/>
    <n v="20009351"/>
    <s v="HPL25225"/>
    <n v="2015"/>
    <n v="8"/>
    <n v="-2"/>
    <s v="Propio"/>
    <s v="Bueno "/>
    <x v="1"/>
    <s v="NO"/>
    <s v="NO APLICA"/>
    <s v="SI"/>
    <x v="0"/>
    <s v="CONTRATO"/>
    <s v="SERVITEC"/>
    <s v="1057540-128-LE23"/>
    <n v="264444"/>
    <n v="1"/>
    <m/>
    <s v="√"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2"/>
    <s v="HPL3001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6"/>
    <s v="HPL30013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Brandon Medical"/>
    <s v="CLED10S"/>
    <n v="1098817019"/>
    <s v="HPL30057"/>
    <n v="2021"/>
    <n v="10"/>
    <n v="6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-600"/>
    <s v="S/N"/>
    <s v="HPL30312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3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4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adulto"/>
    <s v="Sunmed"/>
    <s v="Greenline"/>
    <s v="S/N"/>
    <s v="HPL30319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pediátrico"/>
    <s v="Sunmed"/>
    <s v="Greenline"/>
    <s v="S/N"/>
    <s v="HPL3032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nitoreo"/>
    <s v="Mediano Costo "/>
    <s v="Monitor de signos vitales"/>
    <s v="Creative medical"/>
    <s v="PC-900"/>
    <s v="J0100JL01720"/>
    <s v="HPL30259"/>
    <n v="2014"/>
    <n v="8"/>
    <n v="-3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Parto Integral"/>
    <s v="Hospital Penco Lirquen"/>
    <s v="Monitoreo"/>
    <s v="Mediano Costo "/>
    <s v="Monitor desfibrilador"/>
    <s v="Zoll medical"/>
    <s v="Serie R ALS"/>
    <s v="AF15D045660"/>
    <s v="HPL30213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m/>
    <m/>
    <m/>
    <s v="X"/>
    <m/>
    <m/>
    <m/>
    <m/>
    <m/>
    <s v="X"/>
  </r>
  <r>
    <s v="Parto Integral"/>
    <s v="Hospital Penco Lirquen"/>
    <s v="Monitoreo"/>
    <s v="Mediano Costo "/>
    <s v="Monitor ECG Baja Complejidad"/>
    <s v="Fukuda Denshi"/>
    <s v="Dinascope DSL-8001"/>
    <n v="50200461"/>
    <s v="HPL30042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Parto Integral - 2"/>
    <s v="Hospital Penco Lirquen"/>
    <s v="Apoyo Terapéutico"/>
    <s v="Alto Costo"/>
    <s v="Incubadora de transporte"/>
    <s v="Drager"/>
    <s v="TI 500"/>
    <s v="EF10863"/>
    <s v="HPL30240"/>
    <n v="2016"/>
    <n v="8"/>
    <n v="-1"/>
    <s v="Propio"/>
    <s v="Bueno "/>
    <x v="0"/>
    <s v="NO"/>
    <s v="NO APLICA"/>
    <s v="SI"/>
    <x v="0"/>
    <s v="EXTERNO"/>
    <s v="CODESUR"/>
    <s v="1057540-110-LE23"/>
    <n v="300000"/>
    <n v="2"/>
    <m/>
    <m/>
    <s v="X"/>
    <m/>
    <m/>
    <m/>
    <m/>
    <m/>
    <s v="X"/>
    <m/>
    <m/>
    <m/>
  </r>
  <r>
    <s v="Parto Integral - 2"/>
    <s v="Hospital Penco Lirquen"/>
    <s v="Mobiliario"/>
    <s v="Clínico"/>
    <s v="Cama de parto"/>
    <s v="Stryker"/>
    <s v="Trend like ref.4701"/>
    <n v="1602036109"/>
    <s v="HPL3006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7 / 20008945"/>
    <s v="HPL30165"/>
    <n v="2015"/>
    <n v="10"/>
    <n v="0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8 / 20008946"/>
    <s v="HPL30166"/>
    <n v="2015"/>
    <n v="10"/>
    <n v="0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9 / 20008947"/>
    <s v="HPL30167"/>
    <n v="2015"/>
    <n v="10"/>
    <n v="0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Apoyo Terapéutico"/>
    <s v="Alto Costo"/>
    <s v="Cuna radiante"/>
    <s v="Drager"/>
    <s v="Resuscitaire RWVHA-2C"/>
    <s v="NY10728"/>
    <s v="HPL30143"/>
    <n v="2016"/>
    <n v="8"/>
    <n v="-1"/>
    <s v="Propio"/>
    <s v="Bueno "/>
    <x v="1"/>
    <s v="NO"/>
    <s v="NO APLICA"/>
    <s v="SI"/>
    <x v="0"/>
    <s v="CONTRATO"/>
    <s v="Drager"/>
    <s v="1057540-83-LE23"/>
    <n v="643331"/>
    <n v="1"/>
    <m/>
    <m/>
    <m/>
    <m/>
    <m/>
    <m/>
    <m/>
    <s v="X"/>
    <m/>
    <m/>
    <m/>
    <m/>
  </r>
  <r>
    <s v="Parto Integral - 2"/>
    <s v="Hospital Penco Lirquen"/>
    <s v="Apoyo Quirúrgico"/>
    <s v="Alto Costo"/>
    <s v="Lampara de techo"/>
    <s v="ACEM"/>
    <s v="SOLED 15"/>
    <s v="S15S1000761"/>
    <s v="HPL30359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Apoyo Quirúrgico"/>
    <s v="Alto Costo"/>
    <s v="Lampara de techo"/>
    <s v="ACEM"/>
    <s v="SOLED 15"/>
    <s v="S15S1000763"/>
    <s v="HPL30361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Monitoreo"/>
    <s v="Alto Costo"/>
    <s v="Monitor Cardiofetal"/>
    <s v="General Electric"/>
    <s v="Corometric 170 series"/>
    <s v="SAS15174336PAS"/>
    <s v="HPL30366"/>
    <n v="2016"/>
    <n v="8"/>
    <n v="-1"/>
    <s v="Propio"/>
    <s v="Bueno "/>
    <x v="1"/>
    <s v="NO"/>
    <s v="NO APLICA"/>
    <s v="SI"/>
    <x v="0"/>
    <s v="EXTERNO"/>
    <s v="CODESUR"/>
    <s v="1057540-110-LE23"/>
    <n v="55000"/>
    <n v="1"/>
    <m/>
    <m/>
    <m/>
    <m/>
    <m/>
    <m/>
    <m/>
    <m/>
    <s v="X"/>
    <m/>
    <m/>
    <m/>
  </r>
  <r>
    <s v="Parto Integral - 2"/>
    <s v="Hospital Penco Lirquen"/>
    <s v="Monitoreo"/>
    <s v="Alto Costo"/>
    <s v="Monitor Cardiofetal"/>
    <s v="General Electric"/>
    <s v="Corometric 170 series"/>
    <s v="SAS15304616PAS"/>
    <s v="HPL30367"/>
    <n v="2016"/>
    <n v="8"/>
    <n v="-1"/>
    <s v="Propio"/>
    <s v="Bueno "/>
    <x v="1"/>
    <s v="NO"/>
    <s v="NO APLICA"/>
    <s v="SI"/>
    <x v="0"/>
    <s v="EXTERNO"/>
    <s v="CODESUR"/>
    <s v="1057540-110-LE23"/>
    <n v="55000"/>
    <n v="1"/>
    <m/>
    <m/>
    <m/>
    <m/>
    <m/>
    <m/>
    <m/>
    <m/>
    <s v="X"/>
    <m/>
    <m/>
    <m/>
  </r>
  <r>
    <s v="Parto Integral - 2"/>
    <s v="Hospital Penco Lirquen"/>
    <s v="Apoyo Diagnóstico"/>
    <s v="Bajo costo"/>
    <s v="Oximetro de pulso"/>
    <s v="Heal Force"/>
    <s v="Prince E100"/>
    <s v="XXJ00JH00298"/>
    <s v="HPL3040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Laboratorio/Farmac"/>
    <s v="Mediano Costo "/>
    <s v="Refrigerador Clinico"/>
    <s v="Smeg"/>
    <s v="FV30G1"/>
    <n v="5122200011"/>
    <s v="HPL30076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Rehabilitacion Integral"/>
    <s v="Hospital Penco Lirquen"/>
    <s v="Med. Física Rehabilitación"/>
    <s v="Bajo costo"/>
    <s v="Camilla bipedestación"/>
    <s v="Dynatron"/>
    <s v="-"/>
    <n v="7163129813548"/>
    <m/>
    <n v="2014"/>
    <n v="10"/>
    <n v="-1"/>
    <s v="Propio"/>
    <s v="Bueno"/>
    <x v="1"/>
    <s v="NO"/>
    <s v="NO APLICA"/>
    <s v="SI"/>
    <x v="3"/>
    <s v="CONTRATO"/>
    <s v="NEWLAB - L1"/>
    <s v="1057540-78-LE23"/>
    <n v="952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049SN1501000642C"/>
    <s v="HPL30207"/>
    <n v="2016"/>
    <n v="8"/>
    <n v="-1"/>
    <s v="Propio"/>
    <s v="Bueno "/>
    <x v="1"/>
    <s v="NO"/>
    <s v="NO APLICA"/>
    <s v="SI"/>
    <x v="3"/>
    <s v="CONTRATO"/>
    <s v="NEWLAB - L1"/>
    <s v="1057540-78-LE23"/>
    <n v="714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533SN1504008977C"/>
    <s v="HPL30208"/>
    <n v="2016"/>
    <n v="8"/>
    <n v="-1"/>
    <s v="Propio"/>
    <s v="Bueno "/>
    <x v="1"/>
    <s v="NO"/>
    <s v="NO APLICA"/>
    <s v="SI"/>
    <x v="3"/>
    <s v="CONTRATO"/>
    <s v="NEWLAB - L1"/>
    <s v="1057540-78-LE23"/>
    <n v="714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Compresero"/>
    <s v="White hall"/>
    <s v="ET-12-M"/>
    <n v="15130241"/>
    <s v="HPL29962"/>
    <n v="2016"/>
    <n v="10"/>
    <n v="1"/>
    <s v="Propio"/>
    <s v="Bueno "/>
    <x v="1"/>
    <s v="NO"/>
    <s v="NO APLICA"/>
    <s v="SI"/>
    <x v="3"/>
    <s v="CONTRATO"/>
    <s v="NEWLAB - L1"/>
    <s v="1057540-78-LE23"/>
    <n v="1071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15075"/>
    <s v="HPL30093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3327"/>
    <s v="HPL30097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5"/>
    <s v="HPL30098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6"/>
    <s v="HPL30099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7"/>
    <s v="HPL30100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489"/>
    <s v="HPL30101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Ultrasonido"/>
    <s v="Enraf Nonius"/>
    <s v="Sonopuls 490"/>
    <n v="21458"/>
    <s v="HPL29898"/>
    <n v="2015"/>
    <n v="8"/>
    <n v="-2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Bicicleta infantil"/>
    <s v="N/A"/>
    <s v="N/A"/>
    <s v="N/A"/>
    <s v="HPL30745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obiliario"/>
    <s v="Clínico"/>
    <s v="Camilla eléctrica 3 secciones"/>
    <s v="Enraf Nonius"/>
    <s v="Manumed-N245"/>
    <s v="2022-N1-3629"/>
    <m/>
    <n v="2023"/>
    <n v="8"/>
    <n v="6"/>
    <s v="Propio"/>
    <s v="Bueno "/>
    <x v="1"/>
    <s v="SI"/>
    <d v="2026-11-24T00:00:00"/>
    <s v="SI"/>
    <x v="3"/>
    <s v="EXTERNO"/>
    <s v="Andover"/>
    <s v="1057540-104-LE23"/>
    <n v="0"/>
    <n v="1"/>
    <m/>
    <m/>
    <m/>
    <m/>
    <m/>
    <m/>
    <m/>
    <m/>
    <m/>
    <m/>
    <s v="X"/>
    <m/>
  </r>
  <r>
    <s v="Rehabilitacion Integral"/>
    <s v="Hospital Penco Lirquen"/>
    <s v="Mobiliario"/>
    <s v="Clínico"/>
    <s v="Camilla ginecológica"/>
    <s v="Malvestio"/>
    <n v="350350"/>
    <n v="20009695"/>
    <s v="HPL30012"/>
    <n v="2015"/>
    <n v="8"/>
    <n v="-2"/>
    <s v="Propio"/>
    <s v="Bueno "/>
    <x v="2"/>
    <s v="NO"/>
    <s v="NO APLICA"/>
    <s v="NO"/>
    <x v="2"/>
    <s v="INTERNO"/>
    <m/>
    <m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Caminadora infantil"/>
    <s v="N/A"/>
    <s v="N/A"/>
    <s v="N/A"/>
    <s v="HPL3074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Cicloergómetro de mano"/>
    <s v="S/M"/>
    <s v="S/M"/>
    <s v="PI-005075"/>
    <s v="HPL30276"/>
    <n v="2016"/>
    <n v="8"/>
    <n v="-1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Cicloergómetro de mano"/>
    <s v="S/M"/>
    <s v="S/M"/>
    <s v="T15002452"/>
    <s v="HPL30381"/>
    <n v="2016"/>
    <n v="8"/>
    <n v="-1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Dinamómetro"/>
    <s v="Baseline"/>
    <s v="12-0286"/>
    <s v="S/N"/>
    <s v="HPL30291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Horno ortesis"/>
    <s v="Remso"/>
    <s v="S/N"/>
    <s v="S/N"/>
    <s v="HPL3029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áquina de coser"/>
    <s v="Brother"/>
    <s v="LS2125"/>
    <s v="M0G131939"/>
    <s v="HPL30268"/>
    <n v="2016"/>
    <n v="8"/>
    <n v="-1"/>
    <s v="Propio"/>
    <s v="Bueno "/>
    <x v="2"/>
    <s v="NO"/>
    <s v="NO APLICA"/>
    <s v="NO"/>
    <x v="2"/>
    <s v="INTERNO"/>
    <s v="TECNICO SSGG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esa de cuádriceps"/>
    <s v="S/M"/>
    <s v="S/N"/>
    <s v="S/N"/>
    <s v="HPL3033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esa de mano"/>
    <s v="Enraf Nonius"/>
    <s v="JL-10402"/>
    <n v="501662"/>
    <s v="HPL29925"/>
    <n v="2017"/>
    <n v="8"/>
    <n v="0"/>
    <s v="Propio"/>
    <s v="Bueno "/>
    <x v="2"/>
    <s v="NO"/>
    <s v="NO APLICA"/>
    <s v="NO"/>
    <x v="2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Apoyo Diagnóstico"/>
    <s v="Bajo costo"/>
    <s v="Oximetro de pulso"/>
    <s v="Nellcor"/>
    <s v="Oximax N-65"/>
    <s v="G15802034"/>
    <s v="HPL30255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cina de pelotas"/>
    <s v="N/A"/>
    <s v="N/A"/>
    <s v="N/A"/>
    <s v="HPL30744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tola de aire caliente"/>
    <s v="Black &amp; Decker"/>
    <s v="HG2000-B2C"/>
    <s v="2010 41-PX"/>
    <s v="HPL30171"/>
    <n v="2016"/>
    <n v="8"/>
    <n v="-1"/>
    <s v="Propio"/>
    <s v="Bueno "/>
    <x v="2"/>
    <s v="NO"/>
    <s v="NO APLICA"/>
    <s v="NO"/>
    <x v="2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1"/>
    <s v="HPL30203"/>
    <n v="2016"/>
    <n v="8"/>
    <n v="-1"/>
    <s v="Propio"/>
    <s v="Bueno "/>
    <x v="1"/>
    <s v="NO"/>
    <s v="NO APLICA"/>
    <s v="SI"/>
    <x v="3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7"/>
    <s v="HPL30204"/>
    <n v="2016"/>
    <n v="8"/>
    <n v="-1"/>
    <s v="Propio"/>
    <s v="Bueno "/>
    <x v="1"/>
    <s v="NO"/>
    <s v="NO APLICA"/>
    <s v="SI"/>
    <x v="3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9"/>
    <s v="HPL30205"/>
    <n v="2016"/>
    <n v="8"/>
    <n v="-1"/>
    <s v="Propio"/>
    <s v="Bueno "/>
    <x v="1"/>
    <s v="NO"/>
    <s v="NO APLICA"/>
    <s v="SI"/>
    <x v="3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Vestibulador"/>
    <s v="N/A"/>
    <s v="N/A"/>
    <s v="N/A"/>
    <s v="HPL3074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 "/>
    <s v="Hospital Penco Lirquen"/>
    <s v="Monitoreo"/>
    <s v="Mediano Costo "/>
    <s v="Monitor ECG Baja Complejidad"/>
    <s v="Fukuda Denshi"/>
    <s v="Dinascope DSL-8001"/>
    <n v="50200458"/>
    <s v="HPL30040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rgonométrica"/>
    <s v="Life fitness"/>
    <s v="ASPC-SL-CGCXN-12"/>
    <s v="ASPBUPW24040095"/>
    <m/>
    <n v="2024"/>
    <n v="8"/>
    <n v="7"/>
    <s v="Propio"/>
    <s v="Bueno "/>
    <x v="1"/>
    <s v="SI"/>
    <n v="2027"/>
    <s v="SI"/>
    <x v="3"/>
    <s v="EXTERNO"/>
    <s v="LIFE FITNESS"/>
    <s v="COLDAS 2024"/>
    <n v="0"/>
    <n v="3"/>
    <m/>
    <m/>
    <s v="X"/>
    <m/>
    <m/>
    <m/>
    <s v="X"/>
    <m/>
    <m/>
    <m/>
    <s v="X"/>
    <m/>
  </r>
  <r>
    <s v="Rehabilitacion Integral - 10"/>
    <s v="Hospital Penco Lirquen"/>
    <s v="Med. Física Rehabilitación"/>
    <s v="Bajo costo"/>
    <s v="Trotadora"/>
    <s v="Life fitness"/>
    <s v="Aspire SL"/>
    <s v="ASPTRMW24020233"/>
    <m/>
    <n v="2024"/>
    <n v="10"/>
    <n v="9"/>
    <s v="Propio"/>
    <s v="Bueno "/>
    <x v="1"/>
    <s v="SI"/>
    <d v="2027-03-01T00:00:00"/>
    <s v="SI"/>
    <x v="3"/>
    <s v="EXTERNO"/>
    <s v="LIFE FITNESS"/>
    <s v="COLDAS 2023 (4500619370)"/>
    <m/>
    <n v="2"/>
    <m/>
    <m/>
    <s v="X"/>
    <m/>
    <m/>
    <m/>
    <m/>
    <m/>
    <s v="X"/>
    <m/>
    <m/>
    <m/>
  </r>
  <r>
    <s v="Rehabilitacion Integral - 10"/>
    <s v="Hospital Penco Lirquen"/>
    <s v="Med. Física Rehabilitación"/>
    <s v="Bajo costo"/>
    <s v="Trotadora"/>
    <s v="Life fitness"/>
    <s v="Aspire SL"/>
    <s v="ASPTRMW24020234"/>
    <m/>
    <n v="2024"/>
    <n v="10"/>
    <n v="9"/>
    <s v="Propio"/>
    <s v="Bueno"/>
    <x v="1"/>
    <s v="SI"/>
    <d v="2027-03-01T00:00:00"/>
    <s v="SI"/>
    <x v="3"/>
    <s v="EXTERNO"/>
    <s v="LIFE FITNESS"/>
    <s v="COLDAS 2023 (4500619370)"/>
    <m/>
    <n v="2"/>
    <m/>
    <m/>
    <s v="X"/>
    <m/>
    <m/>
    <m/>
    <m/>
    <m/>
    <s v="X"/>
    <m/>
    <m/>
    <m/>
  </r>
  <r>
    <s v="Rehabilitacion Integral - 10"/>
    <s v="Hospital Penco Lirquen"/>
    <s v="Med. Física Rehabilitación"/>
    <s v="Bajo costo"/>
    <s v="Baño parafina"/>
    <s v="Enraf Nonius"/>
    <s v="Paraffin bath"/>
    <n v="40448"/>
    <s v="HPL29905"/>
    <n v="2016"/>
    <n v="8"/>
    <n v="-1"/>
    <s v="Propio"/>
    <s v="Bueno "/>
    <x v="1"/>
    <s v="NO"/>
    <s v="NO APLICA"/>
    <s v="SI"/>
    <x v="3"/>
    <s v="CONTRATO"/>
    <s v="NEWLAB - L1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obiliario"/>
    <s v="Clínico"/>
    <s v="Camilla basculante eléctrica"/>
    <s v="Enraf Nonius"/>
    <s v="Manumed Tilt 2 (5500.725)"/>
    <s v="2019-N2-1120"/>
    <s v="HPL30173"/>
    <n v="2019"/>
    <n v="8"/>
    <n v="2"/>
    <s v="Propio"/>
    <s v="Bueno "/>
    <x v="1"/>
    <s v="NO"/>
    <s v="NO APLICA"/>
    <s v="SI"/>
    <x v="3"/>
    <s v="CONTRATO"/>
    <s v="NEWLAB - L1"/>
    <s v="1057540-78-LE23"/>
    <n v="190400"/>
    <n v="1"/>
    <m/>
    <m/>
    <s v="X"/>
    <m/>
    <m/>
    <m/>
    <m/>
    <m/>
    <m/>
    <m/>
    <m/>
    <m/>
  </r>
  <r>
    <s v="Rehabilitacion Integral - 10"/>
    <s v="Hospital Penco Lirquen"/>
    <s v="Mobiliario"/>
    <s v="Clínico"/>
    <s v="Camilla bipedestación"/>
    <s v="Enraf Nonius"/>
    <n v="5100211"/>
    <n v="8022211"/>
    <s v="HPL29956"/>
    <n v="2016"/>
    <n v="8"/>
    <n v="-1"/>
    <s v="Propio"/>
    <s v="Bueno "/>
    <x v="1"/>
    <s v="NO"/>
    <s v="NO APLICA"/>
    <s v="SI"/>
    <x v="3"/>
    <s v="CONTRATO"/>
    <s v="NEWLAB - L1"/>
    <s v="1057540-78-LE23"/>
    <n v="952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lectroestimulación"/>
    <s v="Enraf Nonius"/>
    <s v="Endomed 482"/>
    <n v="2308"/>
    <s v="HPL29871"/>
    <n v="2016"/>
    <n v="8"/>
    <n v="-1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670"/>
    <n v="14848"/>
    <s v="HPL29889"/>
    <n v="2015"/>
    <n v="8"/>
    <n v="-2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970"/>
    <n v="31472"/>
    <s v="HPL29903"/>
    <n v="2016"/>
    <n v="8"/>
    <n v="-1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ondas de choque"/>
    <s v="Enraf Nonius"/>
    <s v="Endopuls 811"/>
    <n v="16209773"/>
    <s v="HPL29966"/>
    <n v="2019"/>
    <n v="8"/>
    <n v="2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terapia combinada"/>
    <s v="Enraf Nonius"/>
    <s v="Sonopuls 492"/>
    <n v="32049"/>
    <s v="HPL29904"/>
    <n v="2016"/>
    <n v="8"/>
    <n v="-1"/>
    <s v="Propio"/>
    <s v="Bueno "/>
    <x v="1"/>
    <s v="NO"/>
    <s v="NO APLICA"/>
    <s v="SI"/>
    <x v="3"/>
    <s v="CONTRATO"/>
    <s v="NEWLAB - L1"/>
    <s v="1057540-78-LE23"/>
    <n v="3570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Laser"/>
    <s v="Enraf Nonius"/>
    <s v="Endolaser 442"/>
    <n v="3302"/>
    <s v="HPL29874"/>
    <n v="2016"/>
    <n v="8"/>
    <n v="-1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5"/>
    <s v="HPL30094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6"/>
    <s v="HPL30095"/>
    <n v="2015"/>
    <n v="8"/>
    <n v="-2"/>
    <s v="Propio"/>
    <s v="Bueno "/>
    <x v="1"/>
    <s v="NO"/>
    <s v="NO APLICA"/>
    <s v="SI"/>
    <x v="3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urbion de pies"/>
    <s v="White hall"/>
    <s v="E-22-M"/>
    <n v="15518859"/>
    <s v="HPL29964"/>
    <n v="2016"/>
    <n v="8"/>
    <n v="-1"/>
    <s v="Propio"/>
    <s v="Bueno "/>
    <x v="1"/>
    <s v="NO"/>
    <s v="NO APLICA"/>
    <s v="SI"/>
    <x v="3"/>
    <s v="CONTRATO"/>
    <s v="NEWLAB - L1"/>
    <s v="1057540-78-LE23"/>
    <n v="2142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1"/>
    <s v="HPL29899"/>
    <n v="2016"/>
    <n v="8"/>
    <n v="-1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3"/>
    <s v="HPL29900"/>
    <n v="2016"/>
    <n v="8"/>
    <n v="-1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515"/>
    <s v="HPL29901"/>
    <n v="2016"/>
    <n v="8"/>
    <n v="-1"/>
    <s v="Propio"/>
    <s v="Bueno "/>
    <x v="1"/>
    <s v="NO"/>
    <s v="NO APLICA"/>
    <s v="SI"/>
    <x v="3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6808"/>
    <s v="HPL30224"/>
    <n v="2016"/>
    <n v="8"/>
    <n v="-1"/>
    <s v="Propio"/>
    <s v="Bueno "/>
    <x v="1"/>
    <s v="NO"/>
    <s v="NO APLICA"/>
    <s v="SI"/>
    <x v="3"/>
    <s v="CONTRATO"/>
    <s v="NEWLAB - L2"/>
    <s v="1057540-78-LE23"/>
    <n v="714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7036"/>
    <s v="HPL30225"/>
    <n v="2016"/>
    <n v="8"/>
    <n v="-1"/>
    <s v="Propio"/>
    <s v="Bueno "/>
    <x v="1"/>
    <s v="NO"/>
    <s v="NO APLICA"/>
    <s v="SI"/>
    <x v="3"/>
    <s v="CONTRATO"/>
    <s v="NEWLAB - L2"/>
    <s v="1057540-78-LE23"/>
    <n v="714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me"/>
    <s v="D113"/>
    <s v="D1132011060000369"/>
    <s v="HPL30236"/>
    <n v="2015"/>
    <n v="8"/>
    <n v="-2"/>
    <s v="Propio"/>
    <s v="Bueno "/>
    <x v="1"/>
    <s v="NO"/>
    <s v="NO APLICA"/>
    <s v="SI"/>
    <x v="3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fe fitness"/>
    <s v="T3"/>
    <s v="T3071506028660"/>
    <s v="HPL30383"/>
    <n v="2016"/>
    <n v="8"/>
    <n v="-1"/>
    <s v="Propio"/>
    <s v="Bueno "/>
    <x v="1"/>
    <s v="NO"/>
    <s v="NO APLICA"/>
    <s v="SI"/>
    <x v="3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fe fitness"/>
    <s v="T3"/>
    <s v="T3071506028661"/>
    <s v="HPL30384"/>
    <n v="2016"/>
    <n v="8"/>
    <n v="-1"/>
    <s v="Propio"/>
    <s v="Bueno "/>
    <x v="1"/>
    <s v="NO"/>
    <s v="NO APLICA"/>
    <s v="SI"/>
    <x v="3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lectroterapia miofeedback"/>
    <s v="Gymna"/>
    <s v="MYO-200"/>
    <n v="74209"/>
    <s v="HPL29908"/>
    <n v="2016"/>
    <n v="8"/>
    <n v="-1"/>
    <s v="Propio"/>
    <s v="Bueno "/>
    <x v="1"/>
    <s v="NO"/>
    <s v="NO APLICA"/>
    <s v="SI"/>
    <x v="3"/>
    <s v="CONTRATO"/>
    <s v="NEWLAB - L2"/>
    <s v="1057540-78-LE23"/>
    <n v="833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linfedema"/>
    <s v="Mego Afek"/>
    <s v="201-ET"/>
    <n v="29008"/>
    <s v="HPL29902"/>
    <n v="2019"/>
    <n v="8"/>
    <n v="2"/>
    <s v="Propio"/>
    <s v="Bueno "/>
    <x v="1"/>
    <s v="NO"/>
    <s v="NO APLICA"/>
    <s v="SI"/>
    <x v="3"/>
    <s v="CONTRATO"/>
    <s v="NEWLAB - L2"/>
    <s v="1057540-78-LE23"/>
    <n v="833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ITO"/>
    <s v="ES-320"/>
    <n v="200905260888"/>
    <s v="HPL30105"/>
    <n v="2016"/>
    <n v="8"/>
    <n v="-1"/>
    <s v="Propio"/>
    <s v="Bueno "/>
    <x v="1"/>
    <s v="NO"/>
    <s v="NO APLICA"/>
    <s v="SI"/>
    <x v="3"/>
    <s v="CONTRATO"/>
    <s v="NEWLAB - L2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stática"/>
    <s v="Life Fitness"/>
    <s v="C1 GO"/>
    <s v="1062010018184 / CONSOLA: 112206000052"/>
    <m/>
    <n v="2023"/>
    <n v="8"/>
    <n v="6"/>
    <s v="Propio"/>
    <s v="Bueno "/>
    <x v="1"/>
    <s v="SI"/>
    <d v="2026-11-01T00:00:00"/>
    <s v="SI"/>
    <x v="3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86 / CONSOLA: 112307000027"/>
    <m/>
    <n v="2023"/>
    <n v="8"/>
    <n v="6"/>
    <s v="Propio"/>
    <s v="Bueno "/>
    <x v="1"/>
    <s v="SI"/>
    <d v="2026-11-01T00:00:00"/>
    <s v="SI"/>
    <x v="3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91 / CONSOLA: 112307000132"/>
    <m/>
    <n v="2023"/>
    <n v="8"/>
    <n v="6"/>
    <s v="Propio"/>
    <s v="Bueno "/>
    <x v="1"/>
    <s v="SI"/>
    <d v="2026-11-01T00:00:00"/>
    <s v="SI"/>
    <x v="3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Bajo costo"/>
    <s v="Cicloergometro"/>
    <s v="Enraf Nonius"/>
    <s v="Monark 970"/>
    <s v="WBK2943271"/>
    <s v="HPL30395"/>
    <n v="2016"/>
    <n v="8"/>
    <n v="-1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icloergometro"/>
    <s v="Enraf Nonius"/>
    <s v="Monark 970"/>
    <s v="WBK2948302"/>
    <s v="HPL30396"/>
    <n v="2016"/>
    <n v="8"/>
    <n v="-1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Alto Costo"/>
    <s v="Cicloergómetro (motomed)"/>
    <s v="RECK"/>
    <s v="LAYSON"/>
    <s v="I48-LY-139504"/>
    <m/>
    <n v="2022"/>
    <n v="8"/>
    <n v="5"/>
    <s v="Propio"/>
    <s v="Bueno "/>
    <x v="1"/>
    <s v="SI"/>
    <d v="2024-01-04T00:00:00"/>
    <s v="SI"/>
    <x v="3"/>
    <s v="EX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icloergómetro de mano"/>
    <s v="S/M"/>
    <s v="S/M"/>
    <s v="QH-016343"/>
    <s v="HPL30278"/>
    <n v="2016"/>
    <n v="8"/>
    <n v="-1"/>
    <s v="Propio"/>
    <s v="Bueno "/>
    <x v="1"/>
    <s v="NO"/>
    <s v="NO APLICA"/>
    <s v="SI"/>
    <x v="3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ongelador (crioterapia)"/>
    <s v="Mademsa"/>
    <s v="MFV-545B"/>
    <s v="13725K76700303"/>
    <s v="HPL30139"/>
    <n v="2016"/>
    <n v="10"/>
    <n v="1"/>
    <s v="Propio"/>
    <s v="Bueno "/>
    <x v="2"/>
    <s v="NO"/>
    <s v="NO APLICA"/>
    <s v="NO"/>
    <x v="2"/>
    <s v="INTERNO"/>
    <s v="TECNICO EQM HPL"/>
    <s v="NO APLICA"/>
    <s v="-"/>
    <m/>
    <m/>
    <m/>
    <m/>
    <m/>
    <m/>
    <m/>
    <m/>
    <m/>
    <m/>
    <m/>
    <m/>
    <m/>
  </r>
  <r>
    <s v="Rehabilitacion Integral - 10"/>
    <s v="Hospital Penco Lirquen"/>
    <s v="Med. Física Rehabilitación"/>
    <s v="Mediano Costo "/>
    <s v="Elevador de pacientes"/>
    <s v="AKS"/>
    <s v="Clino 2"/>
    <n v="633"/>
    <s v="HPL29858"/>
    <n v="2017"/>
    <n v="8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ed. Física Rehabilitación"/>
    <s v="Bajo costo"/>
    <s v="Equipo de presoterapia"/>
    <s v="EME physio"/>
    <s v="Pressomed 2900"/>
    <s v="EM12470915"/>
    <s v="HPL3024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onitoreo"/>
    <s v="Mediano Costo "/>
    <s v="Monitor ECG Baja Complejidad"/>
    <s v="Biolight"/>
    <s v="S12"/>
    <s v="S72B0002300"/>
    <m/>
    <n v="2024"/>
    <n v="8"/>
    <n v="7"/>
    <s v="Propio"/>
    <s v="Bueno "/>
    <x v="0"/>
    <s v="SI"/>
    <d v="2027-12-05T00:00:00"/>
    <s v="SI"/>
    <x v="3"/>
    <s v="EXTERNO"/>
    <s v="SUPPORT MEDICAL"/>
    <s v="COLDAS 2024"/>
    <m/>
    <n v="2"/>
    <m/>
    <m/>
    <m/>
    <m/>
    <m/>
    <s v="X"/>
    <m/>
    <m/>
    <m/>
    <m/>
    <m/>
    <s v="X"/>
  </r>
  <r>
    <s v="Rehabilitacion Integral - 10"/>
    <s v="Hospital Penco Lirquen"/>
    <s v="Apoyo Diagnóstico"/>
    <s v="Bajo costo"/>
    <s v="Oximetro de pulso"/>
    <s v="Nonin"/>
    <s v="Vantage 9590"/>
    <n v="501479262"/>
    <s v="HPL3005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Apoyo Terapéutico"/>
    <s v="Alto Costo"/>
    <s v="Piscina Terapéutica"/>
    <s v="Swimex"/>
    <s v="SX470T"/>
    <s v="S/N"/>
    <s v="HPL30349"/>
    <n v="2016"/>
    <n v="10"/>
    <n v="1"/>
    <s v="Propio"/>
    <s v="Bueno "/>
    <x v="1"/>
    <s v="NO"/>
    <m/>
    <s v="SI"/>
    <x v="0"/>
    <s v="EXTERNO"/>
    <s v="DOCTOR´S CHOICE"/>
    <s v="1057540-134-LE23"/>
    <n v="1190000"/>
    <n v="1"/>
    <m/>
    <m/>
    <m/>
    <m/>
    <m/>
    <s v="X"/>
    <m/>
    <m/>
    <m/>
    <m/>
    <m/>
    <m/>
  </r>
  <r>
    <s v="Salud del personal"/>
    <s v="Hospital Penco Lirquen"/>
    <s v="Apoyo Diagnóstico"/>
    <s v="Bajo costo"/>
    <s v="Balanza con tallímetro"/>
    <s v="ADE"/>
    <s v="M320600-0L"/>
    <s v="50930-0000409"/>
    <s v="HPL11936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biliario"/>
    <s v="Clínico"/>
    <s v="Camilla de examen"/>
    <s v="Malvestio"/>
    <n v="350100"/>
    <n v="20019516"/>
    <s v="HPL12004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biliario"/>
    <s v="Clínico"/>
    <s v="Camilla de examen"/>
    <s v="Malvestio"/>
    <n v="350100"/>
    <n v="20019522"/>
    <s v="HPL1194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nitoreo"/>
    <s v="Mediano Costo "/>
    <s v="Monitor de signos vitales"/>
    <s v="Edan"/>
    <s v="M3A"/>
    <s v="302019-M14505610013"/>
    <s v="HPL11939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m/>
    <s v="X"/>
    <m/>
    <m/>
    <m/>
    <m/>
    <m/>
    <s v="X"/>
  </r>
  <r>
    <s v="Salud del personal"/>
    <s v="Hospital Penco Lirquen"/>
    <s v="Apoyo Diagnóstico"/>
    <s v="Bajo costo"/>
    <s v="Oto-oftalmoscopio de pared"/>
    <s v="Riester"/>
    <s v="Ri-scope L"/>
    <s v="S/N"/>
    <s v="HPL3012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Apoyo Diagnóstico"/>
    <s v="Bajo costo"/>
    <s v="Oto-oftalmoscopio de pared"/>
    <s v="Riester"/>
    <s v="Ri-scope L"/>
    <s v="S/N"/>
    <s v="HPL30122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alud del personal - 5"/>
    <s v="Hospital Penco Lirquen"/>
    <s v="Laboratorio/Farmac"/>
    <s v="Mediano Costo "/>
    <s v="Refrigerador Clinico"/>
    <s v="Smeg"/>
    <s v="FV30G1"/>
    <n v="5122200021"/>
    <s v="HPL11932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Salud del personal - 5"/>
    <s v="Hospital Penco Lirquen"/>
    <s v="Apoyo Diagnóstico"/>
    <s v="Bajo costo"/>
    <s v="Termómetro digital"/>
    <s v="Omrom"/>
    <s v="MC-720"/>
    <s v="20161100942RF"/>
    <s v="HPL30172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"/>
    <s v="AMIKA-ES"/>
    <n v="25140460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42003806"/>
    <m/>
    <n v="2023"/>
    <n v="8"/>
    <n v="6"/>
    <s v="Comodato"/>
    <s v="Bueno"/>
    <x v="2"/>
    <s v="NO"/>
    <s v="NO APLICA"/>
    <s v="NO"/>
    <x v="2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7131748"/>
    <m/>
    <n v="2023"/>
    <n v="8"/>
    <n v="6"/>
    <s v="Comodato"/>
    <s v="Bueno"/>
    <x v="2"/>
    <s v="NO"/>
    <s v="NO APLICA"/>
    <s v="NO"/>
    <x v="2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9180007"/>
    <m/>
    <n v="2023"/>
    <n v="8"/>
    <n v="6"/>
    <s v="Comodato"/>
    <s v="Bueno"/>
    <x v="2"/>
    <s v="NO"/>
    <s v="NO APLICA"/>
    <s v="NO"/>
    <x v="2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20245883"/>
    <m/>
    <n v="2023"/>
    <n v="8"/>
    <n v="6"/>
    <s v="Comodato"/>
    <s v="Bueno"/>
    <x v="2"/>
    <s v="NO"/>
    <s v="NO APLICA"/>
    <s v="NO"/>
    <x v="2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0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140459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3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328670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6"/>
    <m/>
    <n v="2023"/>
    <n v="8"/>
    <n v="6"/>
    <s v="Comodato"/>
    <s v="Bueno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SEDILE - 17A"/>
    <s v="Hospital Penco Lirquen"/>
    <s v="Esterilización"/>
    <s v="Alto Costo"/>
    <s v="Autoclave"/>
    <s v="Matachana"/>
    <s v="21ED"/>
    <n v="123218"/>
    <s v="HPL29920"/>
    <n v="2016"/>
    <n v="10"/>
    <n v="1"/>
    <s v="Propio"/>
    <s v="Bueno "/>
    <x v="3"/>
    <s v="NO"/>
    <m/>
    <s v="SI"/>
    <x v="0"/>
    <s v="EXTERNO"/>
    <s v="International Clinics"/>
    <s v="1057540-14-LE24"/>
    <n v="749700"/>
    <n v="1"/>
    <m/>
    <m/>
    <m/>
    <m/>
    <m/>
    <m/>
    <m/>
    <m/>
    <s v="X"/>
    <m/>
    <m/>
    <m/>
  </r>
  <r>
    <s v="SEDILE - 17A"/>
    <s v="Hospital Penco Lirquen"/>
    <s v="Apoyo Diagnóstico"/>
    <s v="Bajo costo"/>
    <s v="Balanza evaluación nutricional"/>
    <s v="OMRON"/>
    <s v="HBF-514C"/>
    <s v="20220101101F"/>
    <m/>
    <n v="2022"/>
    <n v="10"/>
    <n v="7"/>
    <s v="Propio"/>
    <s v="Bueno "/>
    <x v="2"/>
    <s v="NO"/>
    <d v="2023-06-01T00:00:00"/>
    <s v="NO"/>
    <x v="2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2F"/>
    <m/>
    <n v="2022"/>
    <n v="10"/>
    <n v="7"/>
    <s v="Propio"/>
    <s v="Bueno "/>
    <x v="2"/>
    <s v="NO"/>
    <d v="2023-06-01T00:00:00"/>
    <s v="NO"/>
    <x v="2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4F"/>
    <m/>
    <n v="2022"/>
    <n v="10"/>
    <n v="7"/>
    <s v="Propio"/>
    <s v="Bueno "/>
    <x v="2"/>
    <s v="NO"/>
    <d v="2023-06-01T00:00:00"/>
    <s v="NO"/>
    <x v="2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Laboratorio/Farmac"/>
    <s v="Mediano Costo "/>
    <s v="Refrigerador Clinico"/>
    <s v="Smeg"/>
    <s v="FV30G1"/>
    <n v="5122200041"/>
    <s v="HPL30077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SEDILE - BODEGA EQUIPOS MÉDICOS (-1) 17A"/>
    <s v="Hospital Penco Lirquen"/>
    <s v="Apoyo Diagnóstico"/>
    <s v="Bajo costo"/>
    <s v="Balanza gramera"/>
    <s v="Prodelab"/>
    <n v="50001"/>
    <n v="151217"/>
    <m/>
    <n v="2016"/>
    <n v="10"/>
    <n v="1"/>
    <s v="Propio"/>
    <s v="MALO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699"/>
    <s v="HPL29864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700"/>
    <s v="HPL29865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recien nacido"/>
    <s v="Seca"/>
    <n v="7254021004"/>
    <n v="5775236151118"/>
    <s v="HPL30114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Fresenius Kabi"/>
    <s v="Agilia VP MC"/>
    <n v="24338311"/>
    <s v="HPL28461"/>
    <n v="2021"/>
    <n v="8"/>
    <n v="4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ICU Medical"/>
    <s v="Plum A"/>
    <n v="18346057"/>
    <m/>
    <n v="2016"/>
    <n v="8"/>
    <n v="-1"/>
    <s v="Comodato"/>
    <s v="MALO"/>
    <x v="2"/>
    <s v="NO"/>
    <s v="NO APLICA"/>
    <s v="NO"/>
    <x v="2"/>
    <s v="CONTRATO"/>
    <m/>
    <m/>
    <m/>
    <m/>
    <m/>
    <m/>
    <m/>
    <m/>
    <m/>
    <m/>
    <m/>
    <m/>
    <m/>
    <m/>
    <m/>
    <m/>
  </r>
  <r>
    <s v="Urgencia"/>
    <s v="Hospital Penco Lirquen"/>
    <s v="Apoyo Terapéutico"/>
    <s v="Bajo costo"/>
    <s v="Calentador de suero"/>
    <s v="Hot line"/>
    <s v="HL-90"/>
    <n v="19990856"/>
    <s v="HPL29969"/>
    <n v="2016"/>
    <n v="8"/>
    <n v="-1"/>
    <s v="Propio"/>
    <s v="MALO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a clínica mecánica"/>
    <s v="Joson Care"/>
    <s v="MS-05HS"/>
    <n v="1601070815"/>
    <s v="S/N"/>
    <n v="2024"/>
    <n v="4"/>
    <n v="3"/>
    <s v="Préstamo"/>
    <s v="Bueno"/>
    <x v="2"/>
    <s v="NO"/>
    <s v="NO APLICA"/>
    <s v="NO"/>
    <x v="2"/>
    <s v="INTERNO"/>
    <s v="TECNICO EQM HPL"/>
    <m/>
    <m/>
    <m/>
    <m/>
    <m/>
    <m/>
    <m/>
    <m/>
    <m/>
    <m/>
    <m/>
    <m/>
    <m/>
    <m/>
    <m/>
  </r>
  <r>
    <s v="Urgencia"/>
    <s v="Hospital Penco Lirquen"/>
    <s v="Mobiliario"/>
    <s v="Clínico"/>
    <s v="Cama clínica mecánica"/>
    <s v="Joson Care"/>
    <s v="MS-05HS"/>
    <n v="1601071087"/>
    <s v="S/N"/>
    <n v="2024"/>
    <n v="4"/>
    <n v="3"/>
    <s v="Préstamo"/>
    <s v="Bueno"/>
    <x v="2"/>
    <s v="NO"/>
    <s v="NO APLICA"/>
    <s v="NO"/>
    <x v="2"/>
    <s v="INTERNO"/>
    <s v="TECNICO EQM HPL"/>
    <m/>
    <m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3"/>
    <s v="HPL29970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4"/>
    <s v="HPL29971"/>
    <n v="2015"/>
    <n v="8"/>
    <n v="-2"/>
    <s v="Propio"/>
    <s v="Bueno "/>
    <x v="2"/>
    <s v="NO"/>
    <s v="NO APLICA"/>
    <s v="NO"/>
    <x v="2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1"/>
    <s v="HPL29972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4"/>
    <s v="HPL29975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5"/>
    <s v="HPL29976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6"/>
    <s v="HPL29977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7"/>
    <s v="HPL29978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8"/>
    <s v="HPL29979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9"/>
    <s v="HPL29980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90"/>
    <s v="HPL2998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092"/>
    <s v="HPL2998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0"/>
    <s v="HPL3000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2"/>
    <s v="HPL30003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3"/>
    <s v="HPL30004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4"/>
    <s v="HPL30005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nitoreo"/>
    <s v="Mediano Costo "/>
    <s v="Desfibrilador externo automático (DEA)"/>
    <s v="Mindray"/>
    <s v="BeneHeart C2"/>
    <s v="AE7-01001130"/>
    <s v="HPL30209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5G-08197"/>
    <s v="HPL30196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Zoll"/>
    <s v="AED plus"/>
    <s v="(21) X16K874144"/>
    <s v="HPL30119"/>
    <n v="2017"/>
    <n v="8"/>
    <n v="0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9K-06534"/>
    <s v="HPL30199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83"/>
    <m/>
    <n v="2023"/>
    <n v="8"/>
    <n v="6"/>
    <s v="Propio"/>
    <s v="Bueno"/>
    <x v="0"/>
    <s v="SI"/>
    <d v="2025-11-23T00:00:00"/>
    <s v="SI"/>
    <x v="3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59"/>
    <m/>
    <n v="2023"/>
    <n v="8"/>
    <n v="6"/>
    <s v="Propio"/>
    <s v="Bueno"/>
    <x v="0"/>
    <s v="SI"/>
    <d v="2025-11-23T00:00:00"/>
    <s v="SI"/>
    <x v="3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84"/>
    <m/>
    <n v="2023"/>
    <n v="8"/>
    <n v="6"/>
    <s v="Propio"/>
    <s v="Bueno"/>
    <x v="0"/>
    <s v="SI"/>
    <d v="2025-11-23T00:00:00"/>
    <s v="SI"/>
    <x v="3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74"/>
    <m/>
    <n v="2023"/>
    <n v="8"/>
    <n v="6"/>
    <s v="Propio"/>
    <s v="Bueno"/>
    <x v="0"/>
    <s v="SI"/>
    <d v="2025-11-23T00:00:00"/>
    <s v="SI"/>
    <x v="3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94"/>
    <m/>
    <n v="2023"/>
    <n v="8"/>
    <n v="6"/>
    <s v="Propio"/>
    <s v="Bueno"/>
    <x v="0"/>
    <s v="SI"/>
    <d v="2025-11-23T00:00:00"/>
    <s v="SI"/>
    <x v="3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Apoyo Diagnóstico"/>
    <s v="Bajo costo"/>
    <s v="Esfingomanómetro digital"/>
    <s v="Mati med"/>
    <s v="TP-200"/>
    <s v="B13"/>
    <s v="HPL30222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Quirúrgico"/>
    <s v="Mediano Costo "/>
    <s v="Lámpara de procedimientos"/>
    <s v="Welchallyn"/>
    <s v="GS600"/>
    <s v="S/N"/>
    <s v="HPL30315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adulto"/>
    <s v="Sunmed"/>
    <s v="Kit especial"/>
    <s v="S/N"/>
    <s v="HPL30320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pediátrico"/>
    <s v="Sunmed"/>
    <s v="S/N"/>
    <s v="S/N"/>
    <s v="HPL3032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nitoreo"/>
    <s v="Mediano Costo "/>
    <s v="Monitor de signos vitales"/>
    <s v="Mindray"/>
    <s v="DPM3"/>
    <s v="DQ-18000395"/>
    <s v="HPL30238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 signos vitales"/>
    <s v="Mindray"/>
    <s v="DPM3"/>
    <s v="DQ-18000401"/>
    <s v="HPL30239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59SA"/>
    <s v="HPL31304"/>
    <n v="2022"/>
    <n v="8"/>
    <n v="5"/>
    <s v="Propio"/>
    <s v="Bueno "/>
    <x v="0"/>
    <s v="SI"/>
    <d v="2024-12-01T00:00:00"/>
    <s v="SI"/>
    <x v="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72SA"/>
    <s v="HPL31305"/>
    <n v="2022"/>
    <n v="8"/>
    <n v="5"/>
    <s v="Propio"/>
    <s v="Bueno "/>
    <x v="0"/>
    <s v="SI"/>
    <d v="2024-12-01T00:00:00"/>
    <s v="SI"/>
    <x v="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30003SA"/>
    <s v="HPL31306"/>
    <n v="2022"/>
    <n v="8"/>
    <n v="5"/>
    <s v="Propio"/>
    <s v="Bueno "/>
    <x v="0"/>
    <s v="SI"/>
    <d v="2024-12-01T00:00:00"/>
    <s v="SI"/>
    <x v="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47SA"/>
    <s v="HPL31307"/>
    <n v="2022"/>
    <n v="8"/>
    <n v="5"/>
    <s v="Propio"/>
    <s v="Bueno "/>
    <x v="0"/>
    <s v="SI"/>
    <d v="2024-12-01T00:00:00"/>
    <s v="SI"/>
    <x v="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sfibrilador"/>
    <s v="Zoll medical"/>
    <s v="Serie R ALS"/>
    <s v="AF15D045649"/>
    <s v="HPL30210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sfibrilador "/>
    <s v="Zoll medical"/>
    <s v="Serie R ALS"/>
    <s v="AF15D045654"/>
    <s v="HPL30211"/>
    <n v="2016"/>
    <n v="8"/>
    <n v="-1"/>
    <s v="Propio"/>
    <s v="Bueno "/>
    <x v="0"/>
    <s v="NO"/>
    <s v="NO APLICA"/>
    <s v="SI"/>
    <x v="0"/>
    <s v="INTERNO"/>
    <s v="TECNICO EQM HPL"/>
    <s v="NO APLICA"/>
    <s v="-"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373"/>
    <s v="HPL29911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09"/>
    <s v="HPL29913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38"/>
    <s v="HPL29917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36"/>
    <s v="HPL30029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4"/>
    <s v="HPL30030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8"/>
    <s v="HPL30033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1"/>
    <s v="HPL30034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2"/>
    <s v="HPL30035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5"/>
    <s v="HPL30037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7"/>
    <s v="HPL30039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69"/>
    <s v="HPL30044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31190WA"/>
    <s v="HPL30369"/>
    <n v="2015"/>
    <n v="8"/>
    <n v="-2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51303WA"/>
    <s v="HPL30370"/>
    <n v="2016"/>
    <n v="8"/>
    <n v="-1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Apoyo Diagnóstico"/>
    <s v="Bajo costo"/>
    <s v="Oto-oftalmoscopio de pared"/>
    <s v="Riester"/>
    <s v="Ri-scope L"/>
    <s v="box1"/>
    <s v="HPL30231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2"/>
    <s v="HPL3023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5"/>
    <s v="HPL3023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7"/>
    <s v="HPL30235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"/>
    <s v="Nellcor"/>
    <s v="Oximax N-65"/>
    <s v="G15802062"/>
    <s v="HPL30257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 con capnografía"/>
    <s v="Nonin"/>
    <n v="9843"/>
    <n v="501319003"/>
    <s v="HPL30055"/>
    <n v="2015"/>
    <n v="8"/>
    <n v="-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Sierra corta yeso"/>
    <s v="Martin"/>
    <s v="Elektronik"/>
    <s v="S/N"/>
    <s v="HPL30353"/>
    <n v="2017"/>
    <n v="10"/>
    <n v="2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1B"/>
    <s v="Hospital Penco Lirquen"/>
    <s v="Apoyo Terapéutico"/>
    <s v="Alto Costo"/>
    <s v="Ventilador mecánico invasivo de transporte"/>
    <s v="Drager"/>
    <s v="Oxylog 3000 plus"/>
    <s v="ASNH-0102"/>
    <s v="HPL30220"/>
    <n v="2020"/>
    <n v="8"/>
    <n v="3"/>
    <s v="Propio"/>
    <s v="Bueno "/>
    <x v="0"/>
    <s v="NO"/>
    <s v="NO APLICA"/>
    <s v="SI"/>
    <x v="0"/>
    <s v="CONTRATO"/>
    <s v="TDM"/>
    <s v="1057540-101-LE23"/>
    <m/>
    <n v="2"/>
    <m/>
    <m/>
    <s v="X"/>
    <m/>
    <m/>
    <m/>
    <m/>
    <m/>
    <s v="X"/>
    <m/>
    <m/>
    <m/>
  </r>
  <r>
    <s v="Urgencia - 1B"/>
    <s v="Hospital Penco Lirquen"/>
    <s v="Apoyo Terapéutico"/>
    <s v="Mediano Costo "/>
    <s v="Bomba de infusión continua"/>
    <s v="Fresenius Kabi"/>
    <s v="Volumat MC Agilia E"/>
    <n v="21425792"/>
    <s v="HPL28423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 - 6"/>
    <s v="Hospital Penco Lirquen"/>
    <s v="Apoyo Diagnóstico"/>
    <s v="Bajo costo"/>
    <s v="Oto-oftalmoscopio de pared"/>
    <s v="Welchallyn"/>
    <n v="77712"/>
    <s v="box6"/>
    <s v="HPL30234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"/>
    <s v="Hospital Penco Lirquen"/>
    <s v="Laboratorio/Farmac"/>
    <s v="Mediano Costo "/>
    <s v="Refrigerador Clinico"/>
    <s v="Smeg"/>
    <s v="FV30G1"/>
    <n v="5120200011"/>
    <s v="HPL30075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Urgencia - 6A"/>
    <s v="Hospital Penco Lirquen"/>
    <s v="Otros"/>
    <s v="Alto Costo"/>
    <s v="Camara Mortuoria doble"/>
    <s v="Matachana"/>
    <s v="21cm2c2p"/>
    <s v="f-10173"/>
    <s v="HPL30247"/>
    <n v="2015"/>
    <n v="8"/>
    <n v="-2"/>
    <s v="Propio"/>
    <s v="Bueno "/>
    <x v="1"/>
    <s v="NO"/>
    <s v="NO APLICA"/>
    <s v="SI"/>
    <x v="0"/>
    <s v="EXTERNO"/>
    <s v="INTERNATIONAL CLINICS"/>
    <s v="1057540-14-LE24"/>
    <n v="868700"/>
    <n v="1"/>
    <m/>
    <s v="√"/>
    <m/>
    <m/>
    <m/>
    <m/>
    <m/>
    <m/>
    <m/>
    <m/>
    <m/>
    <m/>
  </r>
  <r>
    <s v="Urgencia - 6A"/>
    <s v="Hospital Penco Lirquen"/>
    <s v="Otros"/>
    <s v="Mediano Costo "/>
    <s v="Carro elevador de cadaveres"/>
    <s v="Matachana"/>
    <s v="LIFTING TROLLEY"/>
    <s v="ELE0216139"/>
    <s v="HPL30241"/>
    <n v="2015"/>
    <n v="8"/>
    <n v="-2"/>
    <s v="Propio"/>
    <s v="Bueno "/>
    <x v="1"/>
    <s v="NO"/>
    <s v="NO APLICA"/>
    <s v="SI"/>
    <x v="0"/>
    <s v="EXTERNO"/>
    <s v="INTERNATIONAL CLINICS"/>
    <s v="1057540-14-LE24"/>
    <n v="630700"/>
    <n v="1"/>
    <m/>
    <s v="√"/>
    <m/>
    <m/>
    <m/>
    <m/>
    <m/>
    <m/>
    <m/>
    <m/>
    <m/>
    <m/>
  </r>
  <r>
    <s v="Urgencia - 6A"/>
    <s v="Hospital Penco Lirquen"/>
    <s v="Imagenología"/>
    <s v="Alto Costo"/>
    <s v="Ecógrafo"/>
    <s v="General Electric"/>
    <s v="Logiq E"/>
    <s v="420339WX4"/>
    <s v="HPL30189"/>
    <n v="2015"/>
    <n v="8"/>
    <n v="-2"/>
    <s v="Propio"/>
    <s v="Bueno "/>
    <x v="3"/>
    <s v="NO"/>
    <s v="NO APLICA"/>
    <s v="SI"/>
    <x v="0"/>
    <s v="EXTERNO"/>
    <s v="HOSER"/>
    <s v="1057540-17-LE23"/>
    <n v="1832600"/>
    <n v="2"/>
    <m/>
    <s v="√"/>
    <m/>
    <m/>
    <m/>
    <m/>
    <m/>
    <m/>
    <s v="X"/>
    <m/>
    <m/>
    <m/>
  </r>
  <r>
    <s v="Urgencia - 6A"/>
    <s v="Hospital Penco Lirquen"/>
    <s v="Apoyo Diagnóstico"/>
    <s v="Mediano Costo "/>
    <s v="Electrocardiografo"/>
    <s v="Nihon Kohden"/>
    <s v="Cardiofax C ECG 1150"/>
    <s v="04055K"/>
    <s v="HPL30130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29WA"/>
    <s v="HPL30373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2WA"/>
    <s v="HPL30374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8WA"/>
    <s v="HPL30375"/>
    <n v="2016"/>
    <n v="8"/>
    <n v="-1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Quirúrgico"/>
    <s v="Alto Costo"/>
    <s v="Lampara de techo"/>
    <s v="ACEM"/>
    <s v="SOLED 15"/>
    <s v="S15S1000756"/>
    <s v="HPL30354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7"/>
    <s v="HPL30355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8"/>
    <s v="HPL30356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9"/>
    <s v="HPL30357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0"/>
    <s v="HPL30358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2"/>
    <s v="HPL30360"/>
    <n v="2016"/>
    <n v="10"/>
    <n v="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1876"/>
    <s v="HPL30252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1877"/>
    <s v="HPL30253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2024"/>
    <s v="HPL30254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Laboratorio/Farmac"/>
    <s v="Mediano Costo "/>
    <s v="Refrigerador"/>
    <s v="General Electric"/>
    <s v="GAG5SAMRCS"/>
    <s v="2D1610-0094"/>
    <s v="HPL30180"/>
    <n v="2015"/>
    <n v="10"/>
    <n v="0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Urgencia - 6B"/>
    <s v="Hospital Penco Lirquen"/>
    <s v="Apoyo Terapéutico"/>
    <s v="Bajo costo"/>
    <s v="Calentador de suero"/>
    <s v="Ethermics"/>
    <s v="DC 250L"/>
    <s v="1778112-000"/>
    <s v="HPL30156"/>
    <n v="2016"/>
    <n v="8"/>
    <n v="-1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 - 6B"/>
    <s v="Hospital Penco Lirquen"/>
    <s v="Apoyo Terapéutico"/>
    <s v="Bajo costo"/>
    <s v="Calentador de suero"/>
    <s v="Ethermics"/>
    <s v="EC 250L"/>
    <s v="3470774-4"/>
    <m/>
    <n v="2024"/>
    <n v="8"/>
    <n v="7"/>
    <s v="Propio"/>
    <s v="Bueno "/>
    <x v="2"/>
    <s v="SI"/>
    <d v="2026-11-27T00:00:00"/>
    <s v="SI"/>
    <x v="1"/>
    <s v="EXTERNO"/>
    <s v="PRODIAGNOSTICA"/>
    <s v="COLDAS 2024"/>
    <n v="0"/>
    <n v="1"/>
    <m/>
    <m/>
    <m/>
    <m/>
    <m/>
    <m/>
    <m/>
    <m/>
    <m/>
    <m/>
    <s v="X"/>
    <m/>
  </r>
  <r>
    <s v="Urgencia - 7B"/>
    <s v="Hospital Penco Lirquen"/>
    <s v="Apoyo Terapéutico"/>
    <s v="Bajo costo"/>
    <s v="Camilla de trasporte de paciente"/>
    <s v="Malvestio"/>
    <s v="Itala"/>
    <n v="20100093"/>
    <m/>
    <n v="2023"/>
    <n v="8"/>
    <n v="6"/>
    <s v="Propio"/>
    <s v="Bueno "/>
    <x v="1"/>
    <s v="SI"/>
    <d v="2024-06-15T00:00:00"/>
    <s v="NO"/>
    <x v="3"/>
    <s v="EXTERNO"/>
    <s v="COLDAS"/>
    <s v="BLUEMEDICAL"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 E"/>
    <n v="21248881"/>
    <s v="HPL28422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389"/>
    <s v="HPL28340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432"/>
    <s v="HPL28459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60298"/>
    <s v="HPL28460"/>
    <n v="2019"/>
    <n v="8"/>
    <n v="2"/>
    <s v="Comodato"/>
    <s v="Bueno "/>
    <x v="2"/>
    <s v="NO"/>
    <s v="NO APLICA"/>
    <s v="NO"/>
    <x v="2"/>
    <s v="CONTRATO"/>
    <s v="Fresenius Kabi"/>
    <m/>
    <m/>
    <m/>
    <m/>
    <m/>
    <m/>
    <m/>
    <m/>
    <m/>
    <m/>
    <m/>
    <m/>
    <m/>
    <m/>
    <m/>
  </r>
  <r>
    <s v="Urgencias"/>
    <s v="Hospital Penco Lirquen"/>
    <s v="Apoyo Diagnóstico"/>
    <s v="Bajo costo "/>
    <s v="Balanza pediátrica"/>
    <s v="Seca"/>
    <s v="725 1021004"/>
    <n v="5725236151118"/>
    <s v="HPL25060"/>
    <m/>
    <n v="10"/>
    <m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rgencias"/>
    <s v="Hospital Penco Lirquen"/>
    <s v="Apoyo Terapéutico"/>
    <s v="Bajo costo"/>
    <s v="Videolaringoscopio"/>
    <s v="Covidien"/>
    <s v="McGRATH MAC"/>
    <n v="181504"/>
    <m/>
    <n v="2024"/>
    <n v="3"/>
    <n v="2"/>
    <s v="Propio"/>
    <s v="Bueno "/>
    <x v="2"/>
    <s v="SI"/>
    <d v="2025-12-02T00:00:00"/>
    <s v="NO"/>
    <x v="2"/>
    <s v="EXTERNO"/>
    <m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477"/>
    <m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2958862"/>
    <m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018150"/>
    <m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501"/>
    <m/>
    <n v="2023"/>
    <n v="8"/>
    <n v="6"/>
    <s v="Comodato"/>
    <s v="Bueno "/>
    <x v="2"/>
    <s v="NO"/>
    <s v="NO APLICA"/>
    <s v="NO"/>
    <x v="2"/>
    <s v="CONTRATO"/>
    <s v="Fresenius"/>
    <m/>
    <m/>
    <m/>
    <m/>
    <m/>
    <m/>
    <m/>
    <m/>
    <m/>
    <m/>
    <m/>
    <m/>
    <m/>
    <m/>
    <m/>
  </r>
  <r>
    <s v="Urgencias - 6B"/>
    <s v="Hospital Penco Lirquen"/>
    <s v="Apoyo Diagnóstico"/>
    <s v="Mediano Costo "/>
    <s v="Capnógrafo"/>
    <s v="MASIMO"/>
    <s v="EMMA"/>
    <s v="REF 605102"/>
    <m/>
    <n v="2023"/>
    <n v="8"/>
    <n v="6"/>
    <s v="Propio"/>
    <s v="Bueno "/>
    <x v="2"/>
    <s v="SI"/>
    <d v="2024-03-20T00:00:00"/>
    <s v="NO"/>
    <x v="2"/>
    <s v="EXTERNO"/>
    <s v="PV EQUIP"/>
    <s v="COLDAS 2022"/>
    <m/>
    <m/>
    <m/>
    <m/>
    <m/>
    <m/>
    <m/>
    <m/>
    <m/>
    <m/>
    <m/>
    <m/>
    <m/>
    <m/>
  </r>
  <r>
    <s v="UTI"/>
    <s v="Hospital Penco Lirquen"/>
    <s v="Monitoreo"/>
    <s v="Alto Costo"/>
    <s v="Central de Monitoreo"/>
    <s v="Nihon Kohden"/>
    <s v="CNS-9101"/>
    <n v="100513"/>
    <m/>
    <n v="2021"/>
    <n v="8"/>
    <n v="4"/>
    <s v="Propio"/>
    <s v="Bueno "/>
    <x v="2"/>
    <s v="NO"/>
    <s v="NO APLICA"/>
    <s v="SI"/>
    <x v="1"/>
    <s v="EXTERNO"/>
    <s v="PENDIENTE"/>
    <s v="PENDIENTE"/>
    <n v="1500000"/>
    <n v="2"/>
    <m/>
    <m/>
    <s v="X"/>
    <m/>
    <m/>
    <m/>
    <m/>
    <m/>
    <s v="X"/>
    <m/>
    <m/>
    <m/>
  </r>
  <r>
    <s v="UTI"/>
    <s v="Hospital Penco Lirquen"/>
    <s v="Apoyo Terapéutico"/>
    <s v="Alto Costo"/>
    <s v="Ventilador mecánico Invasivo"/>
    <s v="MECKics"/>
    <s v="MV2000-EVO 5"/>
    <s v="MV2000UA1C0549"/>
    <s v="HPL30272"/>
    <n v="2021"/>
    <n v="8"/>
    <n v="4"/>
    <s v="Préstamo"/>
    <s v="Bueno "/>
    <x v="0"/>
    <s v="NO"/>
    <s v="NO APLICA"/>
    <s v="SI"/>
    <x v="0"/>
    <s v="CONTRATO"/>
    <s v="TDM"/>
    <s v="1057540-101-LE23"/>
    <m/>
    <n v="2"/>
    <m/>
    <m/>
    <s v="X"/>
    <m/>
    <m/>
    <m/>
    <m/>
    <m/>
    <s v="X"/>
    <m/>
    <m/>
    <m/>
  </r>
  <r>
    <s v="UTI"/>
    <s v="Hospital Penco Lirquen"/>
    <s v="Apoyo Terapéutico"/>
    <s v="Alto Costo"/>
    <s v="Ventilador Mecanico No Invasivo"/>
    <s v="Philips"/>
    <s v="Trilogy EV300"/>
    <s v="H29910884D650"/>
    <s v="_x0009__x000a_HPL31308"/>
    <n v="2022"/>
    <n v="8"/>
    <n v="5"/>
    <s v="Propio"/>
    <s v="Bueno "/>
    <x v="0"/>
    <s v="SI"/>
    <d v="2024-12-01T00:00:00"/>
    <s v="SI"/>
    <x v="0"/>
    <s v="EXTERNO"/>
    <s v="TDM"/>
    <s v="1057540-101-LE23"/>
    <m/>
    <n v="2"/>
    <m/>
    <m/>
    <s v="X"/>
    <m/>
    <m/>
    <m/>
    <m/>
    <m/>
    <s v="X"/>
    <m/>
    <m/>
    <m/>
  </r>
  <r>
    <s v="UTI"/>
    <s v="Hospital Penco Lirquen"/>
    <s v="Apoyo Terapéutico"/>
    <s v="Mediano Costo "/>
    <s v="Base humidificadora para VMI"/>
    <s v="Fisher &amp; Paykel Healthcare"/>
    <s v="MR850"/>
    <s v="210310559905"/>
    <s v="HPL30175"/>
    <n v="2022"/>
    <n v="8"/>
    <n v="5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0"/>
    <s v="HPL28468"/>
    <n v="2021"/>
    <n v="8"/>
    <n v="4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4"/>
    <s v="HPL28469"/>
    <n v="2021"/>
    <n v="8"/>
    <n v="4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7"/>
    <s v="HPL28470"/>
    <n v="2021"/>
    <n v="8"/>
    <n v="4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1"/>
    <s v="HPL28486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2"/>
    <s v="HPL28487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814"/>
    <s v="HPL30186"/>
    <n v="2019"/>
    <n v="10"/>
    <n v="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795"/>
    <s v="HPL30185"/>
    <n v="2019"/>
    <n v="10"/>
    <n v="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"/>
    <s v="Hospital Penco Lirquen"/>
    <s v="Monitoreo"/>
    <s v="Mediano Costo"/>
    <s v="Monitor de presión (holter)"/>
    <s v="Cardioline"/>
    <s v="WALK 200b"/>
    <s v="AACO57"/>
    <m/>
    <n v="2021"/>
    <n v="8"/>
    <n v="4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"/>
    <s v="Hospital Penco Lirquen"/>
    <s v="Monitoreo"/>
    <s v="Mediano Costo "/>
    <s v="Monitor desfibrilador "/>
    <s v="Zoll medical"/>
    <s v="Serie R ALS"/>
    <s v="AF20F118297"/>
    <s v="HPL30215"/>
    <n v="2020"/>
    <n v="8"/>
    <n v="3"/>
    <s v="Propio"/>
    <s v="Bueno "/>
    <x v="0"/>
    <s v="NO"/>
    <s v="NO APLICA"/>
    <s v="SI"/>
    <x v="0"/>
    <s v="INTERNO"/>
    <s v="TECNICO EQM HPL"/>
    <s v="NO APLICA"/>
    <s v="-"/>
    <n v="2"/>
    <m/>
    <m/>
    <m/>
    <m/>
    <s v="X"/>
    <m/>
    <m/>
    <m/>
    <m/>
    <m/>
    <s v="X"/>
    <m/>
  </r>
  <r>
    <s v="UTI"/>
    <s v="Hospital Penco Lirquen"/>
    <s v="Laboratorio/Farmac"/>
    <s v="Mediano Costo "/>
    <s v="Refrigerador Clinico"/>
    <s v="Smeg"/>
    <s v="FV30G1"/>
    <n v="5122200071"/>
    <s v="HPL30079"/>
    <n v="2016"/>
    <n v="10"/>
    <n v="1"/>
    <s v="Propio"/>
    <s v="Bueno "/>
    <x v="1"/>
    <s v="NO"/>
    <s v="NO APLICA"/>
    <s v="SI"/>
    <x v="0"/>
    <s v="CONTRATO"/>
    <s v="CLIMATICPRO"/>
    <s v="1057540-100-LE23"/>
    <n v="51703"/>
    <n v="1"/>
    <m/>
    <m/>
    <m/>
    <m/>
    <m/>
    <m/>
    <m/>
    <m/>
    <s v="X"/>
    <m/>
    <m/>
    <m/>
  </r>
  <r>
    <s v="UTI"/>
    <s v="Hospital Penco Lirquen"/>
    <s v="Apoyo Terapéutico"/>
    <s v="Mediano Costo "/>
    <s v="Sistema de alto flujo humidificado"/>
    <s v="Respircare"/>
    <s v="HUMID-BM"/>
    <s v="SN302010004201105057"/>
    <n v="2187448"/>
    <n v="2024"/>
    <n v="8"/>
    <n v="7"/>
    <s v="Préstam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"/>
    <s v="Hospital Penco Lirquen"/>
    <s v="Apoyo Terapéutico"/>
    <s v="Mediano Costo "/>
    <s v="Sistema de alto flujo humidificado"/>
    <s v="Respircare"/>
    <s v="HUMID-BM"/>
    <s v="SN302010004201105039"/>
    <n v="2187449"/>
    <n v="2024"/>
    <n v="8"/>
    <n v="7"/>
    <s v="Préstam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"/>
    <s v="Hospital Penco Lirquen"/>
    <s v="Apoyo Terapéutico"/>
    <s v="Clínico"/>
    <s v="Sistema de alto flujo humidificado"/>
    <s v="Fisher &amp; Paykel"/>
    <s v="Airvo 2"/>
    <n v="230118354805"/>
    <m/>
    <n v="2024"/>
    <n v="8"/>
    <n v="7"/>
    <s v="Propio"/>
    <s v="Bueno "/>
    <x v="2"/>
    <s v="SI"/>
    <d v="2026-09-01T00:00:00"/>
    <s v="SI"/>
    <x v="3"/>
    <s v="EXTERNO"/>
    <s v="Mediplex"/>
    <s v="1057540-59-L124"/>
    <n v="0"/>
    <n v="1"/>
    <m/>
    <m/>
    <m/>
    <m/>
    <m/>
    <m/>
    <m/>
    <m/>
    <s v="X"/>
    <m/>
    <m/>
    <m/>
  </r>
  <r>
    <s v="UTI"/>
    <s v="Hospital Penco Lirquen"/>
    <s v="Apoyo Terapéutico"/>
    <s v="Bajo costo"/>
    <s v="Videolaringoscopio"/>
    <s v="Covidien"/>
    <s v="McGRATH MAC"/>
    <n v="181503"/>
    <m/>
    <n v="2024"/>
    <n v="3"/>
    <n v="2"/>
    <s v="Propio"/>
    <s v="Bueno "/>
    <x v="2"/>
    <s v="SI"/>
    <d v="2025-12-02T00:00:00"/>
    <s v="NO"/>
    <x v="2"/>
    <s v="EXTERNO"/>
    <m/>
    <m/>
    <m/>
    <m/>
    <m/>
    <m/>
    <m/>
    <m/>
    <m/>
    <m/>
    <m/>
    <m/>
    <m/>
    <m/>
    <m/>
    <m/>
  </r>
  <r>
    <s v="UTI "/>
    <s v="Hospital Penco Lirquen"/>
    <s v="Monitoreo"/>
    <s v="Alto Costo"/>
    <s v="Monitor ECG alta complejidad"/>
    <s v="Nihon Kohden"/>
    <s v="CSM-1502"/>
    <s v="03714"/>
    <s v="HPL30124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17"/>
    <s v="HPL30125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3"/>
    <s v="HPL30126"/>
    <n v="2021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6"/>
    <s v="HPL30127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39"/>
    <s v="HPL30128"/>
    <n v="2021"/>
    <n v="8"/>
    <n v="4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40"/>
    <s v="HPL30129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14)"/>
    <s v="Nihon Kohden"/>
    <s v="BSM-1763K"/>
    <s v="08697"/>
    <s v="HPL30133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17)"/>
    <s v="Nihon Kohden"/>
    <s v="BSM-1763K"/>
    <s v="08699"/>
    <s v="HPL30134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23)"/>
    <s v="Nihon Kohden"/>
    <s v="BSM-1763K"/>
    <s v="08694"/>
    <s v="HPL30132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n v="8528"/>
    <s v="HPL30135"/>
    <n v="2021"/>
    <n v="8"/>
    <n v="4"/>
    <s v="Préstam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mediana complejidad (pequeño adosado a 03726)"/>
    <s v="Nihon Kohden"/>
    <s v="BSM-1763K"/>
    <n v="6678"/>
    <s v="HPL29879"/>
    <n v="2020"/>
    <n v="8"/>
    <n v="3"/>
    <s v="Propio"/>
    <s v="Bueno "/>
    <x v="0"/>
    <s v="NO"/>
    <s v="NO APLICA"/>
    <s v="SI"/>
    <x v="0"/>
    <s v="INTERNO"/>
    <s v="TECNICO EQM HPL"/>
    <s v="NO APLICA"/>
    <m/>
    <n v="2"/>
    <m/>
    <m/>
    <m/>
    <m/>
    <s v="X"/>
    <m/>
    <m/>
    <m/>
    <m/>
    <m/>
    <s v="X"/>
    <m/>
  </r>
  <r>
    <s v="UTI -  1B"/>
    <s v="Hospital Penco Lirquen"/>
    <s v="Apoyo Terapéutico"/>
    <s v="Mediano Costo "/>
    <s v="Bomba de infusión continua"/>
    <s v="Braun"/>
    <s v="Perfusor Space"/>
    <n v="512451"/>
    <s v="HPL29929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59"/>
    <s v="HPL29930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64"/>
    <s v="HPL29931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Alto Costo"/>
    <s v="Ventilador mecánico Invasivo"/>
    <s v="MECKics"/>
    <s v="MV2000-EVO 5"/>
    <s v="MV2000UA1C0551"/>
    <s v="HPL30273"/>
    <n v="2021"/>
    <n v="8"/>
    <n v="4"/>
    <s v="Préstamo"/>
    <s v="Bueno "/>
    <x v="0"/>
    <s v="NO"/>
    <s v="NO APLICA"/>
    <s v="SI"/>
    <x v="0"/>
    <s v="EXTERNO"/>
    <s v="TDM"/>
    <s v="1057540-101-LE23"/>
    <m/>
    <n v="2"/>
    <m/>
    <m/>
    <s v="X"/>
    <m/>
    <m/>
    <m/>
    <m/>
    <m/>
    <s v="X"/>
    <m/>
    <m/>
    <m/>
  </r>
  <r>
    <s v="UTI - 1B"/>
    <s v="Hospital Penco Lirquen"/>
    <s v="Apoyo Terapéutico"/>
    <s v="Alto Costo"/>
    <s v="Ventilador mecánico Invasivo"/>
    <s v="Philips"/>
    <s v="Trilogy 100"/>
    <s v="TV11909271B"/>
    <s v="HPL30385"/>
    <n v="2020"/>
    <n v="8"/>
    <n v="3"/>
    <s v="Préstamo"/>
    <s v="Bueno "/>
    <x v="0"/>
    <s v="NO"/>
    <s v="NO APLICA"/>
    <s v="SI"/>
    <x v="0"/>
    <s v="EXTERNO"/>
    <s v="TDM"/>
    <s v="1057540-101-LE23"/>
    <m/>
    <n v="2"/>
    <m/>
    <m/>
    <s v="X"/>
    <m/>
    <m/>
    <m/>
    <m/>
    <m/>
    <s v="X"/>
    <m/>
    <m/>
    <m/>
  </r>
  <r>
    <s v="UTI - 1B"/>
    <s v="Hospital Penco Lirquen"/>
    <s v="Apoyo Terapéutico"/>
    <s v="Mediano Costo "/>
    <s v="Bomba de infusión continua"/>
    <s v="Fresenius Kabi"/>
    <s v="Volumat MC Agilia"/>
    <n v="22266993"/>
    <s v="HPL28463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69"/>
    <s v="HPL29932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1"/>
    <s v="HPL29933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3"/>
    <s v="HPL29935"/>
    <n v="2020"/>
    <n v="8"/>
    <n v="3"/>
    <s v="Propio"/>
    <s v="Bueno "/>
    <x v="2"/>
    <s v="NO"/>
    <s v="NO APLICA"/>
    <s v="NO"/>
    <x v="2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Fresenius Kabi"/>
    <s v="Volumat MC Agilia"/>
    <n v="22958488"/>
    <s v="HPL28467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 - Back up"/>
    <s v="Fresenius Kabi"/>
    <s v="Volumat MC Agilia"/>
    <n v="22958408"/>
    <m/>
    <n v="2023"/>
    <n v="8"/>
    <n v="6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Bajo costo"/>
    <s v="Bomba de nutrición enteral"/>
    <s v="Fresenius Kabi"/>
    <s v="AMIKA-ES"/>
    <n v="24668407"/>
    <s v="HPL28483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Monitor de Coagulación Sanguínea"/>
    <s v="Coaguchek"/>
    <s v="Pro II Kit W-LAN"/>
    <s v="TZ1140845"/>
    <m/>
    <n v="2022"/>
    <n v="10"/>
    <n v="7"/>
    <s v="Propio"/>
    <s v="Bueno "/>
    <x v="2"/>
    <s v="SI"/>
    <n v="2023"/>
    <s v="NO"/>
    <x v="2"/>
    <s v="EXTERNO"/>
    <m/>
    <s v="COLDAS 2022"/>
    <m/>
    <m/>
    <m/>
    <m/>
    <m/>
    <m/>
    <m/>
    <m/>
    <m/>
    <m/>
    <m/>
    <m/>
    <m/>
    <m/>
  </r>
  <r>
    <s v="UTI - 1B"/>
    <s v="Hospital Penco Lirquen"/>
    <s v="Mobiliario"/>
    <s v="Clínico"/>
    <s v="Sillón de tratamiento"/>
    <s v="Malvestio"/>
    <s v="Idea 2 "/>
    <n v="20100210"/>
    <m/>
    <n v="2023"/>
    <m/>
    <m/>
    <s v="Propio "/>
    <s v="Bueno "/>
    <x v="2"/>
    <s v="SI"/>
    <m/>
    <s v="NO"/>
    <x v="2"/>
    <s v="EXTERNO"/>
    <s v="BLUEMEDICAL"/>
    <m/>
    <m/>
    <m/>
    <m/>
    <m/>
    <m/>
    <m/>
    <m/>
    <m/>
    <m/>
    <m/>
    <m/>
    <m/>
    <m/>
    <m/>
  </r>
  <r>
    <s v="UTI - 1C"/>
    <s v="Hospital Penco Lirquen"/>
    <s v="Apoyo Terapéutico"/>
    <s v="Mediano Costo "/>
    <s v="Bomba de infusión continua - Back Up"/>
    <s v="Fresenius Kabi"/>
    <s v="Volumat MC Agilia"/>
    <n v="23644256"/>
    <m/>
    <n v="2023"/>
    <n v="8"/>
    <n v="6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1C"/>
    <s v="Hospital Penco Lirquen"/>
    <s v="Apoyo Terapéutico"/>
    <s v="Mediano Costo "/>
    <s v="Calentador de paciente"/>
    <s v="3M Bair Hugger"/>
    <n v="775"/>
    <n v="145319"/>
    <s v="HPL29921"/>
    <n v="2020"/>
    <n v="8"/>
    <n v="3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3CC1555"/>
    <s v="HPL30386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1"/>
    <s v="HPL30387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2"/>
    <s v="HPL30388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4"/>
    <s v="HPL30389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5"/>
    <s v="HPL30390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6"/>
    <s v="HPL30391"/>
    <n v="2020"/>
    <n v="8"/>
    <n v="3"/>
    <s v="Propio"/>
    <s v="Bueno "/>
    <x v="1"/>
    <s v="NO"/>
    <s v="NO APLICA"/>
    <s v="SI"/>
    <x v="3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Apoyo Diagnóstico"/>
    <s v="Mediano Costo "/>
    <s v="Electrocardiografo"/>
    <s v="General Electric"/>
    <s v="MAC2000"/>
    <s v="STD20110229PA"/>
    <s v="HPL30380"/>
    <n v="2020"/>
    <n v="8"/>
    <n v="3"/>
    <s v="Propio"/>
    <s v="Bueno "/>
    <x v="1"/>
    <s v="NO"/>
    <s v="NO APLICA"/>
    <s v="SI"/>
    <x v="0"/>
    <s v="INTERNO"/>
    <s v="TECNICO EQM HPL"/>
    <s v="NO APLICA"/>
    <m/>
    <n v="1"/>
    <m/>
    <m/>
    <m/>
    <m/>
    <m/>
    <m/>
    <m/>
    <m/>
    <m/>
    <m/>
    <s v="X"/>
    <m/>
  </r>
  <r>
    <s v="UTI - 1C"/>
    <s v="Hospital Penco Lirquen"/>
    <s v="Apoyo Terapéutico"/>
    <s v="Mediano Costo "/>
    <s v="Marcapasos externo"/>
    <s v="Medtronic"/>
    <n v="5392"/>
    <s v="DJH039556P"/>
    <s v="HPL30237"/>
    <n v="2021"/>
    <n v="8"/>
    <n v="4"/>
    <s v="Propio"/>
    <s v="Bueno "/>
    <x v="2"/>
    <s v="NO"/>
    <s v="NO APLICA"/>
    <s v="NO"/>
    <x v="2"/>
    <s v="EXTERNO"/>
    <m/>
    <m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12"/>
    <s v="HPL30072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44"/>
    <s v="HPL30073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163"/>
    <s v="HPL30074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459"/>
    <s v="HPL30107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563"/>
    <s v="HPL30108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 Healthcare"/>
    <s v="Airvo 2"/>
    <s v="200612139226"/>
    <s v="HPL30170"/>
    <n v="2021"/>
    <n v="8"/>
    <n v="4"/>
    <s v="Propio"/>
    <s v="Bueno "/>
    <x v="2"/>
    <s v="NO"/>
    <s v="NO APLICA"/>
    <s v="SI"/>
    <x v="1"/>
    <s v="EXTERNO"/>
    <s v="PENDIENTE"/>
    <s v="PENDIENTE"/>
    <n v="394250"/>
    <n v="1"/>
    <m/>
    <m/>
    <m/>
    <s v="X"/>
    <m/>
    <m/>
    <m/>
    <m/>
    <m/>
    <m/>
    <m/>
    <m/>
  </r>
  <r>
    <s v="UTI - 6B"/>
    <s v="Hospital Penco Lirquen"/>
    <s v="Apoyo Terapéutico"/>
    <s v="Mediano Costo "/>
    <s v="Bomba de infusión continua"/>
    <s v="Fresenius Kabi"/>
    <s v="Volumat MC Agilia"/>
    <n v="22958501"/>
    <s v="HPL28454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Apoyo Diagnóstico"/>
    <s v="Bajo costo"/>
    <s v="Balanza con tallímetro"/>
    <s v="Seca"/>
    <s v="GMDH &amp; CO"/>
    <n v="5769092145228"/>
    <s v="HPL24769"/>
    <n v="2015"/>
    <n v="10"/>
    <n v="0"/>
    <s v="Propio"/>
    <s v="Bueno "/>
    <x v="2"/>
    <s v="NO"/>
    <s v="NO APLICA"/>
    <s v="NO"/>
    <x v="2"/>
    <s v="INTERNO"/>
    <s v="TECNICO EQM HPL"/>
    <s v="NO APLICA"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 E"/>
    <n v="21634126"/>
    <s v="HPL28465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170022"/>
    <s v="HPL28462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657687"/>
    <s v="HPL28466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3460275"/>
    <s v="HPL28464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6"/>
    <s v="HPL28482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  <r>
    <s v="UTI - 9B"/>
    <s v="Hospital Penco Lirquen"/>
    <s v="Hospital Penco Lirquen"/>
    <s v="Bajo costo"/>
    <s v="Bomba de nutrición enteral"/>
    <s v="Fresenius Kabi"/>
    <s v="AMIKA-ES"/>
    <n v="240009338"/>
    <s v="HPL28484"/>
    <n v="2019"/>
    <n v="8"/>
    <n v="2"/>
    <s v="Comodato"/>
    <s v="Bueno "/>
    <x v="2"/>
    <s v="NO"/>
    <s v="NO APLICA"/>
    <s v="NO"/>
    <x v="2"/>
    <s v="EXTERNO"/>
    <s v="Fresenius Kabi"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s v="Ambulancia - 7B"/>
    <s v="Hospital Penco Lirquen"/>
    <s v="Monitoreo"/>
    <s v="Mediano Costo "/>
    <s v="Monitor ECG Baja Complejidad"/>
    <s v="Nihon Kohden"/>
    <s v="SVM-7260"/>
    <s v="00292"/>
    <s v="HPL30123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Ambulancia - 7B"/>
    <s v="Hospital Penco Lirquen"/>
    <s v="Monitoreo"/>
    <s v="Mediano Costo "/>
    <s v="Monitor ECG Baja Complejidad"/>
    <s v="Mindray"/>
    <s v="uMEC10"/>
    <s v="KN-03065493"/>
    <s v="HPL30261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Bodega de abastecimiento - 16"/>
    <s v="Hospital Penco Lirquen"/>
    <s v="Laboratorio/Farmac"/>
    <s v="Bajo costo"/>
    <s v="Frigobar"/>
    <s v="Mabe"/>
    <s v="MAC 120 BO"/>
    <s v="13112529DA0363"/>
    <s v="HPL30138"/>
    <n v="2016"/>
    <n v="10"/>
    <n v="1"/>
    <s v="Propio"/>
    <s v="Bueno "/>
    <x v="1"/>
    <s v="NO"/>
    <s v="NO APLICA"/>
    <s v="SI"/>
    <n v="2023"/>
    <s v="CONTRATO"/>
    <s v="CLIMATICPRO"/>
    <s v="1057540-100-LE23"/>
    <n v="51716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 "/>
    <s v="Refrigerador Clinico"/>
    <s v="Pitec"/>
    <s v="REF-38"/>
    <n v="5660"/>
    <s v="HPL29878"/>
    <n v="2015"/>
    <n v="10"/>
    <n v="0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 "/>
    <s v="Refrigerador Clinico"/>
    <s v="Smeg"/>
    <s v="FV30G1"/>
    <n v="5122200051"/>
    <s v="HPL30078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Bodega de abastecimiento - 16"/>
    <s v="Hospital Penco Lirquen"/>
    <s v="Laboratorio/Farmac"/>
    <s v="Mediano Costo"/>
    <s v="Refrigerador Clinico"/>
    <s v="MIDEA BIOMEDICAL"/>
    <s v="MC-5L1006"/>
    <s v="540-N6541304-4219-3410004"/>
    <m/>
    <n v="2024"/>
    <n v="8"/>
    <n v="7"/>
    <s v="Propio"/>
    <s v="Bueno "/>
    <x v="1"/>
    <s v="SI"/>
    <d v="2026-12-17T00:00:00"/>
    <s v="SI"/>
    <n v="2025"/>
    <s v="EXTERNO"/>
    <s v="GRUPOBIOS"/>
    <s v="1057540-3018-LE24"/>
    <m/>
    <n v="1"/>
    <m/>
    <m/>
    <m/>
    <m/>
    <m/>
    <m/>
    <m/>
    <m/>
    <m/>
    <m/>
    <m/>
    <s v="X"/>
  </r>
  <r>
    <s v="Bodega de Equipos Médicos"/>
    <s v="Hospital Penco Lirquen"/>
    <s v="Apoyo Terapéutico"/>
    <s v="Mediano Costo "/>
    <s v="Bomba de infusión continua"/>
    <s v="Fresenius Kabi"/>
    <s v="Agilia VP MC"/>
    <n v="22324977"/>
    <s v="HPL28451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 E"/>
    <n v="21003348"/>
    <s v="HPL28452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Agilia VP MC"/>
    <n v="22959117"/>
    <s v="HPL28450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Fresenius Kabi"/>
    <s v="Volumat MC Agilia"/>
    <n v="22170040"/>
    <s v="HPL28453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Infusomat Space"/>
    <n v="282070"/>
    <s v="HPL29924"/>
    <n v="2016"/>
    <n v="8"/>
    <n v="-1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48"/>
    <s v="HPL29927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50"/>
    <s v="HPL29928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2"/>
    <s v="HPL29934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74"/>
    <s v="HPL29936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Apoyo Terapéutico"/>
    <s v="Mediano Costo "/>
    <s v="Bomba de infusión continua"/>
    <s v="Braun"/>
    <s v="Perfusor Space"/>
    <n v="512481"/>
    <s v="HPL29937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Bodega de Equipos Médicos"/>
    <s v="Hospital Penco Lirquen"/>
    <s v="Monitoreo"/>
    <s v="Mediano Costo "/>
    <s v="Desfibrilador externo automático (DEA)"/>
    <s v="Philips"/>
    <s v="Heart Start"/>
    <s v="A19K-06543"/>
    <s v="HPL30200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Bodega de Equipos Médicos"/>
    <s v="Hospital Penco Lirquen"/>
    <s v="Apoyo Quirúrgico"/>
    <s v="Mediano Costo "/>
    <s v="Fuente de luz torre endoscopia"/>
    <s v="Fujifilm"/>
    <s v="Fujinon"/>
    <s v="2S095G422"/>
    <s v="HPL30181"/>
    <n v="2016"/>
    <n v="8"/>
    <n v="-1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Monitoreo"/>
    <s v="Mediano Costo "/>
    <s v="Monitor torre de endoscopia"/>
    <s v="Radiance"/>
    <s v="NDS"/>
    <s v="15-260562"/>
    <s v="HPL30148"/>
    <n v="2016"/>
    <n v="8"/>
    <n v="-1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Quirúrgico"/>
    <s v="Mediano Costo "/>
    <s v="Unidad de camara torre endoscopia"/>
    <s v="Fujifilm"/>
    <s v="EPX 4450 HD"/>
    <s v="2V568G169"/>
    <s v="HPL30182"/>
    <n v="2016"/>
    <n v="8"/>
    <n v="-1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colonoscopio"/>
    <s v="Fujifilm"/>
    <s v="EC-530FL"/>
    <s v="1C654K218"/>
    <s v="HPL30159"/>
    <n v="2016"/>
    <n v="7"/>
    <n v="-2"/>
    <s v="Propio"/>
    <s v="MALO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Endoscópico"/>
    <s v="Mediano Costo "/>
    <s v="Videopanendoscopio"/>
    <s v="Fujifilm"/>
    <s v="EG-530WR"/>
    <s v="8G361K252"/>
    <s v="HPL30195"/>
    <n v="2019"/>
    <n v="7"/>
    <n v="1"/>
    <s v="Propio"/>
    <s v="MALO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Bodega de Equipos Médicos"/>
    <s v="Hospital Penco Lirquen"/>
    <s v="Apoyo Quirúrgico"/>
    <s v="Bajo costo"/>
    <s v="Bomba de aspiración"/>
    <s v="Ca-mi"/>
    <s v="ASKIR 36BR"/>
    <n v="15580"/>
    <s v="HPL29891"/>
    <n v="2020"/>
    <n v="10"/>
    <n v="5"/>
    <s v="Propio"/>
    <s v="Bueno "/>
    <x v="1"/>
    <s v="NO"/>
    <s v="NO APLICA"/>
    <s v="SI"/>
    <n v="2024"/>
    <s v="INTERNO"/>
    <s v="TECNICO EQM HPL"/>
    <s v="NO APLICA"/>
    <m/>
    <n v="2"/>
    <m/>
    <m/>
    <s v="√"/>
    <m/>
    <m/>
    <m/>
    <m/>
    <m/>
    <s v="X"/>
    <m/>
    <m/>
    <m/>
  </r>
  <r>
    <s v="Bodega de Equipos Médicos"/>
    <s v="Hospital Penco Lirquen"/>
    <s v="Apoyo Quirúrgico"/>
    <s v="Bajo costo"/>
    <s v="Bomba de aspiración"/>
    <s v="Ca-mi"/>
    <s v="ASKIR 36BR"/>
    <n v="15572"/>
    <s v="HPL29890"/>
    <n v="2021"/>
    <n v="10"/>
    <n v="6"/>
    <s v="Propio"/>
    <s v="Bueno "/>
    <x v="1"/>
    <s v="NO"/>
    <s v="NO APLICA"/>
    <s v="SI"/>
    <n v="2024"/>
    <s v="INTERNO"/>
    <s v="TECNICO EQM HPL"/>
    <s v="NO APLICA"/>
    <m/>
    <n v="2"/>
    <m/>
    <m/>
    <s v="√"/>
    <m/>
    <m/>
    <m/>
    <m/>
    <m/>
    <s v="X"/>
    <m/>
    <m/>
    <m/>
  </r>
  <r>
    <s v="Bodega de Equipos Médicos - 11"/>
    <s v="Hospital Penco Lirquen"/>
    <s v="Apoyo Quirúrgico"/>
    <s v="Bajo costo"/>
    <s v="Bomba de aspiración"/>
    <s v="Spencer"/>
    <s v="Blanco"/>
    <s v="OP1-15-6793-001"/>
    <s v="HPL30275"/>
    <n v="2020"/>
    <n v="10"/>
    <n v="5"/>
    <s v="Propio"/>
    <s v="MALO"/>
    <x v="1"/>
    <s v="NO"/>
    <s v="NO APLICA"/>
    <s v="SI"/>
    <n v="2024"/>
    <s v="INTERNO"/>
    <s v="TECNICO EQM HPL"/>
    <s v="NO APLICA"/>
    <m/>
    <n v="2"/>
    <m/>
    <m/>
    <s v="√"/>
    <m/>
    <m/>
    <m/>
    <m/>
    <m/>
    <s v="X"/>
    <m/>
    <m/>
    <m/>
  </r>
  <r>
    <s v="Bodega Equipos Médicos"/>
    <s v="Hospital Penco Lirquen"/>
    <s v="Apoyo Diagnóstico"/>
    <s v="Mediano Costo"/>
    <s v="Electrocardiografo"/>
    <s v="Nihon Kohden"/>
    <s v="ECG-9620L"/>
    <n v="1810"/>
    <m/>
    <m/>
    <n v="8"/>
    <m/>
    <s v="Propio"/>
    <s v="Bueno"/>
    <x v="1"/>
    <s v="NO"/>
    <s v="NO APLICA"/>
    <s v="SI"/>
    <n v="2025"/>
    <s v="INTERNO"/>
    <s v="TECNICO EQM HPL"/>
    <s v="NO APLICA"/>
    <m/>
    <n v="1"/>
    <m/>
    <m/>
    <m/>
    <m/>
    <m/>
    <m/>
    <m/>
    <m/>
    <m/>
    <m/>
    <s v="X"/>
    <m/>
  </r>
  <r>
    <s v="Bodega Equipos Médicos"/>
    <s v="Hospital Penco Lirquen"/>
    <s v="Monitoreo"/>
    <s v="Mediano Costo "/>
    <s v="Monitor ECG Baja Complejidad"/>
    <s v="Biolight"/>
    <s v="S12"/>
    <s v="S72B0002302"/>
    <m/>
    <n v="2024"/>
    <n v="8"/>
    <n v="7"/>
    <s v="Propio"/>
    <s v="Bueno "/>
    <x v="0"/>
    <s v="SI"/>
    <d v="2027-12-05T00:00:00"/>
    <s v="SI"/>
    <n v="2025"/>
    <s v="EXTERNO"/>
    <s v="SUPPORT MEDICAL"/>
    <s v="COLDAS 2024"/>
    <m/>
    <n v="2"/>
    <m/>
    <m/>
    <m/>
    <m/>
    <m/>
    <s v="X"/>
    <m/>
    <m/>
    <m/>
    <m/>
    <m/>
    <s v="X"/>
  </r>
  <r>
    <s v="Corta Estadia"/>
    <s v="Hospital Penco Lirquen"/>
    <s v="Apoyo Diagnóstico"/>
    <s v="Bajo costo"/>
    <s v="Balanza con tallímetro"/>
    <s v="Doran Scales"/>
    <s v="Quote 12957"/>
    <n v="1693"/>
    <s v="HPL25418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Balanza con tallímetro"/>
    <s v="Doran Scales"/>
    <s v="Quote 12957"/>
    <n v="1704"/>
    <s v="HPL21695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Mobiliario"/>
    <s v="Clínico"/>
    <s v="Cama clínica mecánica"/>
    <s v="Malvestio"/>
    <n v="345450"/>
    <n v="20009413"/>
    <s v="HPL21781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"/>
    <s v="Hospital Penco Lirquen"/>
    <s v="Monitoreo"/>
    <s v="Mediano Costo "/>
    <s v="Desfibrilador externo automático (DEA)"/>
    <s v="Philips"/>
    <s v="Heart Start"/>
    <s v="A19K-06055"/>
    <s v="HPL30198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Apoyo Diagnóstico"/>
    <s v="Mediano Costo "/>
    <s v="Electrocardiografo"/>
    <s v="Bionet"/>
    <s v="Cardiotouch 3000"/>
    <s v="T2P1200011"/>
    <s v="HPL21795"/>
    <n v="2015"/>
    <n v="8"/>
    <n v="-2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50"/>
    <s v="HPL25510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Monitoreo"/>
    <s v="Mediano Costo "/>
    <s v="Monitor ECG Baja Complejidad"/>
    <s v="Fukuda Denshi"/>
    <s v="Dinascope DSL-8001"/>
    <n v="50200468"/>
    <s v="HPL21701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Corta Estadia"/>
    <s v="Hospital Penco Lirquen"/>
    <s v="Apoyo Diagnóstico"/>
    <s v="Bajo costo"/>
    <s v="Oximetro de pulso"/>
    <s v="Nellcor"/>
    <s v="Oximax N-65"/>
    <s v="G15802058"/>
    <s v="HPL3034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Corta Estadia"/>
    <s v="Hospital Penco Lirquen"/>
    <s v="Apoyo Diagnóstico"/>
    <s v="Bajo costo"/>
    <s v="Oximetro de pulso"/>
    <s v="Nellcor"/>
    <s v="Oximax N-65"/>
    <s v="G15802050"/>
    <m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Corta Estadía"/>
    <s v="Hospital Penco Lirquen"/>
    <s v="Laboratorio/Farmac"/>
    <s v="Bajo costo"/>
    <s v="Frigobar "/>
    <s v="Gelator"/>
    <s v="RURG-100G"/>
    <s v="AB41413080340000117"/>
    <s v="HPL25513"/>
    <n v="2021"/>
    <n v="8"/>
    <n v="4"/>
    <s v="Propio"/>
    <s v="Bueno "/>
    <x v="1"/>
    <s v="NO"/>
    <s v="NO APLICA"/>
    <s v="SI"/>
    <n v="2023"/>
    <s v="EXTERNO"/>
    <s v="CLIMATICPRO"/>
    <s v="1057540-100-LE23"/>
    <n v="51703"/>
    <n v="1"/>
    <m/>
    <m/>
    <m/>
    <m/>
    <m/>
    <m/>
    <m/>
    <m/>
    <s v="X"/>
    <m/>
    <m/>
    <m/>
  </r>
  <r>
    <s v="Corta Estadia - 4"/>
    <s v="Hospital Penco Lirquen"/>
    <s v="Apoyo Terapéutico"/>
    <s v="Mediano Costo "/>
    <s v="Bomba de infusión continua"/>
    <s v="Fresenius Kabi"/>
    <s v="Volumat MC Agilia E"/>
    <n v="21633992"/>
    <s v="HPL28417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Corta Estadia - 4"/>
    <s v="Hospital Penco Lirquen"/>
    <s v="Mobiliario"/>
    <s v="Clínico"/>
    <s v="Cama clínica mecánica"/>
    <s v="Malvestio"/>
    <n v="345450"/>
    <n v="20009414"/>
    <s v="HPL21782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5"/>
    <s v="HPL21783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6"/>
    <s v="HPL21785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7"/>
    <s v="HPL21786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8"/>
    <s v="HPL24416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19"/>
    <s v="HPL21787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0"/>
    <s v="HPL21801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1"/>
    <s v="HPL21802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2"/>
    <s v="HPL24417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3"/>
    <s v="HPL21803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4"/>
    <s v="HPL21805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Corta Estadia - 4"/>
    <s v="Hospital Penco Lirquen"/>
    <s v="Mobiliario"/>
    <s v="Clínico"/>
    <s v="Cama clínica mecánica"/>
    <s v="Malvestio"/>
    <n v="345450"/>
    <n v="20009425"/>
    <s v="HPL21806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DAN"/>
    <s v="Hospital Penco Lirquen"/>
    <m/>
    <m/>
    <s v="Lupa"/>
    <s v="N/A"/>
    <s v="N/A"/>
    <s v="N/A"/>
    <s v="HPL27432"/>
    <n v="2022"/>
    <n v="8"/>
    <n v="5"/>
    <s v="Propio"/>
    <s v="Bueno "/>
    <x v="2"/>
    <s v="NO"/>
    <n v="2023"/>
    <s v="NO"/>
    <s v="NO APLICA"/>
    <s v="INTERNO"/>
    <m/>
    <s v="N/A"/>
    <s v="N/A"/>
    <m/>
    <m/>
    <m/>
    <m/>
    <m/>
    <m/>
    <m/>
    <m/>
    <m/>
    <m/>
    <m/>
    <m/>
    <m/>
  </r>
  <r>
    <s v="DAN"/>
    <s v="Hospital Penco Lirquen"/>
    <s v="Esterilización"/>
    <s v="Mediano Costo "/>
    <s v="Neutralizador de OPA"/>
    <s v="Medivators"/>
    <s v="Medi-New"/>
    <n v="200522"/>
    <s v="HPL27431"/>
    <n v="2016"/>
    <n v="10"/>
    <n v="1"/>
    <s v="Propio"/>
    <s v="Bueno "/>
    <x v="2"/>
    <s v="NO"/>
    <s v="NO APLICA"/>
    <s v="NO"/>
    <s v="NO APLICA"/>
    <s v="CONTRATO"/>
    <s v="N/A"/>
    <m/>
    <m/>
    <m/>
    <m/>
    <m/>
    <m/>
    <m/>
    <m/>
    <m/>
    <m/>
    <m/>
    <m/>
    <m/>
    <m/>
    <m/>
  </r>
  <r>
    <s v="DAN - 17A"/>
    <s v="Hospital Penco Lirquen"/>
    <s v="Esterilización"/>
    <s v="Mediano Costo "/>
    <s v="Lavadora de Endoscopios"/>
    <s v="Medivators"/>
    <s v="SSD-102"/>
    <n v="77712602"/>
    <s v="HPL30324"/>
    <n v="2016"/>
    <n v="10"/>
    <n v="1"/>
    <s v="Propio"/>
    <s v="Bueno "/>
    <x v="2"/>
    <s v="NO"/>
    <s v="NO APLICA"/>
    <s v="SI"/>
    <n v="2023"/>
    <s v="CONTRATO"/>
    <s v="NO APLICA"/>
    <s v="NO APLICA"/>
    <m/>
    <m/>
    <m/>
    <m/>
    <m/>
    <m/>
    <m/>
    <m/>
    <m/>
    <m/>
    <m/>
    <m/>
    <m/>
    <m/>
  </r>
  <r>
    <s v="DAN - 17A"/>
    <s v="Hospital Penco Lirquen"/>
    <s v="Esterilización"/>
    <s v="Mediano Costo "/>
    <s v="Lavadora de Endoscopios"/>
    <s v="Endoclens "/>
    <s v="NSX"/>
    <n v="2700230064"/>
    <m/>
    <n v="2024"/>
    <n v="8"/>
    <n v="7"/>
    <s v="Propio"/>
    <s v="Bueno "/>
    <x v="1"/>
    <s v="SI"/>
    <d v="2025-01-01T00:00:00"/>
    <s v="SI"/>
    <n v="2024"/>
    <s v="EXTERNO"/>
    <s v="NSP"/>
    <s v="COLDAS 2023"/>
    <m/>
    <n v="1"/>
    <m/>
    <s v="√"/>
    <m/>
    <m/>
    <m/>
    <m/>
    <m/>
    <m/>
    <m/>
    <m/>
    <m/>
    <m/>
  </r>
  <r>
    <s v="Endoscopia y PCM"/>
    <s v="Hospital Penco Lirquen"/>
    <s v="Apoyo Diagnóstico"/>
    <s v="Alto Costo"/>
    <s v="Bomba de Inyección"/>
    <s v="Olympus"/>
    <s v="OFP-2"/>
    <n v="2231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Mobiliario"/>
    <s v="Clínico"/>
    <s v="Camilla de trasporte de paciente"/>
    <s v="Malvestio"/>
    <s v="Runner 800"/>
    <n v="20009469"/>
    <s v="HPL3000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ndoscopia y PCM"/>
    <s v="Hospital Penco Lirquen"/>
    <s v="Mobiliario"/>
    <s v="Clínico"/>
    <s v="Camilla de trasporte de paciente"/>
    <s v="Malvestio"/>
    <s v="Runner 800"/>
    <n v="20009475"/>
    <s v="HPL30006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ndoscopia y PCM"/>
    <s v="Hospital Penco Lirquen"/>
    <s v="Apoyo Diagnóstico"/>
    <s v="Alto Costo"/>
    <s v="Fuente de luz"/>
    <s v="Olympus"/>
    <s v="CLV-190"/>
    <n v="7308012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Monitor"/>
    <s v="LG"/>
    <s v="27HK510S"/>
    <s v="211MTV56J359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1"/>
    <s v="33R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Recipiente de agua"/>
    <s v="Olympus"/>
    <s v="MAJ-902"/>
    <s v="31R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Torre de endoscopía (carro)"/>
    <s v="Olympus"/>
    <s v="TC-C4"/>
    <n v="22213550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Unidad regulación CO2"/>
    <s v="Olympus"/>
    <s v="Olympus UCR"/>
    <n v="7362589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erificador de fugas (compresor)"/>
    <s v="Olympus"/>
    <s v="MU-1"/>
    <n v="7380555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erificador de fugas (pieza de mano)"/>
    <s v="Olympus"/>
    <s v="MB-155"/>
    <s v="S/N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0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colonoscopio"/>
    <s v="Olympus"/>
    <s v="CF-H190L/I"/>
    <n v="2345512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36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anendoscopio"/>
    <s v="Olympus"/>
    <s v="GIF-H190"/>
    <n v="2368865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Apoyo Diagnóstico"/>
    <s v="Alto Costo"/>
    <s v="Videoprocesador"/>
    <s v="Olympus"/>
    <s v="CV-190"/>
    <n v="7384033"/>
    <m/>
    <n v="2023"/>
    <n v="7"/>
    <n v="5"/>
    <s v="Propio"/>
    <s v="Bueno"/>
    <x v="1"/>
    <s v="SI"/>
    <n v="2026"/>
    <s v="SI"/>
    <n v="2024"/>
    <s v="EXTERNO"/>
    <s v="Surmedical"/>
    <s v="1057931-4-LQ23"/>
    <n v="0"/>
    <n v="2"/>
    <m/>
    <s v="√"/>
    <m/>
    <m/>
    <m/>
    <m/>
    <m/>
    <s v="X"/>
    <m/>
    <m/>
    <m/>
    <m/>
  </r>
  <r>
    <s v="Endoscopia y PCM"/>
    <s v="Hospital Penco Lirquen"/>
    <s v="Monitoreo"/>
    <s v="Mediano Costo "/>
    <s v="Monitor desfibrilador"/>
    <s v="Instramed"/>
    <s v="Cardiomax"/>
    <s v="10608CM2833"/>
    <s v="HPL30137"/>
    <n v="2014"/>
    <n v="8"/>
    <n v="-3"/>
    <s v="Propio"/>
    <s v="Bueno"/>
    <x v="0"/>
    <s v="NO"/>
    <s v="NO APLICA"/>
    <s v="SI"/>
    <n v="2023"/>
    <s v="INTERNO"/>
    <s v="TECNICO EQM HPL"/>
    <s v="NO APLICA"/>
    <s v="-"/>
    <n v="2"/>
    <m/>
    <m/>
    <s v="X"/>
    <m/>
    <m/>
    <m/>
    <m/>
    <m/>
    <s v="X"/>
    <m/>
    <m/>
    <m/>
  </r>
  <r>
    <s v="Endoscopia y PCM"/>
    <s v="Hospital Penco Lirquen"/>
    <s v="Monitoreo"/>
    <s v="Mediano Costo "/>
    <s v="Monitor ECG Baja Complejidad"/>
    <s v="Fukuda Denshi"/>
    <s v="Dinascope DSL-8001"/>
    <n v="50200459"/>
    <s v="HPL30041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Endoscopía y PCM"/>
    <s v="Hospital Penco Lirquen"/>
    <s v="Odontología"/>
    <s v="Bajo costo"/>
    <s v="Motor de implantes odontológicos"/>
    <s v="W&amp;H"/>
    <s v="Implantmed"/>
    <n v="17202"/>
    <s v="HPL29894"/>
    <n v="2021"/>
    <n v="8"/>
    <n v="4"/>
    <s v="Propio"/>
    <s v="Bueno "/>
    <x v="1"/>
    <s v="NO"/>
    <s v="NO APLICA"/>
    <s v="SI"/>
    <n v="2024"/>
    <s v="EXTERNO"/>
    <s v="DENTAL LAVAL"/>
    <s v="COLDAS 2022"/>
    <n v="185640"/>
    <n v="1"/>
    <m/>
    <m/>
    <m/>
    <m/>
    <m/>
    <m/>
    <s v="X"/>
    <m/>
    <m/>
    <m/>
    <m/>
    <m/>
  </r>
  <r>
    <s v="Endoscopia y PCM "/>
    <s v="Hospital Penco Lirquen"/>
    <s v="Monitoreo"/>
    <s v="Mediano Costo "/>
    <s v="Monitor desfibrilador con carro de paro"/>
    <s v="Zoll medical"/>
    <s v="Zoll M2"/>
    <s v="BA22K000030"/>
    <m/>
    <n v="2024"/>
    <n v="8"/>
    <n v="7"/>
    <s v="Propio"/>
    <s v="Bueno "/>
    <x v="0"/>
    <s v="SI"/>
    <d v="2026-12-27T00:00:00"/>
    <s v="SI"/>
    <n v="2025"/>
    <s v="EXTERNO"/>
    <s v="PV EQUIP"/>
    <s v="COLDAS 2024"/>
    <m/>
    <n v="2"/>
    <m/>
    <m/>
    <m/>
    <m/>
    <m/>
    <s v="X"/>
    <m/>
    <m/>
    <m/>
    <m/>
    <m/>
    <s v="X"/>
  </r>
  <r>
    <s v="Endoscopia y PCM "/>
    <s v="Hospital Penco Lirquen"/>
    <s v="Monitoreo"/>
    <s v="Mediano Costo "/>
    <s v="Monitor ECG Baja Complejidad"/>
    <s v="Biolight"/>
    <s v="S12"/>
    <s v="S72B0002301"/>
    <m/>
    <n v="2024"/>
    <n v="8"/>
    <n v="7"/>
    <s v="Propio"/>
    <s v="Bueno "/>
    <x v="0"/>
    <s v="SI"/>
    <d v="2027-12-05T00:00:00"/>
    <s v="SI"/>
    <n v="2025"/>
    <s v="EXTERNO"/>
    <s v="SUPPORT MEDICAL"/>
    <s v="COLDAS 2024"/>
    <m/>
    <n v="2"/>
    <m/>
    <m/>
    <m/>
    <m/>
    <m/>
    <s v="X"/>
    <m/>
    <m/>
    <m/>
    <m/>
    <m/>
    <s v="X"/>
  </r>
  <r>
    <s v="Endoscopia y PCM "/>
    <s v="Hospital Penco Lirquen"/>
    <s v="Monitoreo"/>
    <s v="Alto Costo"/>
    <s v="Monitor ECG mediana complejidad"/>
    <s v="Progetti"/>
    <s v="TGS50"/>
    <s v="Q068E034129"/>
    <s v="HPL30277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Endoscopia y PCM - 13"/>
    <s v="Hospital Penco Lirquen"/>
    <s v="Apoyo Quirúrgico"/>
    <s v="Mediano Costo "/>
    <s v="Electrobisturí"/>
    <s v="Erbe "/>
    <s v="VIO 200S"/>
    <n v="11523751"/>
    <s v="HPL29958"/>
    <n v="2022"/>
    <n v="8"/>
    <n v="5"/>
    <s v="Propio"/>
    <s v="Bueno "/>
    <x v="1"/>
    <s v="NO"/>
    <m/>
    <s v="SI"/>
    <n v="2024"/>
    <s v="EXTERNO"/>
    <s v="CODESUR"/>
    <s v="1057540-110-LE23"/>
    <n v="226100"/>
    <n v="2"/>
    <m/>
    <m/>
    <s v="X"/>
    <m/>
    <m/>
    <m/>
    <m/>
    <m/>
    <s v="X"/>
    <m/>
    <m/>
    <m/>
  </r>
  <r>
    <s v="Endoscopia y PCM - 13"/>
    <s v="Hospital Penco Lirquen"/>
    <s v="Apoyo Quirúrgico"/>
    <s v="Mediano Costo "/>
    <s v="Electrobisturí"/>
    <s v="Covidien Valleylab"/>
    <s v="Force 2-8PCH"/>
    <s v="F2G41573T"/>
    <s v="HPL30248"/>
    <n v="2014"/>
    <n v="8"/>
    <n v="-3"/>
    <s v="Propio"/>
    <s v="Bueno "/>
    <x v="1"/>
    <s v="NO"/>
    <s v="NO APLICA"/>
    <s v="SI"/>
    <n v="2023"/>
    <s v="EXTERNO"/>
    <s v="CODESUR"/>
    <s v="1057540-110-LE23"/>
    <n v="170000"/>
    <n v="2"/>
    <m/>
    <m/>
    <s v="X"/>
    <m/>
    <m/>
    <m/>
    <m/>
    <m/>
    <s v="X"/>
    <m/>
    <m/>
    <m/>
  </r>
  <r>
    <s v="Endoscopia y PCM - 13A"/>
    <s v="Hospital Penco Lirquen"/>
    <s v="Odontología"/>
    <s v="Bajo costo"/>
    <s v="Amalgamador"/>
    <s v="Smaco"/>
    <s v="SYG-300"/>
    <s v="Y3006L0026"/>
    <s v="HPL30406"/>
    <n v="2019"/>
    <n v="8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ndoscopia y PCM - 13A"/>
    <s v="Hospital Penco Lirquen"/>
    <s v="Apoyo Quirúrgico"/>
    <s v="Mediano Costo "/>
    <s v="Electrobisturí módulo argón (adosado a VIO 200S)"/>
    <s v="Erbe "/>
    <s v="APC 2"/>
    <n v="11523577"/>
    <s v="HPL29957"/>
    <n v="2022"/>
    <n v="8"/>
    <n v="5"/>
    <s v="Propio"/>
    <s v="Bueno "/>
    <x v="2"/>
    <s v="NO"/>
    <s v="NO APLICA"/>
    <s v="NO"/>
    <s v="NO APLICA"/>
    <s v="EXTERNO"/>
    <s v="ZEPEDA"/>
    <s v="POR LICITAR"/>
    <s v="no aplica"/>
    <m/>
    <m/>
    <m/>
    <m/>
    <m/>
    <m/>
    <m/>
    <m/>
    <m/>
    <m/>
    <m/>
    <m/>
    <m/>
  </r>
  <r>
    <s v="Endoscopia y PCM - 13A"/>
    <s v="Hospital Penco Lirquen"/>
    <s v="Apoyo Quirúrgico"/>
    <s v="Mediano Costo "/>
    <s v="Lámpara de procedimientos"/>
    <s v="Drager"/>
    <s v="Polaris 50"/>
    <s v="3314H000261791"/>
    <s v="HPL30184"/>
    <n v="2020"/>
    <n v="10"/>
    <n v="5"/>
    <s v="Propio"/>
    <s v="Bueno "/>
    <x v="2"/>
    <s v="NO"/>
    <s v="NO APLICA"/>
    <s v="NO"/>
    <s v="NO APLICA"/>
    <s v="INTERNO"/>
    <s v="TECNICO EQM HPL"/>
    <s v="NO APLICA"/>
    <s v="-"/>
    <m/>
    <m/>
    <m/>
    <m/>
    <m/>
    <m/>
    <m/>
    <m/>
    <m/>
    <m/>
    <m/>
    <m/>
    <m/>
  </r>
  <r>
    <s v="Endoscopia y PCM - 13A"/>
    <s v="Hospital Penco Lirquen"/>
    <s v="Apoyo Quirúrgico"/>
    <s v="Alto Costo"/>
    <s v="Mesa quirúrgica"/>
    <s v="Maquet"/>
    <s v="1131.12BO"/>
    <n v="1848"/>
    <s v="HPL29868"/>
    <n v="2016"/>
    <n v="10"/>
    <n v="1"/>
    <s v="Propio"/>
    <s v="Bueno "/>
    <x v="1"/>
    <s v="NO"/>
    <s v="NO APLICA"/>
    <s v="SI"/>
    <n v="2023"/>
    <s v="CONTRATO"/>
    <s v="MercSoluciones"/>
    <s v="1057540-70-LE23"/>
    <n v="535500"/>
    <n v="2"/>
    <m/>
    <m/>
    <s v="X"/>
    <m/>
    <m/>
    <m/>
    <m/>
    <m/>
    <s v="X"/>
    <m/>
    <m/>
    <m/>
  </r>
  <r>
    <s v="Equipos Médicos"/>
    <s v="Hospital Penco Lirquen"/>
    <s v="Monitoreo"/>
    <s v="Mediano Costo "/>
    <s v="Monitor de signos vitales"/>
    <s v="Indura"/>
    <s v="Lifecare 740"/>
    <n v="1022045"/>
    <s v="HPL29945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Especialidades - 15"/>
    <s v="Hospital Penco Lirquen"/>
    <s v="Apoyo Terapéutico"/>
    <s v="Mediano Costo "/>
    <s v="Bomba de infusión continua"/>
    <s v="Fresenius Kabi"/>
    <s v="Volumat MC Agilia"/>
    <n v="22116832"/>
    <s v="HPL28415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Especialidades - 15B"/>
    <s v="Hospital Penco Lirquen"/>
    <s v="Apoyo Diagnóstico"/>
    <s v="Alto Costo"/>
    <s v="Holter de arritmia"/>
    <s v="Schiller"/>
    <s v="Medilog AR"/>
    <n v="3060015926"/>
    <m/>
    <n v="2023"/>
    <n v="8"/>
    <n v="6"/>
    <s v="Propio"/>
    <s v="Bueno "/>
    <x v="1"/>
    <s v="SI"/>
    <d v="2025-10-11T00:00:00"/>
    <s v="SI"/>
    <n v="2024"/>
    <s v="EXTERNO"/>
    <s v="Cardiomedics"/>
    <s v="1057540-76-LE23"/>
    <m/>
    <n v="1"/>
    <m/>
    <m/>
    <m/>
    <m/>
    <m/>
    <m/>
    <m/>
    <m/>
    <s v="X"/>
    <m/>
    <m/>
    <m/>
  </r>
  <r>
    <s v="Especialidades - 15B"/>
    <s v="Hospital Penco Lirquen"/>
    <s v="Apoyo Diagnóstico"/>
    <s v="Alto Costo"/>
    <s v="Holter de arritmia"/>
    <s v="Schiller"/>
    <s v="Medilog AR"/>
    <n v="3060015953"/>
    <m/>
    <n v="2023"/>
    <n v="8"/>
    <n v="6"/>
    <s v="Propio"/>
    <s v="Bueno "/>
    <x v="1"/>
    <s v="SI"/>
    <d v="2025-10-11T00:00:00"/>
    <s v="SI"/>
    <n v="2024"/>
    <s v="EXTERNO"/>
    <s v="Cardiomedics"/>
    <s v="1057540-76-LE23"/>
    <m/>
    <n v="1"/>
    <m/>
    <m/>
    <m/>
    <m/>
    <m/>
    <m/>
    <m/>
    <m/>
    <s v="X"/>
    <m/>
    <m/>
    <m/>
  </r>
  <r>
    <s v="Especialidades - 3A"/>
    <s v="Hospital Penco Lirquen"/>
    <s v="Apoyo Terapéutico"/>
    <s v="Mediano Costo "/>
    <s v="Bomba de infusión continua"/>
    <s v="Fresenius Kabi"/>
    <s v="Volumat MC Agilia"/>
    <n v="22116885"/>
    <s v="HPL28431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Especialidades 1er piso"/>
    <s v="Hospital Penco Lirquen"/>
    <s v="Apoyo Diagnóstico"/>
    <s v="Mediano Costo "/>
    <s v="Electrocardiografo"/>
    <s v="CareWell"/>
    <s v="ECG -1112"/>
    <s v="112L09500256E13"/>
    <m/>
    <n v="2009"/>
    <n v="8"/>
    <n v="-8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m/>
    <m/>
    <s v="X"/>
  </r>
  <r>
    <s v="Especialidades cuidados paliativos"/>
    <s v="Hospital Penco Lirquen"/>
    <s v="Apoyo Diagnóstico"/>
    <s v="Bajo costo"/>
    <s v="Balanza con tallímetro"/>
    <s v="Seca"/>
    <n v="700"/>
    <n v="5700125168335"/>
    <s v="HPL12077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Apoyo Terapéutico"/>
    <s v="Mediano Costo"/>
    <s v="Balanza silla de ruedas"/>
    <s v="SECA"/>
    <n v="952"/>
    <n v="10000000832975"/>
    <m/>
    <n v="2024"/>
    <n v="8"/>
    <n v="7"/>
    <s v="Propio"/>
    <s v="Bueno "/>
    <x v="2"/>
    <s v="SI"/>
    <d v="2026-05-01T00:00:00"/>
    <s v="SI"/>
    <n v="2024"/>
    <s v="EXTERNO"/>
    <s v="DIPROLAB"/>
    <s v="1057931-4-LE24"/>
    <n v="0"/>
    <n v="1"/>
    <m/>
    <m/>
    <m/>
    <m/>
    <m/>
    <m/>
    <m/>
    <m/>
    <m/>
    <m/>
    <s v="X"/>
    <m/>
  </r>
  <r>
    <s v="Especialidades cuidados paliativos"/>
    <s v="Hospital Penco Lirquen"/>
    <s v="Apoyo Terapéutico"/>
    <s v="Mediano Costo"/>
    <s v="Bioimpedanciómetro"/>
    <s v="Biospace"/>
    <s v="Inbody 120"/>
    <s v="F323001047"/>
    <m/>
    <n v="2024"/>
    <n v="8"/>
    <n v="7"/>
    <s v="Propio"/>
    <s v="Bueno "/>
    <x v="2"/>
    <s v="SI"/>
    <d v="2026-05-01T00:00:00"/>
    <s v="SI"/>
    <n v="2024"/>
    <s v="EXTERNO"/>
    <s v="GLOBALMED"/>
    <s v="1057931-5-L124"/>
    <n v="0"/>
    <n v="1"/>
    <m/>
    <m/>
    <m/>
    <m/>
    <m/>
    <m/>
    <m/>
    <m/>
    <m/>
    <m/>
    <s v="X"/>
    <m/>
  </r>
  <r>
    <s v="Especialidades cuidados paliativos"/>
    <s v="Hospital Penco Lirquen"/>
    <s v="Mobiliario"/>
    <s v="Clínico"/>
    <s v="Camilla de examen"/>
    <s v="Malvestio"/>
    <n v="350100"/>
    <n v="20019515"/>
    <s v="HPL30018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7"/>
    <s v="HPL4993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19"/>
    <s v="HPL5039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29"/>
    <s v="HPL5047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Mobiliario"/>
    <s v="Clínico"/>
    <s v="Camilla de examen"/>
    <s v="Malvestio"/>
    <n v="350100"/>
    <n v="20019532"/>
    <s v="HPL5003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cuidados paliativos"/>
    <s v="Hospital Penco Lirquen"/>
    <s v="Apoyo Diagnóstico"/>
    <s v="Mediano Costo"/>
    <s v="Electrocardiógrafo "/>
    <s v="General Electric"/>
    <s v="MAC 5"/>
    <s v="SUE24372178SA"/>
    <m/>
    <n v="2024"/>
    <n v="8"/>
    <n v="7"/>
    <s v="Propio"/>
    <s v="Bueno "/>
    <x v="1"/>
    <s v="SI"/>
    <d v="2026-12-01T00:00:00"/>
    <s v="SI"/>
    <n v="2025"/>
    <s v="EXTERNO"/>
    <s v="PV EQUIP "/>
    <s v="1057931-74-SE24"/>
    <m/>
    <n v="2"/>
    <m/>
    <m/>
    <m/>
    <m/>
    <m/>
    <s v="X"/>
    <m/>
    <m/>
    <m/>
    <m/>
    <m/>
    <s v="X"/>
  </r>
  <r>
    <s v="Especialidades cuidados paliativos"/>
    <s v="Hospital Penco Lirquen"/>
    <s v="Monitoreo"/>
    <s v="Mediano Costo "/>
    <s v="Monitor de signos vitales"/>
    <s v="General Electric"/>
    <s v="V100"/>
    <s v="SH617070056SA"/>
    <s v="HPL5044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cuidados paliativos"/>
    <s v="Hospital Penco Lirquen"/>
    <s v="Apoyo Terapéutico"/>
    <s v="Mediano Costo"/>
    <s v="Monitor Signos Vitales"/>
    <s v="Nothern Meditec Limited"/>
    <s v="Aquarius"/>
    <s v="JHC01B508004"/>
    <m/>
    <n v="2024"/>
    <n v="8"/>
    <n v="7"/>
    <s v="Propio"/>
    <s v="Bueno "/>
    <x v="0"/>
    <s v="SI"/>
    <d v="2026-06-01T00:00:00"/>
    <s v="SI"/>
    <n v="2024"/>
    <s v="EXTERNO"/>
    <s v="BALDER"/>
    <s v="1057931-4-LE24"/>
    <n v="0"/>
    <n v="1"/>
    <m/>
    <m/>
    <m/>
    <m/>
    <m/>
    <m/>
    <m/>
    <m/>
    <m/>
    <m/>
    <s v="X"/>
    <m/>
  </r>
  <r>
    <s v="Especialidades cuidados paliativos"/>
    <s v="Hospital Penco Lirquen"/>
    <s v="Apoyo Diagnóstico"/>
    <s v="Bajo costo"/>
    <s v="Oftalmoscopio Portátil"/>
    <s v="WELCH ALLYN"/>
    <s v="POCKET LED"/>
    <s v="S/N #1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ftalmoscopio Portátil"/>
    <s v="WELCH ALLYN"/>
    <s v="POCKET LED"/>
    <s v="S/N #2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-oftalmoscopio de pared"/>
    <s v="Ezer"/>
    <s v="S/N"/>
    <s v="S/N"/>
    <s v="HPL30334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cuidados paliativos"/>
    <s v="Hospital Penco Lirquen"/>
    <s v="Apoyo Diagnóstico"/>
    <s v="Bajo costo"/>
    <s v="Oto-Oftalmoscopio de pared"/>
    <s v="WELCH ALLYN"/>
    <n v="77712"/>
    <s v="24103 (BOX C205)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-Oftalmoscopio de pared"/>
    <s v="WELCH ALLYN"/>
    <n v="77712"/>
    <s v="24106 (BOX C209)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scopio Portátil "/>
    <s v="WELCH ALLYN"/>
    <s v="POCKET LED"/>
    <s v="S/N #1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"/>
    <s v="Hospital Penco Lirquen"/>
    <s v="Apoyo Diagnóstico"/>
    <s v="Bajo costo"/>
    <s v="Otoscopio Portátil "/>
    <s v="WELCH ALLYN"/>
    <s v="POCKET LED"/>
    <s v="S/N #2"/>
    <m/>
    <n v="2024"/>
    <n v="8"/>
    <n v="7"/>
    <s v="Propio"/>
    <s v="Bueno "/>
    <x v="1"/>
    <s v="SI"/>
    <d v="2026-12-11T00:00:00"/>
    <s v="SI"/>
    <n v="2025"/>
    <s v="EXTERNO"/>
    <s v="ARQUIMED"/>
    <s v="1057931-68-SE24"/>
    <m/>
    <n v="2"/>
    <m/>
    <m/>
    <m/>
    <m/>
    <m/>
    <s v="X"/>
    <m/>
    <m/>
    <m/>
    <m/>
    <m/>
    <s v="X"/>
  </r>
  <r>
    <s v="Especialidades cuidados paliativos "/>
    <s v="Hospital Penco Lirquen"/>
    <s v="Monitoreo"/>
    <s v="Mediano Costo "/>
    <s v="Monitor de signos vitales"/>
    <s v="General Electric"/>
    <s v="V100"/>
    <s v="SH617070057SA"/>
    <s v="HPL5046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1"/>
    <m/>
    <n v="2022"/>
    <n v="8"/>
    <n v="5"/>
    <s v="Propio"/>
    <s v="Bueno "/>
    <x v="2"/>
    <s v="NO"/>
    <s v="NO APLICA"/>
    <s v="NO"/>
    <s v="NO APLICA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90862"/>
    <m/>
    <n v="2022"/>
    <n v="8"/>
    <n v="5"/>
    <s v="Propio"/>
    <s v="Bueno "/>
    <x v="2"/>
    <s v="NO"/>
    <s v="NO APLICA"/>
    <s v="NO"/>
    <s v="NO APLICA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n v="275068"/>
    <m/>
    <n v="2022"/>
    <n v="8"/>
    <n v="5"/>
    <s v="Propio"/>
    <s v="Bueno "/>
    <x v="2"/>
    <s v="NO"/>
    <s v="NO APLICA"/>
    <s v="NO"/>
    <s v="NO APLICA"/>
    <s v="EXTERNO"/>
    <s v="MedTec"/>
    <m/>
    <m/>
    <m/>
    <m/>
    <m/>
    <m/>
    <m/>
    <m/>
    <m/>
    <m/>
    <m/>
    <m/>
    <m/>
    <m/>
    <m/>
  </r>
  <r>
    <s v="Especialidades cuidados paliativos - 15B"/>
    <s v="Hospital Penco Lirquen"/>
    <s v="Apoyo Terapéutico"/>
    <s v="Mediano Costo "/>
    <s v="Bomba de Infusión para Alivio del Dolor"/>
    <s v="SMITHS MEDICAL"/>
    <s v="CADD-LEGACY"/>
    <m/>
    <m/>
    <n v="2022"/>
    <n v="8"/>
    <n v="5"/>
    <s v="Propio"/>
    <s v="Bueno "/>
    <x v="2"/>
    <s v="NO"/>
    <s v="NO APLICA"/>
    <s v="NO"/>
    <s v="NO APLICA"/>
    <s v="EXTERNO"/>
    <s v="MedTec"/>
    <m/>
    <m/>
    <m/>
    <m/>
    <m/>
    <m/>
    <m/>
    <m/>
    <m/>
    <m/>
    <m/>
    <m/>
    <m/>
    <m/>
    <m/>
  </r>
  <r>
    <s v="Especialidades cuidados paliativos -15"/>
    <s v="Hospital Penco Lirquen"/>
    <s v="Apoyo Terapéutico"/>
    <s v="Mediano Costo "/>
    <s v="Bomba de infusión continua"/>
    <s v="Fresenius Kabi"/>
    <s v="Volumat MC Agilia"/>
    <n v="22170032"/>
    <s v="HPL28416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Especialidades Dental"/>
    <s v="Hospital Penco Lirquen"/>
    <s v="Odontología"/>
    <s v="Bajo costo"/>
    <s v="Horno Guttafusion"/>
    <s v="VDW"/>
    <s v="Guttafusion"/>
    <n v="15230031"/>
    <s v="HPL29963"/>
    <n v="2016"/>
    <n v="8"/>
    <n v="-1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15885"/>
    <s v="HPL18746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1"/>
    <s v="HPL19002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168"/>
    <s v="HPL18796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04"/>
    <s v="HPL18795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n v="932125021215"/>
    <s v="HPL19020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8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ampara de fotocurado"/>
    <s v="3M"/>
    <s v="eli par"/>
    <s v="S/N"/>
    <s v="HPL30299"/>
    <n v="2015"/>
    <n v="5"/>
    <n v="-5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"/>
    <s v="Hospital Penco Lirquen"/>
    <s v="Odontología"/>
    <s v="Bajo costo"/>
    <s v="Localizador Apical"/>
    <s v="MORITA"/>
    <s v="ROOT ZX MINI"/>
    <s v="K314K016738"/>
    <m/>
    <n v="2023"/>
    <n v="8"/>
    <n v="6"/>
    <s v="Propio"/>
    <s v="Bueno "/>
    <x v="2"/>
    <s v="SI"/>
    <d v="2025-11-08T00:00:00"/>
    <s v="NO"/>
    <s v="NO APLICA"/>
    <s v="EXTERNO"/>
    <s v="BUHOS"/>
    <s v="COLDAS 2023"/>
    <m/>
    <m/>
    <m/>
    <m/>
    <m/>
    <m/>
    <m/>
    <m/>
    <m/>
    <m/>
    <m/>
    <m/>
    <m/>
    <m/>
  </r>
  <r>
    <s v="Especialidades Dental"/>
    <s v="Hospital Penco Lirquen"/>
    <s v="Monitoreo"/>
    <s v="Mediano Costo "/>
    <s v="Monitor de signos vitales"/>
    <s v="Iris"/>
    <s v="PMS8210A"/>
    <n v="1006012"/>
    <s v="HPL18715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Dental - 12"/>
    <s v="Hospital Penco Lirquen"/>
    <s v="Odontología"/>
    <s v="Mediano Costo "/>
    <s v="Unidad dental"/>
    <s v="Amaro"/>
    <s v="SL8600"/>
    <n v="13069"/>
    <m/>
    <n v="2024"/>
    <n v="8"/>
    <n v="0"/>
    <s v="Propio"/>
    <s v="Bueno "/>
    <x v="1"/>
    <s v="SI"/>
    <d v="2027-09-01T00:00:00"/>
    <s v="SI"/>
    <n v="2025"/>
    <s v="EXTERNO"/>
    <s v="GRUPO LECAROS"/>
    <m/>
    <m/>
    <n v="2"/>
    <m/>
    <m/>
    <s v="X"/>
    <m/>
    <m/>
    <m/>
    <m/>
    <m/>
    <s v="X"/>
    <m/>
    <m/>
    <m/>
  </r>
  <r>
    <s v="Especialidades Dental - 12"/>
    <s v="Hospital Penco Lirquen"/>
    <s v="Odontología"/>
    <s v="Bajo costo"/>
    <s v="Activador de Irrigacion Ultrasonico"/>
    <s v="Woodpecker"/>
    <s v="Endo 3"/>
    <s v="I22A2286E3"/>
    <m/>
    <n v="2024"/>
    <n v="8"/>
    <n v="7"/>
    <s v="Propio"/>
    <s v="Bueno "/>
    <x v="1"/>
    <s v="SI"/>
    <d v="2025-12-04T00:00:00"/>
    <s v="SI"/>
    <n v="2025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Activador de Irrigacion Ultrasonico"/>
    <s v="Woodpecker"/>
    <s v="Endo 3"/>
    <s v="I22A1915E3"/>
    <m/>
    <n v="2024"/>
    <n v="8"/>
    <n v="7"/>
    <s v="Propio"/>
    <s v="Bueno "/>
    <x v="1"/>
    <s v="SI"/>
    <d v="2025-12-04T00:00:00"/>
    <s v="SI"/>
    <n v="2025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Amalgamador"/>
    <s v="Smaco"/>
    <s v="SYG-300"/>
    <s v="Y3006L0144"/>
    <s v="HPL19869"/>
    <n v="2019"/>
    <n v="8"/>
    <n v="2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Equipo óxido nitroso"/>
    <s v="Accutron"/>
    <n v="26400"/>
    <n v="42480"/>
    <s v="HPL29906"/>
    <n v="2021"/>
    <n v="8"/>
    <n v="4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Escaner de Mesa"/>
    <s v="Straumann"/>
    <s v="Serie 7"/>
    <s v="7S04593"/>
    <s v=" "/>
    <n v="2022"/>
    <n v="8"/>
    <n v="5"/>
    <s v="Propio"/>
    <s v="Bueno "/>
    <x v="2"/>
    <s v="NO"/>
    <n v="2023"/>
    <s v="SI"/>
    <n v="2025"/>
    <s v="EXTERNO"/>
    <s v="PENDIENTE"/>
    <s v="PENDIENTE"/>
    <n v="2142000"/>
    <n v="1"/>
    <m/>
    <m/>
    <m/>
    <m/>
    <m/>
    <m/>
    <m/>
    <m/>
    <m/>
    <s v="X"/>
    <m/>
    <m/>
  </r>
  <r>
    <s v="Especialidades Dental - 12"/>
    <s v="Hospital Penco Lirquen"/>
    <s v="Odontología"/>
    <s v="Alto Costo"/>
    <s v="Escaner Intraoral"/>
    <s v="Straumann"/>
    <s v="Virtuo Vivo Cart"/>
    <s v="DWIOC-10-001696"/>
    <s v=" "/>
    <n v="2022"/>
    <n v="8"/>
    <n v="5"/>
    <s v="Propio"/>
    <s v="Bueno "/>
    <x v="2"/>
    <s v="NO"/>
    <n v="2023"/>
    <s v="SI"/>
    <n v="2025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Bajo costo"/>
    <s v="Estampadora"/>
    <s v="Bioart"/>
    <s v="Plast Vac P7"/>
    <n v="73492"/>
    <s v="HPL29907"/>
    <n v="2021"/>
    <n v="8"/>
    <n v="4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Fresadora de Aire"/>
    <s v="Straumann"/>
    <s v="Serie M"/>
    <s v="AAC87093"/>
    <s v=" "/>
    <n v="2022"/>
    <n v="8"/>
    <n v="5"/>
    <s v="Propio"/>
    <s v="Bueno "/>
    <x v="2"/>
    <s v="NO"/>
    <n v="2023"/>
    <s v="SI"/>
    <n v="2025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Bajo costo"/>
    <s v="Generador ultrasonido dental"/>
    <s v="Acteon"/>
    <s v="P5 newtron"/>
    <n v="408839013"/>
    <s v="HPL30051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8839016"/>
    <s v="HPL30052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4"/>
    <s v="HPL30053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15"/>
    <s v="HPL30054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0"/>
    <s v="HPL19021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Generador ultrasonido dental"/>
    <s v="Acteon"/>
    <s v="P5 newtron"/>
    <n v="409151032"/>
    <s v="HPL18710"/>
    <n v="2016"/>
    <n v="8"/>
    <n v="-1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Costo"/>
    <s v="Horno para Glaceado"/>
    <s v="Straumann"/>
    <s v="VITA Smart Fire"/>
    <n v="2920220822"/>
    <s v=" "/>
    <n v="2022"/>
    <n v="8"/>
    <n v="5"/>
    <s v="Propio"/>
    <s v="Bueno "/>
    <x v="2"/>
    <s v="NO"/>
    <n v="2023"/>
    <s v="SI"/>
    <n v="2025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Alto Costo"/>
    <s v="Horno para Sinterizado de Zirconio"/>
    <s v="Straumann"/>
    <s v="Cares Therm III"/>
    <s v="AAC90887"/>
    <s v=" "/>
    <n v="2022"/>
    <n v="8"/>
    <n v="5"/>
    <s v="Propio"/>
    <s v="Bueno "/>
    <x v="2"/>
    <s v="NO"/>
    <n v="2023"/>
    <s v="SI"/>
    <n v="2025"/>
    <s v="EXTERNO"/>
    <s v="PENDIENTE"/>
    <s v="PENDIENTE"/>
    <m/>
    <n v="1"/>
    <m/>
    <m/>
    <m/>
    <m/>
    <m/>
    <m/>
    <m/>
    <m/>
    <m/>
    <s v="X"/>
    <m/>
    <m/>
  </r>
  <r>
    <s v="Especialidades Dental - 12"/>
    <s v="Hospital Penco Lirquen"/>
    <s v="Odontología"/>
    <s v="Mediano Costo"/>
    <s v="Horno Post-Curado"/>
    <s v="Sprintray"/>
    <s v="Procure"/>
    <s v="N2175F6T"/>
    <s v=" "/>
    <n v="2022"/>
    <n v="8"/>
    <n v="5"/>
    <s v="Propio"/>
    <s v="Bueno "/>
    <x v="2"/>
    <s v="NO"/>
    <n v="2023"/>
    <s v="NO"/>
    <s v="NO APLICA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Alto Costo"/>
    <s v="Impresora 3D"/>
    <s v="Sprintray"/>
    <s v="Pro95"/>
    <s v="J005X6V4"/>
    <s v=" "/>
    <n v="2022"/>
    <n v="8"/>
    <n v="5"/>
    <s v="Propio"/>
    <s v="Bueno "/>
    <x v="2"/>
    <s v="NO"/>
    <n v="2023"/>
    <s v="NO"/>
    <s v="NO APLICA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Bajo costo"/>
    <s v="Localizador Apical y Detector Pulpar"/>
    <s v="Woodpecker"/>
    <s v="Woodpex X"/>
    <s v="R2470041WX"/>
    <m/>
    <n v="2024"/>
    <n v="8"/>
    <n v="7"/>
    <s v="Propio"/>
    <s v="Bueno "/>
    <x v="1"/>
    <s v="SI"/>
    <d v="2026-01-14T00:00:00"/>
    <s v="SI"/>
    <n v="2025"/>
    <s v="EXTERNO"/>
    <s v="BIOTECH"/>
    <s v="COLDAS 2024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Lupa con luz"/>
    <s v="Machting"/>
    <s v="S/N"/>
    <s v="S/N"/>
    <m/>
    <n v="2024"/>
    <m/>
    <n v="-1"/>
    <s v="Propio"/>
    <s v="Bueno "/>
    <x v="2"/>
    <s v="SI"/>
    <d v="2025-12-04T00:00:00"/>
    <s v="NO"/>
    <s v="NO APLICA"/>
    <s v="EXTERNO"/>
    <s v="BIOTECH"/>
    <s v="COLDAS 2024"/>
    <m/>
    <m/>
    <m/>
    <m/>
    <m/>
    <m/>
    <m/>
    <m/>
    <m/>
    <m/>
    <m/>
    <m/>
    <m/>
    <m/>
  </r>
  <r>
    <s v="Especialidades Dental - 12"/>
    <s v="Hospital Penco Lirquen"/>
    <s v="Apoyo Terapéutico"/>
    <s v="Mediano Costo "/>
    <s v="Máquina de anestesia computarizada"/>
    <s v="Dental HI TEC"/>
    <s v="Sleeper One 5"/>
    <s v="S5B00552"/>
    <s v="HPL30363"/>
    <n v="2021"/>
    <n v="8"/>
    <n v="4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Apoyo Quirúrgico"/>
    <s v="Alto Costo"/>
    <s v="Microscopio otorrino"/>
    <s v="Ecleris"/>
    <s v="Halolux 150"/>
    <s v="MC2141R0008113283"/>
    <s v="HPL18634"/>
    <n v="2016"/>
    <n v="10"/>
    <n v="1"/>
    <s v="Propio"/>
    <s v="Bueno "/>
    <x v="2"/>
    <s v="NO"/>
    <s v="NO APLICA"/>
    <s v="SI"/>
    <n v="2023"/>
    <s v="EXTERNO"/>
    <s v="NEWLAB"/>
    <s v="1057540-130-LE23"/>
    <m/>
    <m/>
    <m/>
    <m/>
    <m/>
    <m/>
    <m/>
    <m/>
    <m/>
    <m/>
    <m/>
    <m/>
    <m/>
    <m/>
  </r>
  <r>
    <s v="Especialidades Dental - 12"/>
    <s v="Hospital Penco Lirquen"/>
    <s v="Odontología"/>
    <s v="Bajo costo"/>
    <s v="Motor de sobremesa"/>
    <s v="NSK"/>
    <s v="Volvere i7"/>
    <n v="109592"/>
    <s v="HPL29910"/>
    <n v="2021"/>
    <n v="8"/>
    <n v="4"/>
    <s v="Propio"/>
    <s v="Bueno "/>
    <x v="2"/>
    <s v="NO"/>
    <s v="NO APLICA"/>
    <s v="NO"/>
    <s v="NO APLICA"/>
    <s v="EXTERNO"/>
    <s v="ESKA DENTAL"/>
    <s v=" 1057540-852-AG22"/>
    <m/>
    <m/>
    <m/>
    <m/>
    <m/>
    <m/>
    <m/>
    <m/>
    <m/>
    <m/>
    <m/>
    <m/>
    <m/>
    <m/>
  </r>
  <r>
    <s v="Especialidades Dental - 12"/>
    <s v="Hospital Penco Lirquen"/>
    <s v="Odontología"/>
    <s v="Bajo costo"/>
    <s v="Motor Endodoncia"/>
    <s v="Woodpecker"/>
    <s v="Ai-Motor"/>
    <s v="E22A0365AI"/>
    <m/>
    <n v="2024"/>
    <n v="8"/>
    <n v="7"/>
    <s v="Propio"/>
    <s v="Bueno "/>
    <x v="1"/>
    <s v="SI"/>
    <d v="2025-12-04T00:00:00"/>
    <s v="SI"/>
    <n v="2025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Bajo costo"/>
    <s v="Motor endodóntico"/>
    <s v="JERRY"/>
    <s v="Endo Smart II"/>
    <s v="ZA4B510A014"/>
    <m/>
    <n v="2022"/>
    <n v="8"/>
    <n v="5"/>
    <s v="Propio"/>
    <s v="Bueno "/>
    <x v="2"/>
    <s v="NO"/>
    <n v="2023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Unidad dental"/>
    <s v="Amaro"/>
    <s v="SL8600"/>
    <n v="13070"/>
    <m/>
    <n v="2024"/>
    <n v="8"/>
    <n v="0"/>
    <s v="Propio"/>
    <s v="Bueno "/>
    <x v="1"/>
    <s v="SI"/>
    <d v="2027-09-01T00:00:00"/>
    <s v="SI"/>
    <n v="2025"/>
    <s v="EXTERNO"/>
    <s v="GRUPO LECAROS"/>
    <m/>
    <m/>
    <n v="2"/>
    <m/>
    <m/>
    <s v="X"/>
    <m/>
    <m/>
    <m/>
    <m/>
    <m/>
    <s v="X"/>
    <m/>
    <m/>
    <m/>
  </r>
  <r>
    <s v="Especialidades Dental - 12"/>
    <s v="Hospital Penco Lirquen"/>
    <s v="Odontología"/>
    <s v="Mediano Costo"/>
    <s v="Sistema de Lavado y Secado"/>
    <s v="Sprintray"/>
    <s v="Pro Wash/Dry"/>
    <s v="074685FL"/>
    <s v=" "/>
    <n v="2022"/>
    <n v="8"/>
    <n v="5"/>
    <s v="Propio"/>
    <s v="Bueno "/>
    <x v="2"/>
    <s v="NO"/>
    <n v="2023"/>
    <s v="NO"/>
    <s v="NO APLICA"/>
    <s v="EXTERNO"/>
    <s v="STRAUMANN"/>
    <s v="COLDAS 2022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lapicero)"/>
    <s v="Woodpecker"/>
    <s v="FI-P"/>
    <s v="FP20B0174L"/>
    <s v="HPL30251"/>
    <n v="2021"/>
    <n v="8"/>
    <n v="4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istema de obturación endodóntico (pistola)"/>
    <s v="Woodpecker"/>
    <s v="FI-G"/>
    <s v="FG2130769L"/>
    <s v="HPL30249"/>
    <n v="2021"/>
    <n v="8"/>
    <n v="4"/>
    <s v="Propio"/>
    <s v="Bueno "/>
    <x v="2"/>
    <s v="NO"/>
    <s v="NO APLICA"/>
    <s v="NO"/>
    <s v="NO APLICA"/>
    <s v="EXTERNO"/>
    <s v="NO APLICA "/>
    <s v="NO APLICA"/>
    <m/>
    <m/>
    <m/>
    <m/>
    <m/>
    <m/>
    <m/>
    <m/>
    <m/>
    <m/>
    <m/>
    <m/>
    <m/>
    <m/>
  </r>
  <r>
    <s v="Especialidades Dental - 12"/>
    <s v="Hospital Penco Lirquen"/>
    <s v="Odontología"/>
    <s v="Bajo costo"/>
    <s v="Sistema de Obturacion Gutapercha"/>
    <s v="Woodpecker"/>
    <s v="Fi-P"/>
    <s v="FP23A0020L"/>
    <m/>
    <n v="2024"/>
    <n v="8"/>
    <n v="7"/>
    <s v="Propio"/>
    <s v="Bueno "/>
    <x v="1"/>
    <s v="SI"/>
    <d v="2025-12-04T00:00:00"/>
    <s v="SI"/>
    <n v="2025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Mediano Costo "/>
    <s v="Suctor Extraoral"/>
    <s v="Eighteeth"/>
    <s v="VacStation"/>
    <s v="EV1C0605A379"/>
    <s v="HPL30245"/>
    <n v="2020"/>
    <n v="8"/>
    <n v="3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Mediano Costo "/>
    <s v="Suctor Extraoral"/>
    <s v="Eighteeth"/>
    <s v="VacStation"/>
    <s v="EV1C0605A381"/>
    <s v="HPL30246"/>
    <n v="2020"/>
    <n v="8"/>
    <n v="3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Dental - 12"/>
    <s v="Hospital Penco Lirquen"/>
    <s v="Odontología"/>
    <s v="Alto  costo"/>
    <s v="TAC dental"/>
    <s v="Morita"/>
    <s v="Veraview X800 F150"/>
    <s v="X821T000392"/>
    <m/>
    <n v="2023"/>
    <n v="8"/>
    <n v="6"/>
    <s v="Propio"/>
    <s v="Bueno "/>
    <x v="3"/>
    <s v="SI"/>
    <d v="2026-08-01T00:00:00"/>
    <s v="SI"/>
    <n v="2024"/>
    <s v="EXTERNO"/>
    <s v="BUHOS"/>
    <s v="1057931-5-LP23"/>
    <m/>
    <n v="2"/>
    <m/>
    <m/>
    <m/>
    <s v="X"/>
    <m/>
    <m/>
    <m/>
    <m/>
    <m/>
    <s v="X"/>
    <m/>
    <m/>
  </r>
  <r>
    <s v="Especialidades Dental - 12"/>
    <s v="Hospital Penco Lirquen"/>
    <s v="Odontología"/>
    <s v="Mediano Costo "/>
    <s v="Unidad dental"/>
    <s v="Zurik"/>
    <s v="N1"/>
    <n v="1811401"/>
    <s v="HPL19007"/>
    <n v="2019"/>
    <n v="8"/>
    <n v="2"/>
    <s v="Propio"/>
    <s v="Bueno "/>
    <x v="1"/>
    <s v="NO"/>
    <s v="NO APLICA"/>
    <s v="SI"/>
    <n v="2023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7/VD16H0029"/>
    <s v="HPL18802"/>
    <n v="2016"/>
    <n v="8"/>
    <n v="-1"/>
    <s v="Propio"/>
    <s v="Bueno "/>
    <x v="1"/>
    <s v="NO"/>
    <s v="NO APLICA"/>
    <s v="SI"/>
    <n v="2023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U16L0008/VD16F0030"/>
    <s v="HPL18849"/>
    <n v="2016"/>
    <n v="8"/>
    <n v="-1"/>
    <s v="Propio"/>
    <s v="Bueno "/>
    <x v="1"/>
    <s v="NO"/>
    <s v="NO APLICA"/>
    <s v="SI"/>
    <n v="2023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Belmont"/>
    <s v="Credia G1"/>
    <s v="VW15D0124/VD16H0017"/>
    <s v=" HPL18997 "/>
    <n v="2016"/>
    <n v="8"/>
    <n v="0"/>
    <s v="Propio"/>
    <s v="Bueno "/>
    <x v="1"/>
    <s v="NO"/>
    <s v="NO APLICA"/>
    <s v="SI"/>
    <n v="2023"/>
    <s v="CONTRATO"/>
    <s v="RIGOBERTO FUICA"/>
    <s v="1057540-115-LE23"/>
    <n v="300000"/>
    <n v="3"/>
    <m/>
    <s v="√"/>
    <m/>
    <m/>
    <m/>
    <s v="X"/>
    <m/>
    <m/>
    <m/>
    <s v="X"/>
    <m/>
    <m/>
  </r>
  <r>
    <s v="Especialidades Dental - 12"/>
    <s v="Hospital Penco Lirquen"/>
    <s v="Odontología"/>
    <s v="Mediano Costo "/>
    <s v="Unidad dental"/>
    <s v="Dabi Atlante Prestige"/>
    <s v="New Croma"/>
    <n v="500003296698"/>
    <m/>
    <n v="2024"/>
    <n v="8"/>
    <n v="7"/>
    <s v="Propio"/>
    <s v="Bueno "/>
    <x v="1"/>
    <s v="SI"/>
    <d v="2026-12-01T00:00:00"/>
    <s v="SI"/>
    <n v="2025"/>
    <s v="EXTERNO"/>
    <s v="MAYORDENT"/>
    <s v="COLDAS 2024"/>
    <m/>
    <n v="1"/>
    <m/>
    <m/>
    <m/>
    <m/>
    <m/>
    <m/>
    <m/>
    <m/>
    <m/>
    <m/>
    <m/>
    <s v="X"/>
  </r>
  <r>
    <s v="Especialidades Dental - 12"/>
    <s v="Hospital Penco Lirquen"/>
    <s v="Odontología"/>
    <s v="Mediano Costo "/>
    <s v="Unidad dental"/>
    <s v="Dabi Atlante Prestige"/>
    <s v="New Croma"/>
    <n v="500003289586"/>
    <m/>
    <n v="2025"/>
    <n v="8"/>
    <n v="8"/>
    <s v="Propio"/>
    <s v="Bueno "/>
    <x v="1"/>
    <s v="SI"/>
    <d v="2027-01-06T00:00:00"/>
    <s v="SI"/>
    <n v="2025"/>
    <s v="EXTERNO"/>
    <s v="MAYORDENT"/>
    <s v="COLDAS 2024"/>
    <m/>
    <m/>
    <m/>
    <m/>
    <m/>
    <m/>
    <m/>
    <m/>
    <m/>
    <m/>
    <m/>
    <m/>
    <m/>
    <m/>
  </r>
  <r>
    <s v="Especialidades Dental - 12"/>
    <s v="Hospital Penco Lirquen"/>
    <s v="Odontología"/>
    <s v="Bajo costo"/>
    <s v="Unidad Dental Portatil"/>
    <s v="Dynamic "/>
    <s v="DU893"/>
    <s v="DUOB4051372"/>
    <m/>
    <n v="2024"/>
    <n v="8"/>
    <n v="7"/>
    <s v="Propio"/>
    <s v="Bueno "/>
    <x v="1"/>
    <s v="SI"/>
    <d v="2025-12-04T00:00:00"/>
    <s v="SI"/>
    <n v="2025"/>
    <s v="EXTERNO"/>
    <s v="BIOTECH"/>
    <s v="COLDAS 2024"/>
    <m/>
    <n v="1"/>
    <m/>
    <m/>
    <m/>
    <m/>
    <m/>
    <m/>
    <m/>
    <m/>
    <m/>
    <m/>
    <m/>
    <s v="X"/>
  </r>
  <r>
    <s v="Especialidades Dental - 12"/>
    <s v="Hospital Penco Lirquen"/>
    <s v="Imagenología"/>
    <s v="Alto Costo"/>
    <s v="RX dental"/>
    <s v="Belmont"/>
    <s v="Bel Ray 097 II"/>
    <s v="515L0090"/>
    <s v="HPL18789"/>
    <n v="2017"/>
    <n v="10"/>
    <n v="2"/>
    <s v="Propio"/>
    <s v="Bueno "/>
    <x v="3"/>
    <s v="NO"/>
    <s v="NO APLICA"/>
    <s v="SI"/>
    <n v="2023"/>
    <s v="CONTRATO"/>
    <s v="MercSoluciones"/>
    <s v="1057540-49-LE23"/>
    <n v="333200"/>
    <n v="2"/>
    <m/>
    <m/>
    <s v="X"/>
    <m/>
    <m/>
    <m/>
    <m/>
    <m/>
    <s v="X"/>
    <m/>
    <m/>
    <m/>
  </r>
  <r>
    <s v="Especialidades Ginecologica "/>
    <s v="Hospital Penco Lirquen"/>
    <s v="Mobiliario"/>
    <s v="Clínico"/>
    <s v="Camilla de examen"/>
    <s v="Malvestio"/>
    <n v="350350"/>
    <n v="20009693"/>
    <s v="HPL12343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4"/>
    <s v="HPL1228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Mobiliario"/>
    <s v="Clínico"/>
    <s v="Camilla de examen"/>
    <s v="Malvestio"/>
    <n v="350350"/>
    <n v="20009697"/>
    <s v="HPL12360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0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Welchallyn"/>
    <s v="GS-600"/>
    <s v="S/N"/>
    <s v="HPL30301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Mimsal "/>
    <s v="Luxi Flex"/>
    <s v="S/N"/>
    <s v="HPL30302"/>
    <n v="2021"/>
    <n v="10"/>
    <n v="6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Ginecologica "/>
    <s v="Hospital Penco Lirquen"/>
    <s v="Apoyo Quirúrgico"/>
    <s v="Mediano Costo "/>
    <s v="Lámpara de procedimientos"/>
    <s v="N/A"/>
    <s v="S/N"/>
    <s v="S/N"/>
    <s v="HPL30303"/>
    <n v="2021"/>
    <n v="10"/>
    <n v="6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Ginecologica - (8 B)"/>
    <s v="Hospital Penco Lirquen"/>
    <s v="Imagenología"/>
    <s v="Alto Costo"/>
    <s v="Ecógrafo"/>
    <s v="General Electric"/>
    <s v="Voluson S10"/>
    <s v="VSX802441"/>
    <s v="HPL30394"/>
    <n v="2019"/>
    <n v="8"/>
    <n v="2"/>
    <s v="Propio"/>
    <s v="Bueno "/>
    <x v="3"/>
    <s v="NO"/>
    <s v="NO APLICA"/>
    <s v="SI"/>
    <n v="2023"/>
    <s v="CONTRATO"/>
    <s v="HOSER"/>
    <s v="1057540-17-LE23"/>
    <n v="1832600"/>
    <n v="2"/>
    <m/>
    <s v="√"/>
    <m/>
    <m/>
    <m/>
    <m/>
    <m/>
    <m/>
    <s v="X"/>
    <m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2"/>
    <s v="HPL30190"/>
    <n v="2017"/>
    <n v="5"/>
    <n v="-3"/>
    <s v="Propio"/>
    <s v="Bueno "/>
    <x v="1"/>
    <s v="NO"/>
    <s v="NO APLICA"/>
    <s v="SI"/>
    <n v="2023"/>
    <s v="EXTERNO"/>
    <s v="CODESUR"/>
    <s v="1057540-110-LE23"/>
    <n v="30000"/>
    <n v="1"/>
    <m/>
    <m/>
    <m/>
    <m/>
    <m/>
    <m/>
    <m/>
    <m/>
    <s v="X"/>
    <m/>
    <m/>
    <m/>
  </r>
  <r>
    <s v="Especialidades Ginecologica - 2"/>
    <s v="Hospital Penco Lirquen"/>
    <s v="Apoyo Diagnóstico"/>
    <s v="Bajo costo"/>
    <s v="Detector de latido cardiofetal"/>
    <s v="Edan"/>
    <s v="SD3 PLUS"/>
    <s v="460417-M16300560003"/>
    <s v="HPL30191"/>
    <n v="2017"/>
    <n v="5"/>
    <n v="-3"/>
    <s v="Propio"/>
    <s v="Bueno "/>
    <x v="1"/>
    <s v="NO"/>
    <s v="NO APLICA"/>
    <s v="SI"/>
    <n v="2023"/>
    <s v="EXTERNO"/>
    <s v="CODESUR"/>
    <s v="1057540-110-LE23"/>
    <n v="30000"/>
    <n v="1"/>
    <m/>
    <m/>
    <m/>
    <m/>
    <m/>
    <m/>
    <m/>
    <m/>
    <s v="X"/>
    <m/>
    <m/>
    <m/>
  </r>
  <r>
    <s v="Especialidades Ginecologica - 2"/>
    <s v="Hospital Penco Lirquen"/>
    <s v="Imagenología"/>
    <s v="Alto Costo"/>
    <s v="Ecógrafo"/>
    <s v="Samsung"/>
    <s v="Ugeo H60NLAB/WR"/>
    <s v="S0TAM3HF700007M"/>
    <s v="HPL12285"/>
    <n v="2014"/>
    <n v="8"/>
    <n v="-3"/>
    <s v="Propio"/>
    <s v="Bueno "/>
    <x v="3"/>
    <s v="NO"/>
    <s v="NO APLICA"/>
    <s v="SI"/>
    <n v="2023"/>
    <s v="CONTRATO"/>
    <s v="MercSoluciones"/>
    <s v="1057540-49-LE23"/>
    <n v="571200"/>
    <n v="2"/>
    <m/>
    <s v="√"/>
    <m/>
    <m/>
    <m/>
    <m/>
    <m/>
    <s v="X"/>
    <m/>
    <m/>
    <m/>
    <m/>
  </r>
  <r>
    <s v="Especialidades Medico Quirurgico"/>
    <s v="Hospital Penco Lirquen"/>
    <s v="Apoyo Diagnóstico"/>
    <s v="Bajo costo"/>
    <s v="Balanza con tallímetro"/>
    <s v="Seca"/>
    <n v="700"/>
    <n v="3453"/>
    <s v="HPL12135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D 300"/>
    <s v="PD0000013O111535"/>
    <s v="HPL12134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Balanza con tallímetro"/>
    <s v="Detecto"/>
    <s v="Prodoc PD 300"/>
    <s v="PD0000013O111536"/>
    <s v="HPL12080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4"/>
    <s v="HPL1203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18"/>
    <s v="HPL12074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6"/>
    <s v="HPL12395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28"/>
    <s v="HPL12105"/>
    <n v="2015"/>
    <n v="8"/>
    <n v="-2"/>
    <s v="Propio"/>
    <s v="MALO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1"/>
    <s v="HPL11979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4"/>
    <s v="HPL12124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8"/>
    <s v="HPL1214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39"/>
    <s v="HPL1216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0"/>
    <s v="HLP12010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1"/>
    <s v="HPL1204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Mobiliario"/>
    <s v="Clínico"/>
    <s v="Camilla de examen"/>
    <s v="Malvestio"/>
    <n v="350100"/>
    <n v="20019543"/>
    <s v="HPL12084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5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Mediano Costo "/>
    <s v="Frontoluz"/>
    <s v="Karl Storz"/>
    <s v="KS60"/>
    <s v="S/N"/>
    <s v="HPL30296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560"/>
    <s v="S/N"/>
    <s v="HPL30304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Quirúrgico"/>
    <s v="Mediano Costo "/>
    <s v="Lámpara de procedimientos"/>
    <s v="Welchallyn"/>
    <s v="GS-600"/>
    <s v="S/N"/>
    <s v="HPL30305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Monitoreo"/>
    <s v="Mediano Costo "/>
    <s v="Monitor de signos vitales"/>
    <s v="General Electric"/>
    <s v="V100"/>
    <s v="SH617070055SA"/>
    <s v="HPL12145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Medico Quirurgico"/>
    <s v="Hospital Penco Lirquen"/>
    <s v="Apoyo Diagnóstico"/>
    <s v="Bajo costo"/>
    <s v="Oto oftalmoscopio de pared"/>
    <s v="Ezer"/>
    <s v="varios"/>
    <s v="S/N"/>
    <s v="HPL30335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"/>
    <s v="Hospital Penco Lirquen"/>
    <s v="Apoyo Diagnóstico"/>
    <s v="Bajo costo"/>
    <s v="Oto oftalmoscopio de pared"/>
    <s v="Ezer"/>
    <s v="varios"/>
    <s v="S/N"/>
    <s v="HPL30336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Medico Quirurgico - 15"/>
    <s v="Hospital Penco Lirquen"/>
    <s v="Apoyo Quirúrgico"/>
    <s v="Mediano Costo "/>
    <s v="Electrobisturí"/>
    <s v="Covidien Valleylab"/>
    <s v="Force FX-8CS"/>
    <s v="S5H18791AX"/>
    <s v="HPL19433"/>
    <n v="2016"/>
    <n v="8"/>
    <n v="-1"/>
    <s v="Propio"/>
    <s v="Bueno "/>
    <x v="1"/>
    <s v="NO"/>
    <s v="NO APLICA"/>
    <s v="SI"/>
    <n v="2023"/>
    <s v="EXTERNO"/>
    <s v="CODESUR"/>
    <s v="1057540-110-LE23"/>
    <n v="170000"/>
    <n v="2"/>
    <m/>
    <m/>
    <s v="X"/>
    <m/>
    <m/>
    <m/>
    <m/>
    <m/>
    <s v="X"/>
    <m/>
    <m/>
    <m/>
  </r>
  <r>
    <s v="Especialidades Medico Quirurgico - 15A"/>
    <s v="Hospital Penco Lirquen"/>
    <s v="Apoyo Diagnóstico"/>
    <s v="Mediano Costo "/>
    <s v="Electrocardiografo"/>
    <s v="General Electric"/>
    <s v="MAC 800"/>
    <s v="SJ417020047WA"/>
    <s v="HPL12171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m/>
    <s v="X"/>
  </r>
  <r>
    <s v="Especialidades Médico Quirurgico - 9C"/>
    <s v="Hospital Penco Lirquen"/>
    <s v="Apoyo Terapéutico"/>
    <s v="Mediano Costo"/>
    <s v="Camilla de transporte"/>
    <s v="Luxury Saikang"/>
    <s v="SKB041"/>
    <n v="324017008"/>
    <m/>
    <n v="2025"/>
    <m/>
    <s v=""/>
    <s v="Propio"/>
    <s v="Bueno "/>
    <x v="2"/>
    <s v="SI"/>
    <d v="2026-01-07T00:00:00"/>
    <s v="SI"/>
    <n v="2025"/>
    <s v="EXTERNO"/>
    <s v="PTM"/>
    <s v="COLDAS 2024"/>
    <m/>
    <m/>
    <m/>
    <m/>
    <m/>
    <m/>
    <m/>
    <m/>
    <m/>
    <m/>
    <m/>
    <m/>
    <m/>
    <m/>
  </r>
  <r>
    <s v="Especialidades Médico Quirurgico - 9C"/>
    <s v="Hospital Penco Lirquen"/>
    <s v="Apoyo Terapéutico"/>
    <s v="Mediano Costo"/>
    <s v="Carro de curaciones"/>
    <s v="Francehopital"/>
    <s v="PS405-WH"/>
    <s v="OP_21_10326"/>
    <m/>
    <n v="2025"/>
    <m/>
    <s v=""/>
    <s v="Propio"/>
    <s v="Bueno "/>
    <x v="2"/>
    <s v="SI"/>
    <d v="2026-01-07T00:00:00"/>
    <s v="SI"/>
    <n v="2025"/>
    <s v="EXTERNO"/>
    <s v="PTM"/>
    <s v="COLDAS 2024"/>
    <m/>
    <m/>
    <m/>
    <m/>
    <m/>
    <m/>
    <m/>
    <m/>
    <m/>
    <m/>
    <m/>
    <m/>
    <m/>
    <m/>
  </r>
  <r>
    <s v="Especialidades Médico Quirurgico - 9C"/>
    <s v="Hospital Penco Lirquen"/>
    <s v="Mobiliario"/>
    <s v="Clínico"/>
    <s v="Sillón de tratamiento"/>
    <s v="Malvestio"/>
    <s v="Idea 2 "/>
    <n v="20100211"/>
    <m/>
    <n v="2023"/>
    <m/>
    <s v=""/>
    <s v="Propio "/>
    <s v="Bueno "/>
    <x v="2"/>
    <s v="SI"/>
    <m/>
    <s v="NO"/>
    <s v="NO APLICA"/>
    <s v="EXTERNO"/>
    <s v="BLUEMEDICAL"/>
    <m/>
    <m/>
    <m/>
    <m/>
    <m/>
    <m/>
    <m/>
    <m/>
    <m/>
    <m/>
    <m/>
    <m/>
    <m/>
    <m/>
    <m/>
  </r>
  <r>
    <s v="Especialidades Neurologia"/>
    <s v="Hospital Penco Lirquen"/>
    <s v="Monitoreo"/>
    <s v="Mediano Costo "/>
    <s v="Monitor de signos vitales"/>
    <s v="General Electric"/>
    <s v="V100"/>
    <s v="SH617070060SA"/>
    <s v="HPL18642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Neurologia "/>
    <s v="Hospital Penco Lirquen"/>
    <s v="Mobiliario"/>
    <s v="Clínico"/>
    <s v="Camilla de examen"/>
    <s v="Malvestio"/>
    <n v="320810"/>
    <n v="20019381"/>
    <s v="HPL30017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Neurologia "/>
    <s v="Hospital Penco Lirquen"/>
    <s v="Apoyo Diagnóstico"/>
    <s v="Mediano Costo "/>
    <s v="Espirómetro portátil"/>
    <s v="MGC diagnostics"/>
    <s v="CPF-S7D"/>
    <n v="220004754"/>
    <s v="HPL30047"/>
    <n v="2017"/>
    <n v="8"/>
    <n v="0"/>
    <s v="Propio"/>
    <s v="Bueno "/>
    <x v="1"/>
    <s v="NO"/>
    <s v="NO APLICA"/>
    <s v="NO"/>
    <n v="2024"/>
    <s v="EXTERNO"/>
    <m/>
    <m/>
    <m/>
    <m/>
    <m/>
    <m/>
    <m/>
    <m/>
    <m/>
    <m/>
    <m/>
    <m/>
    <m/>
    <m/>
    <m/>
    <m/>
  </r>
  <r>
    <s v="Especialidades Neurologia "/>
    <s v="Hospital Penco Lirquen"/>
    <s v="Apoyo Terapéutico"/>
    <s v="Bajo costo"/>
    <s v="Jeringa de calibración de volumen fijo 3 litros"/>
    <s v="MGC diagnostics"/>
    <n v="192808"/>
    <n v="118460"/>
    <s v="HPL29919"/>
    <n v="2015"/>
    <n v="8"/>
    <n v="-2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Bajo costo"/>
    <s v="Lampara de examen"/>
    <s v="Heine"/>
    <s v="EL3 LED"/>
    <n v="1100405363"/>
    <s v="HPL18647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Neurologia "/>
    <s v="Hospital Penco Lirquen"/>
    <s v="Apoyo Diagnóstico"/>
    <s v="Bajo costo"/>
    <s v="Oto-oftalmoscopio de pared"/>
    <s v="Riester"/>
    <s v="Ri-scope L"/>
    <s v="varios"/>
    <s v="HPL30392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Neurologia - 15"/>
    <s v="Hospital Penco Lirquen"/>
    <s v="Apoyo Diagnóstico"/>
    <s v="Alto Costo"/>
    <s v="Electroencefalógrafo"/>
    <s v="Natus"/>
    <s v="Xltek EE G32U"/>
    <s v="10399J1896"/>
    <s v="HPL18643"/>
    <n v="2017"/>
    <n v="8"/>
    <n v="0"/>
    <s v="Propio"/>
    <s v="Bueno "/>
    <x v="1"/>
    <s v="NO"/>
    <s v="NO APLICA"/>
    <s v="SI"/>
    <n v="2024"/>
    <s v="CONTRATO"/>
    <s v="NEWLAB - L1"/>
    <s v="1057540-78-LE23"/>
    <n v="297500"/>
    <n v="1"/>
    <m/>
    <m/>
    <s v="X"/>
    <m/>
    <m/>
    <m/>
    <m/>
    <m/>
    <m/>
    <m/>
    <m/>
    <m/>
  </r>
  <r>
    <s v="Especialidades oftalmologia"/>
    <s v="Hospital Penco Lirquen"/>
    <s v="Monitoreo"/>
    <s v="Mediano Costo "/>
    <s v="Monitor de signos vitales"/>
    <s v="General Electric"/>
    <s v="V100"/>
    <s v="SH617070208SA"/>
    <s v="HPL18562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Oftalmología"/>
    <s v="Hospital Penco Lirquen"/>
    <s v="Apoyo Diagnóstico"/>
    <s v="Clínico"/>
    <s v="Ecógrafo Ocular"/>
    <s v="Sonomed Escalon"/>
    <s v="VuPad A/B"/>
    <s v="5575-1123-2817A"/>
    <m/>
    <n v="2023"/>
    <n v="8"/>
    <n v="6"/>
    <s v="Comodato"/>
    <s v="Bueno "/>
    <x v="1"/>
    <s v="SI"/>
    <s v="NO APLICA"/>
    <s v="SI"/>
    <n v="2025"/>
    <s v="EXTERNO"/>
    <s v="ALCON"/>
    <s v="1057540-75-LR23"/>
    <m/>
    <n v="1"/>
    <m/>
    <s v="√"/>
    <m/>
    <m/>
    <m/>
    <m/>
    <m/>
    <m/>
    <m/>
    <m/>
    <m/>
    <m/>
  </r>
  <r>
    <s v="Especialidades oftalmologia "/>
    <s v="Hospital Penco Lirquen"/>
    <s v="Apoyo Diagnóstico"/>
    <s v="Alto Costo"/>
    <s v="Autorefractometro"/>
    <s v="Topcon"/>
    <s v="KR8800"/>
    <n v="4120123"/>
    <s v="HPL18555"/>
    <n v="2016"/>
    <n v="8"/>
    <n v="-1"/>
    <s v="Propio"/>
    <s v="Bueno "/>
    <x v="1"/>
    <s v="NO"/>
    <s v="NO APLICA"/>
    <s v="SI"/>
    <n v="2023"/>
    <s v="CONTRATO"/>
    <s v="NEWLAB"/>
    <s v="1057540-61-LE24"/>
    <n v="285600"/>
    <n v="1"/>
    <m/>
    <m/>
    <m/>
    <m/>
    <m/>
    <m/>
    <m/>
    <m/>
    <s v="X"/>
    <m/>
    <m/>
    <m/>
  </r>
  <r>
    <s v="Especialidades oftalmologia "/>
    <s v="Hospital Penco Lirquen"/>
    <s v="Mobiliario"/>
    <s v="Clínico"/>
    <s v="Camilla de examen"/>
    <s v="Malvestio"/>
    <n v="350100"/>
    <n v="20009620"/>
    <s v="HPL18672"/>
    <n v="2016"/>
    <n v="8"/>
    <n v="-1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oftalmologia "/>
    <s v="Hospital Penco Lirquen"/>
    <s v="Apoyo Diagnóstico"/>
    <s v="Alto Costo"/>
    <s v="Lampara de hendidura"/>
    <s v="Shin nippon"/>
    <s v="S2-500"/>
    <s v="2012-0489"/>
    <s v="HPL18556"/>
    <n v="2016"/>
    <n v="8"/>
    <n v="-1"/>
    <s v="Propio"/>
    <s v="Bueno "/>
    <x v="1"/>
    <s v="NO"/>
    <s v="NO APLICA"/>
    <s v="SI"/>
    <n v="2023"/>
    <s v="CONTRATO"/>
    <s v="NEWLAB"/>
    <s v="1057540-61-LE24"/>
    <n v="214200"/>
    <n v="1"/>
    <m/>
    <m/>
    <m/>
    <m/>
    <m/>
    <m/>
    <m/>
    <m/>
    <s v="X"/>
    <m/>
    <m/>
    <m/>
  </r>
  <r>
    <s v="Especialidades oftalmologia "/>
    <s v="Hospital Penco Lirquen"/>
    <s v="Apoyo Diagnóstico"/>
    <s v="Mediano Costo "/>
    <s v="Lensómetro"/>
    <s v="Topcon"/>
    <s v="CL-200"/>
    <n v="397156"/>
    <s v="HPL18592"/>
    <n v="2016"/>
    <n v="8"/>
    <n v="-1"/>
    <s v="Propio"/>
    <s v="Bueno "/>
    <x v="1"/>
    <s v="NO"/>
    <s v="NO APLICA"/>
    <s v="SI"/>
    <n v="2023"/>
    <s v="CONTRATO"/>
    <s v="NEWLAB"/>
    <s v="1057540-61-LE24"/>
    <n v="178500"/>
    <n v="1"/>
    <m/>
    <m/>
    <m/>
    <m/>
    <m/>
    <m/>
    <m/>
    <m/>
    <s v="X"/>
    <m/>
    <m/>
    <m/>
  </r>
  <r>
    <s v="Especialidades oftalmologia "/>
    <s v="Hospital Penco Lirquen"/>
    <s v="Apoyo Diagnóstico"/>
    <s v="Mediano Costo "/>
    <s v="Lensómetro"/>
    <s v="Topcon"/>
    <s v="CL300"/>
    <n v="2814208"/>
    <s v="HPL29950"/>
    <n v="2016"/>
    <n v="8"/>
    <n v="-1"/>
    <s v="Propio"/>
    <s v="Bueno "/>
    <x v="1"/>
    <s v="NO"/>
    <s v="NO APLICA"/>
    <s v="SI"/>
    <n v="2023"/>
    <s v="CONTRATO"/>
    <s v="NEWLAB"/>
    <s v="1057540-61-LE24"/>
    <n v="178500"/>
    <n v="1"/>
    <m/>
    <m/>
    <m/>
    <m/>
    <m/>
    <m/>
    <m/>
    <m/>
    <s v="X"/>
    <m/>
    <m/>
    <m/>
  </r>
  <r>
    <s v="Especialidades oftalmologia "/>
    <s v="Hospital Penco Lirquen"/>
    <s v="Apoyo Diagnóstico"/>
    <s v="Bajo costo"/>
    <s v="Oftalmoscopio directo"/>
    <s v="Heine"/>
    <s v="Beta200S"/>
    <n v="1100569379"/>
    <s v="HPL3005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374"/>
    <s v="HPL30060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Heine"/>
    <s v="Beta200S"/>
    <n v="1100636423"/>
    <s v="HPL30061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directo"/>
    <s v="Welchallyn"/>
    <n v="11730"/>
    <s v="S/N"/>
    <s v="HPL3033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216679"/>
    <s v="HPL2994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Oftalmoscopio indirecto"/>
    <s v="Heine"/>
    <s v="Omega 500"/>
    <n v="1100580719"/>
    <s v="HPL30059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650612"/>
    <s v="HPL29939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aquímetro Ultrasonico"/>
    <s v="Tomey"/>
    <s v="SP100"/>
    <n v="832911"/>
    <s v="HPL29940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wn"/>
    <s v="ACP8"/>
    <n v="157184"/>
    <s v="HPL29922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Nidek"/>
    <s v="CP-770"/>
    <n v="167962"/>
    <s v="HPL29923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0"/>
    <s v="HPL29947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Mediano Costo "/>
    <s v="Proyector de optotipos"/>
    <s v="Topcon"/>
    <s v="ACP8"/>
    <n v="1550815"/>
    <s v="HPL29948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"/>
    <s v="Hospital Penco Lirquen"/>
    <s v="Apoyo Diagnóstico"/>
    <s v="Bajo costo"/>
    <s v="Retinoscopio"/>
    <s v="Welchallyn"/>
    <n v="18240"/>
    <s v="S/N"/>
    <s v="HPL30351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- 15"/>
    <s v="Hospital Penco Lirquen"/>
    <s v="Apoyo Diagnóstico"/>
    <s v="Alto Costo"/>
    <s v="Campímetro"/>
    <s v="Zeizz"/>
    <s v="HFA3 850"/>
    <s v="850-15137"/>
    <s v="HPL18572"/>
    <n v="2017"/>
    <n v="8"/>
    <n v="0"/>
    <s v="Propio"/>
    <s v="Bueno "/>
    <x v="1"/>
    <s v="NO"/>
    <s v="NO APLICA"/>
    <s v="SI"/>
    <n v="2023"/>
    <s v="CONTRATO"/>
    <s v="NEWLAB"/>
    <s v="1057540-61-LE24"/>
    <n v="571200"/>
    <n v="1"/>
    <m/>
    <m/>
    <m/>
    <m/>
    <m/>
    <m/>
    <m/>
    <m/>
    <s v="X"/>
    <m/>
    <m/>
    <m/>
  </r>
  <r>
    <s v="Especialidades oftalmologia - 15"/>
    <s v="Hospital Penco Lirquen"/>
    <s v="Apoyo Diagnóstico"/>
    <s v="Mediano Costo "/>
    <s v="Ecobiometro"/>
    <s v="Haag streit diagnostic"/>
    <s v="Lenstar LS900"/>
    <n v="20441"/>
    <s v="HPL18557"/>
    <n v="2016"/>
    <n v="8"/>
    <n v="-1"/>
    <s v="Propio"/>
    <s v="Bueno "/>
    <x v="1"/>
    <s v="NO"/>
    <s v="NO APLICA"/>
    <s v="SI"/>
    <n v="2023"/>
    <s v="CONTRATO"/>
    <s v="NEWLAB"/>
    <s v="1057540-61-LE24"/>
    <n v="214200"/>
    <n v="1"/>
    <m/>
    <m/>
    <m/>
    <m/>
    <m/>
    <m/>
    <m/>
    <m/>
    <s v="X"/>
    <m/>
    <m/>
    <m/>
  </r>
  <r>
    <s v="Especialidades oftalmologia - 15"/>
    <s v="Hospital Penco Lirquen"/>
    <s v="Apoyo Diagnóstico"/>
    <s v="Mediano Costo "/>
    <s v="Foroptero"/>
    <s v="Nidek"/>
    <s v="RT3100"/>
    <n v="721204"/>
    <s v="HPL18593"/>
    <n v="2016"/>
    <n v="8"/>
    <n v="-1"/>
    <s v="Propio"/>
    <s v="Bueno "/>
    <x v="1"/>
    <s v="NO"/>
    <s v="NO APLICA"/>
    <s v="SI"/>
    <n v="2023"/>
    <s v="CONTRATO"/>
    <s v="NEWLAB"/>
    <s v="1057540-61-LE24"/>
    <n v="452200"/>
    <n v="1"/>
    <m/>
    <m/>
    <m/>
    <m/>
    <m/>
    <m/>
    <m/>
    <m/>
    <s v="X"/>
    <m/>
    <m/>
    <m/>
  </r>
  <r>
    <s v="Especialidades oftalmologia - 15"/>
    <s v="Hospital Penco Lirquen"/>
    <s v="Apoyo Diagnóstico"/>
    <s v="Alto Costo"/>
    <s v="Lampara de hendidura "/>
    <s v="Nidek"/>
    <s v="SL1800"/>
    <n v="7091889"/>
    <s v="HPL18589"/>
    <n v="2014"/>
    <n v="8"/>
    <n v="-3"/>
    <s v="Propio"/>
    <s v="Bueno "/>
    <x v="1"/>
    <s v="NO"/>
    <s v="NO APLICA"/>
    <s v="SI"/>
    <n v="2023"/>
    <s v="CONTRATO"/>
    <s v="NEWLAB"/>
    <s v="1057540-61-LE24"/>
    <n v="214200"/>
    <n v="1"/>
    <m/>
    <m/>
    <m/>
    <m/>
    <m/>
    <m/>
    <m/>
    <m/>
    <s v="X"/>
    <m/>
    <m/>
    <m/>
  </r>
  <r>
    <s v="Especialidades oftalmologia - 15"/>
    <s v="Hospital Penco Lirquen"/>
    <s v="Apoyo Quirúrgico"/>
    <s v="Mediano Costo "/>
    <s v="Lámpara de procedimientos"/>
    <s v="Welchallyn"/>
    <s v="LS-135"/>
    <s v="S/N"/>
    <s v="HPL30306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ftalmologia - 15"/>
    <s v="Hospital Penco Lirquen"/>
    <s v="Apoyo Diagnóstico"/>
    <s v="Alto Costo"/>
    <s v="Tomógrafo de Coherencia Óptica (OCT)"/>
    <s v="Topcon"/>
    <s v="Maestro 2"/>
    <s v="AV3140183"/>
    <m/>
    <n v="2022"/>
    <n v="8"/>
    <n v="5"/>
    <s v="Propio"/>
    <s v="Bueno "/>
    <x v="1"/>
    <s v="NO"/>
    <d v="2024-01-01T00:00:00"/>
    <s v="SI"/>
    <n v="2024"/>
    <s v="CONTRATO"/>
    <s v="NEWLAB"/>
    <s v="1057540-61-LE24"/>
    <n v="773500"/>
    <n v="1"/>
    <m/>
    <s v="√"/>
    <m/>
    <m/>
    <m/>
    <m/>
    <m/>
    <m/>
    <m/>
    <m/>
    <m/>
    <m/>
  </r>
  <r>
    <s v="Especialidades oftalmologia - 15"/>
    <s v="Hospital Penco Lirquen"/>
    <s v="Apoyo Diagnóstico"/>
    <s v="Mediano Costo "/>
    <s v="Tonómetro aplanático"/>
    <s v="Clement Clarke"/>
    <s v="Perkins"/>
    <s v="T21595"/>
    <s v="HPL30382"/>
    <n v="2016"/>
    <n v="8"/>
    <n v="-1"/>
    <s v="Propio"/>
    <s v="Bueno "/>
    <x v="1"/>
    <s v="NO"/>
    <s v="NO APLICA"/>
    <s v="SI"/>
    <n v="2023"/>
    <s v="EXTERNO"/>
    <s v="NEWLAB"/>
    <s v="1057540-61-LE24"/>
    <n v="202300"/>
    <n v="1"/>
    <m/>
    <m/>
    <m/>
    <m/>
    <m/>
    <m/>
    <m/>
    <m/>
    <s v="X"/>
    <m/>
    <m/>
    <m/>
  </r>
  <r>
    <s v="Especialidades oftalmología - 15A"/>
    <s v="Hospital Penco Lirquen"/>
    <s v="Apoyo Diagnóstico"/>
    <s v="Mediano Costo "/>
    <s v="Biometro óptico"/>
    <s v="Alcon"/>
    <s v="ARGOS ver1.5"/>
    <n v="23030102072"/>
    <m/>
    <n v="2023"/>
    <n v="8"/>
    <n v="6"/>
    <s v="Comodato"/>
    <s v="Bueno "/>
    <x v="1"/>
    <s v="SI"/>
    <s v="NO APLICA"/>
    <s v="SI"/>
    <n v="2024"/>
    <s v="EXTERNO"/>
    <s v="ALCON"/>
    <s v="1057540-75-LR23"/>
    <m/>
    <n v="1"/>
    <m/>
    <m/>
    <m/>
    <m/>
    <m/>
    <m/>
    <m/>
    <m/>
    <s v="X"/>
    <m/>
    <m/>
    <m/>
  </r>
  <r>
    <s v="Especialidades oftalmologia -15"/>
    <s v="Hospital Penco Lirquen"/>
    <s v="Apoyo Diagnóstico"/>
    <s v="Alto Costo"/>
    <s v="Autorefractometro"/>
    <s v="Nidek"/>
    <s v="Ark1"/>
    <n v="433711"/>
    <s v="HPL18536"/>
    <n v="2016"/>
    <n v="8"/>
    <n v="-1"/>
    <s v="Propio"/>
    <s v="Bueno "/>
    <x v="1"/>
    <s v="NO"/>
    <s v="NO APLICA"/>
    <s v="SI"/>
    <n v="2023"/>
    <s v="EXTERNO"/>
    <s v="NEWLAB"/>
    <s v="1057540-61-LE24"/>
    <n v="285600"/>
    <n v="1"/>
    <m/>
    <m/>
    <m/>
    <m/>
    <m/>
    <m/>
    <m/>
    <m/>
    <s v="X"/>
    <m/>
    <m/>
    <m/>
  </r>
  <r>
    <s v="Especialidades Otorrino"/>
    <s v="Hospital Penco Lirquen"/>
    <s v="Apoyo Diagnóstico"/>
    <s v="Alto Costo"/>
    <s v="Audiómetro"/>
    <s v="Interacoustics"/>
    <s v="AC40e"/>
    <s v="SN0948242"/>
    <s v="HPL18601"/>
    <n v="2016"/>
    <n v="8"/>
    <n v="-1"/>
    <s v="Propio"/>
    <s v="Bueno "/>
    <x v="1"/>
    <s v="NO"/>
    <s v="NO APLICA"/>
    <s v="SI"/>
    <n v="2023"/>
    <s v="EXTERNO"/>
    <s v="VAFEL"/>
    <s v="1057540-20-LE24"/>
    <n v="2216667"/>
    <n v="1"/>
    <m/>
    <m/>
    <m/>
    <s v="X"/>
    <m/>
    <m/>
    <m/>
    <m/>
    <m/>
    <m/>
    <m/>
    <m/>
  </r>
  <r>
    <s v="Especialidades Otorrino"/>
    <s v="Hospital Penco Lirquen"/>
    <s v="Apoyo Diagnóstico"/>
    <s v="Alto Costo"/>
    <s v="Camara silente con campo libre"/>
    <s v="Signal med"/>
    <s v="S/N"/>
    <s v="S/N"/>
    <s v="HPL30285"/>
    <n v="2016"/>
    <n v="10"/>
    <n v="1"/>
    <s v="Propio"/>
    <s v="Bueno "/>
    <x v="1"/>
    <s v="NO"/>
    <s v="NO APLICA"/>
    <s v="SI"/>
    <n v="2023"/>
    <s v="CONTRATO"/>
    <s v="VAFEL"/>
    <s v="1057540-20-LE24"/>
    <n v="2216667"/>
    <n v="1"/>
    <m/>
    <m/>
    <m/>
    <s v="X"/>
    <m/>
    <m/>
    <m/>
    <m/>
    <m/>
    <m/>
    <m/>
    <m/>
  </r>
  <r>
    <s v="Especialidades Otorrino"/>
    <s v="Hospital Penco Lirquen"/>
    <s v="Mobiliario"/>
    <s v="Clínico"/>
    <s v="Camilla de examen"/>
    <s v="Malvestio"/>
    <n v="350100"/>
    <n v="20019535"/>
    <s v="HPL18658"/>
    <n v="2016"/>
    <n v="8"/>
    <n v="-1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18"/>
    <s v="HPL29875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Ecleris"/>
    <s v="HDL213"/>
    <n v="3541"/>
    <s v="HPL2987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Frontoluz"/>
    <s v="Styker"/>
    <s v="N/A"/>
    <n v="78760"/>
    <s v="HPL29909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Impedanciometro"/>
    <s v="Interacoustics"/>
    <s v="AT235"/>
    <s v="SN0948826"/>
    <s v="HPL18600"/>
    <n v="2016"/>
    <n v="8"/>
    <n v="-1"/>
    <s v="Propio"/>
    <s v="Bueno "/>
    <x v="1"/>
    <s v="NO"/>
    <s v="NO APLICA"/>
    <s v="SI"/>
    <n v="2023"/>
    <s v="EXTERNO"/>
    <s v="VAFEL"/>
    <s v="1057540-20-LE24"/>
    <n v="2216666"/>
    <n v="1"/>
    <m/>
    <m/>
    <m/>
    <s v="X"/>
    <m/>
    <m/>
    <m/>
    <m/>
    <m/>
    <m/>
    <m/>
    <m/>
  </r>
  <r>
    <s v="Especialidades otorrino"/>
    <s v="Hospital Penco Lirquen"/>
    <s v="Apoyo Diagnóstico"/>
    <s v="Mediano Costo "/>
    <s v="Irrigador de aire"/>
    <s v="Interacoustics"/>
    <s v="Air FX"/>
    <s v="SN1035445"/>
    <m/>
    <n v="2023"/>
    <n v="8"/>
    <n v="6"/>
    <s v="Propio"/>
    <s v="Bueno"/>
    <x v="2"/>
    <s v="SI"/>
    <n v="2025"/>
    <s v="NO"/>
    <s v="NO APLICA"/>
    <s v="EXTERNO"/>
    <s v="GAES"/>
    <s v="COLDAS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Lampara de examen"/>
    <s v="Heine"/>
    <s v="EL3 LED"/>
    <n v="1100774234"/>
    <s v="HPL18630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 oftalmoscopio de pared"/>
    <s v="Riester"/>
    <s v="Ri-scope L"/>
    <s v="S/N"/>
    <s v="HPL3033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200"/>
    <s v="S/N"/>
    <s v="HPL3034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4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Bajo costo"/>
    <s v="Otoscopio"/>
    <s v="Heine"/>
    <s v="Beta 400"/>
    <s v="S/N"/>
    <s v="HPL30345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Sillón otorrino"/>
    <s v="Optomic"/>
    <s v="OPTIMUS"/>
    <n v="45170625"/>
    <m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Diagnóstico"/>
    <s v="Mediano Costo "/>
    <s v="Unidad otorrino"/>
    <s v="Optomic"/>
    <s v="Op-s8"/>
    <n v="44160379"/>
    <s v="HPL1862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Otorrino"/>
    <s v="Hospital Penco Lirquen"/>
    <s v="Apoyo Quirúrgico"/>
    <s v="Bajo costo"/>
    <s v="Bomba de aspiración"/>
    <s v="Allied"/>
    <s v="Gomco 1180"/>
    <n v="20120823001"/>
    <s v="HPL30084"/>
    <n v="2017"/>
    <n v="10"/>
    <n v="2"/>
    <s v="Propio"/>
    <s v="Bueno "/>
    <x v="1"/>
    <s v="NO"/>
    <s v="NO APLICA"/>
    <s v="SI"/>
    <n v="2024"/>
    <s v="INTERNO"/>
    <s v="TECNICO EQM HPL"/>
    <s v="NO APLICA"/>
    <m/>
    <n v="2"/>
    <m/>
    <m/>
    <s v="X"/>
    <m/>
    <m/>
    <m/>
    <m/>
    <m/>
    <s v="X"/>
    <m/>
    <m/>
    <m/>
  </r>
  <r>
    <s v="Especialidades Otorrino - 15"/>
    <s v="Hospital Penco Lirquen"/>
    <s v="Apoyo Quirúrgico"/>
    <s v="Mediano Costo "/>
    <s v="Fuente de luz"/>
    <s v="Olympus"/>
    <s v="CLK-4"/>
    <n v="7727087"/>
    <s v="HPL29955"/>
    <n v="2016"/>
    <n v="8"/>
    <n v="-1"/>
    <s v="Propio"/>
    <s v="Bueno "/>
    <x v="1"/>
    <s v="NO"/>
    <s v="NO APLICA"/>
    <s v="SI"/>
    <n v="2023"/>
    <s v="CONTRATO"/>
    <s v="SURMEDICAL"/>
    <s v="PENDIENTE"/>
    <m/>
    <n v="1"/>
    <m/>
    <m/>
    <m/>
    <s v="X"/>
    <m/>
    <m/>
    <m/>
    <m/>
    <m/>
    <m/>
    <m/>
    <m/>
  </r>
  <r>
    <s v="Especialidades Otorrino - 15"/>
    <s v="Hospital Penco Lirquen"/>
    <s v="Apoyo Endoscópico"/>
    <s v="Mediano Costo "/>
    <s v="Nasofibroscopio"/>
    <s v="Olympus"/>
    <s v="ENF P4"/>
    <n v="2654008"/>
    <s v="HPL29949"/>
    <n v="2016"/>
    <n v="7"/>
    <n v="-2"/>
    <s v="Propio"/>
    <s v="Bueno "/>
    <x v="1"/>
    <s v="NO"/>
    <s v="NO APLICA"/>
    <s v="SI"/>
    <n v="2023"/>
    <s v="EXTERNO"/>
    <s v="SURMEDICAL"/>
    <s v="PENDIENTE"/>
    <n v="200000"/>
    <n v="1"/>
    <m/>
    <m/>
    <m/>
    <m/>
    <s v="X"/>
    <m/>
    <m/>
    <m/>
    <m/>
    <m/>
    <m/>
    <m/>
  </r>
  <r>
    <s v="Especialidades Otorrino - 15"/>
    <s v="Hospital Penco Lirquen"/>
    <s v="Apoyo Diagnóstico"/>
    <s v="Alto Costo"/>
    <s v="Video oculo instagmografo VNG"/>
    <s v="Biomed jena GmbH"/>
    <s v="VNG"/>
    <s v="19-216-317"/>
    <s v="HPL30158"/>
    <n v="2016"/>
    <n v="8"/>
    <n v="-1"/>
    <s v="Propio"/>
    <s v="Bueno "/>
    <x v="1"/>
    <s v="NO"/>
    <s v="NO APLICA"/>
    <s v="SI"/>
    <n v="2023"/>
    <s v="EXTERNO"/>
    <s v="PENDIENTE"/>
    <s v="PENDIENTE"/>
    <m/>
    <n v="1"/>
    <m/>
    <m/>
    <m/>
    <s v="X"/>
    <m/>
    <m/>
    <m/>
    <m/>
    <m/>
    <m/>
    <m/>
    <m/>
  </r>
  <r>
    <s v="Especialidades Otorrino - 15"/>
    <s v="Hospital Penco Lirquen"/>
    <s v="Apoyo Quirúrgico"/>
    <s v="Bajo costo"/>
    <s v="Bomba de aspiración"/>
    <s v="Thomas"/>
    <n v="1336"/>
    <n v="30800001904"/>
    <s v="HPL18632"/>
    <n v="2016"/>
    <n v="10"/>
    <n v="1"/>
    <s v="Propio"/>
    <s v="Bueno "/>
    <x v="1"/>
    <s v="NO"/>
    <s v="NO APLICA"/>
    <s v="SI"/>
    <n v="2024"/>
    <s v="INTERNO"/>
    <s v="TECNICO EQM HPL"/>
    <s v="NO APLICA"/>
    <m/>
    <n v="2"/>
    <m/>
    <m/>
    <s v="X"/>
    <m/>
    <m/>
    <m/>
    <m/>
    <m/>
    <s v="X"/>
    <m/>
    <m/>
    <m/>
  </r>
  <r>
    <s v="Especialidades Pediatria"/>
    <s v="Hospital Penco Lirquen"/>
    <s v="Apoyo Diagnóstico"/>
    <s v="Bajo costo"/>
    <s v="Balanza "/>
    <s v="SECA"/>
    <n v="354"/>
    <n v="8354255150727"/>
    <s v="HPL12270"/>
    <n v="2015"/>
    <n v="10"/>
    <n v="0"/>
    <s v="Propio"/>
    <s v="Bueno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3541317009"/>
    <s v="HPL30071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2725287096590"/>
    <s v="HPL12256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0814"/>
    <s v="HPL12271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Balanza con tallímetro"/>
    <s v="Seca"/>
    <s v="GMDH &amp; CO"/>
    <n v="5700125168347"/>
    <s v="HPL12231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20"/>
    <s v="HPL30019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33"/>
    <s v="HPL12251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biliario"/>
    <s v="Clínico"/>
    <s v="Camilla de examen"/>
    <s v="Malvestio"/>
    <n v="350100"/>
    <n v="20019542"/>
    <s v="HPL12306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Pediatria"/>
    <s v="Hospital Penco Lirquen"/>
    <s v="Monitoreo"/>
    <s v="Mediano Costo "/>
    <s v="Monitor de signos vitales"/>
    <s v="General Electric"/>
    <s v="V100"/>
    <s v="SH617070007SA"/>
    <s v="HPL12230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pecialidades Pediatria"/>
    <s v="Hospital Penco Lirquen"/>
    <s v="Apoyo Diagnóstico"/>
    <s v="Bajo costo"/>
    <s v="Oto-oftalmoscopio de pared"/>
    <s v="Ezer"/>
    <s v="varios"/>
    <s v="S/N"/>
    <s v="HPL30339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ediatria"/>
    <s v="Hospital Penco Lirquen"/>
    <s v="Apoyo Diagnóstico"/>
    <s v="Bajo costo"/>
    <s v="Oto-oftalmoscopio de pared"/>
    <s v="Ezer"/>
    <s v="varios"/>
    <s v="S/N"/>
    <s v="HPL3034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Health o Meter"/>
    <s v="402 KL"/>
    <n v="4020065916"/>
    <s v="HPL5103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con tallímetro"/>
    <s v="SECA"/>
    <s v="700 HPL5049"/>
    <n v="5700125168335"/>
    <s v="HPL5049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Balanza pediatrica con cartabon"/>
    <s v="Seca"/>
    <n v="354"/>
    <s v="S/N"/>
    <s v="HPL30280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Mobiliario"/>
    <s v="Clínico"/>
    <s v="Camilla de examen"/>
    <s v="Malvestio"/>
    <n v="350100"/>
    <n v="20019536"/>
    <s v="HPL11969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Especialidades PRAIS"/>
    <s v="Hospital Penco Lirquen"/>
    <s v="Apoyo Quirúrgico"/>
    <s v="Mediano Costo "/>
    <s v="Lámpara de procedimientos"/>
    <s v="Welchallyn"/>
    <s v="GS-600"/>
    <s v="S/N"/>
    <s v="HPL30307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"/>
    <s v="Hospital Penco Lirquen"/>
    <s v="Apoyo Diagnóstico"/>
    <s v="Bajo costo"/>
    <s v="Oto-oftalmoscopio de pared"/>
    <s v="Riester"/>
    <s v="Ri-scope L"/>
    <s v="S/N"/>
    <s v="HPL30342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RAIS - 15"/>
    <s v="Hospital Penco Lirquen"/>
    <s v="Apoyo Diagnóstico"/>
    <s v="Bajo costo"/>
    <s v="Balanza con tallímetro"/>
    <s v="SECA"/>
    <n v="700"/>
    <n v="5700057160812"/>
    <s v="HPL30112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siquiatria"/>
    <s v="Hospital Penco Lirquen"/>
    <s v="Apoyo Diagnóstico"/>
    <s v="Bajo costo"/>
    <s v="Balanza con tallímetro"/>
    <s v="Seca"/>
    <s v="Precision"/>
    <n v="5700057160819"/>
    <s v="HPL18914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Especialidades Psiquiatria "/>
    <s v="Hospital Penco Lirquen"/>
    <s v="Monitoreo"/>
    <s v="Mediano Costo "/>
    <s v="Monitor de signos vitales"/>
    <s v="General Electric"/>
    <s v="V100"/>
    <s v="SH617070028SA"/>
    <s v="HPL18918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Esterilizacion"/>
    <s v="Hospital Penco Lirquen"/>
    <s v="Esterilización"/>
    <s v="Bajo costo"/>
    <s v="Cargador batería 4 celdas"/>
    <s v="Stryker"/>
    <s v="Universal Charger"/>
    <n v="2234812323"/>
    <m/>
    <n v="2022"/>
    <n v="10"/>
    <n v="7"/>
    <s v="Propio"/>
    <s v="Bueno "/>
    <x v="2"/>
    <s v="NO"/>
    <n v="2023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126310333"/>
    <s v="HPL30062"/>
    <n v="2015"/>
    <n v="8"/>
    <n v="-2"/>
    <s v="Propio"/>
    <s v="Bueno "/>
    <x v="2"/>
    <s v="NO"/>
    <s v="NO APLICA"/>
    <s v="NO"/>
    <s v="NO APLICA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Apoyo Quirúrgico"/>
    <s v="Bajo costo"/>
    <s v="Cargador batería motor system 6"/>
    <s v="Stryker"/>
    <s v="6110-120"/>
    <n v="1505500173"/>
    <s v="HPL30063"/>
    <n v="2015"/>
    <n v="8"/>
    <n v="-2"/>
    <s v="Propio"/>
    <s v="Bueno "/>
    <x v="2"/>
    <s v="NO"/>
    <s v="NO APLICA"/>
    <s v="NO"/>
    <s v="NO APLICA"/>
    <s v="EXTERNO"/>
    <s v="REICH"/>
    <s v="NO APLICA"/>
    <m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3M"/>
    <s v="ATTEST AUTOREADER 490"/>
    <n v="110591"/>
    <m/>
    <n v="2015"/>
    <n v="10"/>
    <n v="0"/>
    <s v="Comodato"/>
    <s v="Bueno "/>
    <x v="2"/>
    <s v="NO"/>
    <n v="2017"/>
    <s v="NO"/>
    <s v="NO APLICA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Incubadora de lectura rápida"/>
    <s v="Bionova"/>
    <s v="Terragene IC10/20FR"/>
    <n v="64"/>
    <m/>
    <n v="2015"/>
    <n v="10"/>
    <n v="0"/>
    <s v="Comodato"/>
    <s v="REGULAR "/>
    <x v="2"/>
    <s v="NO"/>
    <n v="2017"/>
    <s v="NO"/>
    <s v="NO APLICA"/>
    <s v="EXTERNO"/>
    <s v="INMED-MEDICAL"/>
    <s v="1057540-60-LQ22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/A"/>
    <s v="N/A"/>
    <s v="N/A"/>
    <s v="HPL27312"/>
    <n v="2022"/>
    <n v="8"/>
    <n v="5"/>
    <s v="Propio"/>
    <s v="Bueno "/>
    <x v="2"/>
    <s v="NO"/>
    <n v="2023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Natura light"/>
    <s v="D/EN1020"/>
    <s v="S/N"/>
    <s v="HPL30325"/>
    <n v="2015"/>
    <n v="8"/>
    <n v="-2"/>
    <s v="Propio"/>
    <s v="Bueno "/>
    <x v="2"/>
    <s v="NO"/>
    <s v="NO APLICA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S/M"/>
    <s v="S/N"/>
    <s v="S/N"/>
    <s v="HPL30326"/>
    <n v="2015"/>
    <n v="8"/>
    <n v="-2"/>
    <s v="Propio"/>
    <s v="Bueno "/>
    <x v="2"/>
    <s v="NO"/>
    <s v="NO APLICA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Lupa"/>
    <s v="Getinge"/>
    <s v="Standart"/>
    <s v="S/N"/>
    <s v="HPL30328"/>
    <n v="2016"/>
    <n v="8"/>
    <n v="-1"/>
    <s v="Propio"/>
    <s v="Bueno "/>
    <x v="2"/>
    <s v="NO"/>
    <s v="NO APLICA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ealing Machine"/>
    <s v="N/A"/>
    <s v="C233012"/>
    <m/>
    <n v="2015"/>
    <n v="10"/>
    <n v="0"/>
    <s v="Comodato"/>
    <s v="Bueno "/>
    <x v="2"/>
    <s v="NO"/>
    <n v="2017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ealing Machine"/>
    <s v="N/A"/>
    <s v="C235004"/>
    <m/>
    <n v="2015"/>
    <n v="10"/>
    <n v="0"/>
    <s v="Comodato"/>
    <s v="Bueno "/>
    <x v="2"/>
    <s v="NO"/>
    <n v="2017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FRE-500"/>
    <s v="N/A"/>
    <s v="N/A"/>
    <m/>
    <n v="2015"/>
    <n v="10"/>
    <n v="0"/>
    <s v="Propio"/>
    <s v="Bueno "/>
    <x v="2"/>
    <s v="NO"/>
    <n v="2017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on"/>
    <s v="Hospital Penco Lirquen"/>
    <s v="Esterilización"/>
    <s v="Bajo costo"/>
    <s v="Selladora automatica"/>
    <s v="STERIKING"/>
    <s v="Steriking RS120A"/>
    <n v="30171033"/>
    <m/>
    <n v="2018"/>
    <n v="10"/>
    <n v="3"/>
    <s v="Propio"/>
    <s v="Bueno "/>
    <x v="2"/>
    <s v="NO"/>
    <n v="2020"/>
    <s v="NO"/>
    <s v="NO APLICA"/>
    <s v="INTERNO"/>
    <s v="TECNICO EQM HPL"/>
    <s v="NO APLICA"/>
    <s v="no aplica"/>
    <m/>
    <m/>
    <m/>
    <m/>
    <m/>
    <m/>
    <m/>
    <m/>
    <m/>
    <m/>
    <m/>
    <m/>
    <m/>
  </r>
  <r>
    <s v="Esterilización"/>
    <s v="Hospital Penco Lirquen"/>
    <s v="Apoyo Diagnóstico"/>
    <s v="Alto Costo"/>
    <s v="Autoclave"/>
    <s v="Matachana"/>
    <s v="SC-502-2"/>
    <s v="E-34583"/>
    <m/>
    <n v="2023"/>
    <n v="10"/>
    <n v="8"/>
    <s v="Propio"/>
    <s v="Bueno"/>
    <x v="3"/>
    <s v="SI"/>
    <n v="2024"/>
    <s v="SI"/>
    <n v="2024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17A"/>
    <s v="Hospital Penco Lirquen"/>
    <s v="Esterilización"/>
    <s v="Mediano Costo "/>
    <s v="Lavadora Ultrasónica"/>
    <s v="Bandelin"/>
    <s v="MC 1001"/>
    <n v="33600130121001"/>
    <s v="HPL30118"/>
    <n v="2016"/>
    <n v="10"/>
    <n v="1"/>
    <s v="Propio"/>
    <s v="Bueno "/>
    <x v="1"/>
    <s v="NO"/>
    <s v="NO APLICA"/>
    <s v="SI"/>
    <n v="2023"/>
    <s v="EXTERNO"/>
    <s v="INTERNATIONAL CLINICS"/>
    <s v="1057540-129-LE23"/>
    <n v="1600000"/>
    <n v="1"/>
    <m/>
    <m/>
    <s v="X"/>
    <m/>
    <m/>
    <m/>
    <m/>
    <m/>
    <m/>
    <m/>
    <m/>
    <m/>
  </r>
  <r>
    <s v="Esterilizacion - 17A"/>
    <s v="Hospital Penco Lirquen"/>
    <s v="Esterilización"/>
    <s v="Alto Costo"/>
    <s v="Esterilizador de Plasma"/>
    <s v="Renosem"/>
    <s v="Reno-S130"/>
    <s v="S130141198"/>
    <s v="HPL27334"/>
    <n v="2016"/>
    <n v="10"/>
    <n v="1"/>
    <s v="Propio"/>
    <s v="Bueno "/>
    <x v="1"/>
    <s v="NO"/>
    <s v="NO APLICA"/>
    <s v="SI"/>
    <n v="2023"/>
    <s v="EXTERNO"/>
    <s v="TECNIKA"/>
    <s v="1057540-91-LP23"/>
    <n v="7021000"/>
    <n v="2"/>
    <m/>
    <m/>
    <m/>
    <s v="X"/>
    <m/>
    <m/>
    <m/>
    <m/>
    <m/>
    <s v="X"/>
    <m/>
    <m/>
  </r>
  <r>
    <s v="Esterilizacion - 17A"/>
    <s v="Hospital Penco Lirquen"/>
    <s v="Esterilización"/>
    <s v="Alto Costo"/>
    <s v="Lavadora descontaminadora"/>
    <s v="Steelco"/>
    <s v="DS 610 2SL 2S"/>
    <s v="1506510DC014"/>
    <s v="HPL27239"/>
    <n v="2016"/>
    <n v="10"/>
    <n v="1"/>
    <s v="Propio"/>
    <s v="Bueno "/>
    <x v="1"/>
    <s v="NO"/>
    <s v="NO APLICA"/>
    <s v="SI"/>
    <n v="2023"/>
    <s v="EXTERNO"/>
    <s v="GEMCO"/>
    <s v="1057540-91-LP23"/>
    <n v="6035504"/>
    <n v="2"/>
    <m/>
    <s v="√"/>
    <m/>
    <m/>
    <m/>
    <m/>
    <m/>
    <m/>
    <s v="X"/>
    <m/>
    <m/>
    <m/>
  </r>
  <r>
    <s v="Esterilizacion - 17A"/>
    <s v="Hospital Penco Lirquen"/>
    <s v="Laboratorio/Farmac"/>
    <s v="Mediano Costo "/>
    <s v="Refrigerador "/>
    <s v="Daewoo"/>
    <s v="FR-127GM"/>
    <s v="TR172EA7260063"/>
    <s v="HPL27337"/>
    <n v="2015"/>
    <n v="10"/>
    <n v="0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Esterilizacion - 17A"/>
    <s v="Hospital Penco Lirquen"/>
    <s v="Esterilización"/>
    <s v="Mediano Costo "/>
    <s v="Secadora de tubos"/>
    <s v="Steelco"/>
    <s v="AD 400"/>
    <s v="1511410GO002"/>
    <s v="HPL27250"/>
    <n v="2016"/>
    <n v="10"/>
    <n v="1"/>
    <s v="Propio"/>
    <s v="Bueno "/>
    <x v="1"/>
    <s v="NO"/>
    <s v="NO APLICA"/>
    <s v="SI"/>
    <n v="2023"/>
    <s v="EXTERNO"/>
    <s v="GEMCO"/>
    <s v="1057540-91-LP23"/>
    <n v="5325974"/>
    <n v="2"/>
    <m/>
    <s v="√"/>
    <m/>
    <m/>
    <m/>
    <m/>
    <m/>
    <m/>
    <s v="X"/>
    <m/>
    <m/>
    <m/>
  </r>
  <r>
    <s v="Esterilizacion - 17B"/>
    <s v="Hospital Penco Lirquen"/>
    <s v="Esterilización"/>
    <s v="Alto Costo"/>
    <s v="Autoclave"/>
    <s v="Matachana"/>
    <s v="SC-502-2"/>
    <s v="E-31058"/>
    <s v="HPL27341"/>
    <n v="2018"/>
    <n v="10"/>
    <n v="3"/>
    <s v="Propio"/>
    <s v="Bueno "/>
    <x v="3"/>
    <s v="NO"/>
    <s v="NO APLICA"/>
    <s v="SI"/>
    <n v="2023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17B"/>
    <s v="Hospital Penco Lirquen"/>
    <s v="Esterilización"/>
    <s v="Alto Costo"/>
    <s v="Autoclave"/>
    <s v="Matachana"/>
    <s v="SC-500-2"/>
    <s v="E-31059"/>
    <s v="HPL27340"/>
    <n v="2018"/>
    <n v="10"/>
    <n v="3"/>
    <s v="Propio"/>
    <s v="Bueno "/>
    <x v="3"/>
    <s v="NO"/>
    <s v="NO APLICA"/>
    <s v="SI"/>
    <n v="2023"/>
    <s v="EXTERNO"/>
    <s v="International Clinics"/>
    <s v="1057540-38-LE23"/>
    <n v="2891666"/>
    <n v="2"/>
    <m/>
    <m/>
    <s v="X"/>
    <m/>
    <m/>
    <m/>
    <m/>
    <m/>
    <m/>
    <s v="X"/>
    <m/>
    <m/>
  </r>
  <r>
    <s v="Esterilizacion - bodega equipos médicos (6to)"/>
    <s v="Hospital Penco Lirquen"/>
    <s v="Esterilización"/>
    <s v="Bajo costo"/>
    <s v="Selladora de pedal"/>
    <s v="FS-500"/>
    <s v="S/N"/>
    <s v="S/N"/>
    <s v="HPL30352"/>
    <n v="2015"/>
    <n v="10"/>
    <n v="0"/>
    <s v="Propio"/>
    <s v="MALO"/>
    <x v="2"/>
    <s v="NO"/>
    <s v="NO APLICA"/>
    <s v="NO"/>
    <s v="NO APLICA"/>
    <s v="INTERNO"/>
    <s v="NO APLICA"/>
    <s v="NO APLICA"/>
    <s v="NO APLICA"/>
    <m/>
    <m/>
    <m/>
    <m/>
    <m/>
    <m/>
    <m/>
    <m/>
    <m/>
    <m/>
    <m/>
    <m/>
    <m/>
  </r>
  <r>
    <s v="Farmacia Central - 16"/>
    <s v="Hospital Penco Lirquen"/>
    <s v="Laboratorio/Farmac"/>
    <s v="Alto Costo"/>
    <s v="Reenvasadora"/>
    <s v="Autobag"/>
    <s v="PS 125 one step"/>
    <s v="AP00063411"/>
    <s v="HPL5231"/>
    <n v="2016"/>
    <n v="10"/>
    <n v="1"/>
    <s v="Propio"/>
    <s v="Bueno "/>
    <x v="1"/>
    <s v="NO"/>
    <s v="NO APLICA"/>
    <s v="SI"/>
    <n v="2023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Alto Costo"/>
    <s v="Reenvasadora"/>
    <s v="Autobag"/>
    <s v="PS 125 one step"/>
    <s v="AP00094201"/>
    <s v="HPL30409"/>
    <n v="2019"/>
    <n v="10"/>
    <n v="4"/>
    <s v="Propio"/>
    <s v="Bueno "/>
    <x v="1"/>
    <s v="NO"/>
    <s v="NO APLICA"/>
    <s v="SI"/>
    <n v="2023"/>
    <s v="EXTERNO"/>
    <s v="Tecnigen"/>
    <s v="1057540-122-LE23"/>
    <n v="1832600"/>
    <n v="2"/>
    <m/>
    <s v="√"/>
    <m/>
    <m/>
    <m/>
    <m/>
    <m/>
    <s v="X"/>
    <m/>
    <m/>
    <m/>
    <m/>
  </r>
  <r>
    <s v="Farmacia central - 16"/>
    <s v="Hospital Penco Lirquen"/>
    <s v="Laboratorio/Farmac"/>
    <s v="Mediano Costo "/>
    <s v="Refrigerador Clinico"/>
    <s v="Smeg"/>
    <s v="FV30G1"/>
    <n v="5122200031"/>
    <s v="HPL25068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Farmacia Central - 16"/>
    <s v="Hospital Penco Lirquen"/>
    <s v="Laboratorio/Farmac"/>
    <s v="Mediano Costo "/>
    <s v="Refrigerador Clinico"/>
    <s v="Smeg"/>
    <s v="FV25G1"/>
    <n v="4090200011"/>
    <s v="HPL5175"/>
    <n v="2017"/>
    <n v="10"/>
    <n v="2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Farmacia Central - 16"/>
    <s v="Hospital Penco Lirquen"/>
    <s v="Laboratorio/Farmac"/>
    <s v="Mediano Costo "/>
    <s v="Refrigerador Clínico"/>
    <s v="HAIER"/>
    <s v="HYC-940"/>
    <s v="BE03LSE0N00QJM860008"/>
    <m/>
    <n v="2022"/>
    <n v="10"/>
    <n v="7"/>
    <s v="Propio"/>
    <s v="Bueno "/>
    <x v="1"/>
    <s v="SI"/>
    <n v="2025"/>
    <s v="SI"/>
    <n v="2024"/>
    <s v="CONTRATO"/>
    <s v="ARQUIMED"/>
    <s v="COLDAS 2022"/>
    <s v="-"/>
    <n v="1"/>
    <m/>
    <s v="√"/>
    <m/>
    <m/>
    <m/>
    <m/>
    <m/>
    <m/>
    <m/>
    <m/>
    <m/>
    <m/>
  </r>
  <r>
    <s v="Farmacia Central (especialidades) - 16"/>
    <s v="Hospital Penco Lirquen"/>
    <s v="Laboratorio/Farmac"/>
    <s v="Mediano Costo "/>
    <s v="Refrigerador Clinico"/>
    <s v="Smeg"/>
    <s v="FV30G1"/>
    <n v="5122200121"/>
    <s v="HPL20227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Farmacia Central (urgencia) - 16"/>
    <s v="Hospital Penco Lirquen"/>
    <s v="Laboratorio/Farmac"/>
    <s v="Mediano Costo "/>
    <s v="Refrigerador Clinico"/>
    <s v="Smeg"/>
    <s v="FV30G1"/>
    <n v="5122200101"/>
    <s v="HPL30081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Ginecologia"/>
    <s v="Hospital Penco Lirquen"/>
    <s v="Apoyo Terapéutico"/>
    <s v="Mediano Costo "/>
    <s v="Bomba de infusión continua"/>
    <s v="Fresenius Kabi"/>
    <s v="Volumat MC Agilia"/>
    <n v="22657717"/>
    <s v="HPL28418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Ginecologia "/>
    <s v="Hospital Penco Lirquen"/>
    <s v="Apoyo Terapéutico"/>
    <s v="Mediano Costo "/>
    <s v="Bomba de infusión continua"/>
    <s v="Fresenius Kabi"/>
    <s v="Agilia VP MC"/>
    <n v="24338312"/>
    <s v="HPL28420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Ginecologia - 2"/>
    <s v="Hospital Penco Lirquen"/>
    <s v="Apoyo Terapéutico"/>
    <s v="Mediano Costo "/>
    <s v="Bomba de infusión continua"/>
    <s v="Fresenius Kabi"/>
    <s v="Volumat MC Agilia"/>
    <n v="23406388"/>
    <s v="HPL28419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Ginecologia Hospitalizados"/>
    <s v="Hospital Penco Lirquen"/>
    <s v="Apoyo Diagnóstico"/>
    <s v="Bajo costo"/>
    <s v="Balanza pediátrica"/>
    <s v="Nitia"/>
    <s v="Baby Scale"/>
    <s v="S/N"/>
    <s v="HPL30279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5"/>
    <s v="HPL30014"/>
    <n v="2015"/>
    <n v="10"/>
    <n v="0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Mobiliario"/>
    <s v="Mediano Costo "/>
    <s v="Cuna (mobiliario)"/>
    <s v="Malvestio"/>
    <n v="332100"/>
    <n v="20009756"/>
    <s v="HPL30015"/>
    <n v="2015"/>
    <n v="10"/>
    <n v="0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Ginecologia Hospitalizados"/>
    <s v="Hospital Penco Lirquen"/>
    <s v="Monitoreo"/>
    <s v="Mediano Costo "/>
    <s v="Monitor de signos vitales"/>
    <s v="Creative medical"/>
    <s v="PC-900"/>
    <s v="J0100KC00256"/>
    <s v="HPL30260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Ginecologia Hospitalizados - 2"/>
    <s v="Hospital Penco Lirquen"/>
    <s v="Mobiliario"/>
    <s v="Clínico"/>
    <s v="Cama clínica eléctrica"/>
    <s v="Malvestio"/>
    <s v="346760H"/>
    <n v="20009349"/>
    <s v="HPL24693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Ginecologia Hospitalizados - 2"/>
    <s v="Hospital Penco Lirquen"/>
    <s v="Mobiliario"/>
    <s v="Clínico"/>
    <s v="Cama clínica eléctrica"/>
    <s v="Malvestio"/>
    <s v="346760H"/>
    <n v="20009354"/>
    <s v="HPL29996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Ginecologia Hospitalizados - 2"/>
    <s v="Hospital Penco Lirquen"/>
    <s v="Monitoreo"/>
    <s v="Alto Costo"/>
    <s v="Detector de latido cardiofetal"/>
    <s v="Edan"/>
    <s v="Sonotrax"/>
    <s v="304130-M12C04480047"/>
    <s v="HPL30183"/>
    <n v="2017"/>
    <n v="8"/>
    <n v="0"/>
    <s v="Propio"/>
    <s v="Bueno "/>
    <x v="1"/>
    <s v="NO"/>
    <s v="NO APLICA"/>
    <s v="SI"/>
    <n v="2024"/>
    <s v="EXTERNO"/>
    <s v="CODESUR"/>
    <s v="1057540-110-LE23"/>
    <n v="30000"/>
    <n v="1"/>
    <m/>
    <m/>
    <m/>
    <m/>
    <m/>
    <m/>
    <m/>
    <m/>
    <s v="X"/>
    <m/>
    <m/>
    <m/>
  </r>
  <r>
    <s v="Ginecologia Hospitalizados - 2"/>
    <s v="Hospital Penco Lirquen"/>
    <s v="Apoyo Diagnóstico"/>
    <s v="Bajo costo"/>
    <s v="Oximetro de pulso"/>
    <s v="Heal Force"/>
    <s v="Prince E100"/>
    <s v="XXJ00JH00297"/>
    <s v="HPL3040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DOM"/>
    <s v="Hospital Penco Lirquen"/>
    <s v="Apoyo Terapéutico"/>
    <s v="Bajo costo "/>
    <s v="Concentrador de Oxigeno Estacionario"/>
    <s v="M50"/>
    <s v="SYSMED"/>
    <n v="241020018"/>
    <m/>
    <n v="2024"/>
    <n v="5"/>
    <n v="4"/>
    <s v="Propio"/>
    <s v="Bueno "/>
    <x v="1"/>
    <s v="SI"/>
    <d v="2026-12-19T00:00:00"/>
    <s v="SI"/>
    <n v="2025"/>
    <s v="EXTERNO"/>
    <s v="MEDIPLEX"/>
    <s v="1057540-103-L124"/>
    <m/>
    <n v="1"/>
    <m/>
    <m/>
    <m/>
    <m/>
    <m/>
    <m/>
    <m/>
    <m/>
    <m/>
    <m/>
    <m/>
    <s v="X"/>
  </r>
  <r>
    <s v="HODOM"/>
    <s v="Hospital Penco Lirquen"/>
    <s v="Apoyo Terapéutico"/>
    <s v="Bajo costo "/>
    <s v="Concentrador de Oxigeno Estacionario"/>
    <s v="M50"/>
    <s v="SYSMED"/>
    <n v="237050062"/>
    <m/>
    <n v="2024"/>
    <n v="5"/>
    <n v="4"/>
    <s v="Propio"/>
    <s v="Bueno "/>
    <x v="1"/>
    <s v="SI"/>
    <d v="2026-12-19T00:00:00"/>
    <s v="SI"/>
    <n v="2025"/>
    <s v="EXTERNO"/>
    <s v="MEDIPLEX"/>
    <s v="1057540-103-L124"/>
    <m/>
    <n v="1"/>
    <m/>
    <m/>
    <m/>
    <m/>
    <m/>
    <m/>
    <m/>
    <m/>
    <m/>
    <m/>
    <m/>
    <s v="X"/>
  </r>
  <r>
    <s v="HODOM"/>
    <s v="Hospital Penco Lirquen"/>
    <s v="Monitoreo"/>
    <s v="Mediano Costo "/>
    <s v="Desfibrilador externo automático (DEA)"/>
    <s v="Philips"/>
    <s v="Heart Start"/>
    <s v="A19J-10092"/>
    <s v="HPL30197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HODOM"/>
    <s v="Hospital Penco Lirquen"/>
    <s v="Apoyo Terapéutico"/>
    <s v="Bajo costo "/>
    <s v="Monitor de Presión"/>
    <s v="OMRON"/>
    <s v="HEM 7120"/>
    <s v="20190829965LG"/>
    <m/>
    <n v="2019"/>
    <n v="8"/>
    <n v="2"/>
    <m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DOM"/>
    <s v="Hospital Penco Lirquen"/>
    <s v="Monitoreo"/>
    <s v="Mediano Costo "/>
    <s v="Monitor de signos vitales"/>
    <s v="Criticare"/>
    <s v="506DN "/>
    <n v="122010785"/>
    <s v="HPL30045"/>
    <n v="2021"/>
    <n v="8"/>
    <n v="4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Hodom - 5"/>
    <s v="Hospital Penco Lirquen"/>
    <s v="Apoyo Terapéutico"/>
    <s v="Mediano Costo "/>
    <s v="Bomba de infusión continua - Back Up"/>
    <s v="Fresenius Kabi"/>
    <s v="Volumat MC Agilia"/>
    <n v="23018128"/>
    <s v="NO APLICA"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8873"/>
    <s v="NO APLICA"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infusión continua - Back Up"/>
    <s v="Fresenius Kabi"/>
    <s v="Volumat MC Agilia"/>
    <n v="229558618"/>
    <s v="NO APLICA"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HODOM - 5"/>
    <s v="Hospital Penco Lirquen"/>
    <s v="Apoyo Terapéutico"/>
    <s v="Mediano Costo "/>
    <s v="Bomba de nutrición enteral"/>
    <s v="Fresenius Kabi"/>
    <s v="AMIKA-ES"/>
    <n v="22170066"/>
    <s v="HPL28421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DOM - 5"/>
    <s v="Hospital Penco Lirquen"/>
    <s v="Apoyo Diagnóstico"/>
    <s v="Mediano Costo "/>
    <s v="Electrocardiografo"/>
    <s v="General Electric"/>
    <s v="MAC 600"/>
    <s v="SS520240069PA"/>
    <s v="HPL30379"/>
    <n v="2021"/>
    <n v="8"/>
    <n v="4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m/>
    <s v="X"/>
  </r>
  <r>
    <s v="HODOM - 5"/>
    <s v="Hospital Penco Lirquen"/>
    <s v="Apoyo Quirúrgico"/>
    <s v="Bajo costo"/>
    <s v="Bomba de aspiración"/>
    <s v="Ca-mi"/>
    <s v="ASKIR 36BR"/>
    <n v="16720"/>
    <s v="HPL29893"/>
    <n v="2020"/>
    <n v="10"/>
    <n v="5"/>
    <s v="Propio"/>
    <s v="Bueno "/>
    <x v="1"/>
    <s v="NO"/>
    <s v="NO APLICA"/>
    <s v="SI"/>
    <n v="2024"/>
    <s v="INTERNO"/>
    <s v="TECNICO EQM HPL"/>
    <s v="NO APLICA"/>
    <m/>
    <n v="2"/>
    <m/>
    <m/>
    <s v="X"/>
    <m/>
    <m/>
    <m/>
    <m/>
    <m/>
    <s v="X"/>
    <m/>
    <m/>
    <m/>
  </r>
  <r>
    <s v="HODOM - 5"/>
    <s v="Hospital Penco Lirquen"/>
    <s v="Apoyo Quirúrgico"/>
    <s v="Bajo costo"/>
    <s v="Bomba de aspiración"/>
    <s v="Yuwell"/>
    <s v="7E-C"/>
    <s v="(-)00042"/>
    <m/>
    <n v="2022"/>
    <n v="10"/>
    <n v="7"/>
    <s v="Propio"/>
    <s v="Bueno "/>
    <x v="1"/>
    <s v="NO"/>
    <n v="2023"/>
    <s v="SI"/>
    <n v="2024"/>
    <s v="INTERNO"/>
    <s v="TECNICO EQM HPL"/>
    <s v="NO APLICA"/>
    <m/>
    <n v="2"/>
    <m/>
    <m/>
    <s v="X"/>
    <m/>
    <m/>
    <m/>
    <m/>
    <m/>
    <s v="X"/>
    <m/>
    <m/>
    <m/>
  </r>
  <r>
    <s v="Hospital de dia"/>
    <s v="Hospital Penco Lirquen"/>
    <s v="Monitoreo"/>
    <s v="Mediano Costo "/>
    <s v="Monitor de signos vitales"/>
    <s v="Iris"/>
    <s v="PMS8210A"/>
    <n v="1005050"/>
    <s v="HPL29944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Hospital de dia"/>
    <s v="Hospital Penco Lirquen"/>
    <s v="Monitoreo"/>
    <s v="Mediano Costo "/>
    <s v="Desfibrilador externo automático (DEA)"/>
    <s v="Zoll medical"/>
    <s v="Powerheart AED G3 Elite"/>
    <n v="7509337"/>
    <m/>
    <n v="2024"/>
    <n v="8"/>
    <n v="7"/>
    <s v="Propio "/>
    <s v="Bueno "/>
    <x v="0"/>
    <s v="SI"/>
    <m/>
    <s v="SI"/>
    <n v="2025"/>
    <s v="INTERNO"/>
    <s v="TECNICO EQM HPL"/>
    <s v="NO APLICA"/>
    <m/>
    <n v="2"/>
    <m/>
    <m/>
    <s v="X"/>
    <m/>
    <m/>
    <m/>
    <m/>
    <m/>
    <s v="X"/>
    <m/>
    <m/>
    <m/>
  </r>
  <r>
    <s v="Hospital de dia"/>
    <s v="Hospital Penco Lirquen"/>
    <s v="Monitoreo"/>
    <s v="Mediano Costo "/>
    <s v="Monitor de signos vitales"/>
    <s v="Contec"/>
    <s v="COTEC08A"/>
    <n v="23081500148"/>
    <m/>
    <n v="2024"/>
    <n v="8"/>
    <n v="7"/>
    <s v="Propio "/>
    <s v="Bueno "/>
    <x v="0"/>
    <s v="SI"/>
    <m/>
    <s v="SI"/>
    <n v="2025"/>
    <s v="INTERNO"/>
    <s v="TECNICO EQM HPL"/>
    <s v="NO APLICA"/>
    <m/>
    <n v="2"/>
    <m/>
    <m/>
    <s v="√"/>
    <m/>
    <m/>
    <m/>
    <m/>
    <m/>
    <s v="X"/>
    <m/>
    <m/>
    <m/>
  </r>
  <r>
    <s v="Hospital de dia"/>
    <s v="Hospital Penco Lirquen"/>
    <s v="Monitoreo"/>
    <s v="Mediano Costo "/>
    <s v="Monitor ECG Baja Complejidad"/>
    <s v="Fukuda Denshi"/>
    <s v="Dinascope DSL-8001"/>
    <n v="50200449"/>
    <s v="HPL21418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Hospital de día "/>
    <s v="Hospital Penco Lirquen"/>
    <s v="Laboratorio/Farmac"/>
    <s v="Bajo costo"/>
    <s v="Frigobar"/>
    <s v="Mademsa"/>
    <s v="MMB 91 S"/>
    <n v="1000297"/>
    <s v="HPL29942"/>
    <n v="2020"/>
    <n v="10"/>
    <n v="5"/>
    <s v="Propio"/>
    <s v="Bueno "/>
    <x v="1"/>
    <s v="NO"/>
    <s v="NO APLICA"/>
    <s v="SI"/>
    <n v="2024"/>
    <s v="EXTERNO"/>
    <s v="CLIMATICPRO"/>
    <s v="1057540-100-LE23"/>
    <n v="51703"/>
    <n v="1"/>
    <m/>
    <m/>
    <m/>
    <m/>
    <m/>
    <m/>
    <m/>
    <m/>
    <s v="X"/>
    <m/>
    <m/>
    <m/>
  </r>
  <r>
    <s v="Hospital de dia - 4"/>
    <s v="Hospital Penco Lirquen"/>
    <s v="Mobiliario"/>
    <s v="Clínico"/>
    <s v="Cama clínica mecánica"/>
    <s v="Malvestio"/>
    <n v="345500"/>
    <n v="20009260"/>
    <s v="HPL29991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m/>
    <m/>
    <m/>
    <m/>
    <m/>
    <m/>
    <s v="X"/>
    <m/>
    <m/>
    <m/>
    <m/>
  </r>
  <r>
    <s v="Hospital de dia - 4"/>
    <s v="Hospital Penco Lirquen"/>
    <s v="Apoyo Diagnóstico"/>
    <s v="Mediano Costo "/>
    <s v="Electrocardiografo"/>
    <s v="General Electric"/>
    <s v="MAC 800"/>
    <s v="SJ416020028WA"/>
    <s v="HPL21417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m/>
    <s v="X"/>
  </r>
  <r>
    <s v="Hospital Higueras"/>
    <s v="Hospital Penco Lirquen"/>
    <s v="Apoyo Endoscópico"/>
    <s v="Mediano Costo "/>
    <s v="Videocolonoscopio"/>
    <s v="Fujifilm"/>
    <s v="EC-530FL"/>
    <s v="1C654K219"/>
    <s v="HPL30160"/>
    <n v="2016"/>
    <n v="7"/>
    <n v="-2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duodenoscopio"/>
    <s v="Fujifilm"/>
    <s v="ED-530XT"/>
    <s v="1D102K375"/>
    <s v="HPL30161"/>
    <n v="2016"/>
    <n v="7"/>
    <n v="-2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duodenoscopio"/>
    <s v="Fujifilm"/>
    <s v="ED-530XT"/>
    <s v="1D102K420"/>
    <s v="HPL30162"/>
    <n v="2016"/>
    <n v="7"/>
    <n v="-2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663"/>
    <s v="HPL30163"/>
    <n v="2016"/>
    <n v="7"/>
    <n v="-2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Hospital Higueras"/>
    <s v="Hospital Penco Lirquen"/>
    <s v="Apoyo Endoscópico"/>
    <s v="Mediano Costo "/>
    <s v="Videopanendoscopio"/>
    <s v="Fujifilm"/>
    <s v="EG-530FP"/>
    <s v="1G374K760"/>
    <s v="HPL30164"/>
    <n v="2016"/>
    <n v="7"/>
    <n v="-2"/>
    <s v="Propio"/>
    <s v="Bueno "/>
    <x v="2"/>
    <s v="NO"/>
    <s v="NO APLICA"/>
    <s v="NO"/>
    <s v="NO APLICA"/>
    <s v="CONTRATO"/>
    <s v="NO APLICA"/>
    <s v="NO APLICA"/>
    <n v="0"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696"/>
    <s v="HPL29863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con tallímetro"/>
    <s v="Doran Scales"/>
    <s v="Quote 12957"/>
    <n v="1703"/>
    <s v="HPL25049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Balanza para camillas"/>
    <s v="Seca"/>
    <n v="6561321103"/>
    <n v="5769113189798"/>
    <s v="HPL30113"/>
    <n v="2016"/>
    <n v="10"/>
    <n v="1"/>
    <s v="Propio"/>
    <s v="Bueno "/>
    <x v="2"/>
    <s v="NO"/>
    <s v="NO APLICA"/>
    <s v="NO"/>
    <s v="NO APLICA"/>
    <s v="EX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09"/>
    <s v="HPL28445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3"/>
    <s v="HPL28446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5"/>
    <s v="HPL28447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6"/>
    <s v="HPL28448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"/>
    <s v="Hospital Penco Lirquen"/>
    <s v="Apoyo Terapéutico"/>
    <s v="Mediano Costo "/>
    <s v="Bomba de infusión continua"/>
    <s v="Fresenius Kabi"/>
    <s v="Agilia VP MC"/>
    <n v="24338318"/>
    <s v="HPL28449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n v="320810"/>
    <n v="20009093"/>
    <s v="HPL25357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Mobiliario"/>
    <s v="Clínico"/>
    <s v="Camilla de trasporte de paciente"/>
    <s v="Malvestio"/>
    <s v="Runner 800"/>
    <n v="20057648"/>
    <s v="HPL3002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Mediano Costo "/>
    <s v="Electrocardiografo"/>
    <s v="Nihon Kohden"/>
    <s v="Cardiofax C ECG 1150"/>
    <s v="11959K"/>
    <s v="HPL25053"/>
    <n v="2015"/>
    <n v="8"/>
    <n v="-2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Mediano Costo "/>
    <s v="Electrocardiografo"/>
    <s v="General Electric"/>
    <s v="MAC 800"/>
    <s v="SJ416020040WA"/>
    <s v="HPL25052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Mediano Costo "/>
    <s v="Electrocardiografo"/>
    <s v="General Electric"/>
    <s v="MAC 800"/>
    <s v="SJ416020041WA"/>
    <s v="HPL24767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Hospitalizados"/>
    <s v="Hospital Penco Lirquen"/>
    <s v="Apoyo Diagnóstico"/>
    <s v="Alto Costo"/>
    <s v="Equipo telemedicina"/>
    <s v="Smart"/>
    <s v="Document camera 450"/>
    <s v="S/N"/>
    <s v="HPL30292"/>
    <n v="2015"/>
    <n v="8"/>
    <n v="-2"/>
    <s v="Propio"/>
    <s v="Bueno "/>
    <x v="2"/>
    <s v="NO"/>
    <s v="NO APLICA"/>
    <s v="NO"/>
    <s v="NO APLICA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2"/>
    <s v="HPL30102"/>
    <n v="2015"/>
    <n v="8"/>
    <n v="-2"/>
    <s v="Propio"/>
    <s v="Bueno "/>
    <x v="2"/>
    <s v="NO"/>
    <s v="NO APLICA"/>
    <s v="NO"/>
    <s v="NO APLICA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Terapéutico"/>
    <s v="Mediano Costo "/>
    <s v="Humidificador"/>
    <s v="Fisher &amp; Paykel"/>
    <s v="MR 810"/>
    <n v="151127024808"/>
    <s v="HPL30103"/>
    <n v="2015"/>
    <n v="8"/>
    <n v="-2"/>
    <s v="Propio"/>
    <s v="Bueno "/>
    <x v="2"/>
    <s v="NO"/>
    <s v="NO APLICA"/>
    <s v="NO"/>
    <s v="NO APLICA"/>
    <s v="INTERNO"/>
    <s v="TECNICO EQM HPL"/>
    <s v="NO APLICA"/>
    <s v="-"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8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09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0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Quirúrgico"/>
    <s v="Mediano Costo "/>
    <s v="Lámpara de procedimientos"/>
    <s v="Welchallyn"/>
    <s v="GS600"/>
    <s v="S/N"/>
    <s v="HPL30311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Monitoreo"/>
    <s v="Mediano Costo "/>
    <s v="Monitor de signos vitales"/>
    <s v="General Electric"/>
    <s v="V100"/>
    <s v="SH617010131SA"/>
    <s v="HPL25249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2SA"/>
    <s v="HPL24770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3SA"/>
    <s v="HPL25250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4SA"/>
    <s v="HPL25263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5SA"/>
    <s v="HPL30371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General Electric"/>
    <s v="V100"/>
    <s v="SH617010136SA"/>
    <s v="HPL24760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Criticare"/>
    <s v="506DN"/>
    <n v="111720499"/>
    <s v="HPL25045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"/>
    <s v="Monitor de signos vitales"/>
    <s v="General Electric"/>
    <s v="V100"/>
    <s v="SH622300074SA"/>
    <s v="HPL31303"/>
    <n v="2022"/>
    <n v="8"/>
    <n v="5"/>
    <s v="Propio"/>
    <s v="Bueno "/>
    <x v="0"/>
    <s v="SI"/>
    <d v="2024-12-01T00:00:00"/>
    <s v="SI"/>
    <n v="2023"/>
    <s v="EX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398"/>
    <s v="HPL25043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3"/>
    <s v="HPL25252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 signos vitales"/>
    <s v="Mindray"/>
    <s v="DPM3"/>
    <s v="DQ-18000407"/>
    <s v="HPL25044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51"/>
    <s v="HPL25081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desfibrilador "/>
    <s v="Zoll medical"/>
    <s v="Serie R ALS"/>
    <s v="AF15D045673"/>
    <s v="HPL24730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3"/>
    <s v="HPL25041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5"/>
    <s v="HPL25042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46"/>
    <s v="HPL30031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3"/>
    <s v="HPL30036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54"/>
    <s v="HPL25264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Fukuda Denshi"/>
    <s v="Dinascope DSL-8001"/>
    <n v="50200467"/>
    <s v="HPL30043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Mediano Costo "/>
    <s v="Monitor ECG Baja Complejidad"/>
    <s v="Philips"/>
    <s v="Efficia CM100"/>
    <s v="CN12099177"/>
    <m/>
    <n v="2024"/>
    <n v="8"/>
    <n v="7"/>
    <s v="Propio"/>
    <s v="Bueno "/>
    <x v="0"/>
    <s v="SI"/>
    <n v="2026"/>
    <s v="SI"/>
    <n v="2024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6"/>
    <m/>
    <n v="2024"/>
    <n v="8"/>
    <n v="7"/>
    <s v="Propio"/>
    <s v="Bueno "/>
    <x v="0"/>
    <s v="SI"/>
    <n v="2026"/>
    <s v="SI"/>
    <n v="2024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Mediano Costo "/>
    <s v="Monitor ECG Baja Complejidad"/>
    <s v="Philips"/>
    <s v="Efficia CM100"/>
    <s v="CN12099175"/>
    <m/>
    <n v="2024"/>
    <n v="8"/>
    <n v="7"/>
    <s v="Propio"/>
    <s v="Bueno "/>
    <x v="0"/>
    <s v="SI"/>
    <n v="2026"/>
    <s v="SI"/>
    <n v="2024"/>
    <s v="EXTERNO"/>
    <s v="Andover"/>
    <s v="1057540-125-LE23"/>
    <n v="0"/>
    <n v="2"/>
    <m/>
    <m/>
    <m/>
    <m/>
    <m/>
    <m/>
    <s v="X"/>
    <m/>
    <m/>
    <m/>
    <m/>
    <s v="X"/>
  </r>
  <r>
    <s v="Hospitalizados"/>
    <s v="Hospital Penco Lirquen"/>
    <s v="Monitoreo"/>
    <s v="Alto Costo"/>
    <s v="Monitor ECG mediana complejidad"/>
    <s v="Nihon Kohden"/>
    <s v="BSM-6301K"/>
    <n v="8352"/>
    <s v="HPL29882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3"/>
    <s v="HPL25047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7"/>
    <s v="HPL29885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4"/>
    <s v="HPL29883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6"/>
    <s v="HPL29884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8"/>
    <s v="HPL29886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CSM-1501 (G5)"/>
    <s v="01634"/>
    <s v="HPL24766"/>
    <n v="2021"/>
    <n v="8"/>
    <n v="4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BSM-6301K"/>
    <n v="8355"/>
    <s v="HPL24763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Nihon Kohden"/>
    <s v="PVM-2703"/>
    <n v="118479"/>
    <s v="HPL24773"/>
    <n v="2019"/>
    <n v="8"/>
    <n v="2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10"/>
    <s v="HPL30262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029"/>
    <s v="HPL30263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590"/>
    <s v="HPL30264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27"/>
    <s v="HPL30265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657"/>
    <s v="HPL30266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Monitoreo"/>
    <s v="Alto Costo"/>
    <s v="Monitor ECG mediana complejidad"/>
    <s v="Mindray"/>
    <s v="uMEC12"/>
    <s v="KQ-04039751"/>
    <s v="HPL30267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s v="X"/>
    <m/>
    <m/>
    <m/>
    <m/>
    <m/>
    <s v="X"/>
    <m/>
    <m/>
  </r>
  <r>
    <s v="Hospitalizados"/>
    <s v="Hospital Penco Lirquen"/>
    <s v="Apoyo Diagnóstico"/>
    <s v="Bajo costo"/>
    <s v="Oto-oftalmoscopio de pared"/>
    <s v="Riester"/>
    <s v="Ri-scope L"/>
    <s v="S/N"/>
    <s v="HPL3012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"/>
    <s v="Oximetro de pulso"/>
    <s v="Nellcor"/>
    <s v="Oximax N-65"/>
    <s v="G15802064"/>
    <s v="HPL3025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"/>
    <s v="Hospital Penco Lirquen"/>
    <s v="Apoyo Diagnóstico"/>
    <s v="Bajo costo "/>
    <s v="Ultrasonido Pocket"/>
    <s v="Medtec"/>
    <s v="C10LN"/>
    <s v="KLACBEA011"/>
    <s v="NO APLICA"/>
    <n v="2023"/>
    <n v="8"/>
    <n v="6"/>
    <s v="Comodato"/>
    <s v="Bueno "/>
    <x v="2"/>
    <s v="SI"/>
    <s v="NO APLICA"/>
    <s v="NO"/>
    <s v="NO APLICA"/>
    <s v="CONTRATO"/>
    <s v="MEDTEC"/>
    <s v="1057540-54-LP23"/>
    <m/>
    <m/>
    <m/>
    <m/>
    <m/>
    <m/>
    <m/>
    <m/>
    <m/>
    <m/>
    <m/>
    <m/>
    <m/>
    <m/>
  </r>
  <r>
    <s v="Hospitalizados"/>
    <s v="Hospital Penco Lirquen"/>
    <s v="Apoyo Quirúrgico"/>
    <s v="Bajo costo"/>
    <s v="Bomba de aspiración"/>
    <s v="Ca-mi"/>
    <s v="ASKIR 36BR"/>
    <n v="17300"/>
    <s v="HPL29895"/>
    <n v="2020"/>
    <n v="10"/>
    <n v="5"/>
    <s v="Propio"/>
    <s v="Bueno "/>
    <x v="1"/>
    <s v="NO"/>
    <s v="NO APLICA"/>
    <s v="SI"/>
    <n v="2024"/>
    <s v="INTERNO"/>
    <s v="TECNICO EQM HPL"/>
    <s v="NO APLICA"/>
    <m/>
    <n v="2"/>
    <m/>
    <m/>
    <s v="√"/>
    <m/>
    <m/>
    <m/>
    <m/>
    <m/>
    <s v="X"/>
    <m/>
    <m/>
    <m/>
  </r>
  <r>
    <s v="Hospitalizados - 1B"/>
    <s v="Hospital Penco Lirquen"/>
    <s v="Apoyo Terapéutico"/>
    <s v="Mediano Costo "/>
    <s v="Bomba de infusión continua"/>
    <s v="Fresenius Kabi"/>
    <s v="Volumat MC Agilia E"/>
    <n v="21789439"/>
    <s v="HPL28427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 E"/>
    <n v="21961763"/>
    <s v="HPL28444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267028"/>
    <s v="HPL28435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Mediano Costo "/>
    <s v="Bomba de infusión continua"/>
    <s v="Fresenius Kabi"/>
    <s v="Volumat MC Agilia"/>
    <n v="22418653"/>
    <s v="HPL28443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09"/>
    <s v="HPL28479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0"/>
    <s v="HPL28480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B"/>
    <s v="Hospital Penco Lirquen"/>
    <s v="Apoyo Terapéutico"/>
    <s v="Bajo costo"/>
    <s v="Bomba de nutrición enteral"/>
    <s v="Fresenius Kabi"/>
    <s v="AMIKA-ES"/>
    <n v="24668411"/>
    <s v="HPL28481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n v="200612139055"/>
    <s v="HPL30104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Hospitalizados - 1C"/>
    <s v="Hospital Penco Lirquen"/>
    <s v="Apoyo Terapéutico"/>
    <s v="Mediano Costo "/>
    <s v="Sistema de alto flujo humidificado"/>
    <s v="Fisher &amp; Paykel Healthcare"/>
    <s v="Airvo 2"/>
    <s v="200611138691"/>
    <s v="HPL30168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170047"/>
    <s v="HPL28434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4181"/>
    <s v="HPL28441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3A"/>
    <s v="Hospital Penco Lirquen"/>
    <s v="Apoyo Terapéutico"/>
    <s v="Mediano Costo "/>
    <s v="Bomba de infusión continua"/>
    <s v="Fresenius Kabi"/>
    <s v="Volumat MC Agilia"/>
    <n v="22657710"/>
    <s v="HPL28437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6B"/>
    <s v="Hospital Penco Lirquen"/>
    <s v="Apoyo Terapéutico"/>
    <s v="Mediano Costo "/>
    <s v="Bomba de infusión continua"/>
    <s v="Fresenius Kabi"/>
    <s v="Volumat MC Agilia"/>
    <n v="22267021"/>
    <s v="HPL28442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A"/>
    <s v="Hospital Penco Lirquen"/>
    <s v="Apoyo Diagnóstico"/>
    <s v="Bajo costo"/>
    <s v="Balanza para camillas"/>
    <s v="RADWAG"/>
    <s v="C315.48.500.C-1"/>
    <n v="775883"/>
    <m/>
    <n v="2023"/>
    <n v="10"/>
    <n v="8"/>
    <s v="Propio"/>
    <s v="Bueno "/>
    <x v="2"/>
    <s v="SI"/>
    <d v="2024-09-24T00:00:00"/>
    <s v="NO"/>
    <s v="NO APLICA"/>
    <s v="EXTERNO"/>
    <s v="Arquimed"/>
    <s v="1057540-19-L123"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578701"/>
    <s v="HPL28424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01"/>
    <s v="HPL28425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34074"/>
    <s v="HPL28426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667283"/>
    <s v="HPL28440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789514"/>
    <s v="HPL28428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53"/>
    <s v="HPL28429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 E"/>
    <n v="21961774"/>
    <s v="HPL28430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16889"/>
    <s v="HPL28432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170046"/>
    <s v="HPL28433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324983"/>
    <s v="HPL28436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52"/>
    <s v="HPL28438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"/>
    <s v="Fresenius Kabi"/>
    <s v="Volumat MC Agilia"/>
    <n v="22778064"/>
    <s v="HPL28439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Mediano Costo "/>
    <s v="Bomba de infusión continua - Back Up"/>
    <s v="Fresenius Kabi"/>
    <s v="Volumat MC Agilia"/>
    <n v="23404909"/>
    <m/>
    <n v="2023"/>
    <n v="8"/>
    <n v="6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5"/>
    <s v="HPL28471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37"/>
    <s v="HPL28472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0"/>
    <s v="HPL28473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3"/>
    <s v="HPL28474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4"/>
    <s v="HPL28475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5"/>
    <s v="HPL28476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Apoyo Terapéutico"/>
    <s v="Bajo costo"/>
    <s v="Bomba de nutrición enteral"/>
    <s v="Fresenius Kabi"/>
    <s v="AMIKA-ES"/>
    <n v="24009346"/>
    <s v="HPL28477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6"/>
    <s v="HPL24842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7"/>
    <s v="HPL24694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8"/>
    <s v="HPL24675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39"/>
    <s v="HPL25211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0"/>
    <s v="HPL29993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1"/>
    <s v="HPL25215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2"/>
    <s v="HPL29994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3"/>
    <s v="HPL25132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4"/>
    <s v="HPL2482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5"/>
    <s v="HPL25213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6"/>
    <s v="HPL25150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7"/>
    <s v="HPL2513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48"/>
    <s v="HPL24869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0"/>
    <s v="HPL2496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2"/>
    <s v="HPL24829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5"/>
    <s v="HPL24676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6"/>
    <s v="HPL24985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7"/>
    <s v="HPL24712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8"/>
    <s v="HPL29997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59"/>
    <s v="HPL2999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0"/>
    <s v="HPL2514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1"/>
    <s v="HPL24498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2"/>
    <s v="HPL24970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3"/>
    <s v="HPL25176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eléctrica"/>
    <s v="Malvestio"/>
    <s v="346760H"/>
    <n v="20009364"/>
    <s v="HPL25210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0"/>
    <s v="HPL29985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1"/>
    <s v="HPL24711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2"/>
    <s v="HPL29986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3"/>
    <s v="HPL24948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4"/>
    <s v="HPL24677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5"/>
    <s v="HPL24695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6"/>
    <s v="HPL25224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8"/>
    <s v="HPL24844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49"/>
    <s v="HPL24872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0"/>
    <s v="HPL24617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1"/>
    <s v="HPL29988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2"/>
    <s v="HPL24986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3"/>
    <s v="HPL25111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4"/>
    <s v="HPL24958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5"/>
    <s v="HPL24657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6"/>
    <s v="HPL29989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7"/>
    <s v="HPL25169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8"/>
    <s v="HPL29990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59"/>
    <s v="HPL24659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Mobiliario"/>
    <s v="Clínico"/>
    <s v="Cama clínica mecánica"/>
    <s v="Malvestio"/>
    <n v="345500"/>
    <n v="20009261"/>
    <s v="HPL29992"/>
    <n v="2015"/>
    <n v="8"/>
    <n v="-2"/>
    <s v="Propio"/>
    <s v="Bueno "/>
    <x v="1"/>
    <s v="NO"/>
    <s v="NO APLICA"/>
    <s v="SI"/>
    <n v="2023"/>
    <s v="INTERNO"/>
    <s v="TECNICO EQM HPL"/>
    <s v="NO APLICA"/>
    <n v="500000"/>
    <n v="1"/>
    <m/>
    <s v="√"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252"/>
    <s v="HPL29941"/>
    <n v="2020"/>
    <n v="10"/>
    <n v="5"/>
    <s v="Propio"/>
    <s v="Bueno "/>
    <x v="2"/>
    <s v="NO"/>
    <s v="NO APLICA"/>
    <s v="NO"/>
    <s v="NO APLICA"/>
    <s v="INTERNO"/>
    <s v="TECNICO INDUSTRIAL HPL"/>
    <s v="NO APLICA"/>
    <m/>
    <m/>
    <m/>
    <m/>
    <m/>
    <m/>
    <m/>
    <m/>
    <m/>
    <m/>
    <m/>
    <m/>
    <m/>
    <m/>
  </r>
  <r>
    <s v="Hospitalizados - 9B"/>
    <s v="Hospital Penco Lirquen"/>
    <s v="Laboratorio/Farmac"/>
    <s v="Bajo costo"/>
    <s v="Frigobar"/>
    <s v="Mademsa"/>
    <s v="MMB 91 S"/>
    <n v="1000558"/>
    <s v="HPL29943"/>
    <n v="2020"/>
    <n v="10"/>
    <n v="5"/>
    <s v="Propio"/>
    <s v="Bueno "/>
    <x v="2"/>
    <s v="NO"/>
    <s v="NO APLICA"/>
    <s v="NO"/>
    <s v="NO APLICA"/>
    <s v="INTERNO"/>
    <s v="TECNICO INDUSTRIAL HPL"/>
    <s v="NO APLICA"/>
    <m/>
    <m/>
    <m/>
    <m/>
    <m/>
    <m/>
    <m/>
    <m/>
    <m/>
    <m/>
    <m/>
    <m/>
    <m/>
    <m/>
  </r>
  <r>
    <s v="Hospitalizados - 9D"/>
    <s v="Hospital Penco Lirquen"/>
    <s v="Apoyo Diagnóstico"/>
    <s v="Bajo costo"/>
    <s v="Balanza para camillas"/>
    <s v="Seca"/>
    <n v="6561321103"/>
    <n v="10000000062501"/>
    <s v="HPL30116"/>
    <n v="2016"/>
    <n v="10"/>
    <n v="1"/>
    <s v="Propio"/>
    <s v="Bueno "/>
    <x v="2"/>
    <s v="NO"/>
    <s v="NO APLICA"/>
    <s v="NO"/>
    <s v="NO APLICA"/>
    <s v="EXTERNO"/>
    <s v="TECNICO EQM HPL"/>
    <s v="NO APLICA"/>
    <m/>
    <m/>
    <m/>
    <m/>
    <m/>
    <m/>
    <m/>
    <m/>
    <m/>
    <m/>
    <m/>
    <m/>
    <m/>
    <m/>
  </r>
  <r>
    <s v="Hospitalizados - 9D"/>
    <s v="Hospital Penco Lirquen"/>
    <s v="Apoyo Diagnóstico"/>
    <s v="Bajo costo"/>
    <s v="Oximetro de pulso"/>
    <s v="Nellcor"/>
    <s v="Oximax N-65"/>
    <s v="G15802061"/>
    <s v="HPL3025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Hospitalizados - 9D"/>
    <s v="Hospital Penco Lirquen"/>
    <s v="Laboratorio/Farmac"/>
    <s v="Mediano Costo "/>
    <s v="Refrigerador Clinico"/>
    <s v="Smeg"/>
    <s v="FV30G1"/>
    <n v="5122200131"/>
    <s v="HPL21420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Hospitalizados (UTI) - 9D"/>
    <s v="Hospital Penco Lirquen"/>
    <s v="Laboratorio/Farmac"/>
    <s v="Mediano Costo "/>
    <s v="Refrigerador Clinico"/>
    <s v="Smeg"/>
    <s v="FV30G1"/>
    <n v="5122200111"/>
    <s v="HPL24792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Hospitalizados -9B"/>
    <s v="Hospital Penco Lirquen"/>
    <s v="Mobiliario"/>
    <s v="Clínico"/>
    <s v="Cama clínica eléctrica"/>
    <s v="Malvestio"/>
    <s v="346760H"/>
    <n v="20009353"/>
    <s v="HPL29995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Imagenologia"/>
    <s v="Hospital Penco Lirquen"/>
    <s v="Monitoreo"/>
    <s v="Mediano Costo "/>
    <s v="Monitor desfibrilador "/>
    <s v="Zoll medical"/>
    <s v="Serie R ALS"/>
    <s v="AF20G120257"/>
    <s v="HPL30216"/>
    <n v="2021"/>
    <n v="8"/>
    <n v="4"/>
    <s v="Propio"/>
    <s v="Bueno "/>
    <x v="0"/>
    <s v="NO"/>
    <s v="NO APLICA"/>
    <s v="SI"/>
    <n v="2023"/>
    <s v="INTERNO"/>
    <s v="TECNICO EQM HPL"/>
    <s v="NO APLICA"/>
    <s v="-"/>
    <n v="2"/>
    <m/>
    <m/>
    <m/>
    <m/>
    <m/>
    <s v="X"/>
    <m/>
    <m/>
    <m/>
    <m/>
    <m/>
    <s v="X"/>
  </r>
  <r>
    <s v="Imagenologia"/>
    <s v="Hospital Penco Lirquen"/>
    <s v="Monitoreo"/>
    <s v="Mediano Costo "/>
    <s v="Monitor ECG Baja Complejidad"/>
    <s v="Fukuda Denshi"/>
    <s v="Dinascope DSL-8001"/>
    <n v="50200456"/>
    <s v="HPL30038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Imagenologia - 1C"/>
    <s v="Hospital Penco Lirquen"/>
    <s v="Imagenología"/>
    <s v="Alto Costo"/>
    <s v="Ecógrafo portatil"/>
    <s v="General Electric"/>
    <s v="Logiq E"/>
    <s v="6076723WX0"/>
    <s v="HPL30194"/>
    <n v="2020"/>
    <n v="8"/>
    <n v="3"/>
    <s v="Propio"/>
    <s v="Bueno "/>
    <x v="3"/>
    <s v="NO"/>
    <s v="NO APLICA"/>
    <s v="SI"/>
    <n v="2023"/>
    <s v="EXTERNO"/>
    <s v="HOSER"/>
    <s v="1057540-17-LE23"/>
    <n v="1832600"/>
    <n v="2"/>
    <m/>
    <s v="√"/>
    <m/>
    <m/>
    <m/>
    <m/>
    <m/>
    <m/>
    <s v="X"/>
    <m/>
    <m/>
    <m/>
  </r>
  <r>
    <s v="Imagenologia - 8A"/>
    <s v="Hospital Penco Lirquen"/>
    <s v="Imagenología"/>
    <s v="Alto Costo"/>
    <s v="Rx Arco C"/>
    <s v="Philips"/>
    <s v="BV pulsera"/>
    <n v="3937"/>
    <s v="HPL29877"/>
    <n v="2016"/>
    <n v="10"/>
    <n v="1"/>
    <s v="Propio"/>
    <s v="Bueno "/>
    <x v="3"/>
    <s v="NO"/>
    <s v="NO APLICA"/>
    <s v="SI"/>
    <n v="2023"/>
    <s v="EXTERNO"/>
    <s v="Philips"/>
    <s v="1057540-3-LQ23"/>
    <n v="12792504"/>
    <n v="2"/>
    <s v="√"/>
    <m/>
    <m/>
    <m/>
    <m/>
    <s v="X"/>
    <m/>
    <m/>
    <m/>
    <m/>
    <m/>
    <s v="X"/>
  </r>
  <r>
    <s v="Imagenologia - 8A"/>
    <s v="Hospital Penco Lirquen"/>
    <s v="Imagenología"/>
    <s v="Alto Costo"/>
    <s v="Rx Mamografo Digital"/>
    <s v="Siemens"/>
    <s v="Mamomat Fusion"/>
    <n v="1127"/>
    <s v="HPL29860"/>
    <n v="2016"/>
    <n v="10"/>
    <n v="1"/>
    <s v="Propio"/>
    <s v="Bueno "/>
    <x v="3"/>
    <s v="NO"/>
    <m/>
    <s v="SI"/>
    <n v="2023"/>
    <s v="EXTERNO"/>
    <s v="Siemens"/>
    <s v="1057540-3-LQ23"/>
    <n v="40962546"/>
    <n v="2"/>
    <s v="√"/>
    <m/>
    <m/>
    <m/>
    <m/>
    <m/>
    <s v="X"/>
    <m/>
    <m/>
    <m/>
    <m/>
    <m/>
  </r>
  <r>
    <s v="Imagenologia - 8A"/>
    <s v="Hospital Penco Lirquen"/>
    <s v="Imagenología"/>
    <s v="Alto Costo"/>
    <s v="RX Osteopulmonar "/>
    <s v="Philips"/>
    <s v="Digital Diagnost Flex"/>
    <n v="15000236"/>
    <s v="HPL29960"/>
    <n v="2016"/>
    <n v="10"/>
    <n v="1"/>
    <s v="Propio"/>
    <s v="Bueno "/>
    <x v="3"/>
    <s v="NO"/>
    <s v="NO APLICA"/>
    <s v="SI"/>
    <n v="2023"/>
    <s v="EXTERNO"/>
    <s v="Philips"/>
    <s v="1057540-3-LQ23"/>
    <n v="39876864"/>
    <n v="2"/>
    <m/>
    <m/>
    <m/>
    <m/>
    <m/>
    <s v="X"/>
    <m/>
    <m/>
    <m/>
    <m/>
    <m/>
    <s v="X"/>
  </r>
  <r>
    <s v="Imagenologia - 8A"/>
    <s v="Hospital Penco Lirquen"/>
    <s v="Imagenología"/>
    <s v="Alto Costo"/>
    <s v="RX Portatil"/>
    <s v="Philips"/>
    <s v="Mobile Diagnost WDR"/>
    <n v="15100217"/>
    <s v="HPL29961"/>
    <n v="2016"/>
    <n v="10"/>
    <n v="1"/>
    <s v="Propio"/>
    <s v="Bueno "/>
    <x v="3"/>
    <s v="NO"/>
    <s v="NO APLICA"/>
    <s v="SI"/>
    <n v="2023"/>
    <s v="EXTERNO"/>
    <s v="Philips"/>
    <s v="1057540-3-LQ23"/>
    <n v="24097500"/>
    <n v="2"/>
    <m/>
    <m/>
    <m/>
    <m/>
    <m/>
    <s v="X"/>
    <m/>
    <m/>
    <m/>
    <m/>
    <m/>
    <s v="X"/>
  </r>
  <r>
    <s v="Imagenologia - 8B"/>
    <s v="Hospital Penco Lirquen"/>
    <s v="Apoyo Terapéutico"/>
    <s v="Mediano Costo "/>
    <s v="Calentador de medio de contraste"/>
    <s v="Thermo"/>
    <s v="Heratherm"/>
    <s v="IMC 40497711"/>
    <m/>
    <n v="2024"/>
    <n v="8"/>
    <n v="7"/>
    <s v="Comodato"/>
    <s v="Bueno "/>
    <x v="1"/>
    <s v="NO APLICA"/>
    <n v="2026"/>
    <s v="SI"/>
    <n v="2025"/>
    <s v="EXTERNO"/>
    <s v="BIOMUNDO"/>
    <m/>
    <m/>
    <n v="2"/>
    <m/>
    <m/>
    <s v="X"/>
    <m/>
    <m/>
    <m/>
    <m/>
    <m/>
    <m/>
    <m/>
    <s v="X"/>
    <m/>
  </r>
  <r>
    <s v="Imagenologia - 8B"/>
    <s v="Hospital Penco Lirquen"/>
    <s v="Apoyo Terapéutico"/>
    <s v="Mediano Costo "/>
    <s v="Inyectora de medio de contraste"/>
    <s v="Incaier"/>
    <s v="Discovery D1"/>
    <n v="1116000002"/>
    <m/>
    <n v="2024"/>
    <n v="8"/>
    <n v="7"/>
    <s v="Comodato"/>
    <s v="Bueno "/>
    <x v="1"/>
    <s v="NO APLICA"/>
    <n v="2026"/>
    <s v="SI"/>
    <n v="2025"/>
    <s v="EXTERNO"/>
    <s v="BIOMUNDO"/>
    <m/>
    <m/>
    <n v="2"/>
    <m/>
    <m/>
    <s v="X"/>
    <m/>
    <m/>
    <m/>
    <m/>
    <m/>
    <m/>
    <m/>
    <s v="X"/>
    <m/>
  </r>
  <r>
    <s v="Imagenologia - 8B"/>
    <s v="Hospital Penco Lirquen"/>
    <s v="Imagenología"/>
    <s v="Alto Costo"/>
    <s v="Ecógrafo"/>
    <s v="General Electric"/>
    <s v="Logiq S8"/>
    <s v="507954SU2"/>
    <s v="HPL30192"/>
    <n v="2019"/>
    <n v="8"/>
    <n v="2"/>
    <s v="Propio"/>
    <s v="Bueno "/>
    <x v="3"/>
    <s v="NO"/>
    <s v="NO APLICA"/>
    <s v="SI"/>
    <n v="2023"/>
    <s v="EXTERNO"/>
    <s v="HOSER"/>
    <s v="1057540-17-LE23"/>
    <n v="1832600"/>
    <n v="2"/>
    <m/>
    <s v="√"/>
    <m/>
    <m/>
    <m/>
    <m/>
    <m/>
    <m/>
    <s v="X"/>
    <m/>
    <m/>
    <m/>
  </r>
  <r>
    <s v="Imagenologia - 8B"/>
    <s v="Hospital Penco Lirquen"/>
    <s v="Imagenología"/>
    <s v="Alto Costo"/>
    <s v="Tomografo Computarizado"/>
    <s v="Philips"/>
    <s v="Incisive"/>
    <n v="510014"/>
    <s v="HPL29318"/>
    <n v="2021"/>
    <n v="10"/>
    <n v="6"/>
    <s v="Propio"/>
    <s v="Bueno "/>
    <x v="3"/>
    <s v="SI"/>
    <n v="2025"/>
    <s v="SI"/>
    <n v="2023"/>
    <s v="EXTERNO"/>
    <s v="Philips - En Garantía"/>
    <s v="1057931-17-LR20"/>
    <s v="-"/>
    <n v="2"/>
    <m/>
    <m/>
    <m/>
    <m/>
    <m/>
    <s v="X"/>
    <m/>
    <m/>
    <m/>
    <m/>
    <m/>
    <s v="X"/>
  </r>
  <r>
    <s v="Laboratorio"/>
    <s v="Hospital Penco Lirquen"/>
    <s v="Laboratorio/Farmac"/>
    <s v="Bajo costo"/>
    <s v="Aglutinoscopio"/>
    <s v="Biomedcentral"/>
    <s v="VMP-15A"/>
    <s v="0116N04"/>
    <s v="HPL27713"/>
    <n v="2016"/>
    <n v="8"/>
    <n v="-1"/>
    <s v="Propio"/>
    <s v="Bueno "/>
    <x v="2"/>
    <s v="NO"/>
    <s v="NO APLICA"/>
    <s v="NO"/>
    <s v="NO APLICA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Alto Costo"/>
    <s v="Analizador de gases"/>
    <s v="Cobas"/>
    <s v="B221 S4 System"/>
    <n v="25184"/>
    <m/>
    <n v="2024"/>
    <n v="8"/>
    <n v="7"/>
    <s v="Comodato"/>
    <s v="Bueno"/>
    <x v="3"/>
    <s v="NO"/>
    <s v="NO APLICA"/>
    <s v="SI"/>
    <n v="2024"/>
    <s v="CONTRATO"/>
    <s v="ROCHE"/>
    <s v="1057540-126-LP23"/>
    <n v="0"/>
    <n v="2"/>
    <s v="√"/>
    <m/>
    <m/>
    <m/>
    <m/>
    <m/>
    <s v="X"/>
    <m/>
    <m/>
    <m/>
    <m/>
    <m/>
  </r>
  <r>
    <s v="Laboratorio"/>
    <s v="Hospital Penco Lirquen"/>
    <s v="Laboratorio/Farmac"/>
    <s v="Alto Costo"/>
    <s v="Analizador de gases"/>
    <s v="Cobas"/>
    <s v="B221 S4 System"/>
    <n v="25185"/>
    <m/>
    <n v="2024"/>
    <n v="8"/>
    <n v="7"/>
    <s v="Comodato"/>
    <s v="Bueno"/>
    <x v="3"/>
    <s v="NO"/>
    <s v="NO APLICA"/>
    <s v="SI"/>
    <n v="2024"/>
    <s v="CONTRATO"/>
    <s v="ROCHE"/>
    <s v="1057540-126-LP23"/>
    <n v="0"/>
    <n v="2"/>
    <s v="√"/>
    <m/>
    <m/>
    <m/>
    <m/>
    <m/>
    <s v="X"/>
    <m/>
    <m/>
    <m/>
    <m/>
    <m/>
  </r>
  <r>
    <s v="Laboratorio"/>
    <s v="Hospital Penco Lirquen"/>
    <s v="Laboratorio/Farmac"/>
    <s v="Alto Costo"/>
    <s v="Analizador de microbiología"/>
    <s v="Cobas"/>
    <s v="pure e402"/>
    <s v="22F4-05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orina"/>
    <s v="Cobas"/>
    <s v="U601"/>
    <s v="SU0902847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701"/>
    <s v="SV1002171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Alto Costo"/>
    <s v="Analizador de orina"/>
    <s v="Cobas"/>
    <s v="U411"/>
    <n v="20638"/>
    <m/>
    <n v="2024"/>
    <n v="8"/>
    <n v="7"/>
    <s v="Comodato"/>
    <s v="Bueno"/>
    <x v="1"/>
    <s v="NO"/>
    <s v="NO APLICA"/>
    <s v="SI"/>
    <n v="2025"/>
    <s v="CONTRATO"/>
    <s v="ROCHE"/>
    <s v="1057540-126-LP23"/>
    <n v="0"/>
    <n v="1"/>
    <s v="√"/>
    <m/>
    <m/>
    <m/>
    <m/>
    <m/>
    <m/>
    <m/>
    <m/>
    <m/>
    <m/>
    <m/>
  </r>
  <r>
    <s v="Laboratorio"/>
    <s v="Hospital Penco Lirquen"/>
    <s v="Laboratorio/Farmac"/>
    <s v="Alto Costo"/>
    <s v="Analizador de química clínica"/>
    <s v="Cobas"/>
    <s v="pure c303"/>
    <s v="22L2-04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de química clínica"/>
    <s v="Cobas"/>
    <s v="pro sample supply unit"/>
    <s v="22J5-08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Analizador de química clínica"/>
    <s v="Cobas"/>
    <s v="pro  c503"/>
    <s v="22R5-06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Laboratorio/Farmac"/>
    <s v="Alto Costo"/>
    <s v="Analizador de química clínica (Hormonas)"/>
    <s v="Cobas"/>
    <s v="pure sample supply Unit"/>
    <s v="22H6-07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s v="X"/>
    <m/>
  </r>
  <r>
    <s v="Laboratorio"/>
    <s v="Hospital Penco Lirquen"/>
    <s v="Laboratorio/Farmac"/>
    <s v="Alto Costo"/>
    <s v="Analizador Fluorecencia "/>
    <s v="SD Biosensor"/>
    <s v="standar F200"/>
    <s v="FA20EBIT63596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Analizador VHS"/>
    <s v="Alifax"/>
    <m/>
    <s v="T16868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Balanza agitadora de sangre"/>
    <s v="GRIFOLDS"/>
    <s v="Mixer Plus3"/>
    <s v="G1320319"/>
    <s v=" "/>
    <n v="2019"/>
    <n v="10"/>
    <n v="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Apoyo Diagnóstico"/>
    <s v="Bajo costo"/>
    <s v="Balanza agitadora de sangre"/>
    <s v="LIUNBERG &amp; KOGEL"/>
    <s v="Biomixer 3030-1"/>
    <n v="3310657"/>
    <m/>
    <n v="2022"/>
    <n v="10"/>
    <n v="7"/>
    <s v="Propio"/>
    <s v="Bueno "/>
    <x v="1"/>
    <s v="NO"/>
    <s v="NO APLICA"/>
    <s v="SI"/>
    <n v="2024"/>
    <s v="EXTERNO"/>
    <s v="NEWLAB"/>
    <s v="1057540-16-LE24"/>
    <n v="178500"/>
    <n v="1"/>
    <m/>
    <m/>
    <m/>
    <m/>
    <s v="X"/>
    <m/>
    <m/>
    <m/>
    <m/>
    <m/>
    <m/>
    <m/>
  </r>
  <r>
    <s v="Laboratorio"/>
    <s v="Hospital Penco Lirquen"/>
    <s v="Apoyo Diagnóstico"/>
    <s v="Bajo costo"/>
    <s v="Balanza digital"/>
    <s v="Kern"/>
    <s v="KB 200-2N"/>
    <s v="W1103711"/>
    <s v="HPL27663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Baño termoregulado"/>
    <s v="Julaba"/>
    <s v="Pura 4"/>
    <n v="10398692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05020302-2"/>
    <s v="HPL27664"/>
    <n v="2016"/>
    <n v="10"/>
    <n v="1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Bajo costo"/>
    <s v="Baño termorregulado"/>
    <s v="Yinder"/>
    <s v="BH-130D"/>
    <s v="AI16031401-1"/>
    <s v="HPL27714"/>
    <n v="2016"/>
    <n v="10"/>
    <n v="1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Centrifuga"/>
    <s v="CHANGSHA"/>
    <s v="TD5"/>
    <s v="G1703054TB"/>
    <s v=" "/>
    <m/>
    <n v="8"/>
    <s v=" "/>
    <s v="Propio"/>
    <s v="Bueno"/>
    <x v="2"/>
    <s v="NO"/>
    <s v="NO APLICA"/>
    <s v="NO"/>
    <s v="NO APLICA"/>
    <s v="EXTERNO"/>
    <s v="NO APLICA"/>
    <m/>
    <m/>
    <m/>
    <m/>
    <m/>
    <m/>
    <m/>
    <m/>
    <m/>
    <m/>
    <m/>
    <m/>
    <m/>
    <m/>
    <m/>
  </r>
  <r>
    <s v="Laboratorio"/>
    <s v="Hospital Penco Lirquen"/>
    <s v="Laboratorio/Farmac"/>
    <s v="Alto Costo"/>
    <s v="Centrifuga "/>
    <s v="Jouan"/>
    <s v="C3-12"/>
    <n v="39809574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Centrifuga coagulación"/>
    <s v="Thermo scientific"/>
    <s v="Mega fuge 8"/>
    <n v="721123022307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Mediano Costo"/>
    <s v="Centrifuga Digital para Tarjetas"/>
    <s v="GRIFOLDS"/>
    <s v="DGSPIN"/>
    <s v="320-0007993"/>
    <s v=" "/>
    <n v="2024"/>
    <n v="8"/>
    <n v="7"/>
    <s v="Comodato"/>
    <s v="Bueno "/>
    <x v="2"/>
    <s v="NO"/>
    <s v="NO APLICA"/>
    <s v="NO"/>
    <s v="NO APLICA"/>
    <s v="EXTERN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Alto Costo"/>
    <s v="Coagulómetro"/>
    <s v="Cobas"/>
    <s v="T 411"/>
    <s v="18008-00804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2"/>
    <m/>
    <m/>
    <m/>
    <m/>
    <s v="X"/>
    <m/>
    <m/>
    <m/>
    <m/>
    <m/>
    <s v="X"/>
    <m/>
  </r>
  <r>
    <s v="Laboratorio"/>
    <s v="Hospital Penco Lirquen"/>
    <s v="Laboratorio/Farmac"/>
    <s v="Alto Costo"/>
    <s v="Contador hematológico"/>
    <s v="Sysmex"/>
    <s v="XN-1000"/>
    <n v="52045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s v="X"/>
    <m/>
    <m/>
  </r>
  <r>
    <s v="Laboratorio"/>
    <s v="Hospital Penco Lirquen"/>
    <s v="Laboratorio/Farmac"/>
    <s v="Mediano Costo"/>
    <s v="Destapadora de Tubos"/>
    <s v="Amilab"/>
    <s v="Vacutainer"/>
    <n v="2577"/>
    <s v=" "/>
    <n v="2021"/>
    <n v="8"/>
    <n v="4"/>
    <s v="Comodato"/>
    <s v="Bueno "/>
    <x v="2"/>
    <s v="NO"/>
    <s v="NO APLICA"/>
    <s v="NO"/>
    <s v="NO APLICA"/>
    <s v="EXTERNO"/>
    <s v="AMILAB"/>
    <m/>
    <m/>
    <m/>
    <m/>
    <m/>
    <m/>
    <m/>
    <m/>
    <m/>
    <m/>
    <m/>
    <m/>
    <m/>
    <m/>
    <m/>
  </r>
  <r>
    <s v="Laboratorio"/>
    <s v="Hospital Penco Lirquen"/>
    <s v="Laboratorio/Farmac"/>
    <s v="Alto Costo"/>
    <s v="Equipo de bioquímica"/>
    <s v="Cobas"/>
    <s v="pro ISE analytical unit"/>
    <s v="22R9-06"/>
    <m/>
    <n v="2024"/>
    <n v="8"/>
    <n v="7"/>
    <s v="Comodato"/>
    <s v="Bueno"/>
    <x v="1"/>
    <s v="NO"/>
    <s v="NO APLICA"/>
    <s v="SI"/>
    <n v="2024"/>
    <s v="CONTRATO"/>
    <s v="ROCHE"/>
    <s v="1057540-126-LP23"/>
    <n v="0"/>
    <n v="1"/>
    <m/>
    <m/>
    <m/>
    <m/>
    <m/>
    <m/>
    <m/>
    <m/>
    <m/>
    <m/>
    <m/>
    <s v="X"/>
  </r>
  <r>
    <s v="Laboratorio"/>
    <s v="Hospital Penco Lirquen"/>
    <s v="Apoyo Industrial"/>
    <s v="Alto Costo"/>
    <s v="Equipo de tratamiento de agua"/>
    <s v="Vigaflow"/>
    <s v="VLAB"/>
    <n v="2022020135"/>
    <m/>
    <n v="2023"/>
    <n v="8"/>
    <n v="6"/>
    <s v="Comodato"/>
    <s v="Bueno "/>
    <x v="2"/>
    <s v="NO"/>
    <s v="NO APLICA"/>
    <s v="NO"/>
    <n v="2024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Mediano Costo "/>
    <s v="Estufa cultivo TBC"/>
    <s v="Amilab"/>
    <s v="Camara TBC 800"/>
    <n v="2608"/>
    <s v="HPL27710"/>
    <n v="2017"/>
    <n v="8"/>
    <n v="0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362"/>
    <s v="HPL30293"/>
    <n v="2016"/>
    <n v="8"/>
    <n v="-1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Mediano Costo "/>
    <s v="Estufa de cultivo"/>
    <s v="Memmert"/>
    <s v="IN110"/>
    <s v="S/N: D514.0943"/>
    <s v="HPL30294"/>
    <n v="2016"/>
    <n v="8"/>
    <n v="-1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"/>
    <s v="Hospital Penco Lirquen"/>
    <s v="Laboratorio/Farmac"/>
    <s v="Bajo costo"/>
    <s v="Frigobar TBC"/>
    <s v="LIBERO"/>
    <s v="LFB-101S"/>
    <s v="S/N"/>
    <s v=" SST 28.244 "/>
    <n v="2016"/>
    <n v="8"/>
    <n v="-1"/>
    <s v="Propio"/>
    <s v="Bueno "/>
    <x v="1"/>
    <s v="NO"/>
    <s v="NO APLICA"/>
    <s v="SI"/>
    <n v="2024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Alto Costo"/>
    <s v="Hemocultivo"/>
    <s v="Biomérieux"/>
    <s v="Bact/ Alert 3D"/>
    <s v="207CR8126"/>
    <m/>
    <n v="2024"/>
    <n v="8"/>
    <n v="7"/>
    <s v="Comodato"/>
    <s v="Bueno"/>
    <x v="2"/>
    <s v="NO"/>
    <s v="NO APLICA"/>
    <s v="NO"/>
    <n v="2024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Alto Costo"/>
    <s v="Hemoglobinómetro"/>
    <s v="Fresenius Kabi"/>
    <s v="Colab TM"/>
    <s v="22TM1424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Bajo costo"/>
    <s v="Hemoglobinometro UMT"/>
    <s v="Hemocue"/>
    <s v="Hb301"/>
    <n v="1913821129"/>
    <s v=" "/>
    <s v=" "/>
    <n v="8"/>
    <e v="#VALUE!"/>
    <s v="Propio"/>
    <s v="Bueno "/>
    <x v="2"/>
    <s v="NO"/>
    <s v="NO APLICA"/>
    <s v="NO"/>
    <s v="NO APLICA"/>
    <s v="CONTRATO"/>
    <s v=" "/>
    <m/>
    <m/>
    <m/>
    <m/>
    <m/>
    <m/>
    <m/>
    <m/>
    <m/>
    <m/>
    <m/>
    <m/>
    <m/>
    <m/>
    <m/>
  </r>
  <r>
    <s v="Laboratorio"/>
    <s v="Hospital Penco Lirquen"/>
    <s v="Laboratorio/Farmac"/>
    <s v="Alto Costo"/>
    <s v="Identidad y suceptibilidad bacteriana"/>
    <s v="Biomérieux"/>
    <s v="Vitek 2 compact"/>
    <s v="VK2C22551"/>
    <m/>
    <n v="2024"/>
    <n v="8"/>
    <n v="7"/>
    <s v="Comodato"/>
    <s v="Bueno"/>
    <x v="2"/>
    <s v="NO"/>
    <s v="NO APLICA"/>
    <s v="NO"/>
    <n v="2024"/>
    <s v="CONTRATO"/>
    <s v="ROCHE"/>
    <s v="1057540-126-LP23"/>
    <m/>
    <m/>
    <m/>
    <m/>
    <m/>
    <m/>
    <m/>
    <m/>
    <m/>
    <m/>
    <m/>
    <m/>
    <m/>
    <m/>
  </r>
  <r>
    <s v="Laboratorio"/>
    <s v="Hospital Penco Lirquen"/>
    <s v="Laboratorio/Farmac"/>
    <s v="Mediano Costo"/>
    <s v="Incubador de Tarjetas"/>
    <s v="GRIFOLDS"/>
    <s v="DGTHERM"/>
    <s v="319-0007571"/>
    <s v=" "/>
    <n v="2022"/>
    <n v="8"/>
    <n v="5"/>
    <s v="Comodato"/>
    <s v="Bueno "/>
    <x v="2"/>
    <s v="NO"/>
    <s v="NO APLICA"/>
    <s v="NO"/>
    <s v="NO APLICA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Alto Costo"/>
    <s v="Lector de tarjetas"/>
    <s v="Grifolds"/>
    <s v="DG reader net"/>
    <n v="5120000865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Mediano Costo"/>
    <s v="Lector de trazabilidad de UMT"/>
    <s v="GRIFOLDS"/>
    <s v="DG-READERNET"/>
    <s v="512-0000766"/>
    <s v=" "/>
    <n v="2022"/>
    <n v="8"/>
    <n v="5"/>
    <s v="Comodato"/>
    <s v="Bueno "/>
    <x v="2"/>
    <s v="NO"/>
    <s v="NO APLICA"/>
    <s v="NO"/>
    <s v="NO APLICA"/>
    <s v="CONTRATO"/>
    <s v="GRIFOLDS"/>
    <s v="1057540-113-LP21"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29"/>
    <n v="2016"/>
    <n v="8"/>
    <n v="-1"/>
    <m/>
    <s v="Bueno "/>
    <x v="2"/>
    <s v="NO"/>
    <s v="NO APLICA"/>
    <s v="NO"/>
    <s v="NO APLICA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cheros portátiles"/>
    <s v="Aleman"/>
    <s v="Bunsen"/>
    <s v="S/N"/>
    <s v="HPL30330"/>
    <n v="2016"/>
    <n v="8"/>
    <n v="-1"/>
    <m/>
    <s v="Bueno "/>
    <x v="2"/>
    <s v="NO"/>
    <s v="NO APLICA"/>
    <s v="NO"/>
    <s v="NO APLICA"/>
    <s v="IN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Mezclador Vortex"/>
    <s v="Thermo scientific"/>
    <s v="LP vortex mixter"/>
    <s v="F5KT18089"/>
    <s v="HPL27680"/>
    <n v="2016"/>
    <n v="8"/>
    <n v="-1"/>
    <m/>
    <s v="Bueno "/>
    <x v="2"/>
    <s v="NO"/>
    <s v="NO APLICA"/>
    <s v="NO"/>
    <s v="NO APLICA"/>
    <s v="EXTERNO"/>
    <m/>
    <m/>
    <m/>
    <m/>
    <m/>
    <m/>
    <m/>
    <m/>
    <m/>
    <m/>
    <m/>
    <m/>
    <m/>
    <m/>
    <m/>
    <m/>
  </r>
  <r>
    <s v="Laboratorio"/>
    <s v="Hospital Penco Lirquen"/>
    <s v="Laboratorio/Farmac"/>
    <s v="Bajo costo"/>
    <s v="Pesa digital UMT"/>
    <s v="Soehnle"/>
    <s v="Siena"/>
    <s v="S/N"/>
    <s v=" "/>
    <s v=" "/>
    <s v=" "/>
    <e v="#VALUE!"/>
    <s v="Propio"/>
    <s v="Bueno "/>
    <x v="2"/>
    <s v="NO"/>
    <s v="NO APLICA"/>
    <s v="NO"/>
    <s v="NO APLICA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Mediano Costo "/>
    <s v="Refrigerador Clinico"/>
    <s v="MAIGAS"/>
    <s v="LG-350"/>
    <s v="FCV55542"/>
    <s v=" "/>
    <n v="2017"/>
    <n v="8"/>
    <n v="0"/>
    <s v="Propio"/>
    <s v="Bueno "/>
    <x v="1"/>
    <s v="NO"/>
    <s v="NO APLICA"/>
    <s v="SI"/>
    <n v="2024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Mediano Costo"/>
    <s v="Refrigerador Clinico"/>
    <s v="MIDEA BIOMEDICAL"/>
    <s v="MC-5L1006"/>
    <s v="540-N6541304-4219-3410003"/>
    <m/>
    <n v="2024"/>
    <n v="8"/>
    <n v="7"/>
    <s v="Propio"/>
    <s v="Bueno "/>
    <x v="1"/>
    <s v="SI"/>
    <d v="2026-12-17T00:00:00"/>
    <s v="SI"/>
    <n v="2025"/>
    <s v="EXTERNO"/>
    <s v="GRUPOBIOS"/>
    <s v="1057540-3018-LE24"/>
    <m/>
    <n v="1"/>
    <m/>
    <m/>
    <m/>
    <m/>
    <m/>
    <m/>
    <m/>
    <m/>
    <m/>
    <m/>
    <m/>
    <s v="X"/>
  </r>
  <r>
    <s v="Laboratorio"/>
    <s v="Hospital Penco Lirquen"/>
    <s v="Laboratorio/Farmac"/>
    <s v="Alto Costo"/>
    <s v="Refrigerador Clínico"/>
    <s v="Midea"/>
    <s v="MC-5L1006"/>
    <s v="541-K5740002"/>
    <m/>
    <n v="2024"/>
    <n v="8"/>
    <n v="7"/>
    <s v="Comodato"/>
    <s v="Bueno"/>
    <x v="2"/>
    <s v="NO"/>
    <s v="NO APLICA"/>
    <s v="NO"/>
    <n v="2024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Alto Costo"/>
    <s v="Refrigerador Ultracongelador Vertical 100Lt"/>
    <s v="Haier"/>
    <s v="DW-86L100J"/>
    <s v="BE0FT3E1T00QGLB90011"/>
    <m/>
    <n v="2022"/>
    <n v="8"/>
    <n v="5"/>
    <s v="Propio"/>
    <s v="Bueno "/>
    <x v="1"/>
    <s v="NO"/>
    <m/>
    <s v="SI"/>
    <n v="2024"/>
    <s v="CONTRATO"/>
    <s v="CLIMATICPRO"/>
    <s v="1057540-100-LE23"/>
    <n v="51703"/>
    <n v="1"/>
    <m/>
    <m/>
    <m/>
    <m/>
    <m/>
    <m/>
    <m/>
    <m/>
    <s v="X"/>
    <m/>
    <m/>
    <m/>
  </r>
  <r>
    <s v="Laboratorio"/>
    <s v="Hospital Penco Lirquen"/>
    <s v="Laboratorio/Farmac"/>
    <s v="Bajo costo"/>
    <s v="Selladora UMT"/>
    <s v="GRIFOLDS"/>
    <s v="Weldt"/>
    <n v="63059919"/>
    <s v=" "/>
    <s v=" "/>
    <n v="8"/>
    <m/>
    <s v="Propio"/>
    <s v="Bueno "/>
    <x v="2"/>
    <s v="NO"/>
    <s v="NO APLICA"/>
    <s v="NO"/>
    <s v="NO APLICA"/>
    <s v="EXTERNO"/>
    <s v=" "/>
    <m/>
    <m/>
    <m/>
    <m/>
    <m/>
    <m/>
    <m/>
    <m/>
    <m/>
    <m/>
    <m/>
    <m/>
    <m/>
    <m/>
    <m/>
  </r>
  <r>
    <s v="Laboratorio"/>
    <s v="Hospital Penco Lirquen"/>
    <s v="Laboratorio/Farmac"/>
    <s v="Alto Costo"/>
    <s v="Ultracongelador"/>
    <s v="Midea"/>
    <s v="MD-86L108"/>
    <s v="540-K4780703"/>
    <m/>
    <m/>
    <m/>
    <m/>
    <s v="Propio"/>
    <s v="Bueno"/>
    <x v="2"/>
    <s v="NO"/>
    <s v="NO APLICA"/>
    <s v="NO"/>
    <s v="NO APLICA"/>
    <s v="NO APLICA"/>
    <s v="NO APLICA"/>
    <s v="NO APLICA"/>
    <m/>
    <m/>
    <m/>
    <m/>
    <m/>
    <m/>
    <m/>
    <m/>
    <m/>
    <m/>
    <m/>
    <m/>
    <m/>
    <m/>
  </r>
  <r>
    <s v="Laboratorio"/>
    <s v="Hospital Penco Lirquen"/>
    <s v="Laboratorio/Farmac"/>
    <s v="Alto Costo"/>
    <s v="Ultracongelador"/>
    <s v="ThermoFisher"/>
    <s v="Megafuse"/>
    <n v="43077902"/>
    <m/>
    <n v="2024"/>
    <n v="8"/>
    <n v="7"/>
    <s v="Comodato"/>
    <s v="Bueno"/>
    <x v="2"/>
    <s v="NO"/>
    <s v="NO APLICA"/>
    <s v="NO"/>
    <n v="2024"/>
    <s v="CONTRATO"/>
    <s v="ROCHE"/>
    <s v="1057540-126-LP23"/>
    <n v="0"/>
    <m/>
    <m/>
    <m/>
    <m/>
    <m/>
    <m/>
    <m/>
    <m/>
    <m/>
    <m/>
    <m/>
    <m/>
    <m/>
  </r>
  <r>
    <s v="Laboratorio"/>
    <s v="Hospital Penco Lirquen"/>
    <s v="Laboratorio/Farmac"/>
    <s v="Bajo costo"/>
    <s v="Visualizador de venas "/>
    <s v="Venoscope"/>
    <s v="VT03"/>
    <s v="S/N"/>
    <s v=" "/>
    <n v="2021"/>
    <n v="8"/>
    <n v="4"/>
    <s v="Comodato"/>
    <s v="Bueno "/>
    <x v="2"/>
    <s v="NO"/>
    <s v="NO APLICA"/>
    <s v="NO"/>
    <s v="NO APLICA"/>
    <s v="EXTERNO"/>
    <s v="AMILAB"/>
    <m/>
    <m/>
    <m/>
    <m/>
    <m/>
    <m/>
    <m/>
    <m/>
    <m/>
    <m/>
    <m/>
    <m/>
    <m/>
    <m/>
    <m/>
  </r>
  <r>
    <s v="Laboratorio "/>
    <s v="Hospital Penco Lirquen"/>
    <s v="Monitoreo"/>
    <s v="Mediano Costo "/>
    <s v="Monitor de signos vitales"/>
    <s v="Criticare"/>
    <s v="506DN "/>
    <n v="122010786"/>
    <s v="HPL30046"/>
    <n v="2022"/>
    <n v="8"/>
    <n v="5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Laboratorio - 14A"/>
    <s v="Hospital Penco Lirquen"/>
    <s v="Laboratorio/Farmac"/>
    <s v="Alto Costo"/>
    <s v="Cámara de bioseguridad"/>
    <s v="ESCO"/>
    <s v="AC2-3E8"/>
    <s v="2012-65696"/>
    <s v="HPL27703"/>
    <n v="2017"/>
    <n v="8"/>
    <n v="0"/>
    <s v="Propio"/>
    <s v="Bueno "/>
    <x v="3"/>
    <s v="NO"/>
    <s v="NO APLICA"/>
    <s v="SI"/>
    <n v="2023"/>
    <s v="EXTERNO"/>
    <s v="NEWLAB"/>
    <s v="1057540-16-LE24"/>
    <n v="4998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lavadora de globulos"/>
    <s v="ALC"/>
    <s v="42 CM"/>
    <n v="30006061"/>
    <s v="HPL27719"/>
    <n v="2016"/>
    <n v="8"/>
    <n v="-1"/>
    <s v="Propio"/>
    <s v="Bueno "/>
    <x v="1"/>
    <s v="NO"/>
    <s v="NO APLICA"/>
    <s v="SI"/>
    <n v="2023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universal"/>
    <s v="Yingtai"/>
    <s v="TD5A"/>
    <n v="24131601008"/>
    <s v="HPL27766"/>
    <n v="2016"/>
    <n v="8"/>
    <n v="-1"/>
    <s v="Propio"/>
    <s v="Bueno "/>
    <x v="1"/>
    <s v="NO"/>
    <s v="NO APLICA"/>
    <s v="SI"/>
    <n v="2023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Alto Costo"/>
    <s v="Centrifuga universal"/>
    <s v="Eppendorf"/>
    <s v="Centrifuge 5810"/>
    <s v="5810KM169103"/>
    <s v="HPL30193"/>
    <n v="2022"/>
    <n v="8"/>
    <n v="5"/>
    <s v="Propio"/>
    <s v="Bueno "/>
    <x v="1"/>
    <s v="SI"/>
    <n v="2024"/>
    <s v="SI"/>
    <n v="2024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Centrifuga universal sobremesa"/>
    <s v="N/A"/>
    <s v="TDZ4WS"/>
    <s v="B013060155"/>
    <s v="HPL30221"/>
    <n v="2015"/>
    <n v="8"/>
    <n v="-2"/>
    <s v="Propio"/>
    <s v="Bueno "/>
    <x v="1"/>
    <s v="NO"/>
    <s v="NO APLICA"/>
    <s v="SI"/>
    <n v="2023"/>
    <s v="EXTERNO"/>
    <s v="NEWLAB"/>
    <s v="1057540-16-LE24"/>
    <n v="952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Estufa de secado"/>
    <s v="Memmert"/>
    <s v="UF 110"/>
    <s v="B4152848"/>
    <s v="HPL27740"/>
    <n v="2016"/>
    <n v="8"/>
    <n v="-1"/>
    <s v="Propio"/>
    <s v="Bueno "/>
    <x v="1"/>
    <s v="NO"/>
    <s v="NO APLICA"/>
    <s v="SI"/>
    <n v="2023"/>
    <s v="EXTERNO"/>
    <s v="NEWLAB"/>
    <s v="1057540-16-LE24"/>
    <n v="8330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n v="2020004"/>
    <s v="HPL27987"/>
    <n v="2016"/>
    <n v="8"/>
    <n v="-1"/>
    <s v="Propio"/>
    <s v="Bueno "/>
    <x v="1"/>
    <s v="NO"/>
    <s v="NO APLICA"/>
    <s v="SI"/>
    <n v="2023"/>
    <s v="EXTERNO"/>
    <s v="NEWLAB"/>
    <s v="1057540-16-LE24"/>
    <n v="5355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hematologico"/>
    <s v="Digisystem"/>
    <s v="SM-100"/>
    <s v="SM1-16020003"/>
    <s v="HPL27783"/>
    <n v="2016"/>
    <n v="8"/>
    <n v="-1"/>
    <s v="Propio"/>
    <s v="Bueno "/>
    <x v="1"/>
    <s v="NO"/>
    <s v="NO APLICA"/>
    <s v="SI"/>
    <n v="2023"/>
    <s v="EXTERNO"/>
    <s v="NEWLAB"/>
    <s v="1057540-16-LE24"/>
    <n v="53550"/>
    <n v="1"/>
    <m/>
    <m/>
    <m/>
    <m/>
    <s v="X"/>
    <m/>
    <m/>
    <m/>
    <m/>
    <m/>
    <m/>
    <m/>
  </r>
  <r>
    <s v="Laboratorio - 14A"/>
    <s v="Hospital Penco Lirquen"/>
    <s v="Laboratorio/Farmac"/>
    <s v="Mediano Costo "/>
    <s v="Rotador RPR"/>
    <s v="Digisystem"/>
    <s v="DSR-2100D-N"/>
    <s v="RD1-160200046"/>
    <s v="HPL27784"/>
    <n v="2016"/>
    <n v="8"/>
    <n v="-1"/>
    <s v="Propio"/>
    <s v="Bueno "/>
    <x v="1"/>
    <s v="NO"/>
    <s v="NO APLICA"/>
    <s v="SI"/>
    <n v="2023"/>
    <s v="EXTERNO"/>
    <s v="NEWLAB"/>
    <s v="1057540-16-LE24"/>
    <n v="53550"/>
    <n v="1"/>
    <m/>
    <m/>
    <m/>
    <m/>
    <s v="X"/>
    <m/>
    <m/>
    <m/>
    <m/>
    <m/>
    <m/>
    <m/>
  </r>
  <r>
    <s v="Laboratorio - 14B"/>
    <s v="Hospital Penco Lirquen"/>
    <s v="Apoyo Quirúrgico"/>
    <s v="Alto Costo"/>
    <s v="Microscopio universal"/>
    <s v="Olympus"/>
    <s v="CX 41"/>
    <s v="5B42517"/>
    <s v="HPL27691"/>
    <n v="2016"/>
    <n v="10"/>
    <n v="1"/>
    <s v="Propio"/>
    <s v="Bueno "/>
    <x v="1"/>
    <s v="NO"/>
    <s v="NO APLICA"/>
    <s v="SI"/>
    <n v="2023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E41716"/>
    <s v="HPL27692"/>
    <n v="2016"/>
    <n v="10"/>
    <n v="1"/>
    <s v="Propio"/>
    <s v="Bueno "/>
    <x v="1"/>
    <s v="NO"/>
    <s v="NO APLICA"/>
    <s v="SI"/>
    <n v="2023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CX 41"/>
    <s v="5F41779"/>
    <s v="HPL27779"/>
    <n v="2016"/>
    <n v="10"/>
    <n v="1"/>
    <s v="Propio"/>
    <s v="Bueno "/>
    <x v="1"/>
    <s v="NO"/>
    <s v="NO APLICA"/>
    <s v="SI"/>
    <n v="2023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Apoyo Quirúrgico"/>
    <s v="Alto Costo"/>
    <s v="Microscopio universal"/>
    <s v="Olympus"/>
    <s v="BX 43"/>
    <s v="5K41897"/>
    <s v="HPL27799"/>
    <n v="2016"/>
    <n v="10"/>
    <n v="1"/>
    <s v="Propio"/>
    <s v="Bueno "/>
    <x v="1"/>
    <s v="NO"/>
    <s v="NO APLICA"/>
    <s v="SI"/>
    <n v="2023"/>
    <s v="EXTERNO"/>
    <s v="NEWLAB"/>
    <s v="1057540-130-LE23"/>
    <n v="142800"/>
    <n v="1"/>
    <m/>
    <m/>
    <m/>
    <m/>
    <m/>
    <m/>
    <m/>
    <m/>
    <m/>
    <s v="X"/>
    <m/>
    <m/>
  </r>
  <r>
    <s v="Laboratorio - 14B"/>
    <s v="Hospital Penco Lirquen"/>
    <s v="Laboratorio/Farmac"/>
    <s v="Mediano Costo "/>
    <s v="Piano hematologico"/>
    <s v="P + L electronica"/>
    <s v="S/M"/>
    <n v="2913"/>
    <s v="HPL29872"/>
    <n v="2013"/>
    <n v="8"/>
    <n v="-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Laboratorio/Farmac"/>
    <s v="Mediano Costo "/>
    <s v="Piano hematologico"/>
    <s v="Selecta"/>
    <s v="Cell Counter CC1431"/>
    <n v="622576"/>
    <s v="HPL2993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Laboratorio - 14B"/>
    <s v="Hospital Penco Lirquen"/>
    <s v="Laboratorio/Farmac"/>
    <s v="Mediano Costo "/>
    <s v="Refrigerador Clinico"/>
    <s v="Smeg"/>
    <s v="FD30G1"/>
    <n v="5122200061"/>
    <s v="HPL27881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Smeg"/>
    <s v="FD30G1"/>
    <n v="5122200081"/>
    <s v="HPL27882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Smeg"/>
    <s v="FD30G1"/>
    <n v="5122200141"/>
    <s v="HPL27883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Refrigerador Clinico"/>
    <s v="Haier"/>
    <s v="HYC-610-ARQ"/>
    <s v="QJG2E0001"/>
    <s v="HPL27880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"/>
    <s v="Amilab"/>
    <s v="S/N"/>
    <n v="2064"/>
    <s v="HPL29869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"/>
    <s v="Amilab"/>
    <s v="S/N"/>
    <n v="2246"/>
    <s v="HPL29870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Laboratorio - 14B"/>
    <s v="Hospital Penco Lirquen"/>
    <s v="Laboratorio/Farmac"/>
    <s v="Mediano Costo "/>
    <s v="Vitrina refrigerada UMT"/>
    <s v="Sanyo"/>
    <s v="MBR-1070"/>
    <n v="10040121"/>
    <s v="HPL27729"/>
    <n v="2015"/>
    <n v="10"/>
    <n v="0"/>
    <s v="Propio"/>
    <s v="Bueno "/>
    <x v="3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Pabellón"/>
    <s v="Hospital Penco Lirquen"/>
    <s v="Apoyo Diagnóstico"/>
    <s v="Bajo costo"/>
    <s v="Balanza pediatrica con cartabon"/>
    <s v="Seca"/>
    <n v="354"/>
    <n v="8354245151019"/>
    <s v="HPL30115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Base de anestesia"/>
    <s v="Fresenius Kabi"/>
    <s v="Base primea"/>
    <n v="23252533"/>
    <s v="HPL30024"/>
    <n v="2017"/>
    <n v="8"/>
    <n v="0"/>
    <s v="Propi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Bomba anestesia TIVA"/>
    <s v="Fresenius Kabi"/>
    <s v="Agilia SP TIVA CL"/>
    <n v="24789111"/>
    <s v="HPL30025"/>
    <n v="2019"/>
    <n v="8"/>
    <n v="2"/>
    <s v="Propi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nfusión continua"/>
    <s v="Fresenius Kabi"/>
    <s v="Agilia SP TIVA CL"/>
    <n v="24789112"/>
    <s v="HPL28456"/>
    <n v="2020"/>
    <n v="8"/>
    <n v="3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"/>
    <s v="Hospital Penco Lirquen"/>
    <s v="Apoyo Terapéutico"/>
    <s v="Mediano Costo "/>
    <s v="Bomba de irrigación histeroscopio"/>
    <s v="Storz"/>
    <s v="Hamou endomat 26331020"/>
    <s v="XT14714"/>
    <s v="HPL30397"/>
    <n v="2015"/>
    <n v="8"/>
    <n v="-2"/>
    <s v="Propio"/>
    <s v="Bueno "/>
    <x v="2"/>
    <s v="NO"/>
    <s v="NO APLICA"/>
    <s v="NO"/>
    <s v="NO APLICA"/>
    <s v="EXTERNO"/>
    <s v="STORZ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40110"/>
    <s v="HPL30376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01"/>
    <s v="HPL30377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Terapéutico"/>
    <s v="Mediano Costo "/>
    <s v="Calentador de aire forzado"/>
    <s v="Covidien"/>
    <s v="Warmtouch 6000"/>
    <s v="SP16050345"/>
    <s v="HPL30378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examen"/>
    <s v="Malvestio"/>
    <m/>
    <n v="20009617"/>
    <s v="HPL30010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Pabellón"/>
    <s v="Hospital Penco Lirquen"/>
    <s v="Apoyo Terapéutico"/>
    <s v="Mediano Costo"/>
    <s v="Camilla de transporte"/>
    <s v="Luxury Saikang"/>
    <s v="SKB041"/>
    <n v="324017005"/>
    <m/>
    <n v="2025"/>
    <m/>
    <s v=""/>
    <s v="Propio"/>
    <s v="Bueno "/>
    <x v="2"/>
    <s v="SI"/>
    <d v="2026-01-07T00:00:00"/>
    <m/>
    <s v="NO APLICA"/>
    <s v="EXTERNO"/>
    <s v="PTM"/>
    <s v="COLDAS 2024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2"/>
    <s v="HPL2997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83"/>
    <s v="HPL29974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1"/>
    <s v="HPL2998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094"/>
    <s v="HPL29984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n v="320810"/>
    <n v="20009468"/>
    <s v="HPL29999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1"/>
    <s v="HPL3000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6"/>
    <s v="HPL3000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77"/>
    <s v="HPL3000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483"/>
    <s v="HPL30009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milla de trasporte de paciente"/>
    <s v="Malvestio"/>
    <s v="Runner 800"/>
    <n v="20009771"/>
    <s v="HPL3001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de Anestesia (mobiliario)"/>
    <s v="Malvestio"/>
    <s v="Linkar 329622"/>
    <n v="287"/>
    <s v="HPL29856"/>
    <n v="2016"/>
    <n v="8"/>
    <n v="-1"/>
    <s v="Propio"/>
    <s v="Bueno "/>
    <x v="2"/>
    <s v="NO"/>
    <s v="NO APLICA"/>
    <s v="NO"/>
    <s v="NO APLICA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de Anestesia (mobiliario)"/>
    <s v="Malvestio"/>
    <s v="Linkar 329622"/>
    <n v="288"/>
    <s v="HPL29857"/>
    <n v="2016"/>
    <n v="8"/>
    <n v="-1"/>
    <s v="Propio"/>
    <s v="Bueno "/>
    <x v="2"/>
    <s v="NO"/>
    <s v="NO APLICA"/>
    <s v="NO"/>
    <s v="NO APLICA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Mobiliario"/>
    <s v="Bajo costo"/>
    <s v="Carro Paro (mobiliario)"/>
    <s v="Capsa- solution"/>
    <s v="Avalo"/>
    <s v="S2132310"/>
    <s v="HPL30362"/>
    <n v="2015"/>
    <n v="8"/>
    <n v="-2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Pabellón"/>
    <s v="Hospital Penco Lirquen"/>
    <s v="Mobiliario"/>
    <s v="Clínico"/>
    <s v="Catre clínico metálico "/>
    <s v="N/A"/>
    <s v="S/N"/>
    <s v="S/N"/>
    <s v="HPL30287"/>
    <n v="2015"/>
    <n v="8"/>
    <n v="-2"/>
    <s v="Propio"/>
    <s v="Bueno "/>
    <x v="2"/>
    <s v="NO"/>
    <s v="NO APLICA"/>
    <s v="NO"/>
    <s v="NO APLICA"/>
    <s v="INTERNO"/>
    <s v="TECNICO SSGG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Dermátomo"/>
    <s v="Aesculap"/>
    <s v="Acculan 3 TI"/>
    <s v="S/N"/>
    <s v="HPL30290"/>
    <n v="2016"/>
    <n v="8"/>
    <n v="-1"/>
    <s v="Propio"/>
    <s v="Bueno "/>
    <x v="2"/>
    <s v="NO"/>
    <s v="NO APLICA"/>
    <s v="NO"/>
    <s v="NO APLICA"/>
    <s v="EXTERNO"/>
    <m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XU4057"/>
    <s v="HPL30399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Fuente de luz Otorrino"/>
    <s v="Storz"/>
    <n v="20161220"/>
    <s v="YU4084"/>
    <s v="HPL30408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Lámpara de procedimientos"/>
    <s v="Welchallyn"/>
    <s v="GS-600"/>
    <s v="150112"/>
    <s v="HPL30141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Alto Costo"/>
    <s v="Lampara Quirúrgica"/>
    <s v="Trilux"/>
    <s v="Aurimio L120"/>
    <n v="96"/>
    <s v="HPL29853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Terapéutico"/>
    <s v="Bajo costo"/>
    <s v="Laringoscopio"/>
    <s v="Truphatek"/>
    <s v="S/N"/>
    <s v="S/N"/>
    <s v="HPL30316"/>
    <n v="2015"/>
    <n v="8"/>
    <n v="-2"/>
    <s v="Propio"/>
    <s v="Bueno "/>
    <x v="2"/>
    <s v="NO"/>
    <s v="NO APLICA"/>
    <s v="NO"/>
    <s v="NO APLICA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Sunmed"/>
    <s v="Kit especial"/>
    <s v="S/N"/>
    <s v="HPL30317"/>
    <n v="2016"/>
    <n v="8"/>
    <n v="-1"/>
    <s v="Propio"/>
    <s v="Bueno "/>
    <x v="2"/>
    <s v="NO"/>
    <s v="NO APLICA"/>
    <s v="NO"/>
    <s v="NO APLICA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adulto"/>
    <s v="Equip"/>
    <s v="Macintosh"/>
    <s v="S/N"/>
    <s v="HPL30318"/>
    <n v="2016"/>
    <n v="8"/>
    <n v="-1"/>
    <s v="Propio"/>
    <s v="Bueno "/>
    <x v="2"/>
    <s v="NO"/>
    <s v="NO APLICA"/>
    <s v="NO"/>
    <s v="NO APLICA"/>
    <s v="INTERNO"/>
    <m/>
    <s v="NO APLICA"/>
    <m/>
    <m/>
    <m/>
    <m/>
    <m/>
    <m/>
    <m/>
    <m/>
    <m/>
    <m/>
    <m/>
    <m/>
    <m/>
    <m/>
  </r>
  <r>
    <s v="Pabellón"/>
    <s v="Hospital Penco Lirquen"/>
    <s v="Apoyo Terapéutico"/>
    <s v="Bajo costo"/>
    <s v="Laringoscopio pediátrico"/>
    <s v="Equip"/>
    <s v="Macintosh"/>
    <s v="S/N"/>
    <s v="HPL30321"/>
    <n v="2016"/>
    <n v="8"/>
    <n v="-1"/>
    <s v="Propio"/>
    <s v="Bueno "/>
    <x v="2"/>
    <s v="NO"/>
    <s v="NO APLICA"/>
    <s v="NO"/>
    <s v="NO APLICA"/>
    <s v="INTERNO"/>
    <m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5"/>
    <s v="HPL30022"/>
    <n v="2017"/>
    <n v="10"/>
    <n v="2"/>
    <s v="Propi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Pabellón"/>
    <s v="Hospital Penco Lirquen"/>
    <s v="Apoyo Quirúrgico"/>
    <s v="Mediano Costo "/>
    <s v="Modulo de anestesia"/>
    <s v="Fresenius Kabi"/>
    <s v="DPS"/>
    <n v="23225956"/>
    <s v="HPL30023"/>
    <n v="2017"/>
    <n v="10"/>
    <n v="2"/>
    <s v="Propi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Pabellón"/>
    <s v="Hospital Penco Lirquen"/>
    <s v="Monitoreo"/>
    <s v="Mediano Costo "/>
    <s v="Monitor ECG Baja Complejidad"/>
    <s v="Philips"/>
    <s v="Efficia CM100"/>
    <s v="CN12099172"/>
    <m/>
    <n v="2023"/>
    <n v="8"/>
    <n v="6"/>
    <s v="Propio"/>
    <s v="Bueno "/>
    <x v="0"/>
    <s v="NO"/>
    <m/>
    <s v="SI"/>
    <n v="2024"/>
    <s v="INTERNO"/>
    <s v="Andover"/>
    <s v="COLDAS"/>
    <m/>
    <n v="1"/>
    <m/>
    <m/>
    <m/>
    <m/>
    <m/>
    <m/>
    <m/>
    <m/>
    <m/>
    <m/>
    <m/>
    <s v="X"/>
  </r>
  <r>
    <s v="Pabellón"/>
    <s v="Hospital Penco Lirquen"/>
    <s v="Apoyo Quirúrgico"/>
    <s v="Mediano Costo "/>
    <s v="Morcelador"/>
    <s v="Storz"/>
    <n v="20701020"/>
    <s v="XT3940"/>
    <s v="HPL30398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Pantalla quirúrgica"/>
    <s v="NDS"/>
    <s v="SC-WU24-A1515"/>
    <s v="15-250669"/>
    <s v="HPL30144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antalla quirúrgica"/>
    <s v="NDS"/>
    <s v="SC-WU24-A1515"/>
    <s v="15-250670"/>
    <s v="HPL30145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antalla quirúrgica"/>
    <s v="NDS"/>
    <s v="SC-WU24-A1515"/>
    <s v="15-255061"/>
    <s v="HPL30146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"/>
    <s v="Hospital Penco Lirquen"/>
    <s v="Apoyo Quirúrgico"/>
    <s v="Mediano Costo "/>
    <s v="Placa Radiante"/>
    <s v="Drager"/>
    <s v="GSDTC2"/>
    <s v="S/N"/>
    <s v="HPL30350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"/>
    <s v="Hospital Penco Lirquen"/>
    <s v="Apoyo Quirúrgico"/>
    <s v="Mediano Costo "/>
    <s v="Shaver Handpiece"/>
    <s v="Stryker"/>
    <s v="Formula"/>
    <s v="22A542174"/>
    <s v="HPL30176"/>
    <n v="2022"/>
    <n v="8"/>
    <n v="5"/>
    <s v="Propio"/>
    <s v="Bueno "/>
    <x v="2"/>
    <s v="NO"/>
    <n v="2023"/>
    <s v="NO"/>
    <s v="NO APLICA"/>
    <s v="EXTERNO"/>
    <s v="Stryker"/>
    <s v="NO APLICA"/>
    <m/>
    <m/>
    <m/>
    <m/>
    <m/>
    <m/>
    <m/>
    <m/>
    <m/>
    <m/>
    <m/>
    <m/>
    <m/>
    <m/>
  </r>
  <r>
    <s v="Pabellón"/>
    <s v="Hospital Penco Lirquen"/>
    <s v="Apoyo Quirúrgico"/>
    <s v="Alto Costo"/>
    <s v="Insuflador"/>
    <s v="Stryker "/>
    <s v="Pneumosure XL"/>
    <s v="2301CE0377"/>
    <m/>
    <n v="2024"/>
    <n v="8"/>
    <n v="7"/>
    <s v="Propio"/>
    <s v="Bueno "/>
    <x v="2"/>
    <s v="SI"/>
    <d v="2026-03-01T00:00:00"/>
    <s v="SI"/>
    <n v="2024"/>
    <s v="EXTERNO"/>
    <s v="Stryker"/>
    <s v="COLDAS 2023"/>
    <n v="0"/>
    <n v="1"/>
    <m/>
    <m/>
    <s v="X"/>
    <m/>
    <m/>
    <m/>
    <m/>
    <m/>
    <m/>
    <m/>
    <m/>
    <m/>
  </r>
  <r>
    <s v="Pabellón"/>
    <s v="Hospital Penco Lirquen"/>
    <s v="Monitoreo"/>
    <s v="Mediano Costo "/>
    <s v="Monitor desfibrilador"/>
    <s v="Zoll medical"/>
    <s v="Serie R ALS"/>
    <s v="AF15D045672"/>
    <s v="HPL30214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s v="X"/>
    <m/>
    <m/>
    <m/>
    <m/>
    <m/>
    <s v="X"/>
    <m/>
    <m/>
    <m/>
  </r>
  <r>
    <s v="Pabellón"/>
    <s v="Hospital Penco Lirquen"/>
    <s v="Monitoreo"/>
    <s v="Mediano Costo "/>
    <s v="Monitor desfibrilador "/>
    <s v="Zoll medical"/>
    <s v="Serie R ALS"/>
    <s v="AF15D045656"/>
    <s v="HPL30212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05"/>
    <s v="HPL29912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25"/>
    <s v="HPL29914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26"/>
    <s v="HPL29915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32"/>
    <s v="HPL29916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Nihon Kohden"/>
    <s v="PVM-2701"/>
    <n v="115467"/>
    <s v="HPL29918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√"/>
    <m/>
    <m/>
    <m/>
    <m/>
    <m/>
    <s v="X"/>
    <m/>
    <m/>
    <m/>
  </r>
  <r>
    <s v="Pabellón"/>
    <s v="Hospital Penco Lirquen"/>
    <s v="Monitoreo"/>
    <s v="Mediano Costo "/>
    <s v="Monitor ECG Baja Complejidad"/>
    <s v="Fukuda Denshi"/>
    <s v="Dinascope DSL-8001"/>
    <n v="50200447"/>
    <s v="HPL30032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s v="X"/>
    <m/>
    <m/>
    <m/>
    <m/>
    <m/>
    <s v="X"/>
    <m/>
    <m/>
    <m/>
  </r>
  <r>
    <s v="Pabellón"/>
    <s v="Hospital Penco Lirquen"/>
    <s v="Monitoreo"/>
    <s v="Mediano Costo "/>
    <s v="Monitor ECG Baja Complejidad"/>
    <s v="General Electric"/>
    <s v="B20"/>
    <s v="SGF15131188WA"/>
    <s v="HPL30368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s v="√"/>
    <m/>
    <m/>
    <m/>
    <m/>
    <m/>
    <s v="X"/>
    <m/>
    <m/>
    <m/>
  </r>
  <r>
    <s v="Pabellón "/>
    <s v="Hospital Penco Lirquen"/>
    <s v="Mobiliario"/>
    <s v="Clínico"/>
    <s v="Cama clínica eléctrica"/>
    <s v="Joson Care"/>
    <s v="ES-96HD"/>
    <n v="1309050226"/>
    <s v="HPL30284"/>
    <n v="2015"/>
    <n v="8"/>
    <n v="-2"/>
    <s v="Propio"/>
    <s v="Bueno "/>
    <x v="1"/>
    <s v="NO"/>
    <s v="NO APLICA"/>
    <s v="SI"/>
    <n v="2023"/>
    <s v="INTERNO"/>
    <s v="TECNICO EQM HPL"/>
    <s v="NO APLICA"/>
    <n v="264460"/>
    <n v="1"/>
    <m/>
    <m/>
    <m/>
    <m/>
    <m/>
    <m/>
    <m/>
    <m/>
    <m/>
    <m/>
    <m/>
    <s v="X"/>
  </r>
  <r>
    <s v="Pabellón - 3A"/>
    <s v="Hospital Penco Lirquen"/>
    <s v="Apoyo Quirúrgico"/>
    <s v="Mediano Costo "/>
    <s v="Electrobisturí"/>
    <s v="Covidien Valleylab"/>
    <s v="Force FX-8CS"/>
    <s v="S5F17901AX"/>
    <s v="HPL30364"/>
    <n v="2016"/>
    <n v="8"/>
    <n v="-1"/>
    <s v="Propio"/>
    <s v="Bueno "/>
    <x v="1"/>
    <s v="NO"/>
    <s v="NO APLICA"/>
    <s v="SI"/>
    <n v="2023"/>
    <s v="EXTERNO"/>
    <s v="CODESUR"/>
    <s v="1057540-110-LE23"/>
    <n v="170000"/>
    <n v="2"/>
    <m/>
    <m/>
    <s v="X"/>
    <m/>
    <m/>
    <m/>
    <m/>
    <m/>
    <s v="X"/>
    <m/>
    <m/>
    <m/>
  </r>
  <r>
    <s v="Pabellón - 3A"/>
    <s v="Hospital Penco Lirquen"/>
    <s v="Apoyo Quirúrgico"/>
    <s v="Mediano Costo "/>
    <s v="Electrobisturí"/>
    <s v="Covidien Valleylab"/>
    <s v="Force FX-8CS"/>
    <s v="S5F18139AX"/>
    <s v="HPL30365"/>
    <n v="2016"/>
    <n v="8"/>
    <n v="-1"/>
    <s v="Propio"/>
    <s v="Bueno "/>
    <x v="1"/>
    <s v="NO"/>
    <s v="NO APLICA"/>
    <s v="SI"/>
    <n v="2023"/>
    <s v="EXTERNO"/>
    <s v="CODESUR"/>
    <s v="1057540-110-LE23"/>
    <n v="170000"/>
    <n v="2"/>
    <m/>
    <m/>
    <s v="X"/>
    <m/>
    <m/>
    <m/>
    <m/>
    <m/>
    <s v="X"/>
    <m/>
    <m/>
    <m/>
  </r>
  <r>
    <s v="Pabellón - 3A"/>
    <s v="Hospital Penco Lirquen"/>
    <s v="Apoyo Terapéutico"/>
    <s v="Mediano Costo "/>
    <s v="Incubadora"/>
    <s v="Medix"/>
    <s v="TR200"/>
    <n v="1078"/>
    <s v="HPL29859"/>
    <n v="2015"/>
    <n v="8"/>
    <n v="-2"/>
    <s v="Propio"/>
    <s v="Bueno "/>
    <x v="0"/>
    <s v="NO"/>
    <s v="NO APLICA"/>
    <s v="SI"/>
    <n v="2023"/>
    <s v="EXTERNO"/>
    <s v="CODESUR"/>
    <s v="1057540-110-LE23"/>
    <n v="300000"/>
    <n v="2"/>
    <m/>
    <m/>
    <s v="X"/>
    <m/>
    <m/>
    <m/>
    <m/>
    <m/>
    <s v="X"/>
    <m/>
    <m/>
    <m/>
  </r>
  <r>
    <s v="Pabellón - 3A"/>
    <s v="Hospital Penco Lirquen"/>
    <s v="Apoyo Diagnóstico"/>
    <s v="Bajo costo"/>
    <s v="Balanza con tallímetro"/>
    <s v="Doran Scales"/>
    <s v="DS 2100"/>
    <n v="1706"/>
    <s v="HPL29866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continua"/>
    <s v="Fresenius Kabi"/>
    <s v="Injectomat TIVA Agilia"/>
    <s v="18080/23161347"/>
    <s v="HPL28455"/>
    <n v="2017"/>
    <n v="8"/>
    <n v="0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54143"/>
    <s v="HPL30048"/>
    <n v="2022"/>
    <n v="8"/>
    <n v="5"/>
    <s v="Propio"/>
    <s v="Bueno "/>
    <x v="2"/>
    <s v="SI"/>
    <n v="2024"/>
    <s v="NO"/>
    <s v="NO APLICA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nfusión PCEA"/>
    <s v="SAPPHIRE"/>
    <s v="17000-031-0038"/>
    <n v="300361111"/>
    <s v="HPL30049"/>
    <n v="2022"/>
    <n v="8"/>
    <n v="5"/>
    <s v="Propio"/>
    <s v="Bueno "/>
    <x v="2"/>
    <s v="SI"/>
    <n v="2024"/>
    <s v="NO"/>
    <s v="NO APLICA"/>
    <s v="CONTRATO"/>
    <s v="CENCOMEX S.A"/>
    <m/>
    <m/>
    <m/>
    <m/>
    <m/>
    <m/>
    <m/>
    <m/>
    <m/>
    <m/>
    <m/>
    <m/>
    <m/>
    <m/>
    <m/>
  </r>
  <r>
    <s v="Pabellón - 3A"/>
    <s v="Hospital Penco Lirquen"/>
    <s v="Apoyo Terapéutico"/>
    <s v="Mediano Costo "/>
    <s v="Bomba de irrigación torre artroscopia"/>
    <s v="Stryker"/>
    <s v="Flosteady"/>
    <s v="1606CE0746"/>
    <s v="HPL30152"/>
    <n v="2017"/>
    <n v="8"/>
    <n v="0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Terapéutico"/>
    <s v="Bajo costo"/>
    <s v="Calentador de suero"/>
    <s v="Ethermics"/>
    <s v="DC 250L"/>
    <s v="1857627-000"/>
    <s v="HPL3015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Alto Costo"/>
    <s v="Columna de gases"/>
    <s v="Trilux"/>
    <s v="DVE"/>
    <n v="1545"/>
    <s v="HPL29861"/>
    <n v="2016"/>
    <n v="10"/>
    <n v="1"/>
    <s v="Propio"/>
    <s v="Bueno "/>
    <x v="1"/>
    <s v="NO"/>
    <s v="NO APLICA"/>
    <s v="SI"/>
    <n v="2024"/>
    <s v="CONTRATO"/>
    <s v="CODESUR"/>
    <s v="1057540-86-LE23"/>
    <n v="714000"/>
    <n v="1"/>
    <m/>
    <m/>
    <m/>
    <m/>
    <m/>
    <m/>
    <m/>
    <m/>
    <s v="X"/>
    <m/>
    <m/>
    <m/>
  </r>
  <r>
    <s v="Pabellón - 3A"/>
    <s v="Hospital Penco Lirquen"/>
    <s v="Apoyo Quirúrgico"/>
    <s v="Alto Costo"/>
    <s v="Columna de gases"/>
    <s v="Trilux"/>
    <s v="DVE"/>
    <n v="1546"/>
    <s v="HPL29862"/>
    <n v="2016"/>
    <n v="10"/>
    <n v="1"/>
    <s v="Propio"/>
    <s v="Bueno "/>
    <x v="1"/>
    <s v="NO"/>
    <s v="NO APLICA"/>
    <s v="SI"/>
    <n v="2024"/>
    <s v="CONTRATO"/>
    <s v="CODESUR"/>
    <s v="1057540-86-LE23"/>
    <n v="714000"/>
    <n v="1"/>
    <m/>
    <m/>
    <m/>
    <m/>
    <m/>
    <m/>
    <m/>
    <m/>
    <s v="X"/>
    <m/>
    <m/>
    <m/>
  </r>
  <r>
    <s v="Pabellón - 3A"/>
    <s v="Hospital Penco Lirquen"/>
    <s v="Apoyo Quirúrgico"/>
    <s v="Alto Costo"/>
    <s v="Consola pieza de mano torre artroscopia"/>
    <s v="Stryker"/>
    <s v="Crossfire 2"/>
    <s v="16F025684"/>
    <s v="HPL30154"/>
    <n v="2017"/>
    <n v="10"/>
    <n v="2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Terapéutico"/>
    <s v="Alto Costo"/>
    <s v="Cuna radiante"/>
    <s v="Drager"/>
    <s v="Resuscitaire"/>
    <s v="NY10729"/>
    <s v="HPL30289"/>
    <n v="2016"/>
    <n v="8"/>
    <n v="-1"/>
    <s v="Propio"/>
    <s v="Bueno "/>
    <x v="1"/>
    <s v="NO"/>
    <s v="NO APLICA"/>
    <s v="SI"/>
    <n v="2023"/>
    <s v="CONTRATO"/>
    <s v="Drager"/>
    <s v="1057540-83-LE23"/>
    <n v="643331"/>
    <n v="1"/>
    <m/>
    <m/>
    <m/>
    <m/>
    <m/>
    <m/>
    <m/>
    <s v="X"/>
    <m/>
    <m/>
    <m/>
    <m/>
  </r>
  <r>
    <s v="Pabellón - 3A"/>
    <s v="Hospital Penco Lirquen"/>
    <s v="Imagenología"/>
    <s v="Alto Costo"/>
    <s v="Ecógrafo"/>
    <s v="General Electric"/>
    <s v="Logiq S7"/>
    <s v="288250SU4"/>
    <s v="HPL30179"/>
    <n v="2015"/>
    <n v="8"/>
    <n v="-2"/>
    <s v="Propio"/>
    <s v="Bueno "/>
    <x v="3"/>
    <s v="NO"/>
    <s v="NO APLICA"/>
    <s v="SI"/>
    <n v="2023"/>
    <s v="EXTERNO"/>
    <s v="HOSER"/>
    <s v="1057540-17-LE23"/>
    <n v="1832600"/>
    <n v="2"/>
    <m/>
    <s v="√"/>
    <m/>
    <m/>
    <m/>
    <m/>
    <m/>
    <m/>
    <s v="X"/>
    <m/>
    <m/>
    <m/>
  </r>
  <r>
    <s v="Pabellón - 3A"/>
    <s v="Hospital Penco Lirquen"/>
    <s v="Apoyo Quirúrgico"/>
    <s v="Mediano Costo "/>
    <s v="Electrobisturí"/>
    <s v="Storz"/>
    <s v="Autocon III UH400"/>
    <n v="40100309"/>
    <s v="HPL30027"/>
    <n v="2017"/>
    <n v="8"/>
    <n v="0"/>
    <s v="Propio"/>
    <s v="MALO"/>
    <x v="1"/>
    <s v="NO"/>
    <s v="NO APLICA"/>
    <s v="NO"/>
    <n v="2023"/>
    <s v="EXTERNO"/>
    <s v="SIN REPRESENTANTE EN CHILE"/>
    <s v="1057540-65-LE21"/>
    <m/>
    <m/>
    <m/>
    <m/>
    <m/>
    <m/>
    <m/>
    <m/>
    <m/>
    <m/>
    <m/>
    <m/>
    <m/>
    <m/>
  </r>
  <r>
    <s v="Pabellón - 3A"/>
    <s v="Hospital Penco Lirquen"/>
    <s v="Apoyo Diagnóstico"/>
    <s v="Mediano Costo "/>
    <s v="Electrocardiografo"/>
    <s v="General Electric"/>
    <s v="MAC 800"/>
    <s v="SJ416020027WA"/>
    <s v="HPL30372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s v="X"/>
    <m/>
    <m/>
  </r>
  <r>
    <s v="Pabellón - 3A"/>
    <s v="Hospital Penco Lirquen"/>
    <s v="Apoyo Terapéutico"/>
    <s v="Mediano Costo "/>
    <s v="Equipo de Isquemia "/>
    <s v="Zimmer"/>
    <s v="ATS 4000TS"/>
    <n v="402007220009"/>
    <s v="HPL30111"/>
    <n v="2021"/>
    <n v="8"/>
    <n v="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bellón - 3A"/>
    <s v="Hospital Penco Lirquen"/>
    <s v="Apoyo Quirúrgico"/>
    <s v="Alto Costo"/>
    <s v="Facoemulsificador"/>
    <s v="Alcon"/>
    <s v="Infiniti 50350511"/>
    <s v="0501121401X"/>
    <s v="HPL30131"/>
    <n v="2016"/>
    <n v="8"/>
    <n v="-1"/>
    <s v="Propio"/>
    <s v="MALO"/>
    <x v="2"/>
    <s v="NO"/>
    <s v="NO APLICA"/>
    <s v="NO"/>
    <s v="NO APLICA"/>
    <s v="EXTERNO"/>
    <s v="ALCON"/>
    <m/>
    <m/>
    <m/>
    <m/>
    <m/>
    <m/>
    <m/>
    <m/>
    <m/>
    <m/>
    <m/>
    <m/>
    <m/>
    <m/>
    <m/>
  </r>
  <r>
    <s v="Pabellón - 3A"/>
    <s v="Hospital Penco Lirquen"/>
    <s v="Apoyo Quirúrgico"/>
    <s v="Alto Costo"/>
    <s v="Facoemulsificador"/>
    <s v="Alcon"/>
    <s v="CENTURION"/>
    <s v="2101472801X"/>
    <s v="HPL30174"/>
    <n v="2021"/>
    <n v="8"/>
    <n v="4"/>
    <s v="Comodato"/>
    <s v="Bueno "/>
    <x v="1"/>
    <s v="NO"/>
    <s v="NO APLICA"/>
    <s v="SI"/>
    <n v="2024"/>
    <s v="EXTERNO"/>
    <s v="ALCON"/>
    <s v="1057540-75-LR23"/>
    <m/>
    <n v="1"/>
    <m/>
    <m/>
    <m/>
    <s v="X"/>
    <m/>
    <m/>
    <m/>
    <m/>
    <m/>
    <m/>
    <m/>
    <m/>
  </r>
  <r>
    <s v="Pabellón - 3A"/>
    <s v="Hospital Penco Lirquen"/>
    <s v="Apoyo Quirúrgico"/>
    <s v="Mediano Costo "/>
    <s v="Fuente de luz torre artroscopia"/>
    <s v="Stryker"/>
    <s v="L900"/>
    <s v="16J541444"/>
    <s v="HPL30155"/>
    <n v="2017"/>
    <n v="8"/>
    <n v="0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Fuente de luz torre laparoscopía"/>
    <s v="Stryker"/>
    <s v="L9000 0220210000"/>
    <s v="16A006674"/>
    <s v="HPL30153"/>
    <n v="2016"/>
    <n v="8"/>
    <n v="-1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A"/>
    <s v="Hospital Penco Lirquen"/>
    <s v="Apoyo Quirúrgico"/>
    <s v="Mediano Costo "/>
    <s v="Insuflador de CO2"/>
    <s v="Aesculap"/>
    <s v="Flow 40"/>
    <s v="1012CE378"/>
    <s v="HPL30136"/>
    <n v="2015"/>
    <n v="8"/>
    <n v="-2"/>
    <s v="Propio"/>
    <s v="MALO"/>
    <x v="2"/>
    <s v="NO"/>
    <s v="NO APLICA"/>
    <s v="NO"/>
    <s v="NO APLICA"/>
    <s v="EXTERNO"/>
    <s v="BBRAUN"/>
    <s v="NO APLICA"/>
    <m/>
    <m/>
    <m/>
    <m/>
    <m/>
    <m/>
    <m/>
    <m/>
    <m/>
    <m/>
    <m/>
    <m/>
    <m/>
    <m/>
  </r>
  <r>
    <s v="Pabellón - 3A"/>
    <s v="Hospital Penco Lirquen"/>
    <s v="Apoyo Quirúrgico"/>
    <s v="Mediano Costo "/>
    <s v="Insuflador de CO2 torre laparoscopia"/>
    <s v="Stryker"/>
    <s v="Neumosure"/>
    <s v="1510CE0298"/>
    <s v="HPL30142"/>
    <n v="2016"/>
    <n v="8"/>
    <n v="-1"/>
    <s v="Propio"/>
    <s v="Bueno "/>
    <x v="1"/>
    <s v="NO"/>
    <s v="NO APLICA"/>
    <s v="SI"/>
    <n v="2023"/>
    <s v="EXTERNO"/>
    <s v="Stryker"/>
    <s v="1057540-71-LE23"/>
    <n v="7380000"/>
    <n v="1"/>
    <m/>
    <m/>
    <m/>
    <m/>
    <m/>
    <m/>
    <m/>
    <s v="X"/>
    <m/>
    <m/>
    <m/>
    <m/>
  </r>
  <r>
    <s v="Pabellón - 3A"/>
    <s v="Hospital Penco Lirquen"/>
    <s v="Apoyo Quirúrgico"/>
    <s v="Alto Costo"/>
    <s v="Lampara Quirúrgica"/>
    <s v="Trilux"/>
    <s v="Aurimio L120"/>
    <n v="45"/>
    <s v="HPL29460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Quirúrgico"/>
    <s v="Alto Costo"/>
    <s v="Lampara Quirúrgica"/>
    <s v="Trilux"/>
    <s v="Aurimio L120"/>
    <n v="100"/>
    <s v="HPL29854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Quirúrgico"/>
    <s v="Alto Costo"/>
    <s v="Lampara Quirúrgica"/>
    <s v="Trilux"/>
    <s v="Aurimio L120"/>
    <n v="214"/>
    <s v="HPL29855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 - 3A"/>
    <s v="Hospital Penco Lirquen"/>
    <s v="Apoyo Diagnóstico"/>
    <s v="Bajo costo "/>
    <s v="Marcador digital"/>
    <s v="Alcon"/>
    <s v="Verion Digital Marker"/>
    <s v="M60845"/>
    <m/>
    <n v="2023"/>
    <n v="8"/>
    <n v="6"/>
    <s v="Comodato"/>
    <s v="Bueno "/>
    <x v="1"/>
    <s v="SI"/>
    <s v="NO APLICA"/>
    <s v="SI"/>
    <n v="2024"/>
    <s v="EXTERNO"/>
    <s v="ALCON"/>
    <s v="1057540-75-LR23"/>
    <m/>
    <n v="1"/>
    <m/>
    <m/>
    <m/>
    <m/>
    <m/>
    <m/>
    <m/>
    <m/>
    <s v="X"/>
    <m/>
    <m/>
    <m/>
  </r>
  <r>
    <s v="Pabellón - 3D"/>
    <s v="Hospital Penco Lirquen"/>
    <s v="Apoyo Quirúrgico"/>
    <s v="Alto Costo"/>
    <s v="Mesa quirúrgica"/>
    <s v="Maquet"/>
    <s v="Meera"/>
    <n v="10370"/>
    <s v="HPL29887"/>
    <n v="2021"/>
    <n v="10"/>
    <n v="6"/>
    <s v="Propio"/>
    <s v="Bueno "/>
    <x v="1"/>
    <s v="NO"/>
    <n v="2023"/>
    <s v="SI"/>
    <n v="2024"/>
    <s v="EXTERNO"/>
    <s v="MercSoluciones"/>
    <s v="1057540-70-LE23"/>
    <n v="535500"/>
    <n v="2"/>
    <m/>
    <m/>
    <s v="X"/>
    <m/>
    <m/>
    <m/>
    <m/>
    <m/>
    <s v="X"/>
    <m/>
    <m/>
    <m/>
  </r>
  <r>
    <s v="Pabellón - 3D"/>
    <s v="Hospital Penco Lirquen"/>
    <s v="Apoyo Quirúrgico"/>
    <s v="Alto Costo"/>
    <s v="Mesa quirúrgica"/>
    <s v="Schmitz"/>
    <s v="Mobilis DPX RC40 16146501"/>
    <n v="17453"/>
    <s v="HPL29896"/>
    <n v="2016"/>
    <n v="10"/>
    <n v="1"/>
    <s v="Propio"/>
    <s v="Bueno "/>
    <x v="1"/>
    <s v="NO"/>
    <s v="NO APLICA"/>
    <s v="SI"/>
    <n v="2023"/>
    <s v="EXTERNO"/>
    <s v="MercSoluciones"/>
    <s v="1057540-70-LE23"/>
    <n v="535500"/>
    <n v="2"/>
    <m/>
    <m/>
    <s v="X"/>
    <m/>
    <m/>
    <m/>
    <m/>
    <m/>
    <s v="X"/>
    <m/>
    <m/>
    <m/>
  </r>
  <r>
    <s v="Pabellon - 3E"/>
    <s v="Hospital Penco Lirquen"/>
    <s v="Apoyo Quirúrgico"/>
    <s v="Mediano Costo "/>
    <s v="Videolaringoscopio"/>
    <s v="Karl Storz"/>
    <s v="C-MAC MIL #1"/>
    <n v="1277"/>
    <s v="S/N"/>
    <n v="2022"/>
    <n v="7"/>
    <n v="4"/>
    <s v="Propio"/>
    <s v="Bueno "/>
    <x v="2"/>
    <s v="NO"/>
    <n v="2023"/>
    <s v="NO"/>
    <s v="NO APLICA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Alto Costo"/>
    <s v="Microscopio oftalmología"/>
    <s v="Carl Zeiss"/>
    <s v="Lumera I"/>
    <n v="6633124706"/>
    <s v="HPL30083"/>
    <n v="2016"/>
    <n v="10"/>
    <n v="1"/>
    <s v="Propio"/>
    <s v="Bueno "/>
    <x v="1"/>
    <s v="NO"/>
    <s v="NO APLICA"/>
    <s v="SI"/>
    <n v="2023"/>
    <s v="EXTERNO"/>
    <s v="NEWLAB"/>
    <s v="1057540-130-LE23"/>
    <n v="595000"/>
    <n v="2"/>
    <m/>
    <m/>
    <s v="X"/>
    <m/>
    <m/>
    <m/>
    <m/>
    <m/>
    <m/>
    <s v="X"/>
    <m/>
    <m/>
  </r>
  <r>
    <s v="Pabellón - 3E"/>
    <s v="Hospital Penco Lirquen"/>
    <s v="Apoyo Quirúrgico"/>
    <s v="Alto Costo"/>
    <s v="Microscopio Quirurgico Otorrino"/>
    <s v="Leica"/>
    <s v="M400-E"/>
    <n v="41214018"/>
    <s v="HPL30028"/>
    <n v="2016"/>
    <n v="10"/>
    <n v="1"/>
    <s v="Propio"/>
    <s v="Bueno "/>
    <x v="1"/>
    <s v="NO"/>
    <s v="NO APLICA"/>
    <s v="SI"/>
    <n v="2023"/>
    <s v="EXTERNO"/>
    <s v="NEWLAB"/>
    <s v="1057540-130-LE23"/>
    <n v="595000"/>
    <n v="2"/>
    <m/>
    <m/>
    <s v="X"/>
    <m/>
    <m/>
    <m/>
    <m/>
    <m/>
    <m/>
    <s v="X"/>
    <m/>
    <m/>
  </r>
  <r>
    <s v="Pabellón - 3E"/>
    <s v="Hospital Penco Lirquen"/>
    <s v="Apoyo Terapéutico"/>
    <s v="Mediano Costo "/>
    <s v="Equipo de Isquemia"/>
    <s v="Mediplex"/>
    <s v="Torniquete 9000"/>
    <s v="1407-09297"/>
    <s v="HPL30140"/>
    <n v="2015"/>
    <n v="8"/>
    <n v="-2"/>
    <s v="Propio"/>
    <s v="Bueno "/>
    <x v="1"/>
    <s v="NO"/>
    <s v="NO APLICA"/>
    <s v="SI"/>
    <n v="2023"/>
    <s v="EXTERNO"/>
    <s v="CODESUR"/>
    <s v="1057540-110-LE23"/>
    <n v="55000"/>
    <n v="1"/>
    <m/>
    <m/>
    <m/>
    <m/>
    <m/>
    <m/>
    <m/>
    <m/>
    <s v="X"/>
    <m/>
    <m/>
    <m/>
  </r>
  <r>
    <s v="Pabellón - 3E"/>
    <s v="Hospital Penco Lirquen"/>
    <s v="Odontología"/>
    <s v="Bajo costo"/>
    <s v="Motor Dental"/>
    <s v="NSK"/>
    <s v="Surgic AP NE 189"/>
    <s v="B9200972"/>
    <s v="HPL30223"/>
    <n v="2015"/>
    <n v="8"/>
    <n v="-2"/>
    <s v="Propio"/>
    <s v="Bueno "/>
    <x v="1"/>
    <s v="SI"/>
    <s v="NO APLICA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Grandes Fragmentos"/>
    <s v="Stryker"/>
    <s v="Rotary"/>
    <n v="2231416713"/>
    <s v="COLDAS 2023"/>
    <n v="2023"/>
    <n v="8"/>
    <n v="6"/>
    <s v="Propio"/>
    <s v="Bueno "/>
    <x v="1"/>
    <s v="SI"/>
    <n v="2024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Rotary"/>
    <s v="Stryker"/>
    <s v="System 6"/>
    <n v="1514900853"/>
    <s v="HPL30064"/>
    <n v="2016"/>
    <n v="8"/>
    <n v="-1"/>
    <s v="Propio"/>
    <s v="Bueno "/>
    <x v="1"/>
    <s v="NO"/>
    <s v="NO APLICA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Rotary"/>
    <s v="Stryker"/>
    <s v="System 6"/>
    <n v="1603606523"/>
    <s v="HPL30069"/>
    <n v="2016"/>
    <n v="8"/>
    <n v="-1"/>
    <s v="Propio"/>
    <s v="Bueno "/>
    <x v="1"/>
    <s v="NO"/>
    <s v="NO APLICA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Sagital"/>
    <s v="Stryker"/>
    <s v="System 6"/>
    <n v="1515510883"/>
    <s v="HPL30065"/>
    <n v="2016"/>
    <n v="8"/>
    <n v="-1"/>
    <s v="Propio"/>
    <s v="Bueno "/>
    <x v="1"/>
    <s v="NO"/>
    <s v="NO APLICA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Motor traumatológico Sagital"/>
    <s v="Stryker"/>
    <s v="System 6"/>
    <n v="1515510913"/>
    <s v="HPL30066"/>
    <n v="2016"/>
    <n v="8"/>
    <n v="-1"/>
    <s v="Propio"/>
    <s v="Bueno "/>
    <x v="1"/>
    <s v="NO"/>
    <s v="NO APLICA"/>
    <s v="NO"/>
    <n v="2024"/>
    <s v="EXTERNO"/>
    <m/>
    <s v="PENDIENTE"/>
    <m/>
    <m/>
    <m/>
    <m/>
    <m/>
    <m/>
    <m/>
    <m/>
    <m/>
    <m/>
    <m/>
    <m/>
    <m/>
    <m/>
  </r>
  <r>
    <s v="Pabellón - 3E"/>
    <s v="Hospital Penco Lirquen"/>
    <s v="Apoyo Quirúrgico"/>
    <s v="Mediano Costo "/>
    <s v="Pantalla quirúrgica"/>
    <s v="NDS"/>
    <s v="SC-WU24-A1515"/>
    <s v="15-255063"/>
    <s v="HPL30147"/>
    <n v="2016"/>
    <n v="10"/>
    <n v="1"/>
    <s v="Propio"/>
    <s v="Bueno "/>
    <x v="1"/>
    <s v="NO"/>
    <s v="NO APLICA"/>
    <s v="SI"/>
    <n v="2024"/>
    <s v="CONTRATO"/>
    <s v="CODESUR"/>
    <s v="1057540-86-LE23"/>
    <m/>
    <n v="1"/>
    <m/>
    <m/>
    <m/>
    <m/>
    <m/>
    <m/>
    <m/>
    <m/>
    <s v="X"/>
    <m/>
    <m/>
    <m/>
  </r>
  <r>
    <s v="Pabellón - 3E"/>
    <s v="Hospital Penco Lirquen"/>
    <s v="Laboratorio/Farmac"/>
    <s v="Mediano Costo "/>
    <s v="Refrigerador Clinico"/>
    <s v="Smeg"/>
    <s v="FV30G1"/>
    <n v="5122200091"/>
    <s v="HPL30080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Pabellón - 3E"/>
    <s v="Hospital Penco Lirquen"/>
    <s v="Apoyo Quirúrgico"/>
    <s v="Mediano Costo "/>
    <s v="Shaver Handpiece"/>
    <s v="Stryker"/>
    <s v="Formula"/>
    <s v="22B574344"/>
    <s v="HPL30177"/>
    <n v="2022"/>
    <n v="8"/>
    <n v="5"/>
    <s v="Propio"/>
    <s v="Bueno "/>
    <x v="2"/>
    <s v="SI"/>
    <n v="2023"/>
    <s v="NO"/>
    <s v="NO APLICA"/>
    <s v="CONTRAT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Unidad de camara torre artroscopia"/>
    <s v="Stryker"/>
    <s v="1488HD"/>
    <s v="15H540834"/>
    <s v="HPL30151"/>
    <n v="2017"/>
    <n v="8"/>
    <n v="0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cámara torre laparoscopía"/>
    <s v="Stryker"/>
    <s v="1488HD"/>
    <s v="15D044764"/>
    <s v="HPL30150"/>
    <n v="2016"/>
    <n v="8"/>
    <n v="-1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Apoyo Quirúrgico"/>
    <s v="Mediano Costo "/>
    <s v="Unidad de video torre laparoscopía"/>
    <s v="Stryker"/>
    <s v="SDC3 0240060100"/>
    <s v="15A030754"/>
    <s v="HPL30149"/>
    <n v="2016"/>
    <n v="8"/>
    <n v="-1"/>
    <s v="Propio"/>
    <s v="Bueno "/>
    <x v="1"/>
    <s v="NO"/>
    <s v="NO APLICA"/>
    <s v="SI"/>
    <n v="2023"/>
    <s v="EXTERNO"/>
    <s v="Stryker"/>
    <s v="1057540-71-LE23"/>
    <s v="-"/>
    <n v="1"/>
    <m/>
    <m/>
    <m/>
    <m/>
    <m/>
    <m/>
    <m/>
    <s v="X"/>
    <m/>
    <m/>
    <m/>
    <m/>
  </r>
  <r>
    <s v="Pabellón - 3E"/>
    <s v="Hospital Penco Lirquen"/>
    <s v="Odontología"/>
    <s v="Mediano Costo "/>
    <s v="Unidad dental portátil"/>
    <s v="Cila"/>
    <s v="DU811"/>
    <n v="7509"/>
    <s v="HPL29881"/>
    <n v="2015"/>
    <n v="8"/>
    <n v="-2"/>
    <s v="Propio"/>
    <s v="Bueno "/>
    <x v="1"/>
    <s v="NO"/>
    <n v="2024"/>
    <s v="SI"/>
    <n v="2024"/>
    <s v="EXTERNO"/>
    <s v="RIGOBERTO FUICA"/>
    <s v="1057540-115-LE23"/>
    <n v="300000"/>
    <n v="3"/>
    <m/>
    <s v="√"/>
    <m/>
    <m/>
    <m/>
    <s v="X"/>
    <m/>
    <m/>
    <m/>
    <s v="X"/>
    <m/>
    <m/>
  </r>
  <r>
    <s v="Pabellón - 3E"/>
    <s v="Hospital Penco Lirquen"/>
    <s v="Apoyo Quirúrgico"/>
    <s v="Alto Costo"/>
    <s v="Videoendoscopio"/>
    <s v="Karl Storz"/>
    <s v="5.5x65"/>
    <n v="85969"/>
    <s v="S/N"/>
    <n v="2022"/>
    <n v="7"/>
    <n v="4"/>
    <s v="Propio"/>
    <s v="Bueno "/>
    <x v="2"/>
    <s v="NO"/>
    <n v="2023"/>
    <s v="NO"/>
    <s v="NO APLICA"/>
    <s v="EXTERNO"/>
    <s v="KARL STORZ"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MAC #2"/>
    <n v="1551"/>
    <s v="S/N"/>
    <n v="2022"/>
    <n v="7"/>
    <n v="4"/>
    <s v="Propio"/>
    <s v="Bueno "/>
    <x v="2"/>
    <s v="NO"/>
    <n v="2023"/>
    <s v="NO"/>
    <s v="NO APLICA"/>
    <s v="EXTERNO"/>
    <m/>
    <m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MAC D-BLADE"/>
    <s v="ON2017"/>
    <s v="S/N"/>
    <n v="2022"/>
    <n v="7"/>
    <n v="4"/>
    <s v="Propio"/>
    <s v="Bueno "/>
    <x v="2"/>
    <s v="NO"/>
    <n v="2023"/>
    <s v="NO"/>
    <s v="NO APLICA"/>
    <s v="EXTERNO"/>
    <m/>
    <s v="COLDAS 2022"/>
    <m/>
    <m/>
    <m/>
    <m/>
    <m/>
    <m/>
    <m/>
    <m/>
    <m/>
    <m/>
    <m/>
    <m/>
    <m/>
    <m/>
  </r>
  <r>
    <s v="Pabellón - 3E"/>
    <s v="Hospital Penco Lirquen"/>
    <s v="Apoyo Quirúrgico"/>
    <s v="Mediano Costo "/>
    <s v="Videolaringoscopio"/>
    <s v="Karl Storz"/>
    <s v="C- MAC #3"/>
    <s v="UN2377"/>
    <s v="S/N"/>
    <n v="2022"/>
    <n v="7"/>
    <n v="4"/>
    <s v="Propio"/>
    <s v="Bueno "/>
    <x v="2"/>
    <s v="NO"/>
    <n v="2023"/>
    <s v="NO"/>
    <s v="NO APLICA"/>
    <s v="EXTERNO"/>
    <m/>
    <s v="COLDAS 2022"/>
    <m/>
    <m/>
    <m/>
    <m/>
    <m/>
    <m/>
    <m/>
    <m/>
    <m/>
    <m/>
    <m/>
    <m/>
    <m/>
    <m/>
  </r>
  <r>
    <s v="Pabellón - 3E"/>
    <s v="Hospital Penco Lirquen"/>
    <s v="Apoyo Endoscópico"/>
    <s v="Mediano Costo "/>
    <s v="Videolaringoscopio"/>
    <s v="Karl Storz"/>
    <s v="C-max 8403 2x"/>
    <s v="YT10604"/>
    <s v="HPL30407"/>
    <n v="2016"/>
    <n v="7"/>
    <n v="-2"/>
    <s v="Propio"/>
    <s v="Bueno "/>
    <x v="2"/>
    <s v="NO"/>
    <s v="NO APLICA"/>
    <s v="NO"/>
    <s v="NO APLICA"/>
    <s v="EXTERNO"/>
    <m/>
    <m/>
    <m/>
    <m/>
    <m/>
    <m/>
    <m/>
    <m/>
    <m/>
    <m/>
    <m/>
    <m/>
    <m/>
    <m/>
    <m/>
    <m/>
  </r>
  <r>
    <s v="Pabellón - 6B"/>
    <s v="Hospital Penco Lirquen"/>
    <s v="Apoyo Terapéutico"/>
    <s v="Mediano Costo "/>
    <s v="Bomba de infusión continua"/>
    <s v="Fresenius Kabi"/>
    <s v="Volumat MC Agilia E"/>
    <n v="21272024"/>
    <s v="HPL28457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 - 6B"/>
    <s v="Hospital Penco Lirquen"/>
    <s v="Apoyo Terapéutico"/>
    <s v="Mediano Costo "/>
    <s v="Bomba de infusión continua"/>
    <s v="Fresenius Kabi"/>
    <s v="Volumat MC Agilia E"/>
    <n v="21908354"/>
    <s v="HPL28458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Pabellón 1 - 3B"/>
    <s v="Hospital Penco Lirquen"/>
    <s v="Apoyo Quirúrgico"/>
    <s v="Alto Costo"/>
    <s v="Máquina de Anestesia"/>
    <s v="Drager"/>
    <s v="Fabius GS Premium 8607000"/>
    <s v="ASHJ-0205"/>
    <s v="HPL30218"/>
    <n v="2016"/>
    <n v="8"/>
    <n v="-1"/>
    <s v="Propio"/>
    <s v="Bueno "/>
    <x v="0"/>
    <s v="NO"/>
    <s v="NO APLICA"/>
    <s v="SI"/>
    <n v="2023"/>
    <s v="EXTERNO"/>
    <s v="Drager"/>
    <s v="1057540-40-LP22"/>
    <n v="10130432"/>
    <n v="2"/>
    <m/>
    <m/>
    <m/>
    <s v="X"/>
    <m/>
    <m/>
    <m/>
    <m/>
    <m/>
    <s v="X"/>
    <m/>
    <m/>
  </r>
  <r>
    <s v="Pabellón 2 - 3B"/>
    <s v="Hospital Penco Lirquen"/>
    <s v="Apoyo Quirúrgico"/>
    <s v="Alto Costo"/>
    <s v="Máquina de Anestesia"/>
    <s v="Drager"/>
    <s v="Fabius GS Premium 8607000"/>
    <s v="ASHJ-0206"/>
    <s v="HPL30219"/>
    <n v="2016"/>
    <n v="8"/>
    <n v="-1"/>
    <s v="Propio"/>
    <s v="Bueno "/>
    <x v="0"/>
    <s v="NO"/>
    <s v="NO APLICA"/>
    <s v="SI"/>
    <n v="2023"/>
    <s v="EXTERNO"/>
    <s v="Drager"/>
    <s v="1057540-40-LP22"/>
    <n v="10130432"/>
    <n v="2"/>
    <m/>
    <m/>
    <m/>
    <s v="X"/>
    <m/>
    <m/>
    <m/>
    <m/>
    <m/>
    <s v="X"/>
    <m/>
    <m/>
  </r>
  <r>
    <s v="Pabellón CMA - 3B"/>
    <s v="Hospital Penco Lirquen"/>
    <s v="Apoyo Quirúrgico"/>
    <s v="Alto Costo"/>
    <s v="Máquina de Anestesia"/>
    <s v="Drager"/>
    <s v="Fabius GS Premium 8607000"/>
    <s v="ASFN-0031"/>
    <s v="HPL30217"/>
    <n v="2015"/>
    <n v="8"/>
    <n v="-2"/>
    <s v="Propio"/>
    <s v="Bueno "/>
    <x v="0"/>
    <s v="NO"/>
    <s v="NO APLICA"/>
    <s v="SI"/>
    <n v="2023"/>
    <s v="EXTERNO"/>
    <s v="Drager"/>
    <s v="1057540-40-LP22"/>
    <n v="10130432"/>
    <n v="2"/>
    <m/>
    <m/>
    <m/>
    <s v="X"/>
    <m/>
    <m/>
    <m/>
    <m/>
    <m/>
    <s v="X"/>
    <m/>
    <m/>
  </r>
  <r>
    <s v="Parto Integral"/>
    <s v="Hospital Penco Lirquen"/>
    <s v="Apoyo Diagnóstico"/>
    <s v="Bajo costo"/>
    <s v="Balanza con tallímetro"/>
    <s v="Doran Scales"/>
    <s v="Quote 12957"/>
    <n v="1824"/>
    <s v="HPL29867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Diagnóstico"/>
    <s v="Bajo costo"/>
    <s v="Balanza pediátrica"/>
    <s v="Health o Meter"/>
    <s v="549KL"/>
    <n v="5490010422"/>
    <s v="HPL30082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a clínica eléctrica"/>
    <s v="Malvestio"/>
    <s v="346760H"/>
    <n v="20009351"/>
    <s v="HPL25225"/>
    <n v="2015"/>
    <n v="8"/>
    <n v="-2"/>
    <s v="Propio"/>
    <s v="Bueno "/>
    <x v="1"/>
    <s v="NO"/>
    <s v="NO APLICA"/>
    <s v="SI"/>
    <n v="2023"/>
    <s v="CONTRATO"/>
    <s v="SERVITEC"/>
    <s v="1057540-128-LE23"/>
    <n v="264444"/>
    <n v="1"/>
    <m/>
    <s v="√"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2"/>
    <s v="HPL3001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biliario"/>
    <s v="Clínico"/>
    <s v="Camilla ginecológica"/>
    <s v="Malvestio"/>
    <n v="350350"/>
    <n v="20009696"/>
    <s v="HPL30013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Brandon Medical"/>
    <s v="CLED10S"/>
    <n v="1098817019"/>
    <s v="HPL30057"/>
    <n v="2021"/>
    <n v="10"/>
    <n v="6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-600"/>
    <s v="S/N"/>
    <s v="HPL30312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3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Quirúrgico"/>
    <s v="Mediano Costo "/>
    <s v="Lámpara de procedimientos"/>
    <s v="Welchallyn"/>
    <s v="GS600"/>
    <s v="S/N"/>
    <s v="HPL30314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adulto"/>
    <s v="Sunmed"/>
    <s v="Greenline"/>
    <s v="S/N"/>
    <s v="HPL30319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Apoyo Terapéutico"/>
    <s v="Bajo costo"/>
    <s v="Laringoscopio pediátrico"/>
    <s v="Sunmed"/>
    <s v="Greenline"/>
    <s v="S/N"/>
    <s v="HPL3032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"/>
    <s v="Hospital Penco Lirquen"/>
    <s v="Monitoreo"/>
    <s v="Mediano Costo "/>
    <s v="Monitor de signos vitales"/>
    <s v="Creative medical"/>
    <s v="PC-900"/>
    <s v="J0100JL01720"/>
    <s v="HPL30259"/>
    <n v="2014"/>
    <n v="8"/>
    <n v="-3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Parto Integral"/>
    <s v="Hospital Penco Lirquen"/>
    <s v="Monitoreo"/>
    <s v="Mediano Costo "/>
    <s v="Monitor desfibrilador"/>
    <s v="Zoll medical"/>
    <s v="Serie R ALS"/>
    <s v="AF15D045660"/>
    <s v="HPL30213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m/>
    <m/>
    <m/>
    <s v="X"/>
    <m/>
    <m/>
    <m/>
    <m/>
    <m/>
    <s v="X"/>
  </r>
  <r>
    <s v="Parto Integral"/>
    <s v="Hospital Penco Lirquen"/>
    <s v="Monitoreo"/>
    <s v="Mediano Costo "/>
    <s v="Monitor ECG Baja Complejidad"/>
    <s v="Fukuda Denshi"/>
    <s v="Dinascope DSL-8001"/>
    <n v="50200461"/>
    <s v="HPL30042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Parto Integral - 2"/>
    <s v="Hospital Penco Lirquen"/>
    <s v="Apoyo Terapéutico"/>
    <s v="Alto Costo"/>
    <s v="Incubadora de transporte"/>
    <s v="Drager"/>
    <s v="TI 500"/>
    <s v="EF10863"/>
    <s v="HPL30240"/>
    <n v="2016"/>
    <n v="8"/>
    <n v="-1"/>
    <s v="Propio"/>
    <s v="Bueno "/>
    <x v="0"/>
    <s v="NO"/>
    <s v="NO APLICA"/>
    <s v="SI"/>
    <n v="2023"/>
    <s v="EXTERNO"/>
    <s v="CODESUR"/>
    <s v="1057540-110-LE23"/>
    <n v="300000"/>
    <n v="2"/>
    <m/>
    <m/>
    <s v="X"/>
    <m/>
    <m/>
    <m/>
    <m/>
    <m/>
    <s v="X"/>
    <m/>
    <m/>
    <m/>
  </r>
  <r>
    <s v="Parto Integral - 2"/>
    <s v="Hospital Penco Lirquen"/>
    <s v="Mobiliario"/>
    <s v="Clínico"/>
    <s v="Cama de parto"/>
    <s v="Stryker"/>
    <s v="Trend like ref.4701"/>
    <n v="1602036109"/>
    <s v="HPL3006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7 / 20008945"/>
    <s v="HPL30165"/>
    <n v="2015"/>
    <n v="10"/>
    <n v="0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8 / 20008946"/>
    <s v="HPL30166"/>
    <n v="2015"/>
    <n v="10"/>
    <n v="0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Mobiliario"/>
    <s v="Mediano Costo "/>
    <s v="Cuna (mobiliario)"/>
    <s v="Malvestio"/>
    <n v="332100"/>
    <s v="20009759 / 20008947"/>
    <s v="HPL30167"/>
    <n v="2015"/>
    <n v="10"/>
    <n v="0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Parto Integral - 2"/>
    <s v="Hospital Penco Lirquen"/>
    <s v="Apoyo Terapéutico"/>
    <s v="Alto Costo"/>
    <s v="Cuna radiante"/>
    <s v="Drager"/>
    <s v="Resuscitaire RWVHA-2C"/>
    <s v="NY10728"/>
    <s v="HPL30143"/>
    <n v="2016"/>
    <n v="8"/>
    <n v="-1"/>
    <s v="Propio"/>
    <s v="Bueno "/>
    <x v="1"/>
    <s v="NO"/>
    <s v="NO APLICA"/>
    <s v="SI"/>
    <n v="2023"/>
    <s v="CONTRATO"/>
    <s v="Drager"/>
    <s v="1057540-83-LE23"/>
    <n v="643331"/>
    <n v="1"/>
    <m/>
    <m/>
    <m/>
    <m/>
    <m/>
    <m/>
    <m/>
    <s v="X"/>
    <m/>
    <m/>
    <m/>
    <m/>
  </r>
  <r>
    <s v="Parto Integral - 2"/>
    <s v="Hospital Penco Lirquen"/>
    <s v="Apoyo Quirúrgico"/>
    <s v="Alto Costo"/>
    <s v="Lampara de techo"/>
    <s v="ACEM"/>
    <s v="SOLED 15"/>
    <s v="S15S1000761"/>
    <s v="HPL30359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Apoyo Quirúrgico"/>
    <s v="Alto Costo"/>
    <s v="Lampara de techo"/>
    <s v="ACEM"/>
    <s v="SOLED 15"/>
    <s v="S15S1000763"/>
    <s v="HPL30361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Monitoreo"/>
    <s v="Alto Costo"/>
    <s v="Monitor Cardiofetal"/>
    <s v="General Electric"/>
    <s v="Corometric 170 series"/>
    <s v="SAS15174336PAS"/>
    <s v="HPL30366"/>
    <n v="2016"/>
    <n v="8"/>
    <n v="-1"/>
    <s v="Propio"/>
    <s v="Bueno "/>
    <x v="1"/>
    <s v="NO"/>
    <s v="NO APLICA"/>
    <s v="SI"/>
    <n v="2023"/>
    <s v="EXTERNO"/>
    <s v="CODESUR"/>
    <s v="1057540-110-LE23"/>
    <n v="55000"/>
    <n v="1"/>
    <m/>
    <m/>
    <m/>
    <m/>
    <m/>
    <m/>
    <m/>
    <m/>
    <s v="X"/>
    <m/>
    <m/>
    <m/>
  </r>
  <r>
    <s v="Parto Integral - 2"/>
    <s v="Hospital Penco Lirquen"/>
    <s v="Monitoreo"/>
    <s v="Alto Costo"/>
    <s v="Monitor Cardiofetal"/>
    <s v="General Electric"/>
    <s v="Corometric 170 series"/>
    <s v="SAS15304616PAS"/>
    <s v="HPL30367"/>
    <n v="2016"/>
    <n v="8"/>
    <n v="-1"/>
    <s v="Propio"/>
    <s v="Bueno "/>
    <x v="1"/>
    <s v="NO"/>
    <s v="NO APLICA"/>
    <s v="SI"/>
    <n v="2023"/>
    <s v="EXTERNO"/>
    <s v="CODESUR"/>
    <s v="1057540-110-LE23"/>
    <n v="55000"/>
    <n v="1"/>
    <m/>
    <m/>
    <m/>
    <m/>
    <m/>
    <m/>
    <m/>
    <m/>
    <s v="X"/>
    <m/>
    <m/>
    <m/>
  </r>
  <r>
    <s v="Parto Integral - 2"/>
    <s v="Hospital Penco Lirquen"/>
    <s v="Apoyo Diagnóstico"/>
    <s v="Bajo costo"/>
    <s v="Oximetro de pulso"/>
    <s v="Heal Force"/>
    <s v="Prince E100"/>
    <s v="XXJ00JH00298"/>
    <s v="HPL3040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Parto Integral - 2"/>
    <s v="Hospital Penco Lirquen"/>
    <s v="Laboratorio/Farmac"/>
    <s v="Mediano Costo "/>
    <s v="Refrigerador Clinico"/>
    <s v="Smeg"/>
    <s v="FV30G1"/>
    <n v="5122200011"/>
    <s v="HPL30076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Rehabilitacion Integral"/>
    <s v="Hospital Penco Lirquen"/>
    <s v="Med. Física Rehabilitación"/>
    <s v="Bajo costo"/>
    <s v="Camilla bipedestación"/>
    <s v="Dynatron"/>
    <s v="-"/>
    <n v="7163129813548"/>
    <m/>
    <n v="2014"/>
    <n v="10"/>
    <n v="-1"/>
    <s v="Propio"/>
    <s v="Bueno"/>
    <x v="1"/>
    <s v="NO"/>
    <s v="NO APLICA"/>
    <s v="SI"/>
    <n v="2024"/>
    <s v="CONTRATO"/>
    <s v="NEWLAB - L1"/>
    <s v="1057540-78-LE23"/>
    <n v="952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049SN1501000642C"/>
    <s v="HPL30207"/>
    <n v="2016"/>
    <n v="8"/>
    <n v="-1"/>
    <s v="Propio"/>
    <s v="Bueno "/>
    <x v="1"/>
    <s v="NO"/>
    <s v="NO APLICA"/>
    <s v="SI"/>
    <n v="2024"/>
    <s v="CONTRATO"/>
    <s v="NEWLAB - L1"/>
    <s v="1057540-78-LE23"/>
    <n v="714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Bicicleta ergonométrica"/>
    <s v="Enraf Nonius"/>
    <s v="Monark 970"/>
    <s v="AB203533SN1504008977C"/>
    <s v="HPL30208"/>
    <n v="2016"/>
    <n v="8"/>
    <n v="-1"/>
    <s v="Propio"/>
    <s v="Bueno "/>
    <x v="1"/>
    <s v="NO"/>
    <s v="NO APLICA"/>
    <s v="SI"/>
    <n v="2024"/>
    <s v="CONTRATO"/>
    <s v="NEWLAB - L1"/>
    <s v="1057540-78-LE23"/>
    <n v="714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Compresero"/>
    <s v="White hall"/>
    <s v="ET-12-M"/>
    <n v="15130241"/>
    <s v="HPL29962"/>
    <n v="2016"/>
    <n v="10"/>
    <n v="1"/>
    <s v="Propio"/>
    <s v="Bueno "/>
    <x v="1"/>
    <s v="NO"/>
    <s v="NO APLICA"/>
    <s v="SI"/>
    <n v="2024"/>
    <s v="CONTRATO"/>
    <s v="NEWLAB - L1"/>
    <s v="1057540-78-LE23"/>
    <n v="1071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15075"/>
    <s v="HPL30093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3327"/>
    <s v="HPL30097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5"/>
    <s v="HPL30098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6"/>
    <s v="HPL30099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057"/>
    <s v="HPL30100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Enraf Nonius"/>
    <s v="S82"/>
    <n v="142797024489"/>
    <s v="HPL30101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Ultrasonido"/>
    <s v="Enraf Nonius"/>
    <s v="Sonopuls 490"/>
    <n v="21458"/>
    <s v="HPL29898"/>
    <n v="2015"/>
    <n v="8"/>
    <n v="-2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Bicicleta infantil"/>
    <s v="N/A"/>
    <s v="N/A"/>
    <s v="N/A"/>
    <s v="HPL30745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obiliario"/>
    <s v="Clínico"/>
    <s v="Camilla eléctrica 3 secciones"/>
    <s v="Enraf Nonius"/>
    <s v="Manumed-N245"/>
    <s v="2022-N1-3629"/>
    <m/>
    <n v="2023"/>
    <n v="8"/>
    <n v="6"/>
    <s v="Propio"/>
    <s v="Bueno "/>
    <x v="1"/>
    <s v="SI"/>
    <d v="2026-11-24T00:00:00"/>
    <s v="SI"/>
    <n v="2024"/>
    <s v="EXTERNO"/>
    <s v="Andover"/>
    <s v="1057540-104-LE23"/>
    <n v="0"/>
    <n v="1"/>
    <m/>
    <m/>
    <m/>
    <m/>
    <m/>
    <m/>
    <m/>
    <m/>
    <m/>
    <m/>
    <s v="X"/>
    <m/>
  </r>
  <r>
    <s v="Rehabilitacion Integral"/>
    <s v="Hospital Penco Lirquen"/>
    <s v="Mobiliario"/>
    <s v="Clínico"/>
    <s v="Camilla ginecológica"/>
    <s v="Malvestio"/>
    <n v="350350"/>
    <n v="20009695"/>
    <s v="HPL30012"/>
    <n v="2015"/>
    <n v="8"/>
    <n v="-2"/>
    <s v="Propio"/>
    <s v="Bueno "/>
    <x v="2"/>
    <s v="NO"/>
    <s v="NO APLICA"/>
    <s v="NO"/>
    <s v="NO APLICA"/>
    <s v="INTERNO"/>
    <m/>
    <m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Caminadora infantil"/>
    <s v="N/A"/>
    <s v="N/A"/>
    <s v="N/A"/>
    <s v="HPL3074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Cicloergómetro de mano"/>
    <s v="S/M"/>
    <s v="S/M"/>
    <s v="PI-005075"/>
    <s v="HPL30276"/>
    <n v="2016"/>
    <n v="8"/>
    <n v="-1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Cicloergómetro de mano"/>
    <s v="S/M"/>
    <s v="S/M"/>
    <s v="T15002452"/>
    <s v="HPL30381"/>
    <n v="2016"/>
    <n v="8"/>
    <n v="-1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s v="X"/>
    <m/>
    <m/>
  </r>
  <r>
    <s v="Rehabilitacion Integral"/>
    <s v="Hospital Penco Lirquen"/>
    <s v="Med. Física Rehabilitación"/>
    <s v="Bajo costo"/>
    <s v="Dinamómetro"/>
    <s v="Baseline"/>
    <s v="12-0286"/>
    <s v="S/N"/>
    <s v="HPL30291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Horno ortesis"/>
    <s v="Remso"/>
    <s v="S/N"/>
    <s v="S/N"/>
    <s v="HPL3029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áquina de coser"/>
    <s v="Brother"/>
    <s v="LS2125"/>
    <s v="M0G131939"/>
    <s v="HPL30268"/>
    <n v="2016"/>
    <n v="8"/>
    <n v="-1"/>
    <s v="Propio"/>
    <s v="Bueno "/>
    <x v="2"/>
    <s v="NO"/>
    <s v="NO APLICA"/>
    <s v="NO"/>
    <s v="NO APLICA"/>
    <s v="INTERNO"/>
    <s v="TECNICO SSGG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esa de cuádriceps"/>
    <s v="S/M"/>
    <s v="S/N"/>
    <s v="S/N"/>
    <s v="HPL3033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Mesa de mano"/>
    <s v="Enraf Nonius"/>
    <s v="JL-10402"/>
    <n v="501662"/>
    <s v="HPL29925"/>
    <n v="2017"/>
    <n v="8"/>
    <n v="0"/>
    <s v="Propio"/>
    <s v="Bueno "/>
    <x v="2"/>
    <s v="NO"/>
    <s v="NO APLICA"/>
    <s v="NO"/>
    <s v="NO APLICA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Apoyo Diagnóstico"/>
    <s v="Bajo costo"/>
    <s v="Oximetro de pulso"/>
    <s v="Nellcor"/>
    <s v="Oximax N-65"/>
    <s v="G15802034"/>
    <s v="HPL30255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cina de pelotas"/>
    <s v="N/A"/>
    <s v="N/A"/>
    <s v="N/A"/>
    <s v="HPL30744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"/>
    <s v="Hospital Penco Lirquen"/>
    <s v="Med. Física Rehabilitación"/>
    <s v="Bajo costo"/>
    <s v="Pistola de aire caliente"/>
    <s v="Black &amp; Decker"/>
    <s v="HG2000-B2C"/>
    <s v="2010 41-PX"/>
    <s v="HPL30171"/>
    <n v="2016"/>
    <n v="8"/>
    <n v="-1"/>
    <s v="Propio"/>
    <s v="Bueno "/>
    <x v="2"/>
    <s v="NO"/>
    <s v="NO APLICA"/>
    <s v="NO"/>
    <s v="NO APLICA"/>
    <s v="INTERNO"/>
    <s v="TECNICO EQM HPL"/>
    <s v="-"/>
    <s v="-"/>
    <m/>
    <m/>
    <m/>
    <m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1"/>
    <s v="HPL30203"/>
    <n v="2016"/>
    <n v="8"/>
    <n v="-1"/>
    <s v="Propio"/>
    <s v="Bueno "/>
    <x v="1"/>
    <s v="NO"/>
    <s v="NO APLICA"/>
    <s v="SI"/>
    <n v="2024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7"/>
    <s v="HPL30204"/>
    <n v="2016"/>
    <n v="8"/>
    <n v="-1"/>
    <s v="Propio"/>
    <s v="Bueno "/>
    <x v="1"/>
    <s v="NO"/>
    <s v="NO APLICA"/>
    <s v="SI"/>
    <n v="2024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Mediano Costo "/>
    <s v="Tens (electroestimulación)"/>
    <s v="Intelect"/>
    <s v="TN 37343"/>
    <s v="A785779"/>
    <s v="HPL30205"/>
    <n v="2016"/>
    <n v="8"/>
    <n v="-1"/>
    <s v="Propio"/>
    <s v="Bueno "/>
    <x v="1"/>
    <s v="NO"/>
    <s v="NO APLICA"/>
    <s v="SI"/>
    <n v="2024"/>
    <s v="CONTRATO"/>
    <s v="NEWLAB - L2"/>
    <s v="1057540-78-LE23"/>
    <n v="59500"/>
    <n v="1"/>
    <m/>
    <m/>
    <s v="X"/>
    <m/>
    <m/>
    <m/>
    <m/>
    <m/>
    <m/>
    <m/>
    <m/>
    <m/>
  </r>
  <r>
    <s v="Rehabilitacion Integral"/>
    <s v="Hospital Penco Lirquen"/>
    <s v="Med. Física Rehabilitación"/>
    <s v="Bajo costo"/>
    <s v="Vestibulador"/>
    <s v="N/A"/>
    <s v="N/A"/>
    <s v="N/A"/>
    <s v="HPL3074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 "/>
    <s v="Hospital Penco Lirquen"/>
    <s v="Monitoreo"/>
    <s v="Mediano Costo "/>
    <s v="Monitor ECG Baja Complejidad"/>
    <s v="Fukuda Denshi"/>
    <s v="Dinascope DSL-8001"/>
    <n v="50200458"/>
    <s v="HPL30040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rgonométrica"/>
    <s v="Life fitness"/>
    <s v="ASPC-SL-CGCXN-12"/>
    <s v="ASPBUPW24040095"/>
    <m/>
    <n v="2024"/>
    <n v="8"/>
    <n v="7"/>
    <s v="Propio"/>
    <s v="Bueno "/>
    <x v="1"/>
    <s v="SI"/>
    <n v="2027"/>
    <s v="SI"/>
    <n v="2024"/>
    <s v="EXTERNO"/>
    <s v="LIFE FITNESS"/>
    <s v="COLDAS 2024"/>
    <n v="0"/>
    <n v="3"/>
    <m/>
    <m/>
    <s v="X"/>
    <m/>
    <m/>
    <m/>
    <s v="X"/>
    <m/>
    <m/>
    <m/>
    <s v="X"/>
    <m/>
  </r>
  <r>
    <s v="Rehabilitacion Integral - 10"/>
    <s v="Hospital Penco Lirquen"/>
    <s v="Med. Física Rehabilitación"/>
    <s v="Bajo costo"/>
    <s v="Trotadora"/>
    <s v="Life fitness"/>
    <s v="Aspire SL"/>
    <s v="ASPTRMW24020233"/>
    <m/>
    <n v="2024"/>
    <n v="10"/>
    <n v="9"/>
    <s v="Propio"/>
    <s v="Bueno "/>
    <x v="1"/>
    <s v="SI"/>
    <d v="2027-03-01T00:00:00"/>
    <s v="SI"/>
    <n v="2024"/>
    <s v="EXTERNO"/>
    <s v="LIFE FITNESS"/>
    <s v="COLDAS 2023 (4500619370)"/>
    <m/>
    <n v="2"/>
    <m/>
    <m/>
    <s v="X"/>
    <m/>
    <m/>
    <m/>
    <m/>
    <m/>
    <s v="X"/>
    <m/>
    <m/>
    <m/>
  </r>
  <r>
    <s v="Rehabilitacion Integral - 10"/>
    <s v="Hospital Penco Lirquen"/>
    <s v="Med. Física Rehabilitación"/>
    <s v="Bajo costo"/>
    <s v="Trotadora"/>
    <s v="Life fitness"/>
    <s v="Aspire SL"/>
    <s v="ASPTRMW24020234"/>
    <m/>
    <n v="2024"/>
    <n v="10"/>
    <n v="9"/>
    <s v="Propio"/>
    <s v="Bueno"/>
    <x v="1"/>
    <s v="SI"/>
    <d v="2027-03-01T00:00:00"/>
    <s v="SI"/>
    <n v="2024"/>
    <s v="EXTERNO"/>
    <s v="LIFE FITNESS"/>
    <s v="COLDAS 2023 (4500619370)"/>
    <m/>
    <n v="2"/>
    <m/>
    <m/>
    <s v="X"/>
    <m/>
    <m/>
    <m/>
    <m/>
    <m/>
    <s v="X"/>
    <m/>
    <m/>
    <m/>
  </r>
  <r>
    <s v="Rehabilitacion Integral - 10"/>
    <s v="Hospital Penco Lirquen"/>
    <s v="Med. Física Rehabilitación"/>
    <s v="Bajo costo"/>
    <s v="Baño parafina"/>
    <s v="Enraf Nonius"/>
    <s v="Paraffin bath"/>
    <n v="40448"/>
    <s v="HPL29905"/>
    <n v="2016"/>
    <n v="8"/>
    <n v="-1"/>
    <s v="Propio"/>
    <s v="Bueno "/>
    <x v="1"/>
    <s v="NO"/>
    <s v="NO APLICA"/>
    <s v="SI"/>
    <n v="2024"/>
    <s v="CONTRATO"/>
    <s v="NEWLAB - L1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obiliario"/>
    <s v="Clínico"/>
    <s v="Camilla basculante eléctrica"/>
    <s v="Enraf Nonius"/>
    <s v="Manumed Tilt 2 (5500.725)"/>
    <s v="2019-N2-1120"/>
    <s v="HPL30173"/>
    <n v="2019"/>
    <n v="8"/>
    <n v="2"/>
    <s v="Propio"/>
    <s v="Bueno "/>
    <x v="1"/>
    <s v="NO"/>
    <s v="NO APLICA"/>
    <s v="SI"/>
    <n v="2024"/>
    <s v="CONTRATO"/>
    <s v="NEWLAB - L1"/>
    <s v="1057540-78-LE23"/>
    <n v="190400"/>
    <n v="1"/>
    <m/>
    <m/>
    <s v="X"/>
    <m/>
    <m/>
    <m/>
    <m/>
    <m/>
    <m/>
    <m/>
    <m/>
    <m/>
  </r>
  <r>
    <s v="Rehabilitacion Integral - 10"/>
    <s v="Hospital Penco Lirquen"/>
    <s v="Mobiliario"/>
    <s v="Clínico"/>
    <s v="Camilla bipedestación"/>
    <s v="Enraf Nonius"/>
    <n v="5100211"/>
    <n v="8022211"/>
    <s v="HPL29956"/>
    <n v="2016"/>
    <n v="8"/>
    <n v="-1"/>
    <s v="Propio"/>
    <s v="Bueno "/>
    <x v="1"/>
    <s v="NO"/>
    <s v="NO APLICA"/>
    <s v="SI"/>
    <n v="2024"/>
    <s v="CONTRATO"/>
    <s v="NEWLAB - L1"/>
    <s v="1057540-78-LE23"/>
    <n v="952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lectroestimulación"/>
    <s v="Enraf Nonius"/>
    <s v="Endomed 482"/>
    <n v="2308"/>
    <s v="HPL29871"/>
    <n v="2016"/>
    <n v="8"/>
    <n v="-1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670"/>
    <n v="14848"/>
    <s v="HPL29889"/>
    <n v="2015"/>
    <n v="8"/>
    <n v="-2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onda corta"/>
    <s v="Enraf Nonius"/>
    <s v="Curapuls 970"/>
    <n v="31472"/>
    <s v="HPL29903"/>
    <n v="2016"/>
    <n v="8"/>
    <n v="-1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ondas de choque"/>
    <s v="Enraf Nonius"/>
    <s v="Endopuls 811"/>
    <n v="16209773"/>
    <s v="HPL29966"/>
    <n v="2019"/>
    <n v="8"/>
    <n v="2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terapia combinada"/>
    <s v="Enraf Nonius"/>
    <s v="Sonopuls 492"/>
    <n v="32049"/>
    <s v="HPL29904"/>
    <n v="2016"/>
    <n v="8"/>
    <n v="-1"/>
    <s v="Propio"/>
    <s v="Bueno "/>
    <x v="1"/>
    <s v="NO"/>
    <s v="NO APLICA"/>
    <s v="SI"/>
    <n v="2024"/>
    <s v="CONTRATO"/>
    <s v="NEWLAB - L1"/>
    <s v="1057540-78-LE23"/>
    <n v="3570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Laser"/>
    <s v="Enraf Nonius"/>
    <s v="Endolaser 442"/>
    <n v="3302"/>
    <s v="HPL29874"/>
    <n v="2016"/>
    <n v="8"/>
    <n v="-1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5"/>
    <s v="HPL30094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Enraf Nonius"/>
    <s v="S82"/>
    <n v="142797023286"/>
    <s v="HPL30095"/>
    <n v="2015"/>
    <n v="8"/>
    <n v="-2"/>
    <s v="Propio"/>
    <s v="Bueno "/>
    <x v="1"/>
    <s v="NO"/>
    <s v="NO APLICA"/>
    <s v="SI"/>
    <n v="2024"/>
    <s v="CONTRATO"/>
    <s v="NEWLAB - L1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urbion de pies"/>
    <s v="White hall"/>
    <s v="E-22-M"/>
    <n v="15518859"/>
    <s v="HPL29964"/>
    <n v="2016"/>
    <n v="8"/>
    <n v="-1"/>
    <s v="Propio"/>
    <s v="Bueno "/>
    <x v="1"/>
    <s v="NO"/>
    <s v="NO APLICA"/>
    <s v="SI"/>
    <n v="2024"/>
    <s v="CONTRATO"/>
    <s v="NEWLAB - L1"/>
    <s v="1057540-78-LE23"/>
    <n v="2142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1"/>
    <s v="HPL29899"/>
    <n v="2016"/>
    <n v="8"/>
    <n v="-1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373"/>
    <s v="HPL29900"/>
    <n v="2016"/>
    <n v="8"/>
    <n v="-1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Ultrasonido con carro"/>
    <s v="Enraf Nonius"/>
    <s v="Sonopuls 490"/>
    <n v="27515"/>
    <s v="HPL29901"/>
    <n v="2016"/>
    <n v="8"/>
    <n v="-1"/>
    <s v="Propio"/>
    <s v="Bueno "/>
    <x v="1"/>
    <s v="NO"/>
    <s v="NO APLICA"/>
    <s v="SI"/>
    <n v="2024"/>
    <s v="CONTRATO"/>
    <s v="NEWLAB - L1"/>
    <s v="1057540-78-LE23"/>
    <n v="178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6808"/>
    <s v="HPL30224"/>
    <n v="2016"/>
    <n v="8"/>
    <n v="-1"/>
    <s v="Propio"/>
    <s v="Bueno "/>
    <x v="1"/>
    <s v="NO"/>
    <s v="NO APLICA"/>
    <s v="SI"/>
    <n v="2024"/>
    <s v="CONTRATO"/>
    <s v="NEWLAB - L2"/>
    <s v="1057540-78-LE23"/>
    <n v="714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rgonométrica"/>
    <s v="Life fitness"/>
    <s v="C1 BAS-000X-0203"/>
    <s v="BAS110811027036"/>
    <s v="HPL30225"/>
    <n v="2016"/>
    <n v="8"/>
    <n v="-1"/>
    <s v="Propio"/>
    <s v="Bueno "/>
    <x v="1"/>
    <s v="NO"/>
    <s v="NO APLICA"/>
    <s v="SI"/>
    <n v="2024"/>
    <s v="CONTRATO"/>
    <s v="NEWLAB - L2"/>
    <s v="1057540-78-LE23"/>
    <n v="714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me"/>
    <s v="D113"/>
    <s v="D1132011060000369"/>
    <s v="HPL30236"/>
    <n v="2015"/>
    <n v="8"/>
    <n v="-2"/>
    <s v="Propio"/>
    <s v="Bueno "/>
    <x v="1"/>
    <s v="NO"/>
    <s v="NO APLICA"/>
    <s v="SI"/>
    <n v="2024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fe fitness"/>
    <s v="T3"/>
    <s v="T3071506028660"/>
    <s v="HPL30383"/>
    <n v="2016"/>
    <n v="8"/>
    <n v="-1"/>
    <s v="Propio"/>
    <s v="Bueno "/>
    <x v="1"/>
    <s v="NO"/>
    <s v="NO APLICA"/>
    <s v="SI"/>
    <n v="2024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Bajo costo"/>
    <s v="Caminadora"/>
    <s v="Life fitness"/>
    <s v="T3"/>
    <s v="T3071506028661"/>
    <s v="HPL30384"/>
    <n v="2016"/>
    <n v="8"/>
    <n v="-1"/>
    <s v="Propio"/>
    <s v="Bueno "/>
    <x v="1"/>
    <s v="NO"/>
    <s v="NO APLICA"/>
    <s v="SI"/>
    <n v="2024"/>
    <s v="CONTRATO"/>
    <s v="NEWLAB - L2"/>
    <s v="1057540-78-LE23"/>
    <n v="1071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lectroterapia miofeedback"/>
    <s v="Gymna"/>
    <s v="MYO-200"/>
    <n v="74209"/>
    <s v="HPL29908"/>
    <n v="2016"/>
    <n v="8"/>
    <n v="-1"/>
    <s v="Propio"/>
    <s v="Bueno "/>
    <x v="1"/>
    <s v="NO"/>
    <s v="NO APLICA"/>
    <s v="SI"/>
    <n v="2024"/>
    <s v="CONTRATO"/>
    <s v="NEWLAB - L2"/>
    <s v="1057540-78-LE23"/>
    <n v="833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Equipo de linfedema"/>
    <s v="Mego Afek"/>
    <s v="201-ET"/>
    <n v="29008"/>
    <s v="HPL29902"/>
    <n v="2019"/>
    <n v="8"/>
    <n v="2"/>
    <s v="Propio"/>
    <s v="Bueno "/>
    <x v="1"/>
    <s v="NO"/>
    <s v="NO APLICA"/>
    <s v="SI"/>
    <n v="2024"/>
    <s v="CONTRATO"/>
    <s v="NEWLAB - L2"/>
    <s v="1057540-78-LE23"/>
    <n v="833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Tens (electroestimulación)"/>
    <s v="ITO"/>
    <s v="ES-320"/>
    <n v="200905260888"/>
    <s v="HPL30105"/>
    <n v="2016"/>
    <n v="8"/>
    <n v="-1"/>
    <s v="Propio"/>
    <s v="Bueno "/>
    <x v="1"/>
    <s v="NO"/>
    <s v="NO APLICA"/>
    <s v="SI"/>
    <n v="2024"/>
    <s v="CONTRATO"/>
    <s v="NEWLAB - L2"/>
    <s v="1057540-78-LE23"/>
    <n v="59500"/>
    <n v="1"/>
    <m/>
    <m/>
    <s v="X"/>
    <m/>
    <m/>
    <m/>
    <m/>
    <m/>
    <m/>
    <m/>
    <m/>
    <m/>
  </r>
  <r>
    <s v="Rehabilitacion Integral - 10"/>
    <s v="Hospital Penco Lirquen"/>
    <s v="Med. Física Rehabilitación"/>
    <s v="Mediano Costo "/>
    <s v="Bicicleta Estática"/>
    <s v="Life Fitness"/>
    <s v="C1 GO"/>
    <s v="1062010018184 / CONSOLA: 112206000052"/>
    <m/>
    <n v="2023"/>
    <n v="8"/>
    <n v="6"/>
    <s v="Propio"/>
    <s v="Bueno "/>
    <x v="1"/>
    <s v="SI"/>
    <d v="2026-11-01T00:00:00"/>
    <s v="SI"/>
    <n v="2024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86 / CONSOLA: 112307000027"/>
    <m/>
    <n v="2023"/>
    <n v="8"/>
    <n v="6"/>
    <s v="Propio"/>
    <s v="Bueno "/>
    <x v="1"/>
    <s v="SI"/>
    <d v="2026-11-01T00:00:00"/>
    <s v="SI"/>
    <n v="2024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Mediano Costo "/>
    <s v="Bicicleta Estática"/>
    <s v="Life Fitness"/>
    <s v="C1 GO"/>
    <s v="1062010018191 / CONSOLA: 112307000132"/>
    <m/>
    <n v="2023"/>
    <n v="8"/>
    <n v="6"/>
    <s v="Propio"/>
    <s v="Bueno "/>
    <x v="1"/>
    <s v="SI"/>
    <d v="2026-11-01T00:00:00"/>
    <s v="SI"/>
    <n v="2024"/>
    <s v="EXTERNO"/>
    <s v="Lifefitness"/>
    <s v="COLDAS 2023"/>
    <s v="No aplica"/>
    <n v="2"/>
    <m/>
    <m/>
    <m/>
    <m/>
    <m/>
    <s v="X"/>
    <m/>
    <m/>
    <m/>
    <m/>
    <m/>
    <s v="X"/>
  </r>
  <r>
    <s v="Rehabilitacion Integral - 10"/>
    <s v="Hospital Penco Lirquen"/>
    <s v="Med. Física Rehabilitación"/>
    <s v="Bajo costo"/>
    <s v="Cicloergometro"/>
    <s v="Enraf Nonius"/>
    <s v="Monark 970"/>
    <s v="WBK2943271"/>
    <s v="HPL30395"/>
    <n v="2016"/>
    <n v="8"/>
    <n v="-1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icloergometro"/>
    <s v="Enraf Nonius"/>
    <s v="Monark 970"/>
    <s v="WBK2948302"/>
    <s v="HPL30396"/>
    <n v="2016"/>
    <n v="8"/>
    <n v="-1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Alto Costo"/>
    <s v="Cicloergómetro (motomed)"/>
    <s v="RECK"/>
    <s v="LAYSON"/>
    <s v="I48-LY-139504"/>
    <m/>
    <n v="2022"/>
    <n v="8"/>
    <n v="5"/>
    <s v="Propio"/>
    <s v="Bueno "/>
    <x v="1"/>
    <s v="SI"/>
    <d v="2024-01-04T00:00:00"/>
    <s v="SI"/>
    <n v="2024"/>
    <s v="EX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icloergómetro de mano"/>
    <s v="S/M"/>
    <s v="S/M"/>
    <s v="QH-016343"/>
    <s v="HPL30278"/>
    <n v="2016"/>
    <n v="8"/>
    <n v="-1"/>
    <s v="Propio"/>
    <s v="Bueno "/>
    <x v="1"/>
    <s v="NO"/>
    <s v="NO APLICA"/>
    <s v="SI"/>
    <n v="2024"/>
    <s v="INTERNO"/>
    <s v="TECNICO EQM HPL"/>
    <s v="NO APLICA"/>
    <m/>
    <n v="1"/>
    <m/>
    <m/>
    <m/>
    <m/>
    <m/>
    <m/>
    <m/>
    <m/>
    <m/>
    <s v="X"/>
    <m/>
    <m/>
  </r>
  <r>
    <s v="Rehabilitacion Integral - 10"/>
    <s v="Hospital Penco Lirquen"/>
    <s v="Med. Física Rehabilitación"/>
    <s v="Bajo costo"/>
    <s v="Congelador (crioterapia)"/>
    <s v="Mademsa"/>
    <s v="MFV-545B"/>
    <s v="13725K76700303"/>
    <s v="HPL30139"/>
    <n v="2016"/>
    <n v="10"/>
    <n v="1"/>
    <s v="Propio"/>
    <s v="Bueno "/>
    <x v="2"/>
    <s v="NO"/>
    <s v="NO APLICA"/>
    <s v="NO"/>
    <s v="NO APLICA"/>
    <s v="INTERNO"/>
    <s v="TECNICO EQM HPL"/>
    <s v="NO APLICA"/>
    <s v="-"/>
    <m/>
    <m/>
    <m/>
    <m/>
    <m/>
    <m/>
    <m/>
    <m/>
    <m/>
    <m/>
    <m/>
    <m/>
    <m/>
  </r>
  <r>
    <s v="Rehabilitacion Integral - 10"/>
    <s v="Hospital Penco Lirquen"/>
    <s v="Med. Física Rehabilitación"/>
    <s v="Mediano Costo "/>
    <s v="Elevador de pacientes"/>
    <s v="AKS"/>
    <s v="Clino 2"/>
    <n v="633"/>
    <s v="HPL29858"/>
    <n v="2017"/>
    <n v="8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ed. Física Rehabilitación"/>
    <s v="Bajo costo"/>
    <s v="Equipo de presoterapia"/>
    <s v="EME physio"/>
    <s v="Pressomed 2900"/>
    <s v="EM12470915"/>
    <s v="HPL3024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Monitoreo"/>
    <s v="Mediano Costo "/>
    <s v="Monitor ECG Baja Complejidad"/>
    <s v="Biolight"/>
    <s v="S12"/>
    <s v="S72B0002300"/>
    <m/>
    <n v="2024"/>
    <n v="8"/>
    <n v="7"/>
    <s v="Propio"/>
    <s v="Bueno "/>
    <x v="0"/>
    <s v="SI"/>
    <d v="2027-12-05T00:00:00"/>
    <s v="SI"/>
    <n v="2024"/>
    <s v="EXTERNO"/>
    <s v="SUPPORT MEDICAL"/>
    <s v="COLDAS 2024"/>
    <m/>
    <n v="2"/>
    <m/>
    <m/>
    <m/>
    <m/>
    <m/>
    <s v="X"/>
    <m/>
    <m/>
    <m/>
    <m/>
    <m/>
    <s v="X"/>
  </r>
  <r>
    <s v="Rehabilitacion Integral - 10"/>
    <s v="Hospital Penco Lirquen"/>
    <s v="Apoyo Diagnóstico"/>
    <s v="Bajo costo"/>
    <s v="Oximetro de pulso"/>
    <s v="Nonin"/>
    <s v="Vantage 9590"/>
    <n v="501479262"/>
    <s v="HPL3005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Rehabilitacion Integral - 10"/>
    <s v="Hospital Penco Lirquen"/>
    <s v="Apoyo Terapéutico"/>
    <s v="Alto Costo"/>
    <s v="Piscina Terapéutica"/>
    <s v="Swimex"/>
    <s v="SX470T"/>
    <s v="S/N"/>
    <s v="HPL30349"/>
    <n v="2016"/>
    <n v="10"/>
    <n v="1"/>
    <s v="Propio"/>
    <s v="Bueno "/>
    <x v="1"/>
    <s v="NO"/>
    <m/>
    <s v="SI"/>
    <n v="2023"/>
    <s v="EXTERNO"/>
    <s v="DOCTOR´S CHOICE"/>
    <s v="1057540-134-LE23"/>
    <n v="1190000"/>
    <n v="1"/>
    <m/>
    <m/>
    <m/>
    <m/>
    <m/>
    <s v="X"/>
    <m/>
    <m/>
    <m/>
    <m/>
    <m/>
    <m/>
  </r>
  <r>
    <s v="Salud del personal"/>
    <s v="Hospital Penco Lirquen"/>
    <s v="Apoyo Diagnóstico"/>
    <s v="Bajo costo"/>
    <s v="Balanza con tallímetro"/>
    <s v="ADE"/>
    <s v="M320600-0L"/>
    <s v="50930-0000409"/>
    <s v="HPL11936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biliario"/>
    <s v="Clínico"/>
    <s v="Camilla de examen"/>
    <s v="Malvestio"/>
    <n v="350100"/>
    <n v="20019516"/>
    <s v="HPL12004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biliario"/>
    <s v="Clínico"/>
    <s v="Camilla de examen"/>
    <s v="Malvestio"/>
    <n v="350100"/>
    <n v="20019522"/>
    <s v="HPL1194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Monitoreo"/>
    <s v="Mediano Costo "/>
    <s v="Monitor de signos vitales"/>
    <s v="Edan"/>
    <s v="M3A"/>
    <s v="302019-M14505610013"/>
    <s v="HPL11939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m/>
    <s v="X"/>
    <m/>
    <m/>
    <m/>
    <m/>
    <m/>
    <s v="X"/>
  </r>
  <r>
    <s v="Salud del personal"/>
    <s v="Hospital Penco Lirquen"/>
    <s v="Apoyo Diagnóstico"/>
    <s v="Bajo costo"/>
    <s v="Oto-oftalmoscopio de pared"/>
    <s v="Riester"/>
    <s v="Ri-scope L"/>
    <s v="S/N"/>
    <s v="HPL3012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alud del personal"/>
    <s v="Hospital Penco Lirquen"/>
    <s v="Apoyo Diagnóstico"/>
    <s v="Bajo costo"/>
    <s v="Oto-oftalmoscopio de pared"/>
    <s v="Riester"/>
    <s v="Ri-scope L"/>
    <s v="S/N"/>
    <s v="HPL30122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alud del personal - 5"/>
    <s v="Hospital Penco Lirquen"/>
    <s v="Laboratorio/Farmac"/>
    <s v="Mediano Costo "/>
    <s v="Refrigerador Clinico"/>
    <s v="Smeg"/>
    <s v="FV30G1"/>
    <n v="5122200021"/>
    <s v="HPL11932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Salud del personal - 5"/>
    <s v="Hospital Penco Lirquen"/>
    <s v="Apoyo Diagnóstico"/>
    <s v="Bajo costo"/>
    <s v="Termómetro digital"/>
    <s v="Omrom"/>
    <s v="MC-720"/>
    <s v="20161100942RF"/>
    <s v="HPL30172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"/>
    <s v="AMIKA-ES"/>
    <n v="25140460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42003806"/>
    <m/>
    <n v="2023"/>
    <n v="8"/>
    <n v="6"/>
    <s v="Comodato"/>
    <s v="Bueno"/>
    <x v="2"/>
    <s v="NO"/>
    <s v="NO APLICA"/>
    <s v="NO"/>
    <s v="NO APLICA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7131748"/>
    <m/>
    <n v="2023"/>
    <n v="8"/>
    <n v="6"/>
    <s v="Comodato"/>
    <s v="Bueno"/>
    <x v="2"/>
    <s v="NO"/>
    <s v="NO APLICA"/>
    <s v="NO"/>
    <s v="NO APLICA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19180007"/>
    <m/>
    <n v="2023"/>
    <n v="8"/>
    <n v="6"/>
    <s v="Comodato"/>
    <s v="Bueno"/>
    <x v="2"/>
    <s v="NO"/>
    <s v="NO APLICA"/>
    <s v="NO"/>
    <s v="NO APLICA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Covidien"/>
    <s v="Kangaroo"/>
    <s v="F20245883"/>
    <m/>
    <n v="2023"/>
    <n v="8"/>
    <n v="6"/>
    <s v="Comodato"/>
    <s v="Bueno"/>
    <x v="2"/>
    <s v="NO"/>
    <s v="NO APLICA"/>
    <s v="NO"/>
    <s v="NO APLICA"/>
    <s v="CONTRATO"/>
    <s v="Medtronic (covidien)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0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140459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3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5328670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"/>
    <s v="Hospital Penco Lirquen"/>
    <s v="Apoyo Terapéutico"/>
    <s v="Mediano Costo "/>
    <s v="Bomba de nutrición enteral"/>
    <s v="Fresenius Kabi - Ley Ricarte Soto"/>
    <s v="AMIKA-ES"/>
    <n v="24180086"/>
    <m/>
    <n v="2023"/>
    <n v="8"/>
    <n v="6"/>
    <s v="Comodato"/>
    <s v="Bueno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SEDILE - 17A"/>
    <s v="Hospital Penco Lirquen"/>
    <s v="Esterilización"/>
    <s v="Alto Costo"/>
    <s v="Autoclave"/>
    <s v="Matachana"/>
    <s v="21ED"/>
    <n v="123218"/>
    <s v="HPL29920"/>
    <n v="2016"/>
    <n v="10"/>
    <n v="1"/>
    <s v="Propio"/>
    <s v="Bueno "/>
    <x v="3"/>
    <s v="NO"/>
    <m/>
    <s v="SI"/>
    <n v="2023"/>
    <s v="EXTERNO"/>
    <s v="International Clinics"/>
    <s v="1057540-14-LE24"/>
    <n v="749700"/>
    <n v="1"/>
    <m/>
    <m/>
    <m/>
    <m/>
    <m/>
    <m/>
    <m/>
    <m/>
    <s v="X"/>
    <m/>
    <m/>
    <m/>
  </r>
  <r>
    <s v="SEDILE - 17A"/>
    <s v="Hospital Penco Lirquen"/>
    <s v="Apoyo Diagnóstico"/>
    <s v="Bajo costo"/>
    <s v="Balanza evaluación nutricional"/>
    <s v="OMRON"/>
    <s v="HBF-514C"/>
    <s v="20220101101F"/>
    <m/>
    <n v="2022"/>
    <n v="10"/>
    <n v="7"/>
    <s v="Propio"/>
    <s v="Bueno "/>
    <x v="2"/>
    <s v="NO"/>
    <d v="2023-06-01T00:00:00"/>
    <s v="NO"/>
    <s v="NO APLICA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2F"/>
    <m/>
    <n v="2022"/>
    <n v="10"/>
    <n v="7"/>
    <s v="Propio"/>
    <s v="Bueno "/>
    <x v="2"/>
    <s v="NO"/>
    <d v="2023-06-01T00:00:00"/>
    <s v="NO"/>
    <s v="NO APLICA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Apoyo Diagnóstico"/>
    <s v="Bajo costo"/>
    <s v="Balanza evaluación nutricional"/>
    <s v="OMRON"/>
    <s v="HBF-514C"/>
    <s v="20220101104F"/>
    <m/>
    <n v="2022"/>
    <n v="10"/>
    <n v="7"/>
    <s v="Propio"/>
    <s v="Bueno "/>
    <x v="2"/>
    <s v="NO"/>
    <d v="2023-06-01T00:00:00"/>
    <s v="NO"/>
    <s v="NO APLICA"/>
    <s v="INTERNO"/>
    <s v="TECNICO EQM HPL"/>
    <s v="NO APLICA"/>
    <m/>
    <m/>
    <m/>
    <m/>
    <m/>
    <m/>
    <m/>
    <m/>
    <m/>
    <m/>
    <m/>
    <m/>
    <m/>
    <m/>
  </r>
  <r>
    <s v="SEDILE - 17A"/>
    <s v="Hospital Penco Lirquen"/>
    <s v="Laboratorio/Farmac"/>
    <s v="Mediano Costo "/>
    <s v="Refrigerador Clinico"/>
    <s v="Smeg"/>
    <s v="FV30G1"/>
    <n v="5122200041"/>
    <s v="HPL30077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SEDILE - BODEGA EQUIPOS MÉDICOS (-1) 17A"/>
    <s v="Hospital Penco Lirquen"/>
    <s v="Apoyo Diagnóstico"/>
    <s v="Bajo costo"/>
    <s v="Balanza gramera"/>
    <s v="Prodelab"/>
    <n v="50001"/>
    <n v="151217"/>
    <m/>
    <n v="2016"/>
    <n v="10"/>
    <n v="1"/>
    <s v="Propio"/>
    <s v="MALO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699"/>
    <s v="HPL29864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con tallímetro"/>
    <s v="Doran Scales"/>
    <s v="Quote 12957"/>
    <n v="1700"/>
    <s v="HPL29865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Balanza recien nacido"/>
    <s v="Seca"/>
    <n v="7254021004"/>
    <n v="5775236151118"/>
    <s v="HPL30114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Fresenius Kabi"/>
    <s v="Agilia VP MC"/>
    <n v="24338311"/>
    <s v="HPL28461"/>
    <n v="2021"/>
    <n v="8"/>
    <n v="4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"/>
    <s v="Hospital Penco Lirquen"/>
    <s v="Apoyo Terapéutico"/>
    <s v="Mediano Costo "/>
    <s v="Bomba de infusión continua"/>
    <s v="ICU Medical"/>
    <s v="Plum A"/>
    <n v="18346057"/>
    <m/>
    <n v="2016"/>
    <n v="8"/>
    <n v="-1"/>
    <s v="Comodato"/>
    <s v="MALO"/>
    <x v="2"/>
    <s v="NO"/>
    <s v="NO APLICA"/>
    <s v="NO"/>
    <s v="NO APLICA"/>
    <s v="CONTRATO"/>
    <m/>
    <m/>
    <m/>
    <m/>
    <m/>
    <m/>
    <m/>
    <m/>
    <m/>
    <m/>
    <m/>
    <m/>
    <m/>
    <m/>
    <m/>
    <m/>
  </r>
  <r>
    <s v="Urgencia"/>
    <s v="Hospital Penco Lirquen"/>
    <s v="Apoyo Terapéutico"/>
    <s v="Bajo costo"/>
    <s v="Calentador de suero"/>
    <s v="Hot line"/>
    <s v="HL-90"/>
    <n v="19990856"/>
    <s v="HPL29969"/>
    <n v="2016"/>
    <n v="8"/>
    <n v="-1"/>
    <s v="Propio"/>
    <s v="MALO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a clínica mecánica"/>
    <s v="Joson Care"/>
    <s v="MS-05HS"/>
    <n v="1601070815"/>
    <s v="S/N"/>
    <n v="2024"/>
    <n v="4"/>
    <n v="3"/>
    <s v="Préstamo"/>
    <s v="Bueno"/>
    <x v="2"/>
    <s v="NO"/>
    <s v="NO APLICA"/>
    <s v="NO"/>
    <s v="NO APLICA"/>
    <s v="INTERNO"/>
    <s v="TECNICO EQM HPL"/>
    <m/>
    <m/>
    <m/>
    <m/>
    <m/>
    <m/>
    <m/>
    <m/>
    <m/>
    <m/>
    <m/>
    <m/>
    <m/>
    <m/>
    <m/>
  </r>
  <r>
    <s v="Urgencia"/>
    <s v="Hospital Penco Lirquen"/>
    <s v="Mobiliario"/>
    <s v="Clínico"/>
    <s v="Cama clínica mecánica"/>
    <s v="Joson Care"/>
    <s v="MS-05HS"/>
    <n v="1601071087"/>
    <s v="S/N"/>
    <n v="2024"/>
    <n v="4"/>
    <n v="3"/>
    <s v="Préstamo"/>
    <s v="Bueno"/>
    <x v="2"/>
    <s v="NO"/>
    <s v="NO APLICA"/>
    <s v="NO"/>
    <s v="NO APLICA"/>
    <s v="INTERNO"/>
    <s v="TECNICO EQM HPL"/>
    <m/>
    <m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3"/>
    <s v="HPL29970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reanimación"/>
    <s v="Malvestio"/>
    <n v="320830"/>
    <n v="20009074"/>
    <s v="HPL29971"/>
    <n v="2015"/>
    <n v="8"/>
    <n v="-2"/>
    <s v="Propio"/>
    <s v="Bueno "/>
    <x v="2"/>
    <s v="NO"/>
    <s v="NO APLICA"/>
    <s v="NO"/>
    <s v="NO APLICA"/>
    <s v="INTERNO"/>
    <s v="TECNICO EQM HPL"/>
    <s v="NO APLICA"/>
    <n v="180000"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1"/>
    <s v="HPL29972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4"/>
    <s v="HPL29975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5"/>
    <s v="HPL29976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6"/>
    <s v="HPL29977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7"/>
    <s v="HPL29978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8"/>
    <s v="HPL29979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89"/>
    <s v="HPL29980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090"/>
    <s v="HPL2998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092"/>
    <s v="HPL2998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0"/>
    <s v="HPL3000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2"/>
    <s v="HPL30003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n v="320810"/>
    <n v="20009473"/>
    <s v="HPL30004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biliario"/>
    <s v="Clínico"/>
    <s v="Camilla de trasporte de paciente"/>
    <s v="Malvestio"/>
    <s v="Runner 800"/>
    <n v="20009474"/>
    <s v="HPL30005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nitoreo"/>
    <s v="Mediano Costo "/>
    <s v="Desfibrilador externo automático (DEA)"/>
    <s v="Mindray"/>
    <s v="BeneHeart C2"/>
    <s v="AE7-01001130"/>
    <s v="HPL30209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5G-08197"/>
    <s v="HPL30196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Zoll"/>
    <s v="AED plus"/>
    <s v="(21) X16K874144"/>
    <s v="HPL30119"/>
    <n v="2017"/>
    <n v="8"/>
    <n v="0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Philips"/>
    <s v="Heart Start"/>
    <s v="A19K-06534"/>
    <s v="HPL30199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83"/>
    <m/>
    <n v="2023"/>
    <n v="8"/>
    <n v="6"/>
    <s v="Propio"/>
    <s v="Bueno"/>
    <x v="0"/>
    <s v="SI"/>
    <d v="2025-11-23T00:00:00"/>
    <s v="SI"/>
    <n v="2024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59"/>
    <m/>
    <n v="2023"/>
    <n v="8"/>
    <n v="6"/>
    <s v="Propio"/>
    <s v="Bueno"/>
    <x v="0"/>
    <s v="SI"/>
    <d v="2025-11-23T00:00:00"/>
    <s v="SI"/>
    <n v="2024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84"/>
    <m/>
    <n v="2023"/>
    <n v="8"/>
    <n v="6"/>
    <s v="Propio"/>
    <s v="Bueno"/>
    <x v="0"/>
    <s v="SI"/>
    <d v="2025-11-23T00:00:00"/>
    <s v="SI"/>
    <n v="2024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74"/>
    <m/>
    <n v="2023"/>
    <n v="8"/>
    <n v="6"/>
    <s v="Propio"/>
    <s v="Bueno"/>
    <x v="0"/>
    <s v="SI"/>
    <d v="2025-11-23T00:00:00"/>
    <s v="SI"/>
    <n v="2024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Monitoreo"/>
    <s v="Mediano Costo "/>
    <s v="Desfibrilador externo automático (DEA)"/>
    <s v="NIHON KOHDEN"/>
    <s v="AED-3100"/>
    <n v="30594"/>
    <m/>
    <n v="2023"/>
    <n v="8"/>
    <n v="6"/>
    <s v="Propio"/>
    <s v="Bueno"/>
    <x v="0"/>
    <s v="SI"/>
    <d v="2025-11-23T00:00:00"/>
    <s v="SI"/>
    <n v="2024"/>
    <s v="INTERNO"/>
    <s v="TECNICO EQM HPL"/>
    <s v="NO APLICA"/>
    <n v="0"/>
    <n v="2"/>
    <m/>
    <m/>
    <m/>
    <m/>
    <s v="X"/>
    <m/>
    <m/>
    <m/>
    <m/>
    <m/>
    <s v="X"/>
    <m/>
  </r>
  <r>
    <s v="Urgencia"/>
    <s v="Hospital Penco Lirquen"/>
    <s v="Apoyo Diagnóstico"/>
    <s v="Bajo costo"/>
    <s v="Esfingomanómetro digital"/>
    <s v="Mati med"/>
    <s v="TP-200"/>
    <s v="B13"/>
    <s v="HPL30222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Quirúrgico"/>
    <s v="Mediano Costo "/>
    <s v="Lámpara de procedimientos"/>
    <s v="Welchallyn"/>
    <s v="GS600"/>
    <s v="S/N"/>
    <s v="HPL30315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adulto"/>
    <s v="Sunmed"/>
    <s v="Kit especial"/>
    <s v="S/N"/>
    <s v="HPL30320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Laringoscopio pediátrico"/>
    <s v="Sunmed"/>
    <s v="S/N"/>
    <s v="S/N"/>
    <s v="HPL3032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Monitoreo"/>
    <s v="Mediano Costo "/>
    <s v="Monitor de signos vitales"/>
    <s v="Mindray"/>
    <s v="DPM3"/>
    <s v="DQ-18000395"/>
    <s v="HPL30238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 signos vitales"/>
    <s v="Mindray"/>
    <s v="DPM3"/>
    <s v="DQ-18000401"/>
    <s v="HPL30239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59SA"/>
    <s v="HPL31304"/>
    <n v="2022"/>
    <n v="8"/>
    <n v="5"/>
    <s v="Propio"/>
    <s v="Bueno "/>
    <x v="0"/>
    <s v="SI"/>
    <d v="2024-12-01T00:00:00"/>
    <s v="SI"/>
    <n v="2024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72SA"/>
    <s v="HPL31305"/>
    <n v="2022"/>
    <n v="8"/>
    <n v="5"/>
    <s v="Propio"/>
    <s v="Bueno "/>
    <x v="0"/>
    <s v="SI"/>
    <d v="2024-12-01T00:00:00"/>
    <s v="SI"/>
    <n v="2024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30003SA"/>
    <s v="HPL31306"/>
    <n v="2022"/>
    <n v="8"/>
    <n v="5"/>
    <s v="Propio"/>
    <s v="Bueno "/>
    <x v="0"/>
    <s v="SI"/>
    <d v="2024-12-01T00:00:00"/>
    <s v="SI"/>
    <n v="2024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"/>
    <s v="Monitor de signos vitales"/>
    <s v="General Electric"/>
    <s v="V100"/>
    <s v="SH622300047SA"/>
    <s v="HPL31307"/>
    <n v="2022"/>
    <n v="8"/>
    <n v="5"/>
    <s v="Propio"/>
    <s v="Bueno "/>
    <x v="0"/>
    <s v="SI"/>
    <d v="2024-12-01T00:00:00"/>
    <s v="SI"/>
    <n v="2024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sfibrilador"/>
    <s v="Zoll medical"/>
    <s v="Serie R ALS"/>
    <s v="AF15D045649"/>
    <s v="HPL30210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m/>
    <m/>
    <s v="X"/>
    <m/>
    <m/>
    <m/>
    <m/>
    <m/>
    <s v="X"/>
    <m/>
  </r>
  <r>
    <s v="Urgencia"/>
    <s v="Hospital Penco Lirquen"/>
    <s v="Monitoreo"/>
    <s v="Mediano Costo "/>
    <s v="Monitor desfibrilador "/>
    <s v="Zoll medical"/>
    <s v="Serie R ALS"/>
    <s v="AF15D045654"/>
    <s v="HPL30211"/>
    <n v="2016"/>
    <n v="8"/>
    <n v="-1"/>
    <s v="Propio"/>
    <s v="Bueno "/>
    <x v="0"/>
    <s v="NO"/>
    <s v="NO APLICA"/>
    <s v="SI"/>
    <n v="2023"/>
    <s v="INTERNO"/>
    <s v="TECNICO EQM HPL"/>
    <s v="NO APLICA"/>
    <s v="-"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373"/>
    <s v="HPL29911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09"/>
    <s v="HPL29913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Nihon Kohden"/>
    <s v="PVM-2701"/>
    <n v="115438"/>
    <s v="HPL29917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36"/>
    <s v="HPL30029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4"/>
    <s v="HPL30030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48"/>
    <s v="HPL30033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1"/>
    <s v="HPL30034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2"/>
    <s v="HPL30035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5"/>
    <s v="HPL30037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57"/>
    <s v="HPL30039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Fukuda Denshi"/>
    <s v="Dinascope DSL-8001"/>
    <n v="50200469"/>
    <s v="HPL30044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31190WA"/>
    <s v="HPL30369"/>
    <n v="2015"/>
    <n v="8"/>
    <n v="-2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Monitoreo"/>
    <s v="Mediano Costo "/>
    <s v="Monitor ECG Baja Complejidad"/>
    <s v="General Electric"/>
    <s v="B20"/>
    <s v="SGF15151303WA"/>
    <s v="HPL30370"/>
    <n v="2016"/>
    <n v="8"/>
    <n v="-1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rgencia"/>
    <s v="Hospital Penco Lirquen"/>
    <s v="Apoyo Diagnóstico"/>
    <s v="Bajo costo"/>
    <s v="Oto-oftalmoscopio de pared"/>
    <s v="Riester"/>
    <s v="Ri-scope L"/>
    <s v="box1"/>
    <s v="HPL30231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2"/>
    <s v="HPL3023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5"/>
    <s v="HPL3023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to-oftalmoscopio de pared"/>
    <s v="Welchallyn"/>
    <n v="77712"/>
    <s v="box7"/>
    <s v="HPL30235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"/>
    <s v="Nellcor"/>
    <s v="Oximax N-65"/>
    <s v="G15802062"/>
    <s v="HPL30257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Diagnóstico"/>
    <s v="Bajo costo"/>
    <s v="Oximetro de pulso con capnografía"/>
    <s v="Nonin"/>
    <n v="9843"/>
    <n v="501319003"/>
    <s v="HPL30055"/>
    <n v="2015"/>
    <n v="8"/>
    <n v="-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"/>
    <s v="Hospital Penco Lirquen"/>
    <s v="Apoyo Terapéutico"/>
    <s v="Bajo costo"/>
    <s v="Sierra corta yeso"/>
    <s v="Martin"/>
    <s v="Elektronik"/>
    <s v="S/N"/>
    <s v="HPL30353"/>
    <n v="2017"/>
    <n v="10"/>
    <n v="2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1B"/>
    <s v="Hospital Penco Lirquen"/>
    <s v="Apoyo Terapéutico"/>
    <s v="Alto Costo"/>
    <s v="Ventilador mecánico invasivo de transporte"/>
    <s v="Drager"/>
    <s v="Oxylog 3000 plus"/>
    <s v="ASNH-0102"/>
    <s v="HPL30220"/>
    <n v="2020"/>
    <n v="8"/>
    <n v="3"/>
    <s v="Propio"/>
    <s v="Bueno "/>
    <x v="0"/>
    <s v="NO"/>
    <s v="NO APLICA"/>
    <s v="SI"/>
    <n v="2023"/>
    <s v="CONTRATO"/>
    <s v="TDM"/>
    <s v="1057540-101-LE23"/>
    <m/>
    <n v="2"/>
    <m/>
    <m/>
    <s v="X"/>
    <m/>
    <m/>
    <m/>
    <m/>
    <m/>
    <s v="X"/>
    <m/>
    <m/>
    <m/>
  </r>
  <r>
    <s v="Urgencia - 1B"/>
    <s v="Hospital Penco Lirquen"/>
    <s v="Apoyo Terapéutico"/>
    <s v="Mediano Costo "/>
    <s v="Bomba de infusión continua"/>
    <s v="Fresenius Kabi"/>
    <s v="Volumat MC Agilia E"/>
    <n v="21425792"/>
    <s v="HPL28423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 - 6"/>
    <s v="Hospital Penco Lirquen"/>
    <s v="Apoyo Diagnóstico"/>
    <s v="Bajo costo"/>
    <s v="Oto-oftalmoscopio de pared"/>
    <s v="Welchallyn"/>
    <n v="77712"/>
    <s v="box6"/>
    <s v="HPL30234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"/>
    <s v="Hospital Penco Lirquen"/>
    <s v="Laboratorio/Farmac"/>
    <s v="Mediano Costo "/>
    <s v="Refrigerador Clinico"/>
    <s v="Smeg"/>
    <s v="FV30G1"/>
    <n v="5120200011"/>
    <s v="HPL30075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Urgencia - 6A"/>
    <s v="Hospital Penco Lirquen"/>
    <s v="Otros"/>
    <s v="Alto Costo"/>
    <s v="Camara Mortuoria doble"/>
    <s v="Matachana"/>
    <s v="21cm2c2p"/>
    <s v="f-10173"/>
    <s v="HPL30247"/>
    <n v="2015"/>
    <n v="8"/>
    <n v="-2"/>
    <s v="Propio"/>
    <s v="Bueno "/>
    <x v="1"/>
    <s v="NO"/>
    <s v="NO APLICA"/>
    <s v="SI"/>
    <n v="2023"/>
    <s v="EXTERNO"/>
    <s v="INTERNATIONAL CLINICS"/>
    <s v="1057540-14-LE24"/>
    <n v="868700"/>
    <n v="1"/>
    <m/>
    <s v="√"/>
    <m/>
    <m/>
    <m/>
    <m/>
    <m/>
    <m/>
    <m/>
    <m/>
    <m/>
    <m/>
  </r>
  <r>
    <s v="Urgencia - 6A"/>
    <s v="Hospital Penco Lirquen"/>
    <s v="Otros"/>
    <s v="Mediano Costo "/>
    <s v="Carro elevador de cadaveres"/>
    <s v="Matachana"/>
    <s v="LIFTING TROLLEY"/>
    <s v="ELE0216139"/>
    <s v="HPL30241"/>
    <n v="2015"/>
    <n v="8"/>
    <n v="-2"/>
    <s v="Propio"/>
    <s v="Bueno "/>
    <x v="1"/>
    <s v="NO"/>
    <s v="NO APLICA"/>
    <s v="SI"/>
    <n v="2023"/>
    <s v="EXTERNO"/>
    <s v="INTERNATIONAL CLINICS"/>
    <s v="1057540-14-LE24"/>
    <n v="630700"/>
    <n v="1"/>
    <m/>
    <s v="√"/>
    <m/>
    <m/>
    <m/>
    <m/>
    <m/>
    <m/>
    <m/>
    <m/>
    <m/>
    <m/>
  </r>
  <r>
    <s v="Urgencia - 6A"/>
    <s v="Hospital Penco Lirquen"/>
    <s v="Imagenología"/>
    <s v="Alto Costo"/>
    <s v="Ecógrafo"/>
    <s v="General Electric"/>
    <s v="Logiq E"/>
    <s v="420339WX4"/>
    <s v="HPL30189"/>
    <n v="2015"/>
    <n v="8"/>
    <n v="-2"/>
    <s v="Propio"/>
    <s v="Bueno "/>
    <x v="3"/>
    <s v="NO"/>
    <s v="NO APLICA"/>
    <s v="SI"/>
    <n v="2023"/>
    <s v="EXTERNO"/>
    <s v="HOSER"/>
    <s v="1057540-17-LE23"/>
    <n v="1832600"/>
    <n v="2"/>
    <m/>
    <s v="√"/>
    <m/>
    <m/>
    <m/>
    <m/>
    <m/>
    <m/>
    <s v="X"/>
    <m/>
    <m/>
    <m/>
  </r>
  <r>
    <s v="Urgencia - 6A"/>
    <s v="Hospital Penco Lirquen"/>
    <s v="Apoyo Diagnóstico"/>
    <s v="Mediano Costo "/>
    <s v="Electrocardiografo"/>
    <s v="Nihon Kohden"/>
    <s v="Cardiofax C ECG 1150"/>
    <s v="04055K"/>
    <s v="HPL30130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29WA"/>
    <s v="HPL30373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2WA"/>
    <s v="HPL30374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Diagnóstico"/>
    <s v="Mediano Costo "/>
    <s v="Electrocardiografo"/>
    <s v="General Electric"/>
    <s v="MAC 800"/>
    <s v="SJ416020048WA"/>
    <s v="HPL30375"/>
    <n v="2016"/>
    <n v="8"/>
    <n v="-1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Urgencia - 6A"/>
    <s v="Hospital Penco Lirquen"/>
    <s v="Apoyo Quirúrgico"/>
    <s v="Alto Costo"/>
    <s v="Lampara de techo"/>
    <s v="ACEM"/>
    <s v="SOLED 15"/>
    <s v="S15S1000756"/>
    <s v="HPL30354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7"/>
    <s v="HPL30355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8"/>
    <s v="HPL30356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59"/>
    <s v="HPL30357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0"/>
    <s v="HPL30358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Quirúrgico"/>
    <s v="Alto Costo"/>
    <s v="Lampara de techo"/>
    <s v="ACEM"/>
    <s v="SOLED 15"/>
    <s v="S15S1000762"/>
    <s v="HPL30360"/>
    <n v="2016"/>
    <n v="10"/>
    <n v="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1876"/>
    <s v="HPL30252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1877"/>
    <s v="HPL30253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Apoyo Diagnóstico"/>
    <s v="Bajo costo"/>
    <s v="Oximetro de pulso"/>
    <s v="Nellcor"/>
    <s v="Oximax N-65"/>
    <s v="G15802024"/>
    <s v="HPL30254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A"/>
    <s v="Hospital Penco Lirquen"/>
    <s v="Laboratorio/Farmac"/>
    <s v="Mediano Costo "/>
    <s v="Refrigerador"/>
    <s v="General Electric"/>
    <s v="GAG5SAMRCS"/>
    <s v="2D1610-0094"/>
    <s v="HPL30180"/>
    <n v="2015"/>
    <n v="10"/>
    <n v="0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Urgencia - 6B"/>
    <s v="Hospital Penco Lirquen"/>
    <s v="Apoyo Terapéutico"/>
    <s v="Bajo costo"/>
    <s v="Calentador de suero"/>
    <s v="Ethermics"/>
    <s v="DC 250L"/>
    <s v="1778112-000"/>
    <s v="HPL30156"/>
    <n v="2016"/>
    <n v="8"/>
    <n v="-1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 - 6B"/>
    <s v="Hospital Penco Lirquen"/>
    <s v="Apoyo Terapéutico"/>
    <s v="Bajo costo"/>
    <s v="Calentador de suero"/>
    <s v="Ethermics"/>
    <s v="EC 250L"/>
    <s v="3470774-4"/>
    <m/>
    <n v="2024"/>
    <n v="8"/>
    <n v="7"/>
    <s v="Propio"/>
    <s v="Bueno "/>
    <x v="2"/>
    <s v="SI"/>
    <d v="2026-11-27T00:00:00"/>
    <s v="SI"/>
    <n v="2025"/>
    <s v="EXTERNO"/>
    <s v="PRODIAGNOSTICA"/>
    <s v="COLDAS 2024"/>
    <n v="0"/>
    <n v="1"/>
    <m/>
    <m/>
    <m/>
    <m/>
    <m/>
    <m/>
    <m/>
    <m/>
    <m/>
    <m/>
    <s v="X"/>
    <m/>
  </r>
  <r>
    <s v="Urgencia - 7B"/>
    <s v="Hospital Penco Lirquen"/>
    <s v="Apoyo Terapéutico"/>
    <s v="Bajo costo"/>
    <s v="Camilla de trasporte de paciente"/>
    <s v="Malvestio"/>
    <s v="Itala"/>
    <n v="20100093"/>
    <m/>
    <n v="2023"/>
    <n v="8"/>
    <n v="6"/>
    <s v="Propio"/>
    <s v="Bueno "/>
    <x v="1"/>
    <s v="SI"/>
    <d v="2024-06-15T00:00:00"/>
    <s v="NO"/>
    <n v="2024"/>
    <s v="EXTERNO"/>
    <s v="COLDAS"/>
    <s v="BLUEMEDICAL"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 E"/>
    <n v="21248881"/>
    <s v="HPL28422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389"/>
    <s v="HPL28340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06432"/>
    <s v="HPL28459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 - 9B"/>
    <s v="Hospital Penco Lirquen"/>
    <s v="Apoyo Terapéutico"/>
    <s v="Mediano Costo "/>
    <s v="Bomba de infusión continua"/>
    <s v="Fresenius Kabi"/>
    <s v="Volumat MC Agilia"/>
    <n v="23460298"/>
    <s v="HPL28460"/>
    <n v="2019"/>
    <n v="8"/>
    <n v="2"/>
    <s v="Comodato"/>
    <s v="Bueno "/>
    <x v="2"/>
    <s v="NO"/>
    <s v="NO APLICA"/>
    <s v="NO"/>
    <s v="NO APLICA"/>
    <s v="CONTRATO"/>
    <s v="Fresenius Kabi"/>
    <m/>
    <m/>
    <m/>
    <m/>
    <m/>
    <m/>
    <m/>
    <m/>
    <m/>
    <m/>
    <m/>
    <m/>
    <m/>
    <m/>
    <m/>
  </r>
  <r>
    <s v="Urgencias"/>
    <s v="Hospital Penco Lirquen"/>
    <s v="Apoyo Diagnóstico"/>
    <s v="Bajo costo "/>
    <s v="Balanza pediátrica"/>
    <s v="Seca"/>
    <s v="725 1021004"/>
    <n v="5725236151118"/>
    <s v="HPL25060"/>
    <m/>
    <n v="10"/>
    <m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rgencias"/>
    <s v="Hospital Penco Lirquen"/>
    <s v="Apoyo Terapéutico"/>
    <s v="Bajo costo"/>
    <s v="Videolaringoscopio"/>
    <s v="Covidien"/>
    <s v="McGRATH MAC"/>
    <n v="181504"/>
    <m/>
    <n v="2024"/>
    <n v="3"/>
    <n v="2"/>
    <s v="Propio"/>
    <s v="Bueno "/>
    <x v="2"/>
    <s v="SI"/>
    <d v="2025-12-02T00:00:00"/>
    <s v="NO"/>
    <s v="NO APLICA"/>
    <s v="EXTERNO"/>
    <m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477"/>
    <m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2958862"/>
    <m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018150"/>
    <m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Urgencias - 6"/>
    <s v="Hospital Penco Lirquen"/>
    <s v="Apoyo Terapéutico"/>
    <s v="Mediano Costo "/>
    <s v="Bomba de infusión continua - Back Up"/>
    <s v="Fresenius Kabi"/>
    <s v="Volumat MC Agilia"/>
    <n v="23345501"/>
    <m/>
    <n v="2023"/>
    <n v="8"/>
    <n v="6"/>
    <s v="Comodato"/>
    <s v="Bueno "/>
    <x v="2"/>
    <s v="NO"/>
    <s v="NO APLICA"/>
    <s v="NO"/>
    <s v="NO APLICA"/>
    <s v="CONTRATO"/>
    <s v="Fresenius"/>
    <m/>
    <m/>
    <m/>
    <m/>
    <m/>
    <m/>
    <m/>
    <m/>
    <m/>
    <m/>
    <m/>
    <m/>
    <m/>
    <m/>
    <m/>
  </r>
  <r>
    <s v="Urgencias - 6B"/>
    <s v="Hospital Penco Lirquen"/>
    <s v="Apoyo Diagnóstico"/>
    <s v="Mediano Costo "/>
    <s v="Capnógrafo"/>
    <s v="MASIMO"/>
    <s v="EMMA"/>
    <s v="REF 605102"/>
    <m/>
    <n v="2023"/>
    <n v="8"/>
    <n v="6"/>
    <s v="Propio"/>
    <s v="Bueno "/>
    <x v="2"/>
    <s v="SI"/>
    <d v="2024-03-20T00:00:00"/>
    <s v="NO"/>
    <s v="NO APLICA"/>
    <s v="EXTERNO"/>
    <s v="PV EQUIP"/>
    <s v="COLDAS 2022"/>
    <m/>
    <m/>
    <m/>
    <m/>
    <m/>
    <m/>
    <m/>
    <m/>
    <m/>
    <m/>
    <m/>
    <m/>
    <m/>
    <m/>
  </r>
  <r>
    <s v="UTI"/>
    <s v="Hospital Penco Lirquen"/>
    <s v="Monitoreo"/>
    <s v="Alto Costo"/>
    <s v="Central de Monitoreo"/>
    <s v="Nihon Kohden"/>
    <s v="CNS-9101"/>
    <n v="100513"/>
    <m/>
    <n v="2021"/>
    <n v="8"/>
    <n v="4"/>
    <s v="Propio"/>
    <s v="Bueno "/>
    <x v="2"/>
    <s v="NO"/>
    <s v="NO APLICA"/>
    <s v="SI"/>
    <n v="2025"/>
    <s v="EXTERNO"/>
    <s v="PENDIENTE"/>
    <s v="PENDIENTE"/>
    <n v="1500000"/>
    <n v="2"/>
    <m/>
    <m/>
    <s v="X"/>
    <m/>
    <m/>
    <m/>
    <m/>
    <m/>
    <s v="X"/>
    <m/>
    <m/>
    <m/>
  </r>
  <r>
    <s v="UTI"/>
    <s v="Hospital Penco Lirquen"/>
    <s v="Apoyo Terapéutico"/>
    <s v="Alto Costo"/>
    <s v="Ventilador mecánico Invasivo"/>
    <s v="MECKics"/>
    <s v="MV2000-EVO 5"/>
    <s v="MV2000UA1C0549"/>
    <s v="HPL30272"/>
    <n v="2021"/>
    <n v="8"/>
    <n v="4"/>
    <s v="Préstamo"/>
    <s v="Bueno "/>
    <x v="0"/>
    <s v="NO"/>
    <s v="NO APLICA"/>
    <s v="SI"/>
    <n v="2023"/>
    <s v="CONTRATO"/>
    <s v="TDM"/>
    <s v="1057540-101-LE23"/>
    <m/>
    <n v="2"/>
    <m/>
    <m/>
    <s v="X"/>
    <m/>
    <m/>
    <m/>
    <m/>
    <m/>
    <s v="X"/>
    <m/>
    <m/>
    <m/>
  </r>
  <r>
    <s v="UTI"/>
    <s v="Hospital Penco Lirquen"/>
    <s v="Apoyo Terapéutico"/>
    <s v="Alto Costo"/>
    <s v="Ventilador Mecanico No Invasivo"/>
    <s v="Philips"/>
    <s v="Trilogy EV300"/>
    <s v="H29910884D650"/>
    <s v="_x0009__x000a_HPL31308"/>
    <n v="2022"/>
    <n v="8"/>
    <n v="5"/>
    <s v="Propio"/>
    <s v="Bueno "/>
    <x v="0"/>
    <s v="SI"/>
    <d v="2024-12-01T00:00:00"/>
    <s v="SI"/>
    <n v="2023"/>
    <s v="EXTERNO"/>
    <s v="TDM"/>
    <s v="1057540-101-LE23"/>
    <m/>
    <n v="2"/>
    <m/>
    <m/>
    <s v="X"/>
    <m/>
    <m/>
    <m/>
    <m/>
    <m/>
    <s v="X"/>
    <m/>
    <m/>
    <m/>
  </r>
  <r>
    <s v="UTI"/>
    <s v="Hospital Penco Lirquen"/>
    <s v="Apoyo Terapéutico"/>
    <s v="Mediano Costo "/>
    <s v="Base humidificadora para VMI"/>
    <s v="Fisher &amp; Paykel Healthcare"/>
    <s v="MR850"/>
    <s v="210310559905"/>
    <s v="HPL30175"/>
    <n v="2022"/>
    <n v="8"/>
    <n v="5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0"/>
    <s v="HPL28468"/>
    <n v="2021"/>
    <n v="8"/>
    <n v="4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4"/>
    <s v="HPL28469"/>
    <n v="2021"/>
    <n v="8"/>
    <n v="4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Mediano Costo "/>
    <s v="Bomba de infusión continua"/>
    <s v="Fresenius Kabi"/>
    <s v="Agilia VP MC"/>
    <n v="24338317"/>
    <s v="HPL28470"/>
    <n v="2021"/>
    <n v="8"/>
    <n v="4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1"/>
    <s v="HPL28486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"/>
    <s v="Hospital Penco Lirquen"/>
    <s v="Apoyo Terapéutico"/>
    <s v="Bajo costo"/>
    <s v="Bomba de nutrición enteral"/>
    <s v="Fresenius Kabi"/>
    <s v="AMIKA-ES"/>
    <n v="240009342"/>
    <s v="HPL28487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814"/>
    <s v="HPL30186"/>
    <n v="2019"/>
    <n v="10"/>
    <n v="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"/>
    <s v="Hospital Penco Lirquen"/>
    <s v="Apoyo Quirúrgico"/>
    <s v="Mediano Costo "/>
    <s v="Lámpara de procedimientos"/>
    <s v="Drager"/>
    <s v="Polaris 50"/>
    <s v="3314H000261795"/>
    <s v="HPL30185"/>
    <n v="2019"/>
    <n v="10"/>
    <n v="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"/>
    <s v="Hospital Penco Lirquen"/>
    <s v="Monitoreo"/>
    <s v="Mediano Costo"/>
    <s v="Monitor de presión (holter)"/>
    <s v="Cardioline"/>
    <s v="WALK 200b"/>
    <s v="AACO57"/>
    <m/>
    <n v="2021"/>
    <n v="8"/>
    <n v="4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"/>
    <s v="Hospital Penco Lirquen"/>
    <s v="Monitoreo"/>
    <s v="Mediano Costo "/>
    <s v="Monitor desfibrilador "/>
    <s v="Zoll medical"/>
    <s v="Serie R ALS"/>
    <s v="AF20F118297"/>
    <s v="HPL30215"/>
    <n v="2020"/>
    <n v="8"/>
    <n v="3"/>
    <s v="Propio"/>
    <s v="Bueno "/>
    <x v="0"/>
    <s v="NO"/>
    <s v="NO APLICA"/>
    <s v="SI"/>
    <n v="2023"/>
    <s v="INTERNO"/>
    <s v="TECNICO EQM HPL"/>
    <s v="NO APLICA"/>
    <s v="-"/>
    <n v="2"/>
    <m/>
    <m/>
    <m/>
    <m/>
    <s v="X"/>
    <m/>
    <m/>
    <m/>
    <m/>
    <m/>
    <s v="X"/>
    <m/>
  </r>
  <r>
    <s v="UTI"/>
    <s v="Hospital Penco Lirquen"/>
    <s v="Laboratorio/Farmac"/>
    <s v="Mediano Costo "/>
    <s v="Refrigerador Clinico"/>
    <s v="Smeg"/>
    <s v="FV30G1"/>
    <n v="5122200071"/>
    <s v="HPL30079"/>
    <n v="2016"/>
    <n v="10"/>
    <n v="1"/>
    <s v="Propio"/>
    <s v="Bueno "/>
    <x v="1"/>
    <s v="NO"/>
    <s v="NO APLICA"/>
    <s v="SI"/>
    <n v="2023"/>
    <s v="CONTRATO"/>
    <s v="CLIMATICPRO"/>
    <s v="1057540-100-LE23"/>
    <n v="51703"/>
    <n v="1"/>
    <m/>
    <m/>
    <m/>
    <m/>
    <m/>
    <m/>
    <m/>
    <m/>
    <s v="X"/>
    <m/>
    <m/>
    <m/>
  </r>
  <r>
    <s v="UTI"/>
    <s v="Hospital Penco Lirquen"/>
    <s v="Apoyo Terapéutico"/>
    <s v="Mediano Costo "/>
    <s v="Sistema de alto flujo humidificado"/>
    <s v="Respircare"/>
    <s v="HUMID-BM"/>
    <s v="SN302010004201105057"/>
    <n v="2187448"/>
    <n v="2024"/>
    <n v="8"/>
    <n v="7"/>
    <s v="Préstam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"/>
    <s v="Hospital Penco Lirquen"/>
    <s v="Apoyo Terapéutico"/>
    <s v="Mediano Costo "/>
    <s v="Sistema de alto flujo humidificado"/>
    <s v="Respircare"/>
    <s v="HUMID-BM"/>
    <s v="SN302010004201105039"/>
    <n v="2187449"/>
    <n v="2024"/>
    <n v="8"/>
    <n v="7"/>
    <s v="Préstam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"/>
    <s v="Hospital Penco Lirquen"/>
    <s v="Apoyo Terapéutico"/>
    <s v="Clínico"/>
    <s v="Sistema de alto flujo humidificado"/>
    <s v="Fisher &amp; Paykel"/>
    <s v="Airvo 2"/>
    <n v="230118354805"/>
    <m/>
    <n v="2024"/>
    <n v="8"/>
    <n v="7"/>
    <s v="Propio"/>
    <s v="Bueno "/>
    <x v="2"/>
    <s v="SI"/>
    <d v="2026-09-01T00:00:00"/>
    <s v="SI"/>
    <n v="2024"/>
    <s v="EXTERNO"/>
    <s v="Mediplex"/>
    <s v="1057540-59-L124"/>
    <n v="0"/>
    <n v="1"/>
    <m/>
    <m/>
    <m/>
    <m/>
    <m/>
    <m/>
    <m/>
    <m/>
    <s v="X"/>
    <m/>
    <m/>
    <m/>
  </r>
  <r>
    <s v="UTI"/>
    <s v="Hospital Penco Lirquen"/>
    <s v="Apoyo Terapéutico"/>
    <s v="Bajo costo"/>
    <s v="Videolaringoscopio"/>
    <s v="Covidien"/>
    <s v="McGRATH MAC"/>
    <n v="181503"/>
    <m/>
    <n v="2024"/>
    <n v="3"/>
    <n v="2"/>
    <s v="Propio"/>
    <s v="Bueno "/>
    <x v="2"/>
    <s v="SI"/>
    <d v="2025-12-02T00:00:00"/>
    <s v="NO"/>
    <s v="NO APLICA"/>
    <s v="EXTERNO"/>
    <m/>
    <m/>
    <m/>
    <m/>
    <m/>
    <m/>
    <m/>
    <m/>
    <m/>
    <m/>
    <m/>
    <m/>
    <m/>
    <m/>
    <m/>
    <m/>
  </r>
  <r>
    <s v="UTI "/>
    <s v="Hospital Penco Lirquen"/>
    <s v="Monitoreo"/>
    <s v="Alto Costo"/>
    <s v="Monitor ECG alta complejidad"/>
    <s v="Nihon Kohden"/>
    <s v="CSM-1502"/>
    <s v="03714"/>
    <s v="HPL30124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17"/>
    <s v="HPL30125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3"/>
    <s v="HPL30126"/>
    <n v="2021"/>
    <n v="8"/>
    <n v="4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26"/>
    <s v="HPL30127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39"/>
    <s v="HPL30128"/>
    <n v="2021"/>
    <n v="8"/>
    <n v="4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alta complejidad"/>
    <s v="Nihon Kohden"/>
    <s v="CSM-1502"/>
    <s v="03740"/>
    <s v="HPL30129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14)"/>
    <s v="Nihon Kohden"/>
    <s v="BSM-1763K"/>
    <s v="08697"/>
    <s v="HPL30133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17)"/>
    <s v="Nihon Kohden"/>
    <s v="BSM-1763K"/>
    <s v="08699"/>
    <s v="HPL30134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23)"/>
    <s v="Nihon Kohden"/>
    <s v="BSM-1763K"/>
    <s v="08694"/>
    <s v="HPL30132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alta complejidad (pequeño adosado a 03740)"/>
    <s v="Nihon Kohden"/>
    <s v="BSM-1763K"/>
    <n v="8528"/>
    <s v="HPL30135"/>
    <n v="2021"/>
    <n v="8"/>
    <n v="4"/>
    <s v="Préstam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"/>
    <s v="Hospital Penco Lirquen"/>
    <s v="Monitoreo"/>
    <s v="Alto Costo"/>
    <s v="Monitor ECG transporte mediana complejidad (pequeño adosado a 03726)"/>
    <s v="Nihon Kohden"/>
    <s v="BSM-1763K"/>
    <n v="6678"/>
    <s v="HPL29879"/>
    <n v="2020"/>
    <n v="8"/>
    <n v="3"/>
    <s v="Propio"/>
    <s v="Bueno "/>
    <x v="0"/>
    <s v="NO"/>
    <s v="NO APLICA"/>
    <s v="SI"/>
    <n v="2023"/>
    <s v="INTERNO"/>
    <s v="TECNICO EQM HPL"/>
    <s v="NO APLICA"/>
    <m/>
    <n v="2"/>
    <m/>
    <m/>
    <m/>
    <m/>
    <s v="X"/>
    <m/>
    <m/>
    <m/>
    <m/>
    <m/>
    <s v="X"/>
    <m/>
  </r>
  <r>
    <s v="UTI -  1B"/>
    <s v="Hospital Penco Lirquen"/>
    <s v="Apoyo Terapéutico"/>
    <s v="Mediano Costo "/>
    <s v="Bomba de infusión continua"/>
    <s v="Braun"/>
    <s v="Perfusor Space"/>
    <n v="512451"/>
    <s v="HPL29929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59"/>
    <s v="HPL29930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 1B"/>
    <s v="Hospital Penco Lirquen"/>
    <s v="Apoyo Terapéutico"/>
    <s v="Mediano Costo "/>
    <s v="Bomba de infusión continua"/>
    <s v="Braun"/>
    <s v="Perfusor Space"/>
    <n v="512464"/>
    <s v="HPL29931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Alto Costo"/>
    <s v="Ventilador mecánico Invasivo"/>
    <s v="MECKics"/>
    <s v="MV2000-EVO 5"/>
    <s v="MV2000UA1C0551"/>
    <s v="HPL30273"/>
    <n v="2021"/>
    <n v="8"/>
    <n v="4"/>
    <s v="Préstamo"/>
    <s v="Bueno "/>
    <x v="0"/>
    <s v="NO"/>
    <s v="NO APLICA"/>
    <s v="SI"/>
    <n v="2023"/>
    <s v="EXTERNO"/>
    <s v="TDM"/>
    <s v="1057540-101-LE23"/>
    <m/>
    <n v="2"/>
    <m/>
    <m/>
    <s v="X"/>
    <m/>
    <m/>
    <m/>
    <m/>
    <m/>
    <s v="X"/>
    <m/>
    <m/>
    <m/>
  </r>
  <r>
    <s v="UTI - 1B"/>
    <s v="Hospital Penco Lirquen"/>
    <s v="Apoyo Terapéutico"/>
    <s v="Alto Costo"/>
    <s v="Ventilador mecánico Invasivo"/>
    <s v="Philips"/>
    <s v="Trilogy 100"/>
    <s v="TV11909271B"/>
    <s v="HPL30385"/>
    <n v="2020"/>
    <n v="8"/>
    <n v="3"/>
    <s v="Préstamo"/>
    <s v="Bueno "/>
    <x v="0"/>
    <s v="NO"/>
    <s v="NO APLICA"/>
    <s v="SI"/>
    <n v="2023"/>
    <s v="EXTERNO"/>
    <s v="TDM"/>
    <s v="1057540-101-LE23"/>
    <m/>
    <n v="2"/>
    <m/>
    <m/>
    <s v="X"/>
    <m/>
    <m/>
    <m/>
    <m/>
    <m/>
    <s v="X"/>
    <m/>
    <m/>
    <m/>
  </r>
  <r>
    <s v="UTI - 1B"/>
    <s v="Hospital Penco Lirquen"/>
    <s v="Apoyo Terapéutico"/>
    <s v="Mediano Costo "/>
    <s v="Bomba de infusión continua"/>
    <s v="Fresenius Kabi"/>
    <s v="Volumat MC Agilia"/>
    <n v="22266993"/>
    <s v="HPL28463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69"/>
    <s v="HPL29932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1"/>
    <s v="HPL29933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Braun"/>
    <s v="Perfusor Space"/>
    <n v="512473"/>
    <s v="HPL29935"/>
    <n v="2020"/>
    <n v="8"/>
    <n v="3"/>
    <s v="Propio"/>
    <s v="Bueno "/>
    <x v="2"/>
    <s v="NO"/>
    <s v="NO APLICA"/>
    <s v="NO"/>
    <s v="NO APLICA"/>
    <s v="EXTERNO"/>
    <s v="NO APLICA"/>
    <s v="NO APLICA"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"/>
    <s v="Fresenius Kabi"/>
    <s v="Volumat MC Agilia"/>
    <n v="22958488"/>
    <s v="HPL28467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Bomba de Infusión Continua - Back up"/>
    <s v="Fresenius Kabi"/>
    <s v="Volumat MC Agilia"/>
    <n v="22958408"/>
    <m/>
    <n v="2023"/>
    <n v="8"/>
    <n v="6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Bajo costo"/>
    <s v="Bomba de nutrición enteral"/>
    <s v="Fresenius Kabi"/>
    <s v="AMIKA-ES"/>
    <n v="24668407"/>
    <s v="HPL28483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1B"/>
    <s v="Hospital Penco Lirquen"/>
    <s v="Apoyo Terapéutico"/>
    <s v="Mediano Costo "/>
    <s v="Monitor de Coagulación Sanguínea"/>
    <s v="Coaguchek"/>
    <s v="Pro II Kit W-LAN"/>
    <s v="TZ1140845"/>
    <m/>
    <n v="2022"/>
    <n v="10"/>
    <n v="7"/>
    <s v="Propio"/>
    <s v="Bueno "/>
    <x v="2"/>
    <s v="SI"/>
    <n v="2023"/>
    <s v="NO"/>
    <s v="NO APLICA"/>
    <s v="EXTERNO"/>
    <m/>
    <s v="COLDAS 2022"/>
    <m/>
    <m/>
    <m/>
    <m/>
    <m/>
    <m/>
    <m/>
    <m/>
    <m/>
    <m/>
    <m/>
    <m/>
    <m/>
    <m/>
  </r>
  <r>
    <s v="UTI - 1B"/>
    <s v="Hospital Penco Lirquen"/>
    <s v="Mobiliario"/>
    <s v="Clínico"/>
    <s v="Sillón de tratamiento"/>
    <s v="Malvestio"/>
    <s v="Idea 2 "/>
    <n v="20100210"/>
    <m/>
    <n v="2023"/>
    <m/>
    <m/>
    <s v="Propio "/>
    <s v="Bueno "/>
    <x v="2"/>
    <s v="SI"/>
    <m/>
    <s v="NO"/>
    <s v="NO APLICA"/>
    <s v="EXTERNO"/>
    <s v="BLUEMEDICAL"/>
    <m/>
    <m/>
    <m/>
    <m/>
    <m/>
    <m/>
    <m/>
    <m/>
    <m/>
    <m/>
    <m/>
    <m/>
    <m/>
    <m/>
    <m/>
  </r>
  <r>
    <s v="UTI - 1C"/>
    <s v="Hospital Penco Lirquen"/>
    <s v="Apoyo Terapéutico"/>
    <s v="Mediano Costo "/>
    <s v="Bomba de infusión continua - Back Up"/>
    <s v="Fresenius Kabi"/>
    <s v="Volumat MC Agilia"/>
    <n v="23644256"/>
    <m/>
    <n v="2023"/>
    <n v="8"/>
    <n v="6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1C"/>
    <s v="Hospital Penco Lirquen"/>
    <s v="Apoyo Terapéutico"/>
    <s v="Mediano Costo "/>
    <s v="Calentador de paciente"/>
    <s v="3M Bair Hugger"/>
    <n v="775"/>
    <n v="145319"/>
    <s v="HPL29921"/>
    <n v="2020"/>
    <n v="8"/>
    <n v="3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3CC1555"/>
    <s v="HPL30386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1"/>
    <s v="HPL30387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2"/>
    <s v="HPL30388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4"/>
    <s v="HPL30389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5"/>
    <s v="HPL30390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Mobiliario"/>
    <s v="Clínico"/>
    <s v="Cama clínica eléctrica"/>
    <s v="Hill-Rom"/>
    <s v="Centuris P750"/>
    <s v="V116CC1806"/>
    <s v="HPL30391"/>
    <n v="2020"/>
    <n v="8"/>
    <n v="3"/>
    <s v="Propio"/>
    <s v="Bueno "/>
    <x v="1"/>
    <s v="NO"/>
    <s v="NO APLICA"/>
    <s v="SI"/>
    <n v="2024"/>
    <s v="CONTRATO"/>
    <s v="SERVITEC"/>
    <s v="1057540-128-LE23"/>
    <n v="264444"/>
    <n v="1"/>
    <m/>
    <s v="√"/>
    <m/>
    <m/>
    <m/>
    <m/>
    <m/>
    <m/>
    <m/>
    <m/>
    <m/>
    <m/>
  </r>
  <r>
    <s v="UTI - 1C"/>
    <s v="Hospital Penco Lirquen"/>
    <s v="Apoyo Diagnóstico"/>
    <s v="Mediano Costo "/>
    <s v="Electrocardiografo"/>
    <s v="General Electric"/>
    <s v="MAC2000"/>
    <s v="STD20110229PA"/>
    <s v="HPL30380"/>
    <n v="2020"/>
    <n v="8"/>
    <n v="3"/>
    <s v="Propio"/>
    <s v="Bueno "/>
    <x v="1"/>
    <s v="NO"/>
    <s v="NO APLICA"/>
    <s v="SI"/>
    <n v="2023"/>
    <s v="INTERNO"/>
    <s v="TECNICO EQM HPL"/>
    <s v="NO APLICA"/>
    <m/>
    <n v="1"/>
    <m/>
    <m/>
    <m/>
    <m/>
    <m/>
    <m/>
    <m/>
    <m/>
    <m/>
    <m/>
    <s v="X"/>
    <m/>
  </r>
  <r>
    <s v="UTI - 1C"/>
    <s v="Hospital Penco Lirquen"/>
    <s v="Apoyo Terapéutico"/>
    <s v="Mediano Costo "/>
    <s v="Marcapasos externo"/>
    <s v="Medtronic"/>
    <n v="5392"/>
    <s v="DJH039556P"/>
    <s v="HPL30237"/>
    <n v="2021"/>
    <n v="8"/>
    <n v="4"/>
    <s v="Propio"/>
    <s v="Bueno "/>
    <x v="2"/>
    <s v="NO"/>
    <s v="NO APLICA"/>
    <s v="NO"/>
    <s v="NO APLICA"/>
    <s v="EXTERNO"/>
    <m/>
    <m/>
    <m/>
    <m/>
    <m/>
    <m/>
    <m/>
    <m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12"/>
    <s v="HPL30072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044"/>
    <s v="HPL30073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Respircare"/>
    <s v="HUMID-BM"/>
    <n v="4201105163"/>
    <s v="HPL30074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459"/>
    <s v="HPL30107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"/>
    <s v="Airvo 2"/>
    <n v="201215231563"/>
    <s v="HPL30108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1C"/>
    <s v="Hospital Penco Lirquen"/>
    <s v="Apoyo Terapéutico"/>
    <s v="Mediano Costo "/>
    <s v="Sistema de alto flujo humidificado"/>
    <s v="Fisher &amp; Paykel Healthcare"/>
    <s v="Airvo 2"/>
    <s v="200612139226"/>
    <s v="HPL30170"/>
    <n v="2021"/>
    <n v="8"/>
    <n v="4"/>
    <s v="Propio"/>
    <s v="Bueno "/>
    <x v="2"/>
    <s v="NO"/>
    <s v="NO APLICA"/>
    <s v="SI"/>
    <n v="2025"/>
    <s v="EXTERNO"/>
    <s v="PENDIENTE"/>
    <s v="PENDIENTE"/>
    <n v="394250"/>
    <n v="1"/>
    <m/>
    <m/>
    <m/>
    <s v="X"/>
    <m/>
    <m/>
    <m/>
    <m/>
    <m/>
    <m/>
    <m/>
    <m/>
  </r>
  <r>
    <s v="UTI - 6B"/>
    <s v="Hospital Penco Lirquen"/>
    <s v="Apoyo Terapéutico"/>
    <s v="Mediano Costo "/>
    <s v="Bomba de infusión continua"/>
    <s v="Fresenius Kabi"/>
    <s v="Volumat MC Agilia"/>
    <n v="22958501"/>
    <s v="HPL28454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Diagnóstico"/>
    <s v="Bajo costo"/>
    <s v="Balanza con tallímetro"/>
    <s v="Seca"/>
    <s v="GMDH &amp; CO"/>
    <n v="5769092145228"/>
    <s v="HPL24769"/>
    <n v="2015"/>
    <n v="10"/>
    <n v="0"/>
    <s v="Propio"/>
    <s v="Bueno "/>
    <x v="2"/>
    <s v="NO"/>
    <s v="NO APLICA"/>
    <s v="NO"/>
    <s v="NO APLICA"/>
    <s v="INTERNO"/>
    <s v="TECNICO EQM HPL"/>
    <s v="NO APLICA"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 E"/>
    <n v="21634126"/>
    <s v="HPL28465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170022"/>
    <s v="HPL28462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2657687"/>
    <s v="HPL28466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Mediano Costo "/>
    <s v="Bomba de infusión continua"/>
    <s v="Fresenius Kabi"/>
    <s v="Volumat MC Agilia"/>
    <n v="23460275"/>
    <s v="HPL28464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6"/>
    <s v="HPL28482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Hospital Penco Lirquen"/>
    <s v="Bajo costo"/>
    <s v="Bomba de nutrición enteral"/>
    <s v="Fresenius Kabi"/>
    <s v="AMIKA-ES"/>
    <n v="240009338"/>
    <s v="HPL28484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B"/>
    <s v="Hospital Penco Lirquen"/>
    <s v="Apoyo Terapéutico"/>
    <s v="Bajo costo"/>
    <s v="Bomba de nutrición enteral"/>
    <s v="Fresenius Kabi"/>
    <s v="AMIKA-ES"/>
    <n v="240009339"/>
    <s v="HPL28485"/>
    <n v="2019"/>
    <n v="8"/>
    <n v="2"/>
    <s v="Comodato"/>
    <s v="Bueno "/>
    <x v="2"/>
    <s v="NO"/>
    <s v="NO APLICA"/>
    <s v="NO"/>
    <s v="NO APLICA"/>
    <s v="EXTERNO"/>
    <s v="Fresenius Kabi"/>
    <m/>
    <m/>
    <m/>
    <m/>
    <m/>
    <m/>
    <m/>
    <m/>
    <m/>
    <m/>
    <m/>
    <m/>
    <m/>
    <m/>
    <m/>
  </r>
  <r>
    <s v="UTI - 9D"/>
    <s v="Hospital Penco Lirquen"/>
    <s v="Apoyo Terapéutico"/>
    <s v="Alto Costo"/>
    <s v="Ventilador mecánico no Invasivo"/>
    <s v="Philips"/>
    <s v="Trilogy 202"/>
    <s v="TV016091211"/>
    <s v="HPL24850"/>
    <n v="2016"/>
    <n v="8"/>
    <n v="-1"/>
    <s v="Propio"/>
    <s v="Bueno "/>
    <x v="0"/>
    <s v="NO"/>
    <s v="NO APLICA"/>
    <s v="SI"/>
    <n v="2023"/>
    <s v="EXTERNO"/>
    <s v="TDM"/>
    <s v="1057540-101-LE23"/>
    <m/>
    <n v="2"/>
    <m/>
    <m/>
    <s v="X"/>
    <m/>
    <m/>
    <m/>
    <m/>
    <m/>
    <s v="X"/>
    <m/>
    <m/>
    <m/>
  </r>
  <r>
    <s v="UTI - 9D"/>
    <s v="Hospital Penco Lirquen"/>
    <s v="Apoyo Terapéutico"/>
    <s v="Alto Costo"/>
    <s v="Ventilador mecánico no Invasivo"/>
    <s v="Philips"/>
    <s v="Trilogy 202"/>
    <s v="TV016091214"/>
    <s v="HPL24776"/>
    <n v="2016"/>
    <n v="8"/>
    <n v="-1"/>
    <s v="Propio"/>
    <s v="Bueno "/>
    <x v="0"/>
    <s v="NO"/>
    <s v="NO APLICA"/>
    <s v="SI"/>
    <n v="2023"/>
    <s v="EXTERNO"/>
    <s v="TDM"/>
    <s v="1057540-101-LE23"/>
    <m/>
    <n v="2"/>
    <m/>
    <m/>
    <s v="X"/>
    <m/>
    <m/>
    <m/>
    <m/>
    <m/>
    <s v="X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D7BF8-5503-4A30-BB99-77CBF44501A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2:B47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OSTO ANUAL DE MANTENIMIENTO SEGÚN CONVENIO / PRECIO DE REFERENCIA MANTENIMIENTO ANUAL" fld="22" baseField="0" baseItem="0" numFmtId="41"/>
  </dataFields>
  <formats count="7"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  <format dxfId="16">
      <pivotArea collapsedLevelsAreSubtotals="1" fieldPosition="0">
        <references count="1">
          <reference field="18" count="2">
            <x v="0"/>
            <x v="1"/>
          </reference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DFFEB-47E2-44C5-96CC-99D764548B18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4" type="button" dataOnly="0" labelOnly="1" outline="0" axis="axisRow" fieldPosition="0"/>
    </format>
    <format dxfId="24">
      <pivotArea dataOnly="0" labelOnly="1" fieldPosition="0">
        <references count="1">
          <reference field="1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37B95-D70C-4BE8-AD9F-987ABB8F86F1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9:B66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m="1" x="4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8"/>
    <field x="14"/>
  </rowFields>
  <rowItems count="1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5">
    <format dxfId="32">
      <pivotArea dataOnly="0" labelOnly="1" outline="0" axis="axisValues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F3E65-85E7-4F66-91A1-ED89326A64A3}" name="Tabla1" displayName="Tabla1" ref="A3:X138" totalsRowShown="0">
  <autoFilter ref="A3:X138" xr:uid="{FDFF3E65-85E7-4F66-91A1-ED89326A64A3}"/>
  <sortState xmlns:xlrd2="http://schemas.microsoft.com/office/spreadsheetml/2017/richdata2" ref="A4:X138">
    <sortCondition ref="X3:X138"/>
  </sortState>
  <tableColumns count="24">
    <tableColumn id="1" xr3:uid="{B2BE1B77-1EEA-41B4-A1F8-2160358F4DBC}" name="SERVICIO CLÍNICO"/>
    <tableColumn id="2" xr3:uid="{9C263469-28F6-43CB-B736-447C2370F646}" name="RECINTO"/>
    <tableColumn id="3" xr3:uid="{2FB6F044-4759-4B3D-8C4C-2C939DC9458A}" name="CLASE"/>
    <tableColumn id="4" xr3:uid="{7FB2C261-EFC4-4E33-A694-E5F75859BA1A}" name="SUBCLASE"/>
    <tableColumn id="5" xr3:uid="{B837B634-BF9B-4A9B-A09D-A48EEF02420E}" name="NOMBRE EQUIPO"/>
    <tableColumn id="6" xr3:uid="{985BB8B5-78C8-4E6C-837E-4DCD07DFBF67}" name="MARCA"/>
    <tableColumn id="7" xr3:uid="{B001CF8E-C7B6-4F2B-82FA-90136A109B36}" name="MODELO"/>
    <tableColumn id="8" xr3:uid="{22E787C1-1267-4008-8C11-2CB5322A1766}" name="SERIE"/>
    <tableColumn id="9" xr3:uid="{FC39BB46-7DE0-41FB-91D1-A4DA20545D27}" name="N° INVENTARIO"/>
    <tableColumn id="10" xr3:uid="{56609EB4-240A-4B63-B147-D9E021F84050}" name="AÑO DE ADQUISICIÓN"/>
    <tableColumn id="11" xr3:uid="{83E4B237-AF83-4C67-8FBF-2DD774DA2BC8}" name="VIDA ÚTIL"/>
    <tableColumn id="12" xr3:uid="{87C7EC26-9A4D-4C63-A293-46BCF9C9D087}" name="VIDA ÚTIL RESIDUAL"/>
    <tableColumn id="13" xr3:uid="{6E7D9C76-7234-434F-9D76-716B83C0705D}" name="PROPIO / ARRIENDO / COMODATO"/>
    <tableColumn id="14" xr3:uid="{174507D2-5E35-4747-AB72-CC134E22A0E8}" name="ESTADO (BUENO / REGULAR / MALO / BAJA)"/>
    <tableColumn id="15" xr3:uid="{C521A3E0-E154-46EA-8BBB-0BEBBD1DC0C1}" name="CRÍTICO/ RELEVANTE / IM≥12 / NO APLICA"/>
    <tableColumn id="16" xr3:uid="{861D46D3-88B0-499B-9A6D-8838DE751AED}" name="EN GARANTÍA (SI / NO)"/>
    <tableColumn id="17" xr3:uid="{218DF307-C5A0-4990-9AB1-D50B77BABBE1}" name="AÑO VENCIMIENTO GARANTÍA"/>
    <tableColumn id="18" xr3:uid="{9C50D535-FE6D-4CD1-A6E6-4B992ECFEFB3}" name="BAJO PLAN DE MANTENIMIENTO (SI / NO)"/>
    <tableColumn id="19" xr3:uid="{FB48B1EE-6AB9-42CA-B202-928589FA7DAC}" name="AÑO INGRESO A PLAN DE MANTENIMIENTO (2023 / 2024 / 2025 / 2026)"/>
    <tableColumn id="20" xr3:uid="{E85DD0C3-D454-4B63-9365-CB0CDC6BBFB4}" name="MANTENIMIENTO INTERNO O MANTENIMIENTO EXTERNO O CONTRATO"/>
    <tableColumn id="21" xr3:uid="{070F4099-09A7-46A9-91D6-E763BD172253}" name="NOMBRE DE PROVEEDOR O MANTENIMIENTO INTERNO"/>
    <tableColumn id="22" xr3:uid="{CA115412-E33D-419C-BA34-6C259B0286F6}" name="ID CONVENIO DE MANTENIMIENTO / ID DE REFERENCIA / COTIZACIÓN DE REFERENCIA"/>
    <tableColumn id="23" xr3:uid="{49AC3DF0-2501-4277-ADEB-6687888F5182}" name="COSTO ANUAL DE MANTENIMIENTO SEGÚN CONVENIO / PRECIO DE REFERENCIA MANTENIMIENTO ANUAL"/>
    <tableColumn id="24" xr3:uid="{444DE804-E0B3-4DF4-9877-4ADB19033C70}" name="FRECUENCIA ANUAL DE MANTENI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C2802E-7CFA-416B-9DD2-404921F54C6E}" name="Tabla2" displayName="Tabla2" ref="A3:AJ139" totalsRowShown="0">
  <autoFilter ref="A3:AJ139" xr:uid="{61C2802E-7CFA-416B-9DD2-404921F54C6E}"/>
  <sortState xmlns:xlrd2="http://schemas.microsoft.com/office/spreadsheetml/2017/richdata2" ref="A4:AJ139">
    <sortCondition ref="X3:X139"/>
  </sortState>
  <tableColumns count="36">
    <tableColumn id="1" xr3:uid="{28F130A4-9F47-4D0A-AC51-2AED36870138}" name="SERVICIO CLÍNICO"/>
    <tableColumn id="2" xr3:uid="{F4BC8B04-404E-41A4-92AE-50D7A0106D73}" name="RECINTO"/>
    <tableColumn id="3" xr3:uid="{E70B89B2-887E-45CF-917A-35B7C544C216}" name="CLASE"/>
    <tableColumn id="4" xr3:uid="{BF2F6EFC-2681-41CC-9134-C111AAAC6425}" name="SUBCLASE"/>
    <tableColumn id="5" xr3:uid="{3421E118-846E-42A3-967F-4E378B7F0C1A}" name="NOMBRE EQUIPO"/>
    <tableColumn id="6" xr3:uid="{EB8AAA76-2E89-4301-906E-DC89A88D541D}" name="MARCA"/>
    <tableColumn id="7" xr3:uid="{58AA13F5-72A3-4F43-A062-B08845975B92}" name="MODELO"/>
    <tableColumn id="8" xr3:uid="{60C60D78-3353-44F0-8BD9-EA2B05926EC1}" name="SERIE"/>
    <tableColumn id="9" xr3:uid="{41D0943A-5612-4F97-B173-EF3314099312}" name="N° INVENTARIO"/>
    <tableColumn id="10" xr3:uid="{5DB4C645-225B-48B7-A609-FEE46A4FFBE9}" name="AÑO DE ADQUISICIÓN"/>
    <tableColumn id="11" xr3:uid="{E8ADBD94-8283-4FEA-A001-279D074ED3C9}" name="VIDA ÚTIL"/>
    <tableColumn id="12" xr3:uid="{A2FF2219-55F3-4368-878C-6B5AE815DACA}" name="VIDA ÚTIL RESIDUAL"/>
    <tableColumn id="13" xr3:uid="{0C4DA3AD-8CFB-404A-BB07-69B4F80D0233}" name="PROPIO / ARRIENDO / COMODATO"/>
    <tableColumn id="14" xr3:uid="{E48EDE35-6BBD-43E7-827B-D277551F3C5B}" name="ESTADO (BUENO / REGULAR / MALO / BAJA)"/>
    <tableColumn id="15" xr3:uid="{14AF2403-736F-42E7-892A-315AF18DECE9}" name="CRÍTICO/ RELEVANTE / IM≥12 / NO APLICA"/>
    <tableColumn id="16" xr3:uid="{39CD2120-AB39-4781-BDC6-35F18AA09640}" name="EN GARANTÍA (SI / NO)"/>
    <tableColumn id="17" xr3:uid="{6B0FE4EA-8F4C-4C91-AF40-AB01599DFFFB}" name="AÑO VENCIMIENTO GARANTÍA"/>
    <tableColumn id="18" xr3:uid="{CDE5467D-6188-44FF-8D96-AC0EAFCCFB00}" name="BAJO PLAN DE MANTENIMIENTO (SI / NO)"/>
    <tableColumn id="19" xr3:uid="{9AB5B2C6-FD21-4139-9626-2B707D3A7CDC}" name="AÑO INGRESO A PLAN DE MANTENIMIENTO (2023 / 2024 / 2025 / 2026)"/>
    <tableColumn id="20" xr3:uid="{6ABC987C-81CE-44A7-B34F-B4760BDA9C15}" name="MANTENIMIENTO INTERNO O MANTENIMIENTO EXTERNO O CONTRATO"/>
    <tableColumn id="21" xr3:uid="{8436FFDF-28C2-4A30-B7CD-210A87AD0CB1}" name="NOMBRE DE PROVEEDOR O MANTENIMIENTO INTERNO"/>
    <tableColumn id="22" xr3:uid="{184D66B3-D308-430F-8B4F-3F08E52368F1}" name="ID CONVENIO DE MANTENIMIENTO / ID DE REFERENCIA / COTIZACIÓN DE REFERENCIA"/>
    <tableColumn id="23" xr3:uid="{74AE14FD-7D04-42D8-BBDA-8A55A61B7D1A}" name="COSTO ANUAL DE MANTENIMIENTO SEGÚN CONVENIO / PRECIO DE REFERENCIA MANTENIMIENTO ANUAL"/>
    <tableColumn id="24" xr3:uid="{B4F86B1F-0197-43CA-A6A4-06337C6F77B8}" name="FRECUENCIA ANUAL DE MANTENIMIENTO"/>
    <tableColumn id="25" xr3:uid="{6385614D-C1FA-4437-8EBC-8F9A7FA0DD70}" name="ENERO"/>
    <tableColumn id="26" xr3:uid="{ED393E2D-1CDA-490C-894F-F457237F610B}" name="FEBRERO"/>
    <tableColumn id="27" xr3:uid="{E0E6058C-46DA-460A-9938-043C11B0C625}" name="MARZO"/>
    <tableColumn id="28" xr3:uid="{8B3EE916-5B34-440F-AE09-D97FECDE3B13}" name="ABRIL"/>
    <tableColumn id="29" xr3:uid="{8B7ADAAA-6631-4479-A429-596836D4F723}" name="MAYO"/>
    <tableColumn id="30" xr3:uid="{BCB242BB-4B86-4669-B7F2-70FA142A9472}" name="JUNIO"/>
    <tableColumn id="31" xr3:uid="{D1D2DCA1-34CD-4247-BE6D-E09F3F618690}" name="JULIO"/>
    <tableColumn id="32" xr3:uid="{0F3BB1C2-A6E5-48CD-B954-22758575E56B}" name="AGOSTO"/>
    <tableColumn id="33" xr3:uid="{E0DE8EA9-85F2-4637-AE4F-5FCBAD94A531}" name="SEPTIEMBRE"/>
    <tableColumn id="34" xr3:uid="{CCB699A7-73BA-4E1B-9682-6015121D5C7A}" name="OCTUBRE"/>
    <tableColumn id="35" xr3:uid="{A5E587E4-C774-45D3-9125-567ABD7C3E9F}" name="NOVIEMBRE"/>
    <tableColumn id="36" xr3:uid="{5A644438-825C-49F5-9A74-90B67631BA30}" name="DICIEMB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1A67B-7E7B-40EE-B384-661488647576}" name="Tabla3" displayName="Tabla3" ref="A3:AJ4" totalsRowShown="0">
  <autoFilter ref="A3:AJ4" xr:uid="{AD51A67B-7E7B-40EE-B384-661488647576}"/>
  <sortState xmlns:xlrd2="http://schemas.microsoft.com/office/spreadsheetml/2017/richdata2" ref="A4:AJ4">
    <sortCondition ref="W3:W4"/>
  </sortState>
  <tableColumns count="36">
    <tableColumn id="1" xr3:uid="{844B4A33-7769-4E63-A17C-EF8825661B8C}" name="SERVICIO CLÍNICO"/>
    <tableColumn id="2" xr3:uid="{9D5F7CA1-EB15-4F52-919E-F89EA5CA32B4}" name="RECINTO"/>
    <tableColumn id="3" xr3:uid="{4721DB82-9B36-49C2-ABBE-D1DC2FB95416}" name="CLASE"/>
    <tableColumn id="4" xr3:uid="{BB303472-D92C-4C57-9B7C-E1136CFA923D}" name="SUBCLASE"/>
    <tableColumn id="5" xr3:uid="{6DFB9DA5-404B-4CAE-A08B-ECD038C917DE}" name="NOMBRE EQUIPO"/>
    <tableColumn id="6" xr3:uid="{AA923ECA-0941-4426-A70A-BBD7E0159ABC}" name="MARCA"/>
    <tableColumn id="7" xr3:uid="{A17D39BC-C3D3-45C5-83FC-ED3F66F72691}" name="MODELO"/>
    <tableColumn id="8" xr3:uid="{B101472A-E780-4FAA-99CC-1511C83FFB01}" name="SERIE"/>
    <tableColumn id="9" xr3:uid="{8594998B-88EB-4DBB-B60C-6C8DA0C3EC56}" name="N° INVENTARIO"/>
    <tableColumn id="10" xr3:uid="{771931AA-D683-4B3D-A962-62E79E437362}" name="AÑO DE ADQUISICIÓN"/>
    <tableColumn id="11" xr3:uid="{3C40EA8A-8000-4C0E-9AB3-7ECE423E5639}" name="VIDA ÚTIL"/>
    <tableColumn id="12" xr3:uid="{1BF8EA54-408B-4502-BDBB-70A28DC36A81}" name="VIDA ÚTIL RESIDUAL"/>
    <tableColumn id="13" xr3:uid="{7C676B59-3D67-4C21-995F-35AE8D368A46}" name="PROPIO / ARRIENDO / COMODATO"/>
    <tableColumn id="14" xr3:uid="{1846630E-7D82-4911-947D-45D29A52D523}" name="ESTADO (BUENO / REGULAR / MALO / BAJA)"/>
    <tableColumn id="15" xr3:uid="{1C2FB652-9E56-441D-82F9-EB877B35B296}" name="CRÍTICO/ RELEVANTE / IM≥12 / NO APLICA"/>
    <tableColumn id="16" xr3:uid="{2E312715-96E0-4631-B58B-72E186763562}" name="EN GARANTÍA (SI / NO)"/>
    <tableColumn id="17" xr3:uid="{FDB95D8C-77F0-4F57-969E-59D0E74522FC}" name="AÑO VENCIMIENTO GARANTÍA"/>
    <tableColumn id="18" xr3:uid="{DB982856-D6E6-447A-82E0-A23F0B1492E2}" name="BAJO PLAN DE MANTENIMIENTO (SI / NO)"/>
    <tableColumn id="19" xr3:uid="{9C748289-3FD6-4F91-B281-D5FF6CED3213}" name="AÑO INGRESO A PLAN DE MANTENIMIENTO (2023 / 2024 / 2025 / 2026)"/>
    <tableColumn id="20" xr3:uid="{8EF0B8E2-CF74-42EB-BC86-E862E336D8BB}" name="MANTENIMIENTO INTERNO O MANTENIMIENTO EXTERNO O CONTRATO"/>
    <tableColumn id="21" xr3:uid="{7101411A-10D9-4687-B116-AFA7C17BC54D}" name="NOMBRE DE PROVEEDOR O MANTENIMIENTO INTERNO"/>
    <tableColumn id="22" xr3:uid="{27AE64A1-64D9-4766-8343-08CFC2208E3E}" name="ID CONVENIO DE MANTENIMIENTO / ID DE REFERENCIA / COTIZACIÓN DE REFERENCIA"/>
    <tableColumn id="23" xr3:uid="{2C733ED1-FAC4-4FF8-81C2-670B1CA392A5}" name="COSTO ANUAL DE MANTENIMIENTO SEGÚN CONVENIO / PRECIO DE REFERENCIA MANTENIMIENTO ANUAL"/>
    <tableColumn id="24" xr3:uid="{5F2F7BF9-0FCF-4E9B-811B-3AB8B8C3F14A}" name="FRECUENCIA ANUAL DE MANTENIMIENTO"/>
    <tableColumn id="25" xr3:uid="{23C67B93-93E2-4147-8CB9-6A6767C9D906}" name="ENERO"/>
    <tableColumn id="26" xr3:uid="{EE1A103F-B24D-48AF-9426-726357BB9A6A}" name="FEBRERO"/>
    <tableColumn id="27" xr3:uid="{0A8A5C35-8050-4168-B5B6-62AA043EA24A}" name="MARZO"/>
    <tableColumn id="28" xr3:uid="{B349C0D8-0CF7-4685-8022-81FE2F4634F9}" name="ABRIL"/>
    <tableColumn id="29" xr3:uid="{76231443-5770-4F29-94CB-71D856FD0BA4}" name="MAYO"/>
    <tableColumn id="30" xr3:uid="{1F8FC554-46DC-4AB8-A20F-5BF7B3357F86}" name="JUNIO"/>
    <tableColumn id="31" xr3:uid="{6C3077D5-ECED-4D64-94F8-15E078B82333}" name="JULIO"/>
    <tableColumn id="32" xr3:uid="{20BB566C-F7D5-463B-A78F-EA480F587EAD}" name="AGOSTO"/>
    <tableColumn id="33" xr3:uid="{EA3A4F98-E3B6-49B7-8838-056A38822703}" name="SEPTIEMBRE"/>
    <tableColumn id="34" xr3:uid="{18A3EC27-C409-471C-BDEC-A1382AE19392}" name="OCTUBRE"/>
    <tableColumn id="35" xr3:uid="{D4AA85A0-969E-42D4-9DC3-13A6EFDDF65C}" name="NOVIEMBRE"/>
    <tableColumn id="36" xr3:uid="{53C30B44-3497-4619-A82A-51371869A929}" name="DICIE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4" dT="2024-11-13T13:55:12.79" personId="{2DD84BE1-BAAE-4953-A272-CB1DBF405ED6}" id="{C7A4D10B-95D7-4A58-9C50-A643A6000554}">
    <text>Valor estimado</text>
  </threadedComment>
  <threadedComment ref="I25" dT="2024-11-11T15:28:15.99" personId="{2DD84BE1-BAAE-4953-A272-CB1DBF405ED6}" id="{4EAC5B05-4D43-4194-BA96-5EB4AF9DC54D}">
    <text>Monto proyectado</text>
  </threadedComment>
  <threadedComment ref="I28" dT="2024-11-13T15:13:43.32" personId="{2DD84BE1-BAAE-4953-A272-CB1DBF405ED6}" id="{0BF7B0F2-872D-460F-9926-13F45099993E}">
    <text>Monto proyectado</text>
  </threadedComment>
  <threadedComment ref="I28" dT="2024-11-14T21:29:57.12" personId="{2DD84BE1-BAAE-4953-A272-CB1DBF405ED6}" id="{839BE935-4BDE-4CD8-8E81-9FAE441AB132}" parentId="{0BF7B0F2-872D-460F-9926-13F45099993E}">
    <text>Valor por CODEDUR</text>
  </threadedComment>
  <threadedComment ref="I30" dT="2024-11-13T15:12:06.36" personId="{2DD84BE1-BAAE-4953-A272-CB1DBF405ED6}" id="{C0DABC42-FE58-49ED-A7BA-8E224E72F0E1}">
    <text>Monto proyectado</text>
  </threadedComment>
  <threadedComment ref="I42" dT="2024-11-14T14:13:13.67" personId="{2DD84BE1-BAAE-4953-A272-CB1DBF405ED6}" id="{996082C3-A31C-4984-9448-6A3D54C4757E}">
    <text>Monto estimado</text>
  </threadedComment>
  <threadedComment ref="I44" dT="2024-11-14T15:05:44.67" personId="{2DD84BE1-BAAE-4953-A272-CB1DBF405ED6}" id="{CABD5794-9B90-48E1-ACFB-1DA365D8FFDA}">
    <text>Monto estimado</text>
  </threadedComment>
  <threadedComment ref="I46" dT="2024-11-14T22:01:03.59" personId="{2DD84BE1-BAAE-4953-A272-CB1DBF405ED6}" id="{20C7FC70-2384-4ED7-A513-E3FA9090AB04}">
    <text>Monto estimado CODESUR</text>
  </threadedComment>
  <threadedComment ref="P47" dT="2025-01-21T14:29:28.81" personId="{3B6834B1-3190-4F35-BF82-0E439222BDF1}" id="{AA5D7913-D70E-4BFA-B274-4761C7CBD8B9}">
    <text>Falto considerar erbe</text>
  </threadedComment>
  <threadedComment ref="I51" dT="2024-11-14T21:58:48.24" personId="{2DD84BE1-BAAE-4953-A272-CB1DBF405ED6}" id="{5971AAA9-4A55-4103-AFA7-7566791391AB}">
    <text>Monto proyectado VENTMEDICAL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3" dT="2024-09-09T14:26:16.34" personId="{2DD84BE1-BAAE-4953-A272-CB1DBF405ED6}" id="{D7570D1C-0753-41BF-8317-DEDCE4924BCC}">
    <text>Se esperará hasta que se abra laboratorio en Chile</text>
  </threadedComment>
  <threadedComment ref="AF4" dT="2024-09-09T14:26:16.34" personId="{2DD84BE1-BAAE-4953-A272-CB1DBF405ED6}" id="{A854948D-D596-4AAB-9948-045E04FCE8A5}">
    <text>Se esperará hasta que se abra laboratorio en Chile</text>
  </threadedComment>
  <threadedComment ref="AF5" dT="2024-09-09T14:26:16.34" personId="{2DD84BE1-BAAE-4953-A272-CB1DBF405ED6}" id="{BDF20079-0C64-462A-8F7E-8C9A3E50EA3B}">
    <text>Se esperará hasta que se abra laboratorio en Chile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B6" dT="2024-11-13T18:12:18.08" personId="{2DD84BE1-BAAE-4953-A272-CB1DBF405ED6}" id="{D54BA5C4-B240-4216-90CD-EECAF77E8854}">
    <text>Cama no aparece</text>
  </threadedComment>
  <threadedComment ref="AB6" dT="2024-11-13T18:12:23.80" personId="{2DD84BE1-BAAE-4953-A272-CB1DBF405ED6}" id="{2CA4C4DE-5732-42A3-9C2E-AA6788CB61EE}" parentId="{D54BA5C4-B240-4216-90CD-EECAF77E8854}">
    <text>Dar de baja?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onedrive.live.com/?authkey=%21AMWRaynKGRFTNm0&amp;id=C6F3E94F6E16BD21%2135750&amp;cid=C6F3E94F6E16BD21" TargetMode="Externa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onedrive.live.com/?authkey=%21AMWRaynKGRFTNm0&amp;id=C6F3E94F6E16BD21%2134806&amp;cid=C6F3E94F6E16BD21" TargetMode="Externa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6DDE-F48E-4FA5-B3DA-2E1CBA9F918D}">
  <dimension ref="A1:X138"/>
  <sheetViews>
    <sheetView workbookViewId="0"/>
  </sheetViews>
  <sheetFormatPr baseColWidth="10" defaultColWidth="11.453125" defaultRowHeight="14.5"/>
  <cols>
    <col min="1" max="1" width="36.7265625" bestFit="1" customWidth="1"/>
    <col min="2" max="2" width="21.54296875" bestFit="1" customWidth="1"/>
    <col min="3" max="3" width="17.7265625" bestFit="1" customWidth="1"/>
    <col min="4" max="4" width="15" bestFit="1" customWidth="1"/>
    <col min="5" max="5" width="58.453125" bestFit="1" customWidth="1"/>
    <col min="6" max="6" width="15.81640625" bestFit="1" customWidth="1"/>
    <col min="7" max="7" width="26.7265625" bestFit="1" customWidth="1"/>
    <col min="8" max="8" width="22.54296875" bestFit="1" customWidth="1"/>
    <col min="9" max="9" width="17.26953125" bestFit="1" customWidth="1"/>
    <col min="10" max="10" width="23.453125" bestFit="1" customWidth="1"/>
    <col min="11" max="11" width="12.26953125" bestFit="1" customWidth="1"/>
    <col min="12" max="12" width="21.7265625" bestFit="1" customWidth="1"/>
    <col min="13" max="13" width="35.453125" bestFit="1" customWidth="1"/>
    <col min="14" max="14" width="44.1796875" bestFit="1" customWidth="1"/>
    <col min="15" max="15" width="42.26953125" bestFit="1" customWidth="1"/>
    <col min="16" max="16" width="24.453125" bestFit="1" customWidth="1"/>
    <col min="17" max="17" width="31.453125" bestFit="1" customWidth="1"/>
    <col min="18" max="18" width="42" bestFit="1" customWidth="1"/>
    <col min="19" max="19" width="69.453125" bestFit="1" customWidth="1"/>
    <col min="20" max="20" width="70" bestFit="1" customWidth="1"/>
    <col min="21" max="21" width="54.7265625" bestFit="1" customWidth="1"/>
    <col min="22" max="22" width="82.7265625" bestFit="1" customWidth="1"/>
    <col min="23" max="23" width="101.453125" bestFit="1" customWidth="1"/>
    <col min="24" max="24" width="41.81640625" bestFit="1" customWidth="1"/>
  </cols>
  <sheetData>
    <row r="1" spans="1:24">
      <c r="A1" s="50" t="s">
        <v>0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2016</v>
      </c>
      <c r="K4">
        <v>8</v>
      </c>
      <c r="L4">
        <v>1</v>
      </c>
      <c r="M4" t="s">
        <v>34</v>
      </c>
      <c r="N4" t="s">
        <v>35</v>
      </c>
      <c r="O4" t="s">
        <v>36</v>
      </c>
      <c r="P4" t="s">
        <v>37</v>
      </c>
      <c r="R4" t="s">
        <v>38</v>
      </c>
      <c r="S4">
        <v>2023</v>
      </c>
      <c r="T4" t="s">
        <v>39</v>
      </c>
      <c r="U4" t="s">
        <v>40</v>
      </c>
      <c r="V4" t="s">
        <v>41</v>
      </c>
      <c r="W4">
        <v>270000</v>
      </c>
      <c r="X4">
        <v>2</v>
      </c>
    </row>
    <row r="5" spans="1:24">
      <c r="A5" t="s">
        <v>42</v>
      </c>
      <c r="B5" t="s">
        <v>26</v>
      </c>
      <c r="C5" t="s">
        <v>43</v>
      </c>
      <c r="D5" t="s">
        <v>28</v>
      </c>
      <c r="E5" t="s">
        <v>42</v>
      </c>
      <c r="F5" t="s">
        <v>44</v>
      </c>
      <c r="G5" t="s">
        <v>45</v>
      </c>
      <c r="H5" t="s">
        <v>46</v>
      </c>
      <c r="I5" t="s">
        <v>47</v>
      </c>
      <c r="J5">
        <v>2019</v>
      </c>
      <c r="K5">
        <v>8</v>
      </c>
      <c r="L5">
        <v>4</v>
      </c>
      <c r="M5" t="s">
        <v>34</v>
      </c>
      <c r="N5" t="s">
        <v>35</v>
      </c>
      <c r="O5" t="s">
        <v>36</v>
      </c>
      <c r="P5" t="s">
        <v>37</v>
      </c>
      <c r="R5" t="s">
        <v>38</v>
      </c>
      <c r="S5">
        <v>2023</v>
      </c>
      <c r="T5" t="s">
        <v>39</v>
      </c>
      <c r="U5" t="s">
        <v>48</v>
      </c>
      <c r="X5">
        <v>2</v>
      </c>
    </row>
    <row r="6" spans="1:24">
      <c r="A6" t="s">
        <v>42</v>
      </c>
      <c r="B6" t="s">
        <v>26</v>
      </c>
      <c r="C6" t="s">
        <v>43</v>
      </c>
      <c r="D6" t="s">
        <v>28</v>
      </c>
      <c r="E6" t="s">
        <v>42</v>
      </c>
      <c r="F6" t="s">
        <v>44</v>
      </c>
      <c r="G6" t="s">
        <v>45</v>
      </c>
      <c r="H6" t="s">
        <v>49</v>
      </c>
      <c r="I6" t="s">
        <v>50</v>
      </c>
      <c r="J6">
        <v>2019</v>
      </c>
      <c r="K6">
        <v>8</v>
      </c>
      <c r="L6">
        <v>4</v>
      </c>
      <c r="M6" t="s">
        <v>34</v>
      </c>
      <c r="N6" t="s">
        <v>35</v>
      </c>
      <c r="O6" t="s">
        <v>36</v>
      </c>
      <c r="P6" t="s">
        <v>37</v>
      </c>
      <c r="R6" t="s">
        <v>38</v>
      </c>
      <c r="S6">
        <v>2023</v>
      </c>
      <c r="T6" t="s">
        <v>39</v>
      </c>
      <c r="U6" t="s">
        <v>48</v>
      </c>
      <c r="X6">
        <v>2</v>
      </c>
    </row>
    <row r="7" spans="1:24">
      <c r="A7" t="s">
        <v>42</v>
      </c>
      <c r="B7" t="s">
        <v>26</v>
      </c>
      <c r="C7" t="s">
        <v>43</v>
      </c>
      <c r="D7" t="s">
        <v>28</v>
      </c>
      <c r="E7" t="s">
        <v>42</v>
      </c>
      <c r="F7" t="s">
        <v>44</v>
      </c>
      <c r="G7" t="s">
        <v>51</v>
      </c>
      <c r="H7" t="s">
        <v>52</v>
      </c>
      <c r="I7" t="s">
        <v>53</v>
      </c>
      <c r="J7">
        <v>2020</v>
      </c>
      <c r="K7">
        <v>8</v>
      </c>
      <c r="L7">
        <v>5</v>
      </c>
      <c r="M7" t="s">
        <v>34</v>
      </c>
      <c r="N7" t="s">
        <v>35</v>
      </c>
      <c r="O7" t="s">
        <v>36</v>
      </c>
      <c r="P7" t="s">
        <v>37</v>
      </c>
      <c r="R7" t="s">
        <v>38</v>
      </c>
      <c r="S7">
        <v>2023</v>
      </c>
      <c r="T7" t="s">
        <v>39</v>
      </c>
      <c r="U7" t="s">
        <v>48</v>
      </c>
      <c r="X7">
        <v>2</v>
      </c>
    </row>
    <row r="8" spans="1:24">
      <c r="A8" t="s">
        <v>54</v>
      </c>
      <c r="B8" t="s">
        <v>26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>
        <v>2020</v>
      </c>
      <c r="K8">
        <v>8</v>
      </c>
      <c r="L8">
        <v>5</v>
      </c>
      <c r="M8" t="s">
        <v>34</v>
      </c>
      <c r="N8" t="s">
        <v>35</v>
      </c>
      <c r="O8" t="s">
        <v>36</v>
      </c>
      <c r="P8" t="s">
        <v>37</v>
      </c>
      <c r="R8" t="s">
        <v>38</v>
      </c>
      <c r="S8">
        <v>2023</v>
      </c>
      <c r="T8" t="s">
        <v>62</v>
      </c>
      <c r="U8" t="s">
        <v>63</v>
      </c>
      <c r="X8">
        <v>2</v>
      </c>
    </row>
    <row r="9" spans="1:24">
      <c r="A9" t="s">
        <v>64</v>
      </c>
      <c r="B9" t="s">
        <v>26</v>
      </c>
      <c r="C9" t="s">
        <v>55</v>
      </c>
      <c r="D9" t="s">
        <v>56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>
        <v>2020</v>
      </c>
      <c r="K9">
        <v>8</v>
      </c>
      <c r="L9">
        <v>5</v>
      </c>
      <c r="M9" t="s">
        <v>34</v>
      </c>
      <c r="N9" t="s">
        <v>35</v>
      </c>
      <c r="O9" t="s">
        <v>36</v>
      </c>
      <c r="P9" t="s">
        <v>37</v>
      </c>
      <c r="R9" t="s">
        <v>38</v>
      </c>
      <c r="S9">
        <v>2023</v>
      </c>
      <c r="T9" t="s">
        <v>62</v>
      </c>
      <c r="U9" t="s">
        <v>63</v>
      </c>
      <c r="X9">
        <v>2</v>
      </c>
    </row>
    <row r="10" spans="1:24">
      <c r="A10" t="s">
        <v>64</v>
      </c>
      <c r="B10" t="s">
        <v>26</v>
      </c>
      <c r="C10" t="s">
        <v>55</v>
      </c>
      <c r="D10" t="s">
        <v>56</v>
      </c>
      <c r="E10" t="s">
        <v>70</v>
      </c>
      <c r="F10" t="s">
        <v>58</v>
      </c>
      <c r="G10" t="s">
        <v>71</v>
      </c>
      <c r="H10" t="s">
        <v>72</v>
      </c>
      <c r="I10" t="s">
        <v>73</v>
      </c>
      <c r="J10">
        <v>2015</v>
      </c>
      <c r="K10">
        <v>8</v>
      </c>
      <c r="L10">
        <v>0</v>
      </c>
      <c r="M10" t="s">
        <v>34</v>
      </c>
      <c r="N10" t="s">
        <v>35</v>
      </c>
      <c r="O10" t="s">
        <v>36</v>
      </c>
      <c r="P10" t="s">
        <v>37</v>
      </c>
      <c r="R10" t="s">
        <v>38</v>
      </c>
      <c r="S10">
        <v>2023</v>
      </c>
      <c r="T10" t="s">
        <v>62</v>
      </c>
      <c r="U10" t="s">
        <v>63</v>
      </c>
      <c r="X10">
        <v>2</v>
      </c>
    </row>
    <row r="11" spans="1:24">
      <c r="A11" t="s">
        <v>64</v>
      </c>
      <c r="B11" t="s">
        <v>26</v>
      </c>
      <c r="C11" t="s">
        <v>55</v>
      </c>
      <c r="D11" t="s">
        <v>56</v>
      </c>
      <c r="E11" t="s">
        <v>65</v>
      </c>
      <c r="F11" t="s">
        <v>58</v>
      </c>
      <c r="G11" t="s">
        <v>74</v>
      </c>
      <c r="H11" t="s">
        <v>75</v>
      </c>
      <c r="I11" t="s">
        <v>76</v>
      </c>
      <c r="J11">
        <v>2020</v>
      </c>
      <c r="K11">
        <v>8</v>
      </c>
      <c r="L11">
        <v>5</v>
      </c>
      <c r="M11" t="s">
        <v>34</v>
      </c>
      <c r="N11" t="s">
        <v>35</v>
      </c>
      <c r="O11" t="s">
        <v>36</v>
      </c>
      <c r="P11" t="s">
        <v>37</v>
      </c>
      <c r="R11" t="s">
        <v>38</v>
      </c>
      <c r="S11">
        <v>2023</v>
      </c>
      <c r="T11" t="s">
        <v>62</v>
      </c>
      <c r="U11" t="s">
        <v>63</v>
      </c>
      <c r="X11">
        <v>2</v>
      </c>
    </row>
    <row r="12" spans="1:24">
      <c r="A12" t="s">
        <v>77</v>
      </c>
      <c r="B12" t="s">
        <v>26</v>
      </c>
      <c r="C12" t="s">
        <v>55</v>
      </c>
      <c r="D12" t="s">
        <v>56</v>
      </c>
      <c r="E12" t="s">
        <v>57</v>
      </c>
      <c r="F12" t="s">
        <v>30</v>
      </c>
      <c r="G12" t="s">
        <v>78</v>
      </c>
      <c r="H12" t="s">
        <v>79</v>
      </c>
      <c r="I12" t="s">
        <v>80</v>
      </c>
      <c r="J12">
        <v>2020</v>
      </c>
      <c r="K12">
        <v>8</v>
      </c>
      <c r="L12">
        <v>5</v>
      </c>
      <c r="M12" t="s">
        <v>34</v>
      </c>
      <c r="N12" t="s">
        <v>35</v>
      </c>
      <c r="O12" t="s">
        <v>36</v>
      </c>
      <c r="P12" t="s">
        <v>37</v>
      </c>
      <c r="R12" t="s">
        <v>38</v>
      </c>
      <c r="S12">
        <v>2023</v>
      </c>
      <c r="T12" t="s">
        <v>62</v>
      </c>
      <c r="U12" t="s">
        <v>63</v>
      </c>
      <c r="X12">
        <v>2</v>
      </c>
    </row>
    <row r="13" spans="1:24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81</v>
      </c>
      <c r="I13" t="s">
        <v>82</v>
      </c>
      <c r="J13">
        <v>2016</v>
      </c>
      <c r="K13">
        <v>8</v>
      </c>
      <c r="L13">
        <v>1</v>
      </c>
      <c r="M13" t="s">
        <v>34</v>
      </c>
      <c r="N13" t="s">
        <v>35</v>
      </c>
      <c r="O13" t="s">
        <v>36</v>
      </c>
      <c r="P13" t="s">
        <v>37</v>
      </c>
      <c r="R13" t="s">
        <v>38</v>
      </c>
      <c r="S13">
        <v>2023</v>
      </c>
      <c r="T13" t="s">
        <v>39</v>
      </c>
      <c r="U13" t="s">
        <v>40</v>
      </c>
      <c r="V13" t="s">
        <v>41</v>
      </c>
      <c r="W13">
        <v>270000</v>
      </c>
      <c r="X13">
        <v>2</v>
      </c>
    </row>
    <row r="14" spans="1:24">
      <c r="A14" t="s">
        <v>83</v>
      </c>
      <c r="B14" t="s">
        <v>26</v>
      </c>
      <c r="C14" t="s">
        <v>27</v>
      </c>
      <c r="D14" t="s">
        <v>28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>
        <v>2020</v>
      </c>
      <c r="K14">
        <v>8</v>
      </c>
      <c r="L14">
        <v>5</v>
      </c>
      <c r="M14" t="s">
        <v>89</v>
      </c>
      <c r="N14" t="s">
        <v>35</v>
      </c>
      <c r="O14" t="s">
        <v>36</v>
      </c>
      <c r="P14" t="s">
        <v>37</v>
      </c>
      <c r="R14" t="s">
        <v>38</v>
      </c>
      <c r="S14">
        <v>2023</v>
      </c>
      <c r="T14" t="s">
        <v>39</v>
      </c>
      <c r="U14" t="s">
        <v>40</v>
      </c>
      <c r="V14" t="s">
        <v>41</v>
      </c>
      <c r="W14">
        <v>407911</v>
      </c>
      <c r="X14">
        <v>2</v>
      </c>
    </row>
    <row r="15" spans="1:24">
      <c r="A15" t="s">
        <v>83</v>
      </c>
      <c r="B15" t="s">
        <v>26</v>
      </c>
      <c r="C15" t="s">
        <v>27</v>
      </c>
      <c r="D15" t="s">
        <v>28</v>
      </c>
      <c r="E15" t="s">
        <v>84</v>
      </c>
      <c r="F15" t="s">
        <v>85</v>
      </c>
      <c r="G15" t="s">
        <v>86</v>
      </c>
      <c r="H15" t="s">
        <v>90</v>
      </c>
      <c r="I15" t="s">
        <v>91</v>
      </c>
      <c r="J15">
        <v>2021</v>
      </c>
      <c r="K15">
        <v>8</v>
      </c>
      <c r="L15">
        <v>6</v>
      </c>
      <c r="M15" t="s">
        <v>89</v>
      </c>
      <c r="N15" t="s">
        <v>35</v>
      </c>
      <c r="O15" t="s">
        <v>36</v>
      </c>
      <c r="R15" t="s">
        <v>38</v>
      </c>
      <c r="S15">
        <v>2023</v>
      </c>
      <c r="U15" t="s">
        <v>92</v>
      </c>
      <c r="X15">
        <v>2</v>
      </c>
    </row>
    <row r="16" spans="1:24">
      <c r="A16" t="s">
        <v>93</v>
      </c>
      <c r="B16" t="s">
        <v>26</v>
      </c>
      <c r="C16" t="s">
        <v>27</v>
      </c>
      <c r="D16" t="s">
        <v>28</v>
      </c>
      <c r="E16" t="s">
        <v>84</v>
      </c>
      <c r="F16" t="s">
        <v>85</v>
      </c>
      <c r="G16" t="s">
        <v>86</v>
      </c>
      <c r="H16" t="s">
        <v>94</v>
      </c>
      <c r="I16" t="s">
        <v>95</v>
      </c>
      <c r="J16">
        <v>2020</v>
      </c>
      <c r="K16">
        <v>8</v>
      </c>
      <c r="L16">
        <v>5</v>
      </c>
      <c r="M16" t="s">
        <v>89</v>
      </c>
      <c r="N16" t="s">
        <v>35</v>
      </c>
      <c r="O16" t="s">
        <v>36</v>
      </c>
      <c r="P16" t="s">
        <v>37</v>
      </c>
      <c r="R16" t="s">
        <v>38</v>
      </c>
      <c r="S16">
        <v>2023</v>
      </c>
      <c r="T16" t="s">
        <v>39</v>
      </c>
      <c r="V16" t="s">
        <v>96</v>
      </c>
      <c r="W16">
        <v>407911</v>
      </c>
      <c r="X16">
        <v>2</v>
      </c>
    </row>
    <row r="17" spans="1:24">
      <c r="A17" t="s">
        <v>97</v>
      </c>
      <c r="B17" t="s">
        <v>26</v>
      </c>
      <c r="C17" t="s">
        <v>27</v>
      </c>
      <c r="D17" t="s">
        <v>28</v>
      </c>
      <c r="E17" t="s">
        <v>84</v>
      </c>
      <c r="F17" t="s">
        <v>98</v>
      </c>
      <c r="G17" t="s">
        <v>99</v>
      </c>
      <c r="H17" t="s">
        <v>100</v>
      </c>
      <c r="I17" t="s">
        <v>101</v>
      </c>
      <c r="J17">
        <v>2021</v>
      </c>
      <c r="K17">
        <v>8</v>
      </c>
      <c r="L17">
        <v>6</v>
      </c>
      <c r="M17" t="s">
        <v>89</v>
      </c>
      <c r="N17" t="s">
        <v>35</v>
      </c>
      <c r="O17" t="s">
        <v>36</v>
      </c>
      <c r="P17" t="s">
        <v>38</v>
      </c>
      <c r="R17" t="s">
        <v>38</v>
      </c>
      <c r="S17">
        <v>2023</v>
      </c>
      <c r="T17" t="s">
        <v>39</v>
      </c>
      <c r="V17" t="s">
        <v>96</v>
      </c>
      <c r="W17">
        <v>407911</v>
      </c>
      <c r="X17">
        <v>2</v>
      </c>
    </row>
    <row r="18" spans="1:24">
      <c r="A18" t="s">
        <v>97</v>
      </c>
      <c r="B18" t="s">
        <v>26</v>
      </c>
      <c r="C18" t="s">
        <v>27</v>
      </c>
      <c r="D18" t="s">
        <v>28</v>
      </c>
      <c r="E18" t="s">
        <v>84</v>
      </c>
      <c r="F18" t="s">
        <v>98</v>
      </c>
      <c r="G18" t="s">
        <v>99</v>
      </c>
      <c r="H18" t="s">
        <v>102</v>
      </c>
      <c r="I18" t="s">
        <v>103</v>
      </c>
      <c r="J18">
        <v>2021</v>
      </c>
      <c r="K18">
        <v>8</v>
      </c>
      <c r="L18">
        <v>6</v>
      </c>
      <c r="M18" t="s">
        <v>89</v>
      </c>
      <c r="N18" t="s">
        <v>35</v>
      </c>
      <c r="O18" t="s">
        <v>36</v>
      </c>
      <c r="P18" t="s">
        <v>38</v>
      </c>
      <c r="R18" t="s">
        <v>38</v>
      </c>
      <c r="S18">
        <v>2023</v>
      </c>
      <c r="T18" t="s">
        <v>39</v>
      </c>
      <c r="V18" t="s">
        <v>96</v>
      </c>
      <c r="W18">
        <v>407911</v>
      </c>
      <c r="X18">
        <v>2</v>
      </c>
    </row>
    <row r="19" spans="1:24">
      <c r="A19" t="s">
        <v>97</v>
      </c>
      <c r="B19" t="s">
        <v>26</v>
      </c>
      <c r="C19" t="s">
        <v>27</v>
      </c>
      <c r="D19" t="s">
        <v>28</v>
      </c>
      <c r="E19" t="s">
        <v>84</v>
      </c>
      <c r="F19" t="s">
        <v>98</v>
      </c>
      <c r="G19" t="s">
        <v>99</v>
      </c>
      <c r="H19" t="s">
        <v>104</v>
      </c>
      <c r="I19" t="s">
        <v>105</v>
      </c>
      <c r="J19">
        <v>2021</v>
      </c>
      <c r="K19">
        <v>8</v>
      </c>
      <c r="L19">
        <v>6</v>
      </c>
      <c r="M19" t="s">
        <v>89</v>
      </c>
      <c r="N19" t="s">
        <v>35</v>
      </c>
      <c r="O19" t="s">
        <v>36</v>
      </c>
      <c r="P19" t="s">
        <v>38</v>
      </c>
      <c r="R19" t="s">
        <v>38</v>
      </c>
      <c r="S19">
        <v>2023</v>
      </c>
      <c r="T19" t="s">
        <v>39</v>
      </c>
      <c r="V19" t="s">
        <v>96</v>
      </c>
      <c r="W19">
        <v>407911</v>
      </c>
      <c r="X19">
        <v>2</v>
      </c>
    </row>
    <row r="20" spans="1:24">
      <c r="A20" t="s">
        <v>97</v>
      </c>
      <c r="B20" t="s">
        <v>26</v>
      </c>
      <c r="C20" t="s">
        <v>27</v>
      </c>
      <c r="D20" t="s">
        <v>28</v>
      </c>
      <c r="E20" t="s">
        <v>84</v>
      </c>
      <c r="F20" t="s">
        <v>98</v>
      </c>
      <c r="G20" t="s">
        <v>99</v>
      </c>
      <c r="H20" t="s">
        <v>106</v>
      </c>
      <c r="I20" t="s">
        <v>107</v>
      </c>
      <c r="J20">
        <v>2021</v>
      </c>
      <c r="K20">
        <v>8</v>
      </c>
      <c r="L20">
        <v>6</v>
      </c>
      <c r="M20" t="s">
        <v>89</v>
      </c>
      <c r="N20" t="s">
        <v>35</v>
      </c>
      <c r="O20" t="s">
        <v>36</v>
      </c>
      <c r="P20" t="s">
        <v>38</v>
      </c>
      <c r="R20" t="s">
        <v>38</v>
      </c>
      <c r="S20">
        <v>2023</v>
      </c>
      <c r="T20" t="s">
        <v>39</v>
      </c>
      <c r="V20" t="s">
        <v>96</v>
      </c>
      <c r="W20">
        <v>407911</v>
      </c>
      <c r="X20">
        <v>2</v>
      </c>
    </row>
    <row r="21" spans="1:24">
      <c r="A21" t="s">
        <v>108</v>
      </c>
      <c r="B21" t="s">
        <v>26</v>
      </c>
      <c r="C21" t="s">
        <v>55</v>
      </c>
      <c r="D21" t="s">
        <v>56</v>
      </c>
      <c r="E21" t="s">
        <v>57</v>
      </c>
      <c r="F21" t="s">
        <v>30</v>
      </c>
      <c r="G21" t="s">
        <v>78</v>
      </c>
      <c r="H21" t="s">
        <v>109</v>
      </c>
      <c r="I21" t="s">
        <v>110</v>
      </c>
      <c r="J21">
        <v>2015</v>
      </c>
      <c r="K21">
        <v>8</v>
      </c>
      <c r="L21">
        <v>0</v>
      </c>
      <c r="M21" t="s">
        <v>34</v>
      </c>
      <c r="N21" t="s">
        <v>35</v>
      </c>
      <c r="O21" t="s">
        <v>36</v>
      </c>
      <c r="P21" t="s">
        <v>37</v>
      </c>
      <c r="R21" t="s">
        <v>38</v>
      </c>
      <c r="S21">
        <v>2023</v>
      </c>
      <c r="T21" t="s">
        <v>62</v>
      </c>
      <c r="U21" t="s">
        <v>63</v>
      </c>
      <c r="X21">
        <v>2</v>
      </c>
    </row>
    <row r="22" spans="1:24">
      <c r="A22" t="s">
        <v>83</v>
      </c>
      <c r="B22" t="s">
        <v>26</v>
      </c>
      <c r="C22" t="s">
        <v>27</v>
      </c>
      <c r="D22" t="s">
        <v>28</v>
      </c>
      <c r="E22" t="s">
        <v>84</v>
      </c>
      <c r="F22" t="s">
        <v>85</v>
      </c>
      <c r="G22" t="s">
        <v>86</v>
      </c>
      <c r="H22" t="s">
        <v>111</v>
      </c>
      <c r="I22" t="s">
        <v>112</v>
      </c>
      <c r="J22">
        <v>2020</v>
      </c>
      <c r="K22">
        <v>8</v>
      </c>
      <c r="L22">
        <v>5</v>
      </c>
      <c r="M22" t="s">
        <v>89</v>
      </c>
      <c r="N22" t="s">
        <v>35</v>
      </c>
      <c r="O22" t="s">
        <v>36</v>
      </c>
      <c r="P22" t="s">
        <v>37</v>
      </c>
      <c r="R22" t="s">
        <v>38</v>
      </c>
      <c r="S22">
        <v>2023</v>
      </c>
      <c r="T22" t="s">
        <v>39</v>
      </c>
      <c r="U22" t="s">
        <v>40</v>
      </c>
      <c r="V22" t="s">
        <v>96</v>
      </c>
      <c r="W22">
        <v>407911</v>
      </c>
      <c r="X22">
        <v>2</v>
      </c>
    </row>
    <row r="23" spans="1:24">
      <c r="A23" t="s">
        <v>83</v>
      </c>
      <c r="B23" t="s">
        <v>26</v>
      </c>
      <c r="C23" t="s">
        <v>27</v>
      </c>
      <c r="D23" t="s">
        <v>28</v>
      </c>
      <c r="E23" t="s">
        <v>84</v>
      </c>
      <c r="F23" t="s">
        <v>85</v>
      </c>
      <c r="G23" t="s">
        <v>86</v>
      </c>
      <c r="H23" t="s">
        <v>113</v>
      </c>
      <c r="I23" t="s">
        <v>91</v>
      </c>
      <c r="J23">
        <v>2021</v>
      </c>
      <c r="K23">
        <v>8</v>
      </c>
      <c r="L23">
        <v>6</v>
      </c>
      <c r="M23" t="s">
        <v>89</v>
      </c>
      <c r="N23" t="s">
        <v>35</v>
      </c>
      <c r="O23" t="s">
        <v>36</v>
      </c>
      <c r="R23" t="s">
        <v>38</v>
      </c>
      <c r="S23">
        <v>2023</v>
      </c>
      <c r="T23" t="s">
        <v>39</v>
      </c>
      <c r="U23" t="s">
        <v>92</v>
      </c>
      <c r="X23">
        <v>2</v>
      </c>
    </row>
    <row r="24" spans="1:24">
      <c r="A24" t="s">
        <v>83</v>
      </c>
      <c r="B24" t="s">
        <v>26</v>
      </c>
      <c r="C24" t="s">
        <v>27</v>
      </c>
      <c r="D24" t="s">
        <v>28</v>
      </c>
      <c r="E24" t="s">
        <v>84</v>
      </c>
      <c r="F24" t="s">
        <v>30</v>
      </c>
      <c r="G24" t="s">
        <v>114</v>
      </c>
      <c r="H24" t="s">
        <v>115</v>
      </c>
      <c r="I24" t="s">
        <v>116</v>
      </c>
      <c r="J24">
        <v>2020</v>
      </c>
      <c r="K24">
        <v>8</v>
      </c>
      <c r="L24">
        <v>5</v>
      </c>
      <c r="M24" t="s">
        <v>89</v>
      </c>
      <c r="N24" t="s">
        <v>35</v>
      </c>
      <c r="O24" t="s">
        <v>36</v>
      </c>
      <c r="P24" t="s">
        <v>37</v>
      </c>
      <c r="R24" t="s">
        <v>38</v>
      </c>
      <c r="S24">
        <v>2023</v>
      </c>
      <c r="T24" t="s">
        <v>39</v>
      </c>
      <c r="U24" t="s">
        <v>40</v>
      </c>
      <c r="V24" t="s">
        <v>41</v>
      </c>
      <c r="W24">
        <v>270000</v>
      </c>
      <c r="X24">
        <v>2</v>
      </c>
    </row>
    <row r="25" spans="1:24">
      <c r="A25" t="s">
        <v>83</v>
      </c>
      <c r="B25" t="s">
        <v>26</v>
      </c>
      <c r="C25" t="s">
        <v>27</v>
      </c>
      <c r="D25" t="s">
        <v>28</v>
      </c>
      <c r="E25" t="s">
        <v>84</v>
      </c>
      <c r="F25" t="s">
        <v>98</v>
      </c>
      <c r="G25" t="s">
        <v>99</v>
      </c>
      <c r="H25" t="s">
        <v>117</v>
      </c>
      <c r="I25" t="s">
        <v>118</v>
      </c>
      <c r="J25">
        <v>2021</v>
      </c>
      <c r="K25">
        <v>8</v>
      </c>
      <c r="L25">
        <v>6</v>
      </c>
      <c r="M25" t="s">
        <v>89</v>
      </c>
      <c r="N25" t="s">
        <v>35</v>
      </c>
      <c r="O25" t="s">
        <v>36</v>
      </c>
      <c r="P25" t="s">
        <v>37</v>
      </c>
      <c r="R25" t="s">
        <v>38</v>
      </c>
      <c r="S25">
        <v>2023</v>
      </c>
      <c r="T25" t="s">
        <v>39</v>
      </c>
      <c r="V25" t="s">
        <v>96</v>
      </c>
      <c r="W25">
        <v>407911</v>
      </c>
      <c r="X25">
        <v>2</v>
      </c>
    </row>
    <row r="26" spans="1:24">
      <c r="A26" t="s">
        <v>83</v>
      </c>
      <c r="B26" t="s">
        <v>26</v>
      </c>
      <c r="C26" t="s">
        <v>55</v>
      </c>
      <c r="D26" t="s">
        <v>56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>
        <v>2020</v>
      </c>
      <c r="K26">
        <v>8</v>
      </c>
      <c r="L26">
        <v>5</v>
      </c>
      <c r="M26" t="s">
        <v>34</v>
      </c>
      <c r="N26" t="s">
        <v>35</v>
      </c>
      <c r="O26" t="s">
        <v>36</v>
      </c>
      <c r="P26" t="s">
        <v>37</v>
      </c>
      <c r="R26" t="s">
        <v>38</v>
      </c>
      <c r="S26">
        <v>2023</v>
      </c>
      <c r="T26" t="s">
        <v>62</v>
      </c>
      <c r="U26" t="s">
        <v>63</v>
      </c>
      <c r="X26">
        <v>2</v>
      </c>
    </row>
    <row r="27" spans="1:24">
      <c r="A27" t="s">
        <v>83</v>
      </c>
      <c r="B27" t="s">
        <v>26</v>
      </c>
      <c r="C27" t="s">
        <v>27</v>
      </c>
      <c r="D27" t="s">
        <v>28</v>
      </c>
      <c r="E27" t="s">
        <v>29</v>
      </c>
      <c r="F27" t="s">
        <v>124</v>
      </c>
      <c r="G27" t="s">
        <v>125</v>
      </c>
      <c r="H27" t="s">
        <v>126</v>
      </c>
      <c r="I27" t="s">
        <v>127</v>
      </c>
      <c r="J27">
        <v>2020</v>
      </c>
      <c r="K27">
        <v>8</v>
      </c>
      <c r="L27">
        <v>5</v>
      </c>
      <c r="M27" t="s">
        <v>89</v>
      </c>
      <c r="N27" t="s">
        <v>35</v>
      </c>
      <c r="O27" t="s">
        <v>36</v>
      </c>
      <c r="P27" t="s">
        <v>37</v>
      </c>
      <c r="R27" t="s">
        <v>38</v>
      </c>
      <c r="S27">
        <v>2023</v>
      </c>
      <c r="T27" t="s">
        <v>39</v>
      </c>
      <c r="V27" t="s">
        <v>96</v>
      </c>
      <c r="W27">
        <v>1039250</v>
      </c>
      <c r="X27">
        <v>2</v>
      </c>
    </row>
    <row r="28" spans="1:24">
      <c r="A28" t="s">
        <v>128</v>
      </c>
      <c r="B28" t="s">
        <v>26</v>
      </c>
      <c r="C28" t="s">
        <v>55</v>
      </c>
      <c r="D28" t="s">
        <v>28</v>
      </c>
      <c r="E28" t="s">
        <v>129</v>
      </c>
      <c r="F28" t="s">
        <v>66</v>
      </c>
      <c r="G28" t="s">
        <v>130</v>
      </c>
      <c r="H28">
        <v>8352</v>
      </c>
      <c r="I28" t="s">
        <v>131</v>
      </c>
      <c r="J28">
        <v>2017</v>
      </c>
      <c r="K28">
        <v>8</v>
      </c>
      <c r="L28">
        <v>2</v>
      </c>
      <c r="M28" t="s">
        <v>34</v>
      </c>
      <c r="N28" t="s">
        <v>35</v>
      </c>
      <c r="O28" t="s">
        <v>36</v>
      </c>
      <c r="P28" t="s">
        <v>37</v>
      </c>
      <c r="R28" t="s">
        <v>38</v>
      </c>
      <c r="S28">
        <v>2023</v>
      </c>
      <c r="T28" t="s">
        <v>62</v>
      </c>
      <c r="U28" t="s">
        <v>63</v>
      </c>
      <c r="X28">
        <v>2</v>
      </c>
    </row>
    <row r="29" spans="1:24">
      <c r="A29" t="s">
        <v>128</v>
      </c>
      <c r="B29" t="s">
        <v>26</v>
      </c>
      <c r="C29" t="s">
        <v>55</v>
      </c>
      <c r="D29" t="s">
        <v>28</v>
      </c>
      <c r="E29" t="s">
        <v>129</v>
      </c>
      <c r="F29" t="s">
        <v>66</v>
      </c>
      <c r="G29" t="s">
        <v>130</v>
      </c>
      <c r="H29">
        <v>8353</v>
      </c>
      <c r="I29" t="s">
        <v>132</v>
      </c>
      <c r="J29">
        <v>2017</v>
      </c>
      <c r="K29">
        <v>8</v>
      </c>
      <c r="L29">
        <v>2</v>
      </c>
      <c r="M29" t="s">
        <v>34</v>
      </c>
      <c r="N29" t="s">
        <v>35</v>
      </c>
      <c r="O29" t="s">
        <v>36</v>
      </c>
      <c r="P29" t="s">
        <v>37</v>
      </c>
      <c r="R29" t="s">
        <v>38</v>
      </c>
      <c r="S29">
        <v>2023</v>
      </c>
      <c r="T29" t="s">
        <v>62</v>
      </c>
      <c r="U29" t="s">
        <v>63</v>
      </c>
      <c r="X29">
        <v>2</v>
      </c>
    </row>
    <row r="30" spans="1:24">
      <c r="A30" t="s">
        <v>128</v>
      </c>
      <c r="B30" t="s">
        <v>26</v>
      </c>
      <c r="C30" t="s">
        <v>55</v>
      </c>
      <c r="D30" t="s">
        <v>28</v>
      </c>
      <c r="E30" t="s">
        <v>129</v>
      </c>
      <c r="F30" t="s">
        <v>66</v>
      </c>
      <c r="G30" t="s">
        <v>130</v>
      </c>
      <c r="H30">
        <v>8357</v>
      </c>
      <c r="I30" t="s">
        <v>133</v>
      </c>
      <c r="J30">
        <v>2017</v>
      </c>
      <c r="K30">
        <v>8</v>
      </c>
      <c r="L30">
        <v>2</v>
      </c>
      <c r="M30" t="s">
        <v>34</v>
      </c>
      <c r="N30" t="s">
        <v>35</v>
      </c>
      <c r="O30" t="s">
        <v>36</v>
      </c>
      <c r="P30" t="s">
        <v>37</v>
      </c>
      <c r="R30" t="s">
        <v>38</v>
      </c>
      <c r="S30">
        <v>2023</v>
      </c>
      <c r="T30" t="s">
        <v>62</v>
      </c>
      <c r="U30" t="s">
        <v>63</v>
      </c>
      <c r="X30">
        <v>2</v>
      </c>
    </row>
    <row r="31" spans="1:24">
      <c r="A31" t="s">
        <v>83</v>
      </c>
      <c r="B31" t="s">
        <v>26</v>
      </c>
      <c r="C31" t="s">
        <v>27</v>
      </c>
      <c r="D31" t="s">
        <v>28</v>
      </c>
      <c r="E31" t="s">
        <v>29</v>
      </c>
      <c r="F31" t="s">
        <v>124</v>
      </c>
      <c r="G31" t="s">
        <v>125</v>
      </c>
      <c r="H31" t="s">
        <v>134</v>
      </c>
      <c r="I31" t="s">
        <v>135</v>
      </c>
      <c r="J31">
        <v>2020</v>
      </c>
      <c r="K31">
        <v>8</v>
      </c>
      <c r="L31">
        <v>5</v>
      </c>
      <c r="M31" t="s">
        <v>89</v>
      </c>
      <c r="N31" t="s">
        <v>35</v>
      </c>
      <c r="O31" t="s">
        <v>36</v>
      </c>
      <c r="P31" t="s">
        <v>37</v>
      </c>
      <c r="R31" t="s">
        <v>38</v>
      </c>
      <c r="S31">
        <v>2023</v>
      </c>
      <c r="T31" t="s">
        <v>39</v>
      </c>
      <c r="V31" t="s">
        <v>96</v>
      </c>
      <c r="W31">
        <v>1039250</v>
      </c>
      <c r="X31">
        <v>2</v>
      </c>
    </row>
    <row r="32" spans="1:24">
      <c r="A32" t="s">
        <v>136</v>
      </c>
      <c r="B32" t="s">
        <v>26</v>
      </c>
      <c r="C32" t="s">
        <v>55</v>
      </c>
      <c r="D32" t="s">
        <v>28</v>
      </c>
      <c r="E32" t="s">
        <v>137</v>
      </c>
      <c r="F32" t="s">
        <v>66</v>
      </c>
      <c r="G32" t="s">
        <v>138</v>
      </c>
      <c r="H32">
        <v>8528</v>
      </c>
      <c r="J32">
        <v>2023</v>
      </c>
      <c r="K32">
        <v>8</v>
      </c>
      <c r="L32">
        <v>8</v>
      </c>
      <c r="M32" t="s">
        <v>89</v>
      </c>
      <c r="N32" t="s">
        <v>35</v>
      </c>
      <c r="O32" t="s">
        <v>36</v>
      </c>
      <c r="P32" t="s">
        <v>37</v>
      </c>
      <c r="R32" t="s">
        <v>38</v>
      </c>
      <c r="S32">
        <v>2023</v>
      </c>
      <c r="T32" t="s">
        <v>62</v>
      </c>
      <c r="U32" t="s">
        <v>63</v>
      </c>
      <c r="X32">
        <v>2</v>
      </c>
    </row>
    <row r="33" spans="1:24">
      <c r="A33" t="s">
        <v>136</v>
      </c>
      <c r="B33" t="s">
        <v>26</v>
      </c>
      <c r="C33" t="s">
        <v>55</v>
      </c>
      <c r="D33" t="s">
        <v>28</v>
      </c>
      <c r="E33" t="s">
        <v>137</v>
      </c>
      <c r="F33" t="s">
        <v>66</v>
      </c>
      <c r="G33" t="s">
        <v>138</v>
      </c>
      <c r="H33" t="s">
        <v>139</v>
      </c>
      <c r="I33" t="s">
        <v>140</v>
      </c>
      <c r="J33">
        <v>2021</v>
      </c>
      <c r="K33">
        <v>8</v>
      </c>
      <c r="L33">
        <v>6</v>
      </c>
      <c r="M33" t="s">
        <v>34</v>
      </c>
      <c r="N33" t="s">
        <v>35</v>
      </c>
      <c r="O33" t="s">
        <v>36</v>
      </c>
      <c r="P33" t="s">
        <v>37</v>
      </c>
      <c r="R33" t="s">
        <v>38</v>
      </c>
      <c r="S33">
        <v>2023</v>
      </c>
      <c r="T33" t="s">
        <v>62</v>
      </c>
      <c r="U33" t="s">
        <v>63</v>
      </c>
      <c r="X33">
        <v>2</v>
      </c>
    </row>
    <row r="34" spans="1:24">
      <c r="A34" t="s">
        <v>141</v>
      </c>
      <c r="B34" t="s">
        <v>26</v>
      </c>
      <c r="C34" t="s">
        <v>55</v>
      </c>
      <c r="D34" t="s">
        <v>56</v>
      </c>
      <c r="E34" t="s">
        <v>119</v>
      </c>
      <c r="F34" t="s">
        <v>142</v>
      </c>
      <c r="G34" t="s">
        <v>143</v>
      </c>
      <c r="H34">
        <v>108994104698</v>
      </c>
      <c r="I34" t="s">
        <v>144</v>
      </c>
      <c r="J34">
        <v>2015</v>
      </c>
      <c r="K34">
        <v>8</v>
      </c>
      <c r="L34">
        <v>0</v>
      </c>
      <c r="M34" t="s">
        <v>34</v>
      </c>
      <c r="N34" t="s">
        <v>35</v>
      </c>
      <c r="O34" t="s">
        <v>36</v>
      </c>
      <c r="P34" t="s">
        <v>37</v>
      </c>
      <c r="R34" t="s">
        <v>38</v>
      </c>
      <c r="S34">
        <v>2023</v>
      </c>
      <c r="T34" t="s">
        <v>62</v>
      </c>
      <c r="U34" t="s">
        <v>63</v>
      </c>
      <c r="X34">
        <v>2</v>
      </c>
    </row>
    <row r="35" spans="1:24">
      <c r="A35" t="s">
        <v>136</v>
      </c>
      <c r="B35" t="s">
        <v>26</v>
      </c>
      <c r="C35" t="s">
        <v>55</v>
      </c>
      <c r="D35" t="s">
        <v>28</v>
      </c>
      <c r="E35" t="s">
        <v>145</v>
      </c>
      <c r="F35" t="s">
        <v>66</v>
      </c>
      <c r="G35" t="s">
        <v>138</v>
      </c>
      <c r="H35" t="s">
        <v>146</v>
      </c>
      <c r="I35" t="s">
        <v>147</v>
      </c>
      <c r="J35">
        <v>2021</v>
      </c>
      <c r="K35">
        <v>8</v>
      </c>
      <c r="L35">
        <v>6</v>
      </c>
      <c r="M35" t="s">
        <v>34</v>
      </c>
      <c r="N35" t="s">
        <v>35</v>
      </c>
      <c r="O35" t="s">
        <v>36</v>
      </c>
      <c r="P35" t="s">
        <v>37</v>
      </c>
      <c r="R35" t="s">
        <v>38</v>
      </c>
      <c r="S35">
        <v>2023</v>
      </c>
      <c r="T35" t="s">
        <v>62</v>
      </c>
      <c r="U35" t="s">
        <v>63</v>
      </c>
      <c r="X35">
        <v>2</v>
      </c>
    </row>
    <row r="36" spans="1:24">
      <c r="A36" t="s">
        <v>136</v>
      </c>
      <c r="B36" t="s">
        <v>26</v>
      </c>
      <c r="C36" t="s">
        <v>55</v>
      </c>
      <c r="D36" t="s">
        <v>28</v>
      </c>
      <c r="E36" t="s">
        <v>148</v>
      </c>
      <c r="F36" t="s">
        <v>66</v>
      </c>
      <c r="G36" t="s">
        <v>138</v>
      </c>
      <c r="H36" t="s">
        <v>149</v>
      </c>
      <c r="I36" t="s">
        <v>150</v>
      </c>
      <c r="J36">
        <v>2021</v>
      </c>
      <c r="K36">
        <v>8</v>
      </c>
      <c r="L36">
        <v>6</v>
      </c>
      <c r="M36" t="s">
        <v>34</v>
      </c>
      <c r="N36" t="s">
        <v>35</v>
      </c>
      <c r="O36" t="s">
        <v>36</v>
      </c>
      <c r="P36" t="s">
        <v>37</v>
      </c>
      <c r="R36" t="s">
        <v>38</v>
      </c>
      <c r="S36">
        <v>2023</v>
      </c>
      <c r="T36" t="s">
        <v>62</v>
      </c>
      <c r="U36" t="s">
        <v>63</v>
      </c>
      <c r="X36">
        <v>2</v>
      </c>
    </row>
    <row r="37" spans="1:24">
      <c r="A37" t="s">
        <v>136</v>
      </c>
      <c r="B37" t="s">
        <v>26</v>
      </c>
      <c r="C37" t="s">
        <v>55</v>
      </c>
      <c r="D37" t="s">
        <v>28</v>
      </c>
      <c r="E37" t="s">
        <v>151</v>
      </c>
      <c r="F37" t="s">
        <v>66</v>
      </c>
      <c r="G37" t="s">
        <v>138</v>
      </c>
      <c r="H37" t="s">
        <v>152</v>
      </c>
      <c r="I37" t="s">
        <v>153</v>
      </c>
      <c r="J37">
        <v>2021</v>
      </c>
      <c r="K37">
        <v>8</v>
      </c>
      <c r="L37">
        <v>6</v>
      </c>
      <c r="M37" t="s">
        <v>34</v>
      </c>
      <c r="N37" t="s">
        <v>35</v>
      </c>
      <c r="O37" t="s">
        <v>36</v>
      </c>
      <c r="P37" t="s">
        <v>37</v>
      </c>
      <c r="R37" t="s">
        <v>38</v>
      </c>
      <c r="S37">
        <v>2023</v>
      </c>
      <c r="T37" t="s">
        <v>62</v>
      </c>
      <c r="U37" t="s">
        <v>63</v>
      </c>
      <c r="X37">
        <v>2</v>
      </c>
    </row>
    <row r="38" spans="1:24">
      <c r="A38" t="s">
        <v>136</v>
      </c>
      <c r="B38" t="s">
        <v>26</v>
      </c>
      <c r="C38" t="s">
        <v>55</v>
      </c>
      <c r="D38" t="s">
        <v>28</v>
      </c>
      <c r="E38" t="s">
        <v>129</v>
      </c>
      <c r="F38" t="s">
        <v>66</v>
      </c>
      <c r="G38" t="s">
        <v>154</v>
      </c>
      <c r="H38" t="s">
        <v>155</v>
      </c>
      <c r="I38" t="s">
        <v>156</v>
      </c>
      <c r="J38">
        <v>2021</v>
      </c>
      <c r="K38">
        <v>8</v>
      </c>
      <c r="L38">
        <v>6</v>
      </c>
      <c r="M38" t="s">
        <v>34</v>
      </c>
      <c r="N38" t="s">
        <v>35</v>
      </c>
      <c r="O38" t="s">
        <v>36</v>
      </c>
      <c r="P38" t="s">
        <v>37</v>
      </c>
      <c r="R38" t="s">
        <v>38</v>
      </c>
      <c r="S38">
        <v>2023</v>
      </c>
      <c r="T38" t="s">
        <v>62</v>
      </c>
      <c r="U38" t="s">
        <v>63</v>
      </c>
      <c r="X38">
        <v>2</v>
      </c>
    </row>
    <row r="39" spans="1:24">
      <c r="A39" t="s">
        <v>136</v>
      </c>
      <c r="B39" t="s">
        <v>26</v>
      </c>
      <c r="C39" t="s">
        <v>55</v>
      </c>
      <c r="D39" t="s">
        <v>28</v>
      </c>
      <c r="E39" t="s">
        <v>129</v>
      </c>
      <c r="F39" t="s">
        <v>66</v>
      </c>
      <c r="G39" t="s">
        <v>154</v>
      </c>
      <c r="H39" t="s">
        <v>157</v>
      </c>
      <c r="I39" t="s">
        <v>158</v>
      </c>
      <c r="J39">
        <v>2021</v>
      </c>
      <c r="K39">
        <v>8</v>
      </c>
      <c r="L39">
        <v>6</v>
      </c>
      <c r="M39" t="s">
        <v>34</v>
      </c>
      <c r="N39" t="s">
        <v>35</v>
      </c>
      <c r="O39" t="s">
        <v>36</v>
      </c>
      <c r="P39" t="s">
        <v>37</v>
      </c>
      <c r="R39" t="s">
        <v>38</v>
      </c>
      <c r="S39">
        <v>2023</v>
      </c>
      <c r="T39" t="s">
        <v>62</v>
      </c>
      <c r="U39" t="s">
        <v>63</v>
      </c>
      <c r="X39">
        <v>2</v>
      </c>
    </row>
    <row r="40" spans="1:24">
      <c r="A40" t="s">
        <v>136</v>
      </c>
      <c r="B40" t="s">
        <v>26</v>
      </c>
      <c r="C40" t="s">
        <v>55</v>
      </c>
      <c r="D40" t="s">
        <v>28</v>
      </c>
      <c r="E40" t="s">
        <v>129</v>
      </c>
      <c r="F40" t="s">
        <v>66</v>
      </c>
      <c r="G40" t="s">
        <v>154</v>
      </c>
      <c r="H40" t="s">
        <v>159</v>
      </c>
      <c r="I40" t="s">
        <v>160</v>
      </c>
      <c r="J40">
        <v>2021</v>
      </c>
      <c r="K40">
        <v>8</v>
      </c>
      <c r="L40">
        <v>6</v>
      </c>
      <c r="M40" t="s">
        <v>34</v>
      </c>
      <c r="N40" t="s">
        <v>35</v>
      </c>
      <c r="O40" t="s">
        <v>36</v>
      </c>
      <c r="P40" t="s">
        <v>37</v>
      </c>
      <c r="R40" t="s">
        <v>38</v>
      </c>
      <c r="S40">
        <v>2023</v>
      </c>
      <c r="T40" t="s">
        <v>62</v>
      </c>
      <c r="U40" t="s">
        <v>63</v>
      </c>
      <c r="X40">
        <v>2</v>
      </c>
    </row>
    <row r="41" spans="1:24">
      <c r="A41" t="s">
        <v>136</v>
      </c>
      <c r="B41" t="s">
        <v>26</v>
      </c>
      <c r="C41" t="s">
        <v>55</v>
      </c>
      <c r="D41" t="s">
        <v>28</v>
      </c>
      <c r="E41" t="s">
        <v>129</v>
      </c>
      <c r="F41" t="s">
        <v>66</v>
      </c>
      <c r="G41" t="s">
        <v>154</v>
      </c>
      <c r="H41" t="s">
        <v>161</v>
      </c>
      <c r="I41" t="s">
        <v>162</v>
      </c>
      <c r="J41">
        <v>2021</v>
      </c>
      <c r="K41">
        <v>8</v>
      </c>
      <c r="L41">
        <v>6</v>
      </c>
      <c r="M41" t="s">
        <v>34</v>
      </c>
      <c r="N41" t="s">
        <v>35</v>
      </c>
      <c r="O41" t="s">
        <v>36</v>
      </c>
      <c r="P41" t="s">
        <v>37</v>
      </c>
      <c r="R41" t="s">
        <v>38</v>
      </c>
      <c r="S41">
        <v>2023</v>
      </c>
      <c r="T41" t="s">
        <v>62</v>
      </c>
      <c r="U41" t="s">
        <v>63</v>
      </c>
      <c r="X41">
        <v>2</v>
      </c>
    </row>
    <row r="42" spans="1:24">
      <c r="A42" t="s">
        <v>136</v>
      </c>
      <c r="B42" t="s">
        <v>26</v>
      </c>
      <c r="C42" t="s">
        <v>55</v>
      </c>
      <c r="D42" t="s">
        <v>28</v>
      </c>
      <c r="E42" t="s">
        <v>129</v>
      </c>
      <c r="F42" t="s">
        <v>66</v>
      </c>
      <c r="G42" t="s">
        <v>154</v>
      </c>
      <c r="H42" t="s">
        <v>163</v>
      </c>
      <c r="I42" t="s">
        <v>164</v>
      </c>
      <c r="J42">
        <v>2021</v>
      </c>
      <c r="K42">
        <v>8</v>
      </c>
      <c r="L42">
        <v>6</v>
      </c>
      <c r="M42" t="s">
        <v>34</v>
      </c>
      <c r="N42" t="s">
        <v>35</v>
      </c>
      <c r="O42" t="s">
        <v>36</v>
      </c>
      <c r="P42" t="s">
        <v>37</v>
      </c>
      <c r="R42" t="s">
        <v>38</v>
      </c>
      <c r="S42">
        <v>2023</v>
      </c>
      <c r="T42" t="s">
        <v>62</v>
      </c>
      <c r="U42" t="s">
        <v>63</v>
      </c>
      <c r="X42">
        <v>2</v>
      </c>
    </row>
    <row r="43" spans="1:24">
      <c r="A43" t="s">
        <v>136</v>
      </c>
      <c r="B43" t="s">
        <v>26</v>
      </c>
      <c r="C43" t="s">
        <v>55</v>
      </c>
      <c r="D43" t="s">
        <v>28</v>
      </c>
      <c r="E43" t="s">
        <v>129</v>
      </c>
      <c r="F43" t="s">
        <v>66</v>
      </c>
      <c r="G43" t="s">
        <v>154</v>
      </c>
      <c r="H43" t="s">
        <v>165</v>
      </c>
      <c r="I43" t="s">
        <v>166</v>
      </c>
      <c r="J43">
        <v>2021</v>
      </c>
      <c r="K43">
        <v>8</v>
      </c>
      <c r="L43">
        <v>6</v>
      </c>
      <c r="M43" t="s">
        <v>34</v>
      </c>
      <c r="N43" t="s">
        <v>35</v>
      </c>
      <c r="O43" t="s">
        <v>36</v>
      </c>
      <c r="P43" t="s">
        <v>37</v>
      </c>
      <c r="R43" t="s">
        <v>38</v>
      </c>
      <c r="S43">
        <v>2023</v>
      </c>
      <c r="T43" t="s">
        <v>62</v>
      </c>
      <c r="U43" t="s">
        <v>63</v>
      </c>
      <c r="X43">
        <v>2</v>
      </c>
    </row>
    <row r="44" spans="1:24">
      <c r="A44" t="s">
        <v>136</v>
      </c>
      <c r="B44" t="s">
        <v>26</v>
      </c>
      <c r="C44" t="s">
        <v>55</v>
      </c>
      <c r="D44" t="s">
        <v>28</v>
      </c>
      <c r="E44" t="s">
        <v>167</v>
      </c>
      <c r="F44" t="s">
        <v>66</v>
      </c>
      <c r="G44" t="s">
        <v>168</v>
      </c>
      <c r="H44">
        <v>6678</v>
      </c>
      <c r="I44" t="s">
        <v>169</v>
      </c>
      <c r="J44">
        <v>2020</v>
      </c>
      <c r="K44">
        <v>8</v>
      </c>
      <c r="L44">
        <v>5</v>
      </c>
      <c r="M44" t="s">
        <v>34</v>
      </c>
      <c r="N44" t="s">
        <v>35</v>
      </c>
      <c r="O44" t="s">
        <v>36</v>
      </c>
      <c r="P44" t="s">
        <v>37</v>
      </c>
      <c r="R44" t="s">
        <v>38</v>
      </c>
      <c r="S44">
        <v>2023</v>
      </c>
      <c r="T44" t="s">
        <v>62</v>
      </c>
      <c r="U44" t="s">
        <v>63</v>
      </c>
      <c r="X44">
        <v>2</v>
      </c>
    </row>
    <row r="45" spans="1:24">
      <c r="A45" t="s">
        <v>170</v>
      </c>
      <c r="B45" t="s">
        <v>26</v>
      </c>
      <c r="C45" t="s">
        <v>55</v>
      </c>
      <c r="D45" t="s">
        <v>56</v>
      </c>
      <c r="E45" t="s">
        <v>65</v>
      </c>
      <c r="F45" t="s">
        <v>171</v>
      </c>
      <c r="G45" t="s">
        <v>172</v>
      </c>
      <c r="H45" t="s">
        <v>173</v>
      </c>
      <c r="I45" t="s">
        <v>174</v>
      </c>
      <c r="J45">
        <v>2016</v>
      </c>
      <c r="K45">
        <v>8</v>
      </c>
      <c r="L45">
        <v>1</v>
      </c>
      <c r="M45" t="s">
        <v>34</v>
      </c>
      <c r="N45" t="s">
        <v>35</v>
      </c>
      <c r="O45" t="s">
        <v>36</v>
      </c>
      <c r="P45" t="s">
        <v>37</v>
      </c>
      <c r="R45" t="s">
        <v>38</v>
      </c>
      <c r="S45">
        <v>2023</v>
      </c>
      <c r="T45" t="s">
        <v>62</v>
      </c>
      <c r="U45" t="s">
        <v>63</v>
      </c>
      <c r="X45">
        <v>2</v>
      </c>
    </row>
    <row r="46" spans="1:24">
      <c r="A46" t="s">
        <v>170</v>
      </c>
      <c r="B46" t="s">
        <v>26</v>
      </c>
      <c r="C46" t="s">
        <v>55</v>
      </c>
      <c r="D46" t="s">
        <v>56</v>
      </c>
      <c r="E46" t="s">
        <v>65</v>
      </c>
      <c r="F46" t="s">
        <v>171</v>
      </c>
      <c r="G46" t="s">
        <v>172</v>
      </c>
      <c r="H46" t="s">
        <v>175</v>
      </c>
      <c r="I46" t="s">
        <v>176</v>
      </c>
      <c r="J46">
        <v>2015</v>
      </c>
      <c r="K46">
        <v>8</v>
      </c>
      <c r="L46">
        <v>0</v>
      </c>
      <c r="M46" t="s">
        <v>34</v>
      </c>
      <c r="N46" t="s">
        <v>35</v>
      </c>
      <c r="O46" t="s">
        <v>36</v>
      </c>
      <c r="P46" t="s">
        <v>37</v>
      </c>
      <c r="R46" t="s">
        <v>38</v>
      </c>
      <c r="S46">
        <v>2023</v>
      </c>
      <c r="T46" t="s">
        <v>62</v>
      </c>
      <c r="U46" t="s">
        <v>63</v>
      </c>
      <c r="X46">
        <v>2</v>
      </c>
    </row>
    <row r="47" spans="1:24">
      <c r="A47" t="s">
        <v>170</v>
      </c>
      <c r="B47" t="s">
        <v>26</v>
      </c>
      <c r="C47" t="s">
        <v>55</v>
      </c>
      <c r="D47" t="s">
        <v>56</v>
      </c>
      <c r="E47" t="s">
        <v>65</v>
      </c>
      <c r="F47" t="s">
        <v>177</v>
      </c>
      <c r="G47" t="s">
        <v>178</v>
      </c>
      <c r="H47">
        <v>50200469</v>
      </c>
      <c r="I47" t="s">
        <v>179</v>
      </c>
      <c r="J47">
        <v>2016</v>
      </c>
      <c r="K47">
        <v>8</v>
      </c>
      <c r="L47">
        <v>1</v>
      </c>
      <c r="M47" t="s">
        <v>34</v>
      </c>
      <c r="N47" t="s">
        <v>35</v>
      </c>
      <c r="O47" t="s">
        <v>36</v>
      </c>
      <c r="P47" t="s">
        <v>37</v>
      </c>
      <c r="R47" t="s">
        <v>38</v>
      </c>
      <c r="S47">
        <v>2023</v>
      </c>
      <c r="T47" t="s">
        <v>62</v>
      </c>
      <c r="U47" t="s">
        <v>63</v>
      </c>
      <c r="X47">
        <v>2</v>
      </c>
    </row>
    <row r="48" spans="1:24">
      <c r="A48" t="s">
        <v>170</v>
      </c>
      <c r="B48" t="s">
        <v>26</v>
      </c>
      <c r="C48" t="s">
        <v>55</v>
      </c>
      <c r="D48" t="s">
        <v>56</v>
      </c>
      <c r="E48" t="s">
        <v>65</v>
      </c>
      <c r="F48" t="s">
        <v>177</v>
      </c>
      <c r="G48" t="s">
        <v>178</v>
      </c>
      <c r="H48">
        <v>50200457</v>
      </c>
      <c r="I48" t="s">
        <v>180</v>
      </c>
      <c r="J48">
        <v>2016</v>
      </c>
      <c r="K48">
        <v>8</v>
      </c>
      <c r="L48">
        <v>1</v>
      </c>
      <c r="M48" t="s">
        <v>34</v>
      </c>
      <c r="N48" t="s">
        <v>35</v>
      </c>
      <c r="O48" t="s">
        <v>36</v>
      </c>
      <c r="P48" t="s">
        <v>37</v>
      </c>
      <c r="R48" t="s">
        <v>38</v>
      </c>
      <c r="S48">
        <v>2023</v>
      </c>
      <c r="T48" t="s">
        <v>62</v>
      </c>
      <c r="U48" t="s">
        <v>63</v>
      </c>
      <c r="X48">
        <v>2</v>
      </c>
    </row>
    <row r="49" spans="1:24">
      <c r="A49" t="s">
        <v>181</v>
      </c>
      <c r="B49" t="s">
        <v>26</v>
      </c>
      <c r="C49" t="s">
        <v>55</v>
      </c>
      <c r="D49" t="s">
        <v>56</v>
      </c>
      <c r="E49" t="s">
        <v>65</v>
      </c>
      <c r="F49" t="s">
        <v>177</v>
      </c>
      <c r="G49" t="s">
        <v>178</v>
      </c>
      <c r="H49">
        <v>50200455</v>
      </c>
      <c r="I49" t="s">
        <v>182</v>
      </c>
      <c r="J49">
        <v>2016</v>
      </c>
      <c r="K49">
        <v>8</v>
      </c>
      <c r="L49">
        <v>1</v>
      </c>
      <c r="M49" t="s">
        <v>34</v>
      </c>
      <c r="N49" t="s">
        <v>35</v>
      </c>
      <c r="O49" t="s">
        <v>36</v>
      </c>
      <c r="P49" t="s">
        <v>37</v>
      </c>
      <c r="R49" t="s">
        <v>38</v>
      </c>
      <c r="S49">
        <v>2023</v>
      </c>
      <c r="T49" t="s">
        <v>62</v>
      </c>
      <c r="U49" t="s">
        <v>63</v>
      </c>
      <c r="X49">
        <v>2</v>
      </c>
    </row>
    <row r="50" spans="1:24">
      <c r="A50" t="s">
        <v>181</v>
      </c>
      <c r="B50" t="s">
        <v>26</v>
      </c>
      <c r="C50" t="s">
        <v>55</v>
      </c>
      <c r="D50" t="s">
        <v>56</v>
      </c>
      <c r="E50" t="s">
        <v>65</v>
      </c>
      <c r="F50" t="s">
        <v>177</v>
      </c>
      <c r="G50" t="s">
        <v>178</v>
      </c>
      <c r="H50">
        <v>50200452</v>
      </c>
      <c r="I50" t="s">
        <v>183</v>
      </c>
      <c r="J50">
        <v>2016</v>
      </c>
      <c r="K50">
        <v>8</v>
      </c>
      <c r="L50">
        <v>1</v>
      </c>
      <c r="M50" t="s">
        <v>34</v>
      </c>
      <c r="N50" t="s">
        <v>35</v>
      </c>
      <c r="O50" t="s">
        <v>36</v>
      </c>
      <c r="P50" t="s">
        <v>37</v>
      </c>
      <c r="R50" t="s">
        <v>38</v>
      </c>
      <c r="S50">
        <v>2023</v>
      </c>
      <c r="T50" t="s">
        <v>62</v>
      </c>
      <c r="U50" t="s">
        <v>63</v>
      </c>
      <c r="X50">
        <v>2</v>
      </c>
    </row>
    <row r="51" spans="1:24">
      <c r="A51" t="s">
        <v>181</v>
      </c>
      <c r="B51" t="s">
        <v>26</v>
      </c>
      <c r="C51" t="s">
        <v>55</v>
      </c>
      <c r="D51" t="s">
        <v>56</v>
      </c>
      <c r="E51" t="s">
        <v>65</v>
      </c>
      <c r="F51" t="s">
        <v>177</v>
      </c>
      <c r="G51" t="s">
        <v>178</v>
      </c>
      <c r="H51">
        <v>50200451</v>
      </c>
      <c r="I51" t="s">
        <v>184</v>
      </c>
      <c r="J51">
        <v>2016</v>
      </c>
      <c r="K51">
        <v>8</v>
      </c>
      <c r="L51">
        <v>1</v>
      </c>
      <c r="M51" t="s">
        <v>34</v>
      </c>
      <c r="N51" t="s">
        <v>35</v>
      </c>
      <c r="O51" t="s">
        <v>36</v>
      </c>
      <c r="P51" t="s">
        <v>37</v>
      </c>
      <c r="R51" t="s">
        <v>38</v>
      </c>
      <c r="S51">
        <v>2023</v>
      </c>
      <c r="T51" t="s">
        <v>62</v>
      </c>
      <c r="U51" t="s">
        <v>63</v>
      </c>
      <c r="X51">
        <v>2</v>
      </c>
    </row>
    <row r="52" spans="1:24">
      <c r="A52" t="s">
        <v>181</v>
      </c>
      <c r="B52" t="s">
        <v>26</v>
      </c>
      <c r="C52" t="s">
        <v>55</v>
      </c>
      <c r="D52" t="s">
        <v>56</v>
      </c>
      <c r="E52" t="s">
        <v>65</v>
      </c>
      <c r="F52" t="s">
        <v>177</v>
      </c>
      <c r="G52" t="s">
        <v>178</v>
      </c>
      <c r="H52">
        <v>50200448</v>
      </c>
      <c r="I52" t="s">
        <v>185</v>
      </c>
      <c r="J52">
        <v>2016</v>
      </c>
      <c r="K52">
        <v>8</v>
      </c>
      <c r="L52">
        <v>1</v>
      </c>
      <c r="M52" t="s">
        <v>34</v>
      </c>
      <c r="N52" t="s">
        <v>35</v>
      </c>
      <c r="O52" t="s">
        <v>36</v>
      </c>
      <c r="P52" t="s">
        <v>37</v>
      </c>
      <c r="R52" t="s">
        <v>38</v>
      </c>
      <c r="S52">
        <v>2023</v>
      </c>
      <c r="T52" t="s">
        <v>62</v>
      </c>
      <c r="U52" t="s">
        <v>63</v>
      </c>
      <c r="X52">
        <v>2</v>
      </c>
    </row>
    <row r="53" spans="1:24">
      <c r="A53" t="s">
        <v>186</v>
      </c>
      <c r="B53" t="s">
        <v>26</v>
      </c>
      <c r="C53" t="s">
        <v>55</v>
      </c>
      <c r="D53" t="s">
        <v>56</v>
      </c>
      <c r="E53" t="s">
        <v>65</v>
      </c>
      <c r="F53" t="s">
        <v>177</v>
      </c>
      <c r="G53" t="s">
        <v>178</v>
      </c>
      <c r="H53">
        <v>50200450</v>
      </c>
      <c r="I53" t="s">
        <v>187</v>
      </c>
      <c r="J53">
        <v>2016</v>
      </c>
      <c r="K53">
        <v>8</v>
      </c>
      <c r="L53">
        <v>1</v>
      </c>
      <c r="M53" t="s">
        <v>34</v>
      </c>
      <c r="N53" t="s">
        <v>35</v>
      </c>
      <c r="O53" t="s">
        <v>36</v>
      </c>
      <c r="P53" t="s">
        <v>37</v>
      </c>
      <c r="R53" t="s">
        <v>38</v>
      </c>
      <c r="S53">
        <v>2023</v>
      </c>
      <c r="T53" t="s">
        <v>62</v>
      </c>
      <c r="U53" t="s">
        <v>63</v>
      </c>
      <c r="X53">
        <v>2</v>
      </c>
    </row>
    <row r="54" spans="1:24">
      <c r="A54" t="s">
        <v>186</v>
      </c>
      <c r="B54" t="s">
        <v>26</v>
      </c>
      <c r="C54" t="s">
        <v>55</v>
      </c>
      <c r="D54" t="s">
        <v>56</v>
      </c>
      <c r="E54" t="s">
        <v>65</v>
      </c>
      <c r="F54" t="s">
        <v>177</v>
      </c>
      <c r="G54" t="s">
        <v>178</v>
      </c>
      <c r="H54">
        <v>50200468</v>
      </c>
      <c r="I54" t="s">
        <v>188</v>
      </c>
      <c r="J54">
        <v>2016</v>
      </c>
      <c r="K54">
        <v>8</v>
      </c>
      <c r="L54">
        <v>1</v>
      </c>
      <c r="M54" t="s">
        <v>34</v>
      </c>
      <c r="N54" t="s">
        <v>35</v>
      </c>
      <c r="O54" t="s">
        <v>36</v>
      </c>
      <c r="P54" t="s">
        <v>37</v>
      </c>
      <c r="R54" t="s">
        <v>38</v>
      </c>
      <c r="S54">
        <v>2023</v>
      </c>
      <c r="T54" t="s">
        <v>62</v>
      </c>
      <c r="U54" t="s">
        <v>63</v>
      </c>
      <c r="X54">
        <v>2</v>
      </c>
    </row>
    <row r="55" spans="1:24">
      <c r="A55" t="s">
        <v>181</v>
      </c>
      <c r="B55" t="s">
        <v>26</v>
      </c>
      <c r="C55" t="s">
        <v>55</v>
      </c>
      <c r="D55" t="s">
        <v>56</v>
      </c>
      <c r="E55" t="s">
        <v>65</v>
      </c>
      <c r="F55" t="s">
        <v>177</v>
      </c>
      <c r="G55" t="s">
        <v>178</v>
      </c>
      <c r="H55">
        <v>50200444</v>
      </c>
      <c r="I55" t="s">
        <v>189</v>
      </c>
      <c r="J55">
        <v>2016</v>
      </c>
      <c r="K55">
        <v>8</v>
      </c>
      <c r="L55">
        <v>1</v>
      </c>
      <c r="M55" t="s">
        <v>34</v>
      </c>
      <c r="N55" t="s">
        <v>35</v>
      </c>
      <c r="O55" t="s">
        <v>36</v>
      </c>
      <c r="P55" t="s">
        <v>37</v>
      </c>
      <c r="R55" t="s">
        <v>38</v>
      </c>
      <c r="S55">
        <v>2023</v>
      </c>
      <c r="T55" t="s">
        <v>62</v>
      </c>
      <c r="U55" t="s">
        <v>63</v>
      </c>
      <c r="X55">
        <v>2</v>
      </c>
    </row>
    <row r="56" spans="1:24">
      <c r="A56" t="s">
        <v>181</v>
      </c>
      <c r="B56" t="s">
        <v>26</v>
      </c>
      <c r="C56" t="s">
        <v>55</v>
      </c>
      <c r="D56" t="s">
        <v>56</v>
      </c>
      <c r="E56" t="s">
        <v>65</v>
      </c>
      <c r="F56" t="s">
        <v>177</v>
      </c>
      <c r="G56" t="s">
        <v>178</v>
      </c>
      <c r="H56">
        <v>50200436</v>
      </c>
      <c r="I56" t="s">
        <v>190</v>
      </c>
      <c r="J56">
        <v>2016</v>
      </c>
      <c r="K56">
        <v>8</v>
      </c>
      <c r="L56">
        <v>1</v>
      </c>
      <c r="M56" t="s">
        <v>34</v>
      </c>
      <c r="N56" t="s">
        <v>35</v>
      </c>
      <c r="O56" t="s">
        <v>36</v>
      </c>
      <c r="P56" t="s">
        <v>37</v>
      </c>
      <c r="R56" t="s">
        <v>38</v>
      </c>
      <c r="S56">
        <v>2023</v>
      </c>
      <c r="T56" t="s">
        <v>62</v>
      </c>
      <c r="U56" t="s">
        <v>63</v>
      </c>
      <c r="X56">
        <v>2</v>
      </c>
    </row>
    <row r="57" spans="1:24">
      <c r="A57" t="s">
        <v>186</v>
      </c>
      <c r="B57" t="s">
        <v>26</v>
      </c>
      <c r="C57" t="s">
        <v>55</v>
      </c>
      <c r="D57" t="s">
        <v>56</v>
      </c>
      <c r="E57" t="s">
        <v>57</v>
      </c>
      <c r="F57" t="s">
        <v>30</v>
      </c>
      <c r="G57" t="s">
        <v>78</v>
      </c>
      <c r="H57" t="s">
        <v>191</v>
      </c>
      <c r="I57" t="s">
        <v>192</v>
      </c>
      <c r="J57">
        <v>2020</v>
      </c>
      <c r="K57">
        <v>8</v>
      </c>
      <c r="L57">
        <v>5</v>
      </c>
      <c r="M57" t="s">
        <v>34</v>
      </c>
      <c r="N57" t="s">
        <v>35</v>
      </c>
      <c r="O57" t="s">
        <v>36</v>
      </c>
      <c r="P57" t="s">
        <v>37</v>
      </c>
      <c r="R57" t="s">
        <v>38</v>
      </c>
      <c r="S57">
        <v>2023</v>
      </c>
      <c r="T57" t="s">
        <v>62</v>
      </c>
      <c r="U57" t="s">
        <v>63</v>
      </c>
      <c r="X57">
        <v>2</v>
      </c>
    </row>
    <row r="58" spans="1:24">
      <c r="A58" t="s">
        <v>181</v>
      </c>
      <c r="B58" t="s">
        <v>26</v>
      </c>
      <c r="C58" t="s">
        <v>55</v>
      </c>
      <c r="D58" t="s">
        <v>56</v>
      </c>
      <c r="E58" t="s">
        <v>65</v>
      </c>
      <c r="F58" t="s">
        <v>66</v>
      </c>
      <c r="G58" t="s">
        <v>193</v>
      </c>
      <c r="H58">
        <v>115438</v>
      </c>
      <c r="I58" t="s">
        <v>194</v>
      </c>
      <c r="J58">
        <v>2016</v>
      </c>
      <c r="K58">
        <v>8</v>
      </c>
      <c r="L58">
        <v>1</v>
      </c>
      <c r="M58" t="s">
        <v>34</v>
      </c>
      <c r="N58" t="s">
        <v>35</v>
      </c>
      <c r="O58" t="s">
        <v>36</v>
      </c>
      <c r="P58" t="s">
        <v>37</v>
      </c>
      <c r="R58" t="s">
        <v>38</v>
      </c>
      <c r="S58">
        <v>2023</v>
      </c>
      <c r="T58" t="s">
        <v>62</v>
      </c>
      <c r="U58" t="s">
        <v>63</v>
      </c>
      <c r="X58">
        <v>2</v>
      </c>
    </row>
    <row r="59" spans="1:24">
      <c r="A59" t="s">
        <v>181</v>
      </c>
      <c r="B59" t="s">
        <v>26</v>
      </c>
      <c r="C59" t="s">
        <v>55</v>
      </c>
      <c r="D59" t="s">
        <v>56</v>
      </c>
      <c r="E59" t="s">
        <v>65</v>
      </c>
      <c r="F59" t="s">
        <v>66</v>
      </c>
      <c r="G59" t="s">
        <v>193</v>
      </c>
      <c r="H59">
        <v>115409</v>
      </c>
      <c r="I59" t="s">
        <v>195</v>
      </c>
      <c r="J59">
        <v>2016</v>
      </c>
      <c r="K59">
        <v>8</v>
      </c>
      <c r="L59">
        <v>1</v>
      </c>
      <c r="M59" t="s">
        <v>34</v>
      </c>
      <c r="N59" t="s">
        <v>35</v>
      </c>
      <c r="O59" t="s">
        <v>36</v>
      </c>
      <c r="P59" t="s">
        <v>37</v>
      </c>
      <c r="R59" t="s">
        <v>38</v>
      </c>
      <c r="S59">
        <v>2023</v>
      </c>
      <c r="T59" t="s">
        <v>62</v>
      </c>
      <c r="U59" t="s">
        <v>63</v>
      </c>
      <c r="X59">
        <v>2</v>
      </c>
    </row>
    <row r="60" spans="1:24">
      <c r="A60" t="s">
        <v>181</v>
      </c>
      <c r="B60" t="s">
        <v>26</v>
      </c>
      <c r="C60" t="s">
        <v>55</v>
      </c>
      <c r="D60" t="s">
        <v>56</v>
      </c>
      <c r="E60" t="s">
        <v>65</v>
      </c>
      <c r="F60" t="s">
        <v>66</v>
      </c>
      <c r="G60" t="s">
        <v>193</v>
      </c>
      <c r="H60">
        <v>115373</v>
      </c>
      <c r="I60" t="s">
        <v>196</v>
      </c>
      <c r="J60">
        <v>2016</v>
      </c>
      <c r="K60">
        <v>8</v>
      </c>
      <c r="L60">
        <v>1</v>
      </c>
      <c r="M60" t="s">
        <v>34</v>
      </c>
      <c r="N60" t="s">
        <v>35</v>
      </c>
      <c r="O60" t="s">
        <v>36</v>
      </c>
      <c r="P60" t="s">
        <v>37</v>
      </c>
      <c r="R60" t="s">
        <v>38</v>
      </c>
      <c r="S60">
        <v>2023</v>
      </c>
      <c r="T60" t="s">
        <v>62</v>
      </c>
      <c r="U60" t="s">
        <v>63</v>
      </c>
      <c r="X60">
        <v>2</v>
      </c>
    </row>
    <row r="61" spans="1:24">
      <c r="A61" t="s">
        <v>197</v>
      </c>
      <c r="B61" t="s">
        <v>26</v>
      </c>
      <c r="C61" t="s">
        <v>55</v>
      </c>
      <c r="D61" t="s">
        <v>56</v>
      </c>
      <c r="E61" t="s">
        <v>119</v>
      </c>
      <c r="F61" t="s">
        <v>198</v>
      </c>
      <c r="G61" t="s">
        <v>121</v>
      </c>
      <c r="H61" t="s">
        <v>199</v>
      </c>
      <c r="I61" t="s">
        <v>200</v>
      </c>
      <c r="J61">
        <v>2016</v>
      </c>
      <c r="K61">
        <v>8</v>
      </c>
      <c r="L61">
        <v>1</v>
      </c>
      <c r="M61" t="s">
        <v>34</v>
      </c>
      <c r="N61" t="s">
        <v>35</v>
      </c>
      <c r="O61" t="s">
        <v>36</v>
      </c>
      <c r="P61" t="s">
        <v>37</v>
      </c>
      <c r="R61" t="s">
        <v>38</v>
      </c>
      <c r="S61">
        <v>2023</v>
      </c>
      <c r="T61" t="s">
        <v>62</v>
      </c>
      <c r="U61" t="s">
        <v>63</v>
      </c>
      <c r="X61">
        <v>2</v>
      </c>
    </row>
    <row r="62" spans="1:24">
      <c r="A62" t="s">
        <v>197</v>
      </c>
      <c r="B62" t="s">
        <v>26</v>
      </c>
      <c r="C62" t="s">
        <v>55</v>
      </c>
      <c r="D62" t="s">
        <v>56</v>
      </c>
      <c r="E62" t="s">
        <v>119</v>
      </c>
      <c r="F62" t="s">
        <v>198</v>
      </c>
      <c r="G62" t="s">
        <v>121</v>
      </c>
      <c r="H62" t="s">
        <v>201</v>
      </c>
      <c r="I62" t="s">
        <v>202</v>
      </c>
      <c r="J62">
        <v>2016</v>
      </c>
      <c r="K62">
        <v>8</v>
      </c>
      <c r="L62">
        <v>1</v>
      </c>
      <c r="M62" t="s">
        <v>34</v>
      </c>
      <c r="N62" t="s">
        <v>35</v>
      </c>
      <c r="O62" t="s">
        <v>36</v>
      </c>
      <c r="P62" t="s">
        <v>37</v>
      </c>
      <c r="R62" t="s">
        <v>38</v>
      </c>
      <c r="S62">
        <v>2023</v>
      </c>
      <c r="T62" t="s">
        <v>62</v>
      </c>
      <c r="U62" t="s">
        <v>63</v>
      </c>
      <c r="X62">
        <v>2</v>
      </c>
    </row>
    <row r="63" spans="1:24">
      <c r="A63" t="s">
        <v>197</v>
      </c>
      <c r="B63" t="s">
        <v>26</v>
      </c>
      <c r="C63" t="s">
        <v>55</v>
      </c>
      <c r="D63" t="s">
        <v>56</v>
      </c>
      <c r="E63" t="s">
        <v>57</v>
      </c>
      <c r="F63" t="s">
        <v>30</v>
      </c>
      <c r="G63" t="s">
        <v>78</v>
      </c>
      <c r="H63" t="s">
        <v>203</v>
      </c>
      <c r="I63" t="s">
        <v>204</v>
      </c>
      <c r="J63">
        <v>2020</v>
      </c>
      <c r="K63">
        <v>8</v>
      </c>
      <c r="L63">
        <v>5</v>
      </c>
      <c r="M63" t="s">
        <v>34</v>
      </c>
      <c r="N63" t="s">
        <v>35</v>
      </c>
      <c r="O63" t="s">
        <v>36</v>
      </c>
      <c r="P63" t="s">
        <v>37</v>
      </c>
      <c r="R63" t="s">
        <v>38</v>
      </c>
      <c r="S63">
        <v>2023</v>
      </c>
      <c r="T63" t="s">
        <v>62</v>
      </c>
      <c r="U63" t="s">
        <v>63</v>
      </c>
      <c r="X63">
        <v>2</v>
      </c>
    </row>
    <row r="64" spans="1:24">
      <c r="A64" t="s">
        <v>197</v>
      </c>
      <c r="B64" t="s">
        <v>26</v>
      </c>
      <c r="C64" t="s">
        <v>55</v>
      </c>
      <c r="D64" t="s">
        <v>56</v>
      </c>
      <c r="E64" t="s">
        <v>57</v>
      </c>
      <c r="F64" t="s">
        <v>120</v>
      </c>
      <c r="G64" t="s">
        <v>205</v>
      </c>
      <c r="H64" t="s">
        <v>206</v>
      </c>
      <c r="I64" t="s">
        <v>207</v>
      </c>
      <c r="J64">
        <v>2017</v>
      </c>
      <c r="K64">
        <v>8</v>
      </c>
      <c r="L64">
        <v>2</v>
      </c>
      <c r="M64" t="s">
        <v>34</v>
      </c>
      <c r="N64" t="s">
        <v>35</v>
      </c>
      <c r="O64" t="s">
        <v>36</v>
      </c>
      <c r="P64" t="s">
        <v>37</v>
      </c>
      <c r="R64" t="s">
        <v>38</v>
      </c>
      <c r="S64">
        <v>2023</v>
      </c>
      <c r="T64" t="s">
        <v>62</v>
      </c>
      <c r="U64" t="s">
        <v>63</v>
      </c>
      <c r="X64">
        <v>2</v>
      </c>
    </row>
    <row r="65" spans="1:24">
      <c r="A65" t="s">
        <v>208</v>
      </c>
      <c r="B65" t="s">
        <v>26</v>
      </c>
      <c r="C65" t="s">
        <v>27</v>
      </c>
      <c r="D65" t="s">
        <v>28</v>
      </c>
      <c r="E65" t="s">
        <v>209</v>
      </c>
      <c r="F65" t="s">
        <v>210</v>
      </c>
      <c r="G65" t="s">
        <v>211</v>
      </c>
      <c r="H65" t="s">
        <v>212</v>
      </c>
      <c r="I65" t="s">
        <v>213</v>
      </c>
      <c r="J65">
        <v>2020</v>
      </c>
      <c r="K65">
        <v>8</v>
      </c>
      <c r="L65">
        <v>5</v>
      </c>
      <c r="M65" t="s">
        <v>34</v>
      </c>
      <c r="N65" t="s">
        <v>35</v>
      </c>
      <c r="O65" t="s">
        <v>36</v>
      </c>
      <c r="P65" t="s">
        <v>37</v>
      </c>
      <c r="R65" t="s">
        <v>38</v>
      </c>
      <c r="S65">
        <v>2023</v>
      </c>
      <c r="T65" t="s">
        <v>39</v>
      </c>
      <c r="V65" t="s">
        <v>96</v>
      </c>
      <c r="W65">
        <v>1039250</v>
      </c>
      <c r="X65">
        <v>2</v>
      </c>
    </row>
    <row r="66" spans="1:24">
      <c r="A66" t="s">
        <v>214</v>
      </c>
      <c r="B66" t="s">
        <v>26</v>
      </c>
      <c r="C66" t="s">
        <v>27</v>
      </c>
      <c r="D66" t="s">
        <v>28</v>
      </c>
      <c r="E66" t="s">
        <v>84</v>
      </c>
      <c r="F66" t="s">
        <v>85</v>
      </c>
      <c r="G66" t="s">
        <v>86</v>
      </c>
      <c r="H66" t="s">
        <v>215</v>
      </c>
      <c r="I66" t="s">
        <v>216</v>
      </c>
      <c r="J66">
        <v>2020</v>
      </c>
      <c r="K66">
        <v>8</v>
      </c>
      <c r="L66">
        <v>5</v>
      </c>
      <c r="M66" t="s">
        <v>89</v>
      </c>
      <c r="N66" t="s">
        <v>35</v>
      </c>
      <c r="O66" t="s">
        <v>36</v>
      </c>
      <c r="P66" t="s">
        <v>37</v>
      </c>
      <c r="R66" t="s">
        <v>38</v>
      </c>
      <c r="S66">
        <v>2023</v>
      </c>
      <c r="T66" t="s">
        <v>39</v>
      </c>
      <c r="V66" t="s">
        <v>41</v>
      </c>
      <c r="W66">
        <v>407911</v>
      </c>
      <c r="X66">
        <v>2</v>
      </c>
    </row>
    <row r="67" spans="1:24">
      <c r="A67" t="s">
        <v>217</v>
      </c>
      <c r="B67" t="s">
        <v>26</v>
      </c>
      <c r="C67" t="s">
        <v>55</v>
      </c>
      <c r="D67" t="s">
        <v>56</v>
      </c>
      <c r="E67" t="s">
        <v>70</v>
      </c>
      <c r="F67" t="s">
        <v>218</v>
      </c>
      <c r="G67" t="s">
        <v>219</v>
      </c>
      <c r="H67" t="s">
        <v>220</v>
      </c>
      <c r="I67" t="s">
        <v>221</v>
      </c>
      <c r="J67">
        <v>2017</v>
      </c>
      <c r="K67">
        <v>8</v>
      </c>
      <c r="L67">
        <v>2</v>
      </c>
      <c r="M67" t="s">
        <v>34</v>
      </c>
      <c r="N67" t="s">
        <v>35</v>
      </c>
      <c r="O67" t="s">
        <v>36</v>
      </c>
      <c r="P67" t="s">
        <v>37</v>
      </c>
      <c r="R67" t="s">
        <v>38</v>
      </c>
      <c r="S67">
        <v>2023</v>
      </c>
      <c r="T67" t="s">
        <v>62</v>
      </c>
      <c r="U67" t="s">
        <v>63</v>
      </c>
      <c r="X67">
        <v>2</v>
      </c>
    </row>
    <row r="68" spans="1:24">
      <c r="A68" t="s">
        <v>222</v>
      </c>
      <c r="B68" t="s">
        <v>26</v>
      </c>
      <c r="C68" t="s">
        <v>55</v>
      </c>
      <c r="D68" t="s">
        <v>56</v>
      </c>
      <c r="E68" t="s">
        <v>65</v>
      </c>
      <c r="F68" t="s">
        <v>177</v>
      </c>
      <c r="G68" t="s">
        <v>178</v>
      </c>
      <c r="H68">
        <v>50200458</v>
      </c>
      <c r="I68" t="s">
        <v>223</v>
      </c>
      <c r="J68">
        <v>2016</v>
      </c>
      <c r="K68">
        <v>8</v>
      </c>
      <c r="L68">
        <v>1</v>
      </c>
      <c r="M68" t="s">
        <v>34</v>
      </c>
      <c r="N68" t="s">
        <v>35</v>
      </c>
      <c r="O68" t="s">
        <v>36</v>
      </c>
      <c r="P68" t="s">
        <v>37</v>
      </c>
      <c r="R68" t="s">
        <v>38</v>
      </c>
      <c r="S68">
        <v>2023</v>
      </c>
      <c r="T68" t="s">
        <v>62</v>
      </c>
      <c r="U68" t="s">
        <v>63</v>
      </c>
      <c r="X68">
        <v>2</v>
      </c>
    </row>
    <row r="69" spans="1:24">
      <c r="A69" t="s">
        <v>224</v>
      </c>
      <c r="B69" t="s">
        <v>26</v>
      </c>
      <c r="C69" t="s">
        <v>55</v>
      </c>
      <c r="D69" t="s">
        <v>56</v>
      </c>
      <c r="E69" t="s">
        <v>70</v>
      </c>
      <c r="F69" t="s">
        <v>225</v>
      </c>
      <c r="G69" t="s">
        <v>226</v>
      </c>
      <c r="H69" t="s">
        <v>227</v>
      </c>
      <c r="I69" t="s">
        <v>228</v>
      </c>
      <c r="J69">
        <v>2014</v>
      </c>
      <c r="K69">
        <v>8</v>
      </c>
      <c r="L69">
        <v>-1</v>
      </c>
      <c r="M69" t="s">
        <v>34</v>
      </c>
      <c r="N69" t="s">
        <v>35</v>
      </c>
      <c r="O69" t="s">
        <v>36</v>
      </c>
      <c r="P69" t="s">
        <v>37</v>
      </c>
      <c r="R69" t="s">
        <v>38</v>
      </c>
      <c r="S69">
        <v>2023</v>
      </c>
      <c r="T69" t="s">
        <v>62</v>
      </c>
      <c r="U69" t="s">
        <v>63</v>
      </c>
      <c r="X69">
        <v>2</v>
      </c>
    </row>
    <row r="70" spans="1:24">
      <c r="A70" t="s">
        <v>224</v>
      </c>
      <c r="B70" t="s">
        <v>26</v>
      </c>
      <c r="C70" t="s">
        <v>27</v>
      </c>
      <c r="D70" t="s">
        <v>28</v>
      </c>
      <c r="E70" t="s">
        <v>229</v>
      </c>
      <c r="F70" t="s">
        <v>210</v>
      </c>
      <c r="G70" t="s">
        <v>230</v>
      </c>
      <c r="H70" t="s">
        <v>231</v>
      </c>
      <c r="I70" t="s">
        <v>232</v>
      </c>
      <c r="J70">
        <v>2016</v>
      </c>
      <c r="K70">
        <v>8</v>
      </c>
      <c r="L70">
        <v>1</v>
      </c>
      <c r="M70" t="s">
        <v>34</v>
      </c>
      <c r="N70" t="s">
        <v>35</v>
      </c>
      <c r="O70" t="s">
        <v>36</v>
      </c>
      <c r="P70" t="s">
        <v>37</v>
      </c>
      <c r="R70" t="s">
        <v>38</v>
      </c>
      <c r="S70">
        <v>2023</v>
      </c>
      <c r="T70" t="s">
        <v>39</v>
      </c>
      <c r="U70" t="s">
        <v>40</v>
      </c>
      <c r="V70" t="s">
        <v>41</v>
      </c>
      <c r="W70">
        <v>195000</v>
      </c>
      <c r="X70">
        <v>2</v>
      </c>
    </row>
    <row r="71" spans="1:24">
      <c r="A71" t="s">
        <v>224</v>
      </c>
      <c r="B71" t="s">
        <v>26</v>
      </c>
      <c r="C71" t="s">
        <v>55</v>
      </c>
      <c r="D71" t="s">
        <v>56</v>
      </c>
      <c r="E71" t="s">
        <v>233</v>
      </c>
      <c r="F71" t="s">
        <v>198</v>
      </c>
      <c r="G71" t="s">
        <v>121</v>
      </c>
      <c r="H71" t="s">
        <v>234</v>
      </c>
      <c r="I71" t="s">
        <v>235</v>
      </c>
      <c r="J71">
        <v>2016</v>
      </c>
      <c r="K71">
        <v>8</v>
      </c>
      <c r="L71">
        <v>1</v>
      </c>
      <c r="M71" t="s">
        <v>34</v>
      </c>
      <c r="N71" t="s">
        <v>35</v>
      </c>
      <c r="O71" t="s">
        <v>36</v>
      </c>
      <c r="P71" t="s">
        <v>37</v>
      </c>
      <c r="R71" t="s">
        <v>38</v>
      </c>
      <c r="S71">
        <v>2023</v>
      </c>
      <c r="T71" t="s">
        <v>62</v>
      </c>
      <c r="U71" t="s">
        <v>63</v>
      </c>
      <c r="X71">
        <v>2</v>
      </c>
    </row>
    <row r="72" spans="1:24">
      <c r="A72" t="s">
        <v>224</v>
      </c>
      <c r="B72" t="s">
        <v>26</v>
      </c>
      <c r="C72" t="s">
        <v>55</v>
      </c>
      <c r="D72" t="s">
        <v>56</v>
      </c>
      <c r="E72" t="s">
        <v>65</v>
      </c>
      <c r="F72" t="s">
        <v>177</v>
      </c>
      <c r="G72" t="s">
        <v>178</v>
      </c>
      <c r="H72">
        <v>50200461</v>
      </c>
      <c r="I72" t="s">
        <v>236</v>
      </c>
      <c r="J72">
        <v>2016</v>
      </c>
      <c r="K72">
        <v>8</v>
      </c>
      <c r="L72">
        <v>1</v>
      </c>
      <c r="M72" t="s">
        <v>34</v>
      </c>
      <c r="N72" t="s">
        <v>35</v>
      </c>
      <c r="O72" t="s">
        <v>36</v>
      </c>
      <c r="P72" t="s">
        <v>37</v>
      </c>
      <c r="R72" t="s">
        <v>38</v>
      </c>
      <c r="S72">
        <v>2023</v>
      </c>
      <c r="T72" t="s">
        <v>62</v>
      </c>
      <c r="U72" t="s">
        <v>63</v>
      </c>
      <c r="X72">
        <v>2</v>
      </c>
    </row>
    <row r="73" spans="1:24">
      <c r="A73" t="s">
        <v>237</v>
      </c>
      <c r="B73" t="s">
        <v>26</v>
      </c>
      <c r="C73" t="s">
        <v>55</v>
      </c>
      <c r="D73" t="s">
        <v>56</v>
      </c>
      <c r="E73" t="s">
        <v>65</v>
      </c>
      <c r="F73" t="s">
        <v>171</v>
      </c>
      <c r="G73" t="s">
        <v>172</v>
      </c>
      <c r="H73" t="s">
        <v>238</v>
      </c>
      <c r="I73" t="s">
        <v>239</v>
      </c>
      <c r="J73">
        <v>2015</v>
      </c>
      <c r="K73">
        <v>8</v>
      </c>
      <c r="L73">
        <v>0</v>
      </c>
      <c r="M73" t="s">
        <v>34</v>
      </c>
      <c r="N73" t="s">
        <v>35</v>
      </c>
      <c r="O73" t="s">
        <v>36</v>
      </c>
      <c r="P73" t="s">
        <v>37</v>
      </c>
      <c r="R73" t="s">
        <v>38</v>
      </c>
      <c r="S73">
        <v>2023</v>
      </c>
      <c r="T73" t="s">
        <v>62</v>
      </c>
      <c r="U73" t="s">
        <v>63</v>
      </c>
      <c r="X73">
        <v>2</v>
      </c>
    </row>
    <row r="74" spans="1:24">
      <c r="A74" t="s">
        <v>237</v>
      </c>
      <c r="B74" t="s">
        <v>26</v>
      </c>
      <c r="C74" t="s">
        <v>55</v>
      </c>
      <c r="D74" t="s">
        <v>56</v>
      </c>
      <c r="E74" t="s">
        <v>65</v>
      </c>
      <c r="F74" t="s">
        <v>177</v>
      </c>
      <c r="G74" t="s">
        <v>178</v>
      </c>
      <c r="H74">
        <v>50200447</v>
      </c>
      <c r="I74" t="s">
        <v>240</v>
      </c>
      <c r="J74">
        <v>2016</v>
      </c>
      <c r="K74">
        <v>8</v>
      </c>
      <c r="L74">
        <v>1</v>
      </c>
      <c r="M74" t="s">
        <v>34</v>
      </c>
      <c r="N74" t="s">
        <v>35</v>
      </c>
      <c r="O74" t="s">
        <v>36</v>
      </c>
      <c r="P74" t="s">
        <v>37</v>
      </c>
      <c r="R74" t="s">
        <v>38</v>
      </c>
      <c r="S74">
        <v>2023</v>
      </c>
      <c r="T74" t="s">
        <v>62</v>
      </c>
      <c r="U74" t="s">
        <v>63</v>
      </c>
      <c r="X74">
        <v>2</v>
      </c>
    </row>
    <row r="75" spans="1:24">
      <c r="A75" t="s">
        <v>237</v>
      </c>
      <c r="B75" t="s">
        <v>26</v>
      </c>
      <c r="C75" t="s">
        <v>55</v>
      </c>
      <c r="D75" t="s">
        <v>56</v>
      </c>
      <c r="E75" t="s">
        <v>70</v>
      </c>
      <c r="F75" t="s">
        <v>241</v>
      </c>
      <c r="G75" t="s">
        <v>242</v>
      </c>
      <c r="H75">
        <v>1022045</v>
      </c>
      <c r="I75" t="s">
        <v>243</v>
      </c>
      <c r="J75">
        <v>2015</v>
      </c>
      <c r="K75">
        <v>8</v>
      </c>
      <c r="L75">
        <v>0</v>
      </c>
      <c r="M75" t="s">
        <v>34</v>
      </c>
      <c r="N75" t="s">
        <v>35</v>
      </c>
      <c r="O75" t="s">
        <v>36</v>
      </c>
      <c r="P75" t="s">
        <v>37</v>
      </c>
      <c r="R75" t="s">
        <v>38</v>
      </c>
      <c r="S75">
        <v>2023</v>
      </c>
      <c r="T75" t="s">
        <v>62</v>
      </c>
      <c r="U75" t="s">
        <v>63</v>
      </c>
      <c r="X75">
        <v>2</v>
      </c>
    </row>
    <row r="76" spans="1:24">
      <c r="A76" t="s">
        <v>237</v>
      </c>
      <c r="B76" t="s">
        <v>26</v>
      </c>
      <c r="C76" t="s">
        <v>55</v>
      </c>
      <c r="D76" t="s">
        <v>56</v>
      </c>
      <c r="E76" t="s">
        <v>65</v>
      </c>
      <c r="F76" t="s">
        <v>66</v>
      </c>
      <c r="G76" t="s">
        <v>193</v>
      </c>
      <c r="H76">
        <v>115467</v>
      </c>
      <c r="I76" t="s">
        <v>244</v>
      </c>
      <c r="J76">
        <v>2016</v>
      </c>
      <c r="K76">
        <v>8</v>
      </c>
      <c r="L76">
        <v>1</v>
      </c>
      <c r="M76" t="s">
        <v>34</v>
      </c>
      <c r="N76" t="s">
        <v>35</v>
      </c>
      <c r="O76" t="s">
        <v>36</v>
      </c>
      <c r="P76" t="s">
        <v>37</v>
      </c>
      <c r="R76" t="s">
        <v>38</v>
      </c>
      <c r="S76">
        <v>2023</v>
      </c>
      <c r="T76" t="s">
        <v>62</v>
      </c>
      <c r="U76" t="s">
        <v>63</v>
      </c>
      <c r="X76">
        <v>2</v>
      </c>
    </row>
    <row r="77" spans="1:24">
      <c r="A77" t="s">
        <v>237</v>
      </c>
      <c r="B77" t="s">
        <v>26</v>
      </c>
      <c r="C77" t="s">
        <v>55</v>
      </c>
      <c r="D77" t="s">
        <v>56</v>
      </c>
      <c r="E77" t="s">
        <v>65</v>
      </c>
      <c r="F77" t="s">
        <v>66</v>
      </c>
      <c r="G77" t="s">
        <v>193</v>
      </c>
      <c r="H77">
        <v>115432</v>
      </c>
      <c r="I77" t="s">
        <v>245</v>
      </c>
      <c r="J77">
        <v>2016</v>
      </c>
      <c r="K77">
        <v>8</v>
      </c>
      <c r="L77">
        <v>1</v>
      </c>
      <c r="M77" t="s">
        <v>34</v>
      </c>
      <c r="N77" t="s">
        <v>35</v>
      </c>
      <c r="O77" t="s">
        <v>36</v>
      </c>
      <c r="P77" t="s">
        <v>37</v>
      </c>
      <c r="R77" t="s">
        <v>38</v>
      </c>
      <c r="S77">
        <v>2023</v>
      </c>
      <c r="T77" t="s">
        <v>62</v>
      </c>
      <c r="U77" t="s">
        <v>63</v>
      </c>
      <c r="X77">
        <v>2</v>
      </c>
    </row>
    <row r="78" spans="1:24">
      <c r="A78" t="s">
        <v>237</v>
      </c>
      <c r="B78" t="s">
        <v>26</v>
      </c>
      <c r="C78" t="s">
        <v>55</v>
      </c>
      <c r="D78" t="s">
        <v>56</v>
      </c>
      <c r="E78" t="s">
        <v>65</v>
      </c>
      <c r="F78" t="s">
        <v>66</v>
      </c>
      <c r="G78" t="s">
        <v>193</v>
      </c>
      <c r="H78">
        <v>115426</v>
      </c>
      <c r="I78" t="s">
        <v>246</v>
      </c>
      <c r="J78">
        <v>2016</v>
      </c>
      <c r="K78">
        <v>8</v>
      </c>
      <c r="L78">
        <v>1</v>
      </c>
      <c r="M78" t="s">
        <v>34</v>
      </c>
      <c r="N78" t="s">
        <v>35</v>
      </c>
      <c r="O78" t="s">
        <v>36</v>
      </c>
      <c r="P78" t="s">
        <v>37</v>
      </c>
      <c r="R78" t="s">
        <v>38</v>
      </c>
      <c r="S78">
        <v>2023</v>
      </c>
      <c r="T78" t="s">
        <v>62</v>
      </c>
      <c r="U78" t="s">
        <v>63</v>
      </c>
      <c r="X78">
        <v>2</v>
      </c>
    </row>
    <row r="79" spans="1:24">
      <c r="A79" t="s">
        <v>237</v>
      </c>
      <c r="B79" t="s">
        <v>26</v>
      </c>
      <c r="C79" t="s">
        <v>55</v>
      </c>
      <c r="D79" t="s">
        <v>56</v>
      </c>
      <c r="E79" t="s">
        <v>65</v>
      </c>
      <c r="F79" t="s">
        <v>66</v>
      </c>
      <c r="G79" t="s">
        <v>193</v>
      </c>
      <c r="H79">
        <v>115425</v>
      </c>
      <c r="I79" t="s">
        <v>247</v>
      </c>
      <c r="J79">
        <v>2016</v>
      </c>
      <c r="K79">
        <v>8</v>
      </c>
      <c r="L79">
        <v>1</v>
      </c>
      <c r="M79" t="s">
        <v>34</v>
      </c>
      <c r="N79" t="s">
        <v>35</v>
      </c>
      <c r="O79" t="s">
        <v>36</v>
      </c>
      <c r="P79" t="s">
        <v>37</v>
      </c>
      <c r="R79" t="s">
        <v>38</v>
      </c>
      <c r="S79">
        <v>2023</v>
      </c>
      <c r="T79" t="s">
        <v>62</v>
      </c>
      <c r="U79" t="s">
        <v>63</v>
      </c>
      <c r="X79">
        <v>2</v>
      </c>
    </row>
    <row r="80" spans="1:24">
      <c r="A80" t="s">
        <v>248</v>
      </c>
      <c r="B80" t="s">
        <v>26</v>
      </c>
      <c r="C80" t="s">
        <v>55</v>
      </c>
      <c r="D80" t="s">
        <v>56</v>
      </c>
      <c r="E80" t="s">
        <v>65</v>
      </c>
      <c r="F80" t="s">
        <v>177</v>
      </c>
      <c r="G80" t="s">
        <v>178</v>
      </c>
      <c r="H80">
        <v>50200459</v>
      </c>
      <c r="I80" t="s">
        <v>249</v>
      </c>
      <c r="J80">
        <v>2016</v>
      </c>
      <c r="K80">
        <v>8</v>
      </c>
      <c r="L80">
        <v>1</v>
      </c>
      <c r="M80" t="s">
        <v>34</v>
      </c>
      <c r="N80" t="s">
        <v>35</v>
      </c>
      <c r="O80" t="s">
        <v>36</v>
      </c>
      <c r="P80" t="s">
        <v>37</v>
      </c>
      <c r="R80" t="s">
        <v>38</v>
      </c>
      <c r="S80">
        <v>2023</v>
      </c>
      <c r="T80" t="s">
        <v>62</v>
      </c>
      <c r="U80" t="s">
        <v>63</v>
      </c>
      <c r="X80">
        <v>2</v>
      </c>
    </row>
    <row r="81" spans="1:24">
      <c r="A81" t="s">
        <v>248</v>
      </c>
      <c r="B81" t="s">
        <v>26</v>
      </c>
      <c r="C81" t="s">
        <v>55</v>
      </c>
      <c r="D81" t="s">
        <v>56</v>
      </c>
      <c r="E81" t="s">
        <v>233</v>
      </c>
      <c r="F81" t="s">
        <v>250</v>
      </c>
      <c r="G81" t="s">
        <v>251</v>
      </c>
      <c r="H81" t="s">
        <v>252</v>
      </c>
      <c r="I81" t="s">
        <v>253</v>
      </c>
      <c r="J81">
        <v>2014</v>
      </c>
      <c r="K81">
        <v>8</v>
      </c>
      <c r="L81">
        <v>-1</v>
      </c>
      <c r="M81" t="s">
        <v>34</v>
      </c>
      <c r="N81" t="s">
        <v>35</v>
      </c>
      <c r="O81" t="s">
        <v>36</v>
      </c>
      <c r="P81" t="s">
        <v>37</v>
      </c>
      <c r="R81" t="s">
        <v>38</v>
      </c>
      <c r="S81">
        <v>2023</v>
      </c>
      <c r="T81" t="s">
        <v>62</v>
      </c>
      <c r="U81" t="s">
        <v>63</v>
      </c>
      <c r="X81">
        <v>2</v>
      </c>
    </row>
    <row r="82" spans="1:24">
      <c r="A82" t="s">
        <v>248</v>
      </c>
      <c r="B82" t="s">
        <v>26</v>
      </c>
      <c r="C82" t="s">
        <v>55</v>
      </c>
      <c r="D82" t="s">
        <v>28</v>
      </c>
      <c r="E82" t="s">
        <v>129</v>
      </c>
      <c r="F82" t="s">
        <v>254</v>
      </c>
      <c r="G82" t="s">
        <v>255</v>
      </c>
      <c r="H82" t="s">
        <v>256</v>
      </c>
      <c r="I82" t="s">
        <v>257</v>
      </c>
      <c r="J82">
        <v>2021</v>
      </c>
      <c r="K82">
        <v>8</v>
      </c>
      <c r="L82">
        <v>6</v>
      </c>
      <c r="M82" t="s">
        <v>89</v>
      </c>
      <c r="N82" t="s">
        <v>35</v>
      </c>
      <c r="O82" t="s">
        <v>36</v>
      </c>
      <c r="P82" t="s">
        <v>37</v>
      </c>
      <c r="R82" t="s">
        <v>38</v>
      </c>
      <c r="S82">
        <v>2023</v>
      </c>
      <c r="T82" t="s">
        <v>62</v>
      </c>
      <c r="U82" t="s">
        <v>63</v>
      </c>
      <c r="X82">
        <v>2</v>
      </c>
    </row>
    <row r="83" spans="1:24">
      <c r="A83" t="s">
        <v>237</v>
      </c>
      <c r="B83" t="s">
        <v>26</v>
      </c>
      <c r="C83" t="s">
        <v>55</v>
      </c>
      <c r="D83" t="s">
        <v>56</v>
      </c>
      <c r="E83" t="s">
        <v>65</v>
      </c>
      <c r="F83" t="s">
        <v>66</v>
      </c>
      <c r="G83" t="s">
        <v>193</v>
      </c>
      <c r="H83">
        <v>115405</v>
      </c>
      <c r="I83" t="s">
        <v>258</v>
      </c>
      <c r="J83">
        <v>2016</v>
      </c>
      <c r="K83">
        <v>8</v>
      </c>
      <c r="L83">
        <v>1</v>
      </c>
      <c r="M83" t="s">
        <v>34</v>
      </c>
      <c r="N83" t="s">
        <v>35</v>
      </c>
      <c r="O83" t="s">
        <v>36</v>
      </c>
      <c r="P83" t="s">
        <v>37</v>
      </c>
      <c r="R83" t="s">
        <v>38</v>
      </c>
      <c r="S83">
        <v>2023</v>
      </c>
      <c r="T83" t="s">
        <v>62</v>
      </c>
      <c r="U83" t="s">
        <v>63</v>
      </c>
      <c r="X83">
        <v>2</v>
      </c>
    </row>
    <row r="84" spans="1:24">
      <c r="A84" t="s">
        <v>259</v>
      </c>
      <c r="B84" t="s">
        <v>26</v>
      </c>
      <c r="C84" t="s">
        <v>55</v>
      </c>
      <c r="D84" t="s">
        <v>56</v>
      </c>
      <c r="E84" t="s">
        <v>70</v>
      </c>
      <c r="F84" t="s">
        <v>58</v>
      </c>
      <c r="G84" t="s">
        <v>71</v>
      </c>
      <c r="H84" t="s">
        <v>260</v>
      </c>
      <c r="I84" t="s">
        <v>261</v>
      </c>
      <c r="J84">
        <v>2015</v>
      </c>
      <c r="K84">
        <v>8</v>
      </c>
      <c r="L84">
        <v>0</v>
      </c>
      <c r="M84" t="s">
        <v>34</v>
      </c>
      <c r="N84" t="s">
        <v>35</v>
      </c>
      <c r="O84" t="s">
        <v>36</v>
      </c>
      <c r="P84" t="s">
        <v>37</v>
      </c>
      <c r="R84" t="s">
        <v>38</v>
      </c>
      <c r="S84">
        <v>2023</v>
      </c>
      <c r="T84" t="s">
        <v>62</v>
      </c>
      <c r="U84" t="s">
        <v>63</v>
      </c>
      <c r="X84">
        <v>2</v>
      </c>
    </row>
    <row r="85" spans="1:24">
      <c r="A85" t="s">
        <v>262</v>
      </c>
      <c r="B85" t="s">
        <v>26</v>
      </c>
      <c r="C85" t="s">
        <v>263</v>
      </c>
      <c r="D85" t="s">
        <v>28</v>
      </c>
      <c r="E85" t="s">
        <v>264</v>
      </c>
      <c r="F85" t="s">
        <v>210</v>
      </c>
      <c r="G85" t="s">
        <v>265</v>
      </c>
      <c r="H85" t="s">
        <v>266</v>
      </c>
      <c r="I85" t="s">
        <v>267</v>
      </c>
      <c r="J85">
        <v>2016</v>
      </c>
      <c r="K85">
        <v>8</v>
      </c>
      <c r="L85">
        <v>1</v>
      </c>
      <c r="M85" t="s">
        <v>34</v>
      </c>
      <c r="N85" t="s">
        <v>35</v>
      </c>
      <c r="O85" t="s">
        <v>36</v>
      </c>
      <c r="P85" t="s">
        <v>37</v>
      </c>
      <c r="R85" t="s">
        <v>38</v>
      </c>
      <c r="S85">
        <v>2023</v>
      </c>
      <c r="T85" t="s">
        <v>39</v>
      </c>
      <c r="U85" t="s">
        <v>210</v>
      </c>
      <c r="V85" t="s">
        <v>268</v>
      </c>
      <c r="W85">
        <v>10222948</v>
      </c>
      <c r="X85">
        <v>2</v>
      </c>
    </row>
    <row r="86" spans="1:24">
      <c r="A86" t="s">
        <v>262</v>
      </c>
      <c r="B86" t="s">
        <v>26</v>
      </c>
      <c r="C86" t="s">
        <v>263</v>
      </c>
      <c r="D86" t="s">
        <v>28</v>
      </c>
      <c r="E86" t="s">
        <v>264</v>
      </c>
      <c r="F86" t="s">
        <v>210</v>
      </c>
      <c r="G86" t="s">
        <v>265</v>
      </c>
      <c r="H86" t="s">
        <v>269</v>
      </c>
      <c r="I86" t="s">
        <v>270</v>
      </c>
      <c r="J86">
        <v>2016</v>
      </c>
      <c r="K86">
        <v>8</v>
      </c>
      <c r="L86">
        <v>1</v>
      </c>
      <c r="M86" t="s">
        <v>34</v>
      </c>
      <c r="N86" t="s">
        <v>35</v>
      </c>
      <c r="O86" t="s">
        <v>36</v>
      </c>
      <c r="P86" t="s">
        <v>37</v>
      </c>
      <c r="R86" t="s">
        <v>38</v>
      </c>
      <c r="S86">
        <v>2023</v>
      </c>
      <c r="T86" t="s">
        <v>39</v>
      </c>
      <c r="U86" t="s">
        <v>210</v>
      </c>
      <c r="V86" t="s">
        <v>268</v>
      </c>
      <c r="W86">
        <v>10222948</v>
      </c>
      <c r="X86">
        <v>2</v>
      </c>
    </row>
    <row r="87" spans="1:24">
      <c r="A87" t="s">
        <v>262</v>
      </c>
      <c r="B87" t="s">
        <v>26</v>
      </c>
      <c r="C87" t="s">
        <v>263</v>
      </c>
      <c r="D87" t="s">
        <v>28</v>
      </c>
      <c r="E87" t="s">
        <v>264</v>
      </c>
      <c r="F87" t="s">
        <v>210</v>
      </c>
      <c r="G87" t="s">
        <v>265</v>
      </c>
      <c r="H87" t="s">
        <v>271</v>
      </c>
      <c r="I87" t="s">
        <v>272</v>
      </c>
      <c r="J87">
        <v>2015</v>
      </c>
      <c r="K87">
        <v>8</v>
      </c>
      <c r="L87">
        <v>0</v>
      </c>
      <c r="M87" t="s">
        <v>34</v>
      </c>
      <c r="N87" t="s">
        <v>35</v>
      </c>
      <c r="O87" t="s">
        <v>36</v>
      </c>
      <c r="P87" t="s">
        <v>37</v>
      </c>
      <c r="R87" t="s">
        <v>38</v>
      </c>
      <c r="S87">
        <v>2023</v>
      </c>
      <c r="T87" t="s">
        <v>39</v>
      </c>
      <c r="U87" t="s">
        <v>210</v>
      </c>
      <c r="V87" t="s">
        <v>268</v>
      </c>
      <c r="W87">
        <v>10222948</v>
      </c>
      <c r="X87">
        <v>2</v>
      </c>
    </row>
    <row r="88" spans="1:24">
      <c r="A88" t="s">
        <v>262</v>
      </c>
      <c r="B88" t="s">
        <v>26</v>
      </c>
      <c r="C88" t="s">
        <v>55</v>
      </c>
      <c r="D88" t="s">
        <v>56</v>
      </c>
      <c r="E88" t="s">
        <v>119</v>
      </c>
      <c r="F88" t="s">
        <v>198</v>
      </c>
      <c r="G88" t="s">
        <v>121</v>
      </c>
      <c r="H88" t="s">
        <v>273</v>
      </c>
      <c r="I88" t="s">
        <v>274</v>
      </c>
      <c r="J88">
        <v>2016</v>
      </c>
      <c r="K88">
        <v>8</v>
      </c>
      <c r="L88">
        <v>1</v>
      </c>
      <c r="M88" t="s">
        <v>34</v>
      </c>
      <c r="N88" t="s">
        <v>35</v>
      </c>
      <c r="O88" t="s">
        <v>36</v>
      </c>
      <c r="P88" t="s">
        <v>37</v>
      </c>
      <c r="R88" t="s">
        <v>38</v>
      </c>
      <c r="S88">
        <v>2023</v>
      </c>
      <c r="T88" t="s">
        <v>62</v>
      </c>
      <c r="U88" t="s">
        <v>63</v>
      </c>
      <c r="X88">
        <v>2</v>
      </c>
    </row>
    <row r="89" spans="1:24">
      <c r="A89" t="s">
        <v>262</v>
      </c>
      <c r="B89" t="s">
        <v>26</v>
      </c>
      <c r="C89" t="s">
        <v>55</v>
      </c>
      <c r="D89" t="s">
        <v>56</v>
      </c>
      <c r="E89" t="s">
        <v>119</v>
      </c>
      <c r="F89" t="s">
        <v>198</v>
      </c>
      <c r="G89" t="s">
        <v>121</v>
      </c>
      <c r="H89" t="s">
        <v>275</v>
      </c>
      <c r="I89" t="s">
        <v>276</v>
      </c>
      <c r="J89">
        <v>2016</v>
      </c>
      <c r="K89">
        <v>8</v>
      </c>
      <c r="L89">
        <v>1</v>
      </c>
      <c r="M89" t="s">
        <v>34</v>
      </c>
      <c r="N89" t="s">
        <v>35</v>
      </c>
      <c r="O89" t="s">
        <v>36</v>
      </c>
      <c r="P89" t="s">
        <v>37</v>
      </c>
      <c r="R89" t="s">
        <v>38</v>
      </c>
      <c r="S89">
        <v>2023</v>
      </c>
      <c r="T89" t="s">
        <v>62</v>
      </c>
      <c r="U89" t="s">
        <v>63</v>
      </c>
      <c r="X89">
        <v>2</v>
      </c>
    </row>
    <row r="90" spans="1:24">
      <c r="A90" t="s">
        <v>277</v>
      </c>
      <c r="B90" t="s">
        <v>26</v>
      </c>
      <c r="C90" t="s">
        <v>27</v>
      </c>
      <c r="D90" t="s">
        <v>56</v>
      </c>
      <c r="E90" t="s">
        <v>278</v>
      </c>
      <c r="F90" t="s">
        <v>279</v>
      </c>
      <c r="G90" t="s">
        <v>280</v>
      </c>
      <c r="H90">
        <v>1078</v>
      </c>
      <c r="I90" t="s">
        <v>281</v>
      </c>
      <c r="J90">
        <v>2015</v>
      </c>
      <c r="K90">
        <v>8</v>
      </c>
      <c r="M90" t="s">
        <v>34</v>
      </c>
      <c r="N90" t="s">
        <v>35</v>
      </c>
      <c r="O90" t="s">
        <v>36</v>
      </c>
      <c r="P90" t="s">
        <v>37</v>
      </c>
      <c r="R90" t="s">
        <v>38</v>
      </c>
      <c r="S90">
        <v>2023</v>
      </c>
      <c r="T90" t="s">
        <v>39</v>
      </c>
      <c r="U90" t="s">
        <v>40</v>
      </c>
      <c r="V90" t="s">
        <v>41</v>
      </c>
      <c r="W90">
        <v>195000</v>
      </c>
      <c r="X90">
        <v>2</v>
      </c>
    </row>
    <row r="91" spans="1:24">
      <c r="A91" t="s">
        <v>282</v>
      </c>
      <c r="B91" t="s">
        <v>26</v>
      </c>
      <c r="C91" t="s">
        <v>55</v>
      </c>
      <c r="D91" t="s">
        <v>56</v>
      </c>
      <c r="E91" t="s">
        <v>70</v>
      </c>
      <c r="F91" t="s">
        <v>283</v>
      </c>
      <c r="G91" t="s">
        <v>284</v>
      </c>
      <c r="H91">
        <v>122010786</v>
      </c>
      <c r="I91" t="s">
        <v>285</v>
      </c>
      <c r="J91">
        <v>2022</v>
      </c>
      <c r="K91">
        <v>8</v>
      </c>
      <c r="L91">
        <v>7</v>
      </c>
      <c r="M91" t="s">
        <v>34</v>
      </c>
      <c r="N91" t="s">
        <v>35</v>
      </c>
      <c r="O91" t="s">
        <v>36</v>
      </c>
      <c r="P91" t="s">
        <v>37</v>
      </c>
      <c r="R91" t="s">
        <v>38</v>
      </c>
      <c r="S91">
        <v>2023</v>
      </c>
      <c r="T91" t="s">
        <v>62</v>
      </c>
      <c r="U91" t="s">
        <v>63</v>
      </c>
      <c r="X91">
        <v>2</v>
      </c>
    </row>
    <row r="92" spans="1:24">
      <c r="A92" t="s">
        <v>286</v>
      </c>
      <c r="B92" t="s">
        <v>26</v>
      </c>
      <c r="C92" t="s">
        <v>55</v>
      </c>
      <c r="D92" t="s">
        <v>56</v>
      </c>
      <c r="E92" t="s">
        <v>119</v>
      </c>
      <c r="F92" t="s">
        <v>120</v>
      </c>
      <c r="G92" t="s">
        <v>121</v>
      </c>
      <c r="H92" t="s">
        <v>287</v>
      </c>
      <c r="I92" t="s">
        <v>288</v>
      </c>
      <c r="J92">
        <v>2021</v>
      </c>
      <c r="K92">
        <v>8</v>
      </c>
      <c r="L92">
        <v>6</v>
      </c>
      <c r="M92" t="s">
        <v>34</v>
      </c>
      <c r="N92" t="s">
        <v>35</v>
      </c>
      <c r="O92" t="s">
        <v>36</v>
      </c>
      <c r="P92" t="s">
        <v>37</v>
      </c>
      <c r="R92" t="s">
        <v>38</v>
      </c>
      <c r="S92">
        <v>2023</v>
      </c>
      <c r="T92" t="s">
        <v>62</v>
      </c>
      <c r="U92" t="s">
        <v>63</v>
      </c>
      <c r="X92">
        <v>2</v>
      </c>
    </row>
    <row r="93" spans="1:24">
      <c r="A93" t="s">
        <v>286</v>
      </c>
      <c r="B93" t="s">
        <v>26</v>
      </c>
      <c r="C93" t="s">
        <v>55</v>
      </c>
      <c r="D93" t="s">
        <v>56</v>
      </c>
      <c r="E93" t="s">
        <v>65</v>
      </c>
      <c r="F93" t="s">
        <v>177</v>
      </c>
      <c r="G93" t="s">
        <v>178</v>
      </c>
      <c r="H93">
        <v>50200456</v>
      </c>
      <c r="I93" t="s">
        <v>289</v>
      </c>
      <c r="J93">
        <v>2016</v>
      </c>
      <c r="K93">
        <v>8</v>
      </c>
      <c r="L93">
        <v>1</v>
      </c>
      <c r="M93" t="s">
        <v>34</v>
      </c>
      <c r="N93" t="s">
        <v>35</v>
      </c>
      <c r="O93" t="s">
        <v>36</v>
      </c>
      <c r="P93" t="s">
        <v>37</v>
      </c>
      <c r="R93" t="s">
        <v>38</v>
      </c>
      <c r="S93">
        <v>2023</v>
      </c>
      <c r="T93" t="s">
        <v>62</v>
      </c>
      <c r="U93" t="s">
        <v>63</v>
      </c>
      <c r="X93">
        <v>2</v>
      </c>
    </row>
    <row r="94" spans="1:24">
      <c r="A94" t="s">
        <v>290</v>
      </c>
      <c r="B94" t="s">
        <v>26</v>
      </c>
      <c r="C94" t="s">
        <v>55</v>
      </c>
      <c r="D94" t="s">
        <v>28</v>
      </c>
      <c r="E94" t="s">
        <v>129</v>
      </c>
      <c r="F94" t="s">
        <v>58</v>
      </c>
      <c r="G94" t="s">
        <v>291</v>
      </c>
      <c r="H94" t="s">
        <v>292</v>
      </c>
      <c r="I94" t="s">
        <v>293</v>
      </c>
      <c r="J94">
        <v>2020</v>
      </c>
      <c r="K94">
        <v>8</v>
      </c>
      <c r="L94">
        <v>5</v>
      </c>
      <c r="M94" t="s">
        <v>34</v>
      </c>
      <c r="N94" t="s">
        <v>35</v>
      </c>
      <c r="O94" t="s">
        <v>36</v>
      </c>
      <c r="P94" t="s">
        <v>37</v>
      </c>
      <c r="R94" t="s">
        <v>38</v>
      </c>
      <c r="S94">
        <v>2023</v>
      </c>
      <c r="T94" t="s">
        <v>62</v>
      </c>
      <c r="U94" t="s">
        <v>63</v>
      </c>
      <c r="X94">
        <v>2</v>
      </c>
    </row>
    <row r="95" spans="1:24">
      <c r="A95" t="s">
        <v>290</v>
      </c>
      <c r="B95" t="s">
        <v>26</v>
      </c>
      <c r="C95" t="s">
        <v>55</v>
      </c>
      <c r="D95" t="s">
        <v>28</v>
      </c>
      <c r="E95" t="s">
        <v>129</v>
      </c>
      <c r="F95" t="s">
        <v>58</v>
      </c>
      <c r="G95" t="s">
        <v>291</v>
      </c>
      <c r="H95" t="s">
        <v>294</v>
      </c>
      <c r="I95" t="s">
        <v>295</v>
      </c>
      <c r="J95">
        <v>2020</v>
      </c>
      <c r="K95">
        <v>8</v>
      </c>
      <c r="L95">
        <v>5</v>
      </c>
      <c r="M95" t="s">
        <v>34</v>
      </c>
      <c r="N95" t="s">
        <v>35</v>
      </c>
      <c r="O95" t="s">
        <v>36</v>
      </c>
      <c r="P95" t="s">
        <v>37</v>
      </c>
      <c r="R95" t="s">
        <v>38</v>
      </c>
      <c r="S95">
        <v>2023</v>
      </c>
      <c r="T95" t="s">
        <v>62</v>
      </c>
      <c r="U95" t="s">
        <v>63</v>
      </c>
      <c r="X95">
        <v>2</v>
      </c>
    </row>
    <row r="96" spans="1:24">
      <c r="A96" t="s">
        <v>296</v>
      </c>
      <c r="B96" t="s">
        <v>26</v>
      </c>
      <c r="C96" t="s">
        <v>55</v>
      </c>
      <c r="D96" t="s">
        <v>56</v>
      </c>
      <c r="E96" t="s">
        <v>70</v>
      </c>
      <c r="F96" t="s">
        <v>171</v>
      </c>
      <c r="G96" t="s">
        <v>297</v>
      </c>
      <c r="H96" t="s">
        <v>298</v>
      </c>
      <c r="I96" t="s">
        <v>299</v>
      </c>
      <c r="J96">
        <v>2017</v>
      </c>
      <c r="K96">
        <v>8</v>
      </c>
      <c r="L96">
        <v>2</v>
      </c>
      <c r="M96" t="s">
        <v>34</v>
      </c>
      <c r="N96" t="s">
        <v>35</v>
      </c>
      <c r="O96" t="s">
        <v>36</v>
      </c>
      <c r="P96" t="s">
        <v>37</v>
      </c>
      <c r="R96" t="s">
        <v>38</v>
      </c>
      <c r="S96">
        <v>2023</v>
      </c>
      <c r="T96" t="s">
        <v>62</v>
      </c>
      <c r="U96" t="s">
        <v>63</v>
      </c>
      <c r="X96">
        <v>2</v>
      </c>
    </row>
    <row r="97" spans="1:24">
      <c r="A97" t="s">
        <v>290</v>
      </c>
      <c r="B97" t="s">
        <v>26</v>
      </c>
      <c r="C97" t="s">
        <v>55</v>
      </c>
      <c r="D97" t="s">
        <v>28</v>
      </c>
      <c r="E97" t="s">
        <v>129</v>
      </c>
      <c r="F97" t="s">
        <v>58</v>
      </c>
      <c r="G97" t="s">
        <v>291</v>
      </c>
      <c r="H97" t="s">
        <v>300</v>
      </c>
      <c r="I97" t="s">
        <v>301</v>
      </c>
      <c r="J97">
        <v>2020</v>
      </c>
      <c r="K97">
        <v>8</v>
      </c>
      <c r="L97">
        <v>5</v>
      </c>
      <c r="M97" t="s">
        <v>34</v>
      </c>
      <c r="N97" t="s">
        <v>35</v>
      </c>
      <c r="O97" t="s">
        <v>36</v>
      </c>
      <c r="P97" t="s">
        <v>37</v>
      </c>
      <c r="R97" t="s">
        <v>38</v>
      </c>
      <c r="S97">
        <v>2023</v>
      </c>
      <c r="T97" t="s">
        <v>62</v>
      </c>
      <c r="U97" t="s">
        <v>63</v>
      </c>
      <c r="X97">
        <v>2</v>
      </c>
    </row>
    <row r="98" spans="1:24">
      <c r="A98" t="s">
        <v>290</v>
      </c>
      <c r="B98" t="s">
        <v>26</v>
      </c>
      <c r="C98" t="s">
        <v>55</v>
      </c>
      <c r="D98" t="s">
        <v>28</v>
      </c>
      <c r="E98" t="s">
        <v>129</v>
      </c>
      <c r="F98" t="s">
        <v>58</v>
      </c>
      <c r="G98" t="s">
        <v>291</v>
      </c>
      <c r="H98" t="s">
        <v>302</v>
      </c>
      <c r="I98" t="s">
        <v>303</v>
      </c>
      <c r="J98">
        <v>2020</v>
      </c>
      <c r="K98">
        <v>8</v>
      </c>
      <c r="L98">
        <v>5</v>
      </c>
      <c r="M98" t="s">
        <v>34</v>
      </c>
      <c r="N98" t="s">
        <v>35</v>
      </c>
      <c r="O98" t="s">
        <v>36</v>
      </c>
      <c r="P98" t="s">
        <v>37</v>
      </c>
      <c r="R98" t="s">
        <v>38</v>
      </c>
      <c r="S98">
        <v>2023</v>
      </c>
      <c r="T98" t="s">
        <v>62</v>
      </c>
      <c r="U98" t="s">
        <v>63</v>
      </c>
      <c r="X98">
        <v>2</v>
      </c>
    </row>
    <row r="99" spans="1:24">
      <c r="A99" t="s">
        <v>296</v>
      </c>
      <c r="B99" t="s">
        <v>26</v>
      </c>
      <c r="C99" t="s">
        <v>55</v>
      </c>
      <c r="D99" t="s">
        <v>56</v>
      </c>
      <c r="E99" t="s">
        <v>70</v>
      </c>
      <c r="F99" t="s">
        <v>171</v>
      </c>
      <c r="G99" t="s">
        <v>297</v>
      </c>
      <c r="H99" t="s">
        <v>304</v>
      </c>
      <c r="I99" t="s">
        <v>305</v>
      </c>
      <c r="J99">
        <v>2017</v>
      </c>
      <c r="K99">
        <v>8</v>
      </c>
      <c r="L99">
        <v>2</v>
      </c>
      <c r="M99" t="s">
        <v>34</v>
      </c>
      <c r="N99" t="s">
        <v>35</v>
      </c>
      <c r="O99" t="s">
        <v>36</v>
      </c>
      <c r="P99" t="s">
        <v>37</v>
      </c>
      <c r="R99" t="s">
        <v>38</v>
      </c>
      <c r="S99">
        <v>2023</v>
      </c>
      <c r="T99" t="s">
        <v>62</v>
      </c>
      <c r="U99" t="s">
        <v>63</v>
      </c>
      <c r="X99">
        <v>2</v>
      </c>
    </row>
    <row r="100" spans="1:24">
      <c r="A100" t="s">
        <v>290</v>
      </c>
      <c r="B100" t="s">
        <v>26</v>
      </c>
      <c r="C100" t="s">
        <v>55</v>
      </c>
      <c r="D100" t="s">
        <v>28</v>
      </c>
      <c r="E100" t="s">
        <v>129</v>
      </c>
      <c r="F100" t="s">
        <v>58</v>
      </c>
      <c r="G100" t="s">
        <v>291</v>
      </c>
      <c r="H100" t="s">
        <v>306</v>
      </c>
      <c r="I100" t="s">
        <v>307</v>
      </c>
      <c r="J100">
        <v>2020</v>
      </c>
      <c r="K100">
        <v>8</v>
      </c>
      <c r="L100">
        <v>5</v>
      </c>
      <c r="M100" t="s">
        <v>34</v>
      </c>
      <c r="N100" t="s">
        <v>35</v>
      </c>
      <c r="O100" t="s">
        <v>36</v>
      </c>
      <c r="P100" t="s">
        <v>37</v>
      </c>
      <c r="R100" t="s">
        <v>38</v>
      </c>
      <c r="S100">
        <v>2023</v>
      </c>
      <c r="T100" t="s">
        <v>62</v>
      </c>
      <c r="U100" t="s">
        <v>63</v>
      </c>
      <c r="X100">
        <v>2</v>
      </c>
    </row>
    <row r="101" spans="1:24">
      <c r="A101" t="s">
        <v>290</v>
      </c>
      <c r="B101" t="s">
        <v>26</v>
      </c>
      <c r="C101" t="s">
        <v>55</v>
      </c>
      <c r="D101" t="s">
        <v>28</v>
      </c>
      <c r="E101" t="s">
        <v>129</v>
      </c>
      <c r="F101" t="s">
        <v>58</v>
      </c>
      <c r="G101" t="s">
        <v>291</v>
      </c>
      <c r="H101" t="s">
        <v>308</v>
      </c>
      <c r="I101" t="s">
        <v>309</v>
      </c>
      <c r="J101">
        <v>2020</v>
      </c>
      <c r="K101">
        <v>8</v>
      </c>
      <c r="L101">
        <v>5</v>
      </c>
      <c r="M101" t="s">
        <v>34</v>
      </c>
      <c r="N101" t="s">
        <v>35</v>
      </c>
      <c r="O101" t="s">
        <v>36</v>
      </c>
      <c r="P101" t="s">
        <v>37</v>
      </c>
      <c r="R101" t="s">
        <v>38</v>
      </c>
      <c r="S101">
        <v>2023</v>
      </c>
      <c r="T101" t="s">
        <v>62</v>
      </c>
      <c r="U101" t="s">
        <v>63</v>
      </c>
      <c r="X101">
        <v>2</v>
      </c>
    </row>
    <row r="102" spans="1:24">
      <c r="A102" t="s">
        <v>290</v>
      </c>
      <c r="B102" t="s">
        <v>26</v>
      </c>
      <c r="C102" t="s">
        <v>55</v>
      </c>
      <c r="D102" t="s">
        <v>56</v>
      </c>
      <c r="E102" t="s">
        <v>70</v>
      </c>
      <c r="F102" t="s">
        <v>58</v>
      </c>
      <c r="G102" t="s">
        <v>71</v>
      </c>
      <c r="H102" t="s">
        <v>310</v>
      </c>
      <c r="I102" t="s">
        <v>311</v>
      </c>
      <c r="J102">
        <v>2014</v>
      </c>
      <c r="K102">
        <v>8</v>
      </c>
      <c r="L102">
        <v>-1</v>
      </c>
      <c r="M102" t="s">
        <v>34</v>
      </c>
      <c r="N102" t="s">
        <v>35</v>
      </c>
      <c r="O102" t="s">
        <v>36</v>
      </c>
      <c r="P102" t="s">
        <v>37</v>
      </c>
      <c r="R102" t="s">
        <v>38</v>
      </c>
      <c r="S102">
        <v>2023</v>
      </c>
      <c r="T102" t="s">
        <v>62</v>
      </c>
      <c r="U102" t="s">
        <v>63</v>
      </c>
      <c r="X102">
        <v>2</v>
      </c>
    </row>
    <row r="103" spans="1:24">
      <c r="A103" t="s">
        <v>290</v>
      </c>
      <c r="B103" t="s">
        <v>26</v>
      </c>
      <c r="C103" t="s">
        <v>55</v>
      </c>
      <c r="D103" t="s">
        <v>56</v>
      </c>
      <c r="E103" t="s">
        <v>70</v>
      </c>
      <c r="F103" t="s">
        <v>58</v>
      </c>
      <c r="G103" t="s">
        <v>71</v>
      </c>
      <c r="H103" t="s">
        <v>312</v>
      </c>
      <c r="I103" t="s">
        <v>313</v>
      </c>
      <c r="J103">
        <v>2014</v>
      </c>
      <c r="K103">
        <v>8</v>
      </c>
      <c r="L103">
        <v>-1</v>
      </c>
      <c r="M103" t="s">
        <v>34</v>
      </c>
      <c r="N103" t="s">
        <v>35</v>
      </c>
      <c r="O103" t="s">
        <v>36</v>
      </c>
      <c r="P103" t="s">
        <v>37</v>
      </c>
      <c r="R103" t="s">
        <v>38</v>
      </c>
      <c r="S103">
        <v>2023</v>
      </c>
      <c r="T103" t="s">
        <v>62</v>
      </c>
      <c r="U103" t="s">
        <v>63</v>
      </c>
      <c r="X103">
        <v>2</v>
      </c>
    </row>
    <row r="104" spans="1:24">
      <c r="A104" t="s">
        <v>290</v>
      </c>
      <c r="B104" t="s">
        <v>26</v>
      </c>
      <c r="C104" t="s">
        <v>55</v>
      </c>
      <c r="D104" t="s">
        <v>56</v>
      </c>
      <c r="E104" t="s">
        <v>70</v>
      </c>
      <c r="F104" t="s">
        <v>58</v>
      </c>
      <c r="G104" t="s">
        <v>71</v>
      </c>
      <c r="H104" t="s">
        <v>314</v>
      </c>
      <c r="I104" t="s">
        <v>315</v>
      </c>
      <c r="J104">
        <v>2014</v>
      </c>
      <c r="K104">
        <v>8</v>
      </c>
      <c r="L104">
        <v>-1</v>
      </c>
      <c r="M104" t="s">
        <v>34</v>
      </c>
      <c r="N104" t="s">
        <v>35</v>
      </c>
      <c r="O104" t="s">
        <v>36</v>
      </c>
      <c r="P104" t="s">
        <v>37</v>
      </c>
      <c r="R104" t="s">
        <v>38</v>
      </c>
      <c r="S104">
        <v>2023</v>
      </c>
      <c r="T104" t="s">
        <v>62</v>
      </c>
      <c r="U104" t="s">
        <v>63</v>
      </c>
      <c r="X104">
        <v>2</v>
      </c>
    </row>
    <row r="105" spans="1:24">
      <c r="A105" t="s">
        <v>316</v>
      </c>
      <c r="B105" t="s">
        <v>26</v>
      </c>
      <c r="C105" t="s">
        <v>55</v>
      </c>
      <c r="D105" t="s">
        <v>317</v>
      </c>
      <c r="E105" t="s">
        <v>70</v>
      </c>
      <c r="F105" t="s">
        <v>171</v>
      </c>
      <c r="G105" t="s">
        <v>297</v>
      </c>
      <c r="H105" t="s">
        <v>318</v>
      </c>
      <c r="I105" t="s">
        <v>92</v>
      </c>
      <c r="J105">
        <v>2022</v>
      </c>
      <c r="K105">
        <v>8</v>
      </c>
      <c r="L105">
        <v>7</v>
      </c>
      <c r="M105" t="s">
        <v>34</v>
      </c>
      <c r="N105" t="s">
        <v>35</v>
      </c>
      <c r="O105" t="s">
        <v>36</v>
      </c>
      <c r="P105" t="s">
        <v>38</v>
      </c>
      <c r="Q105" s="49">
        <v>45627</v>
      </c>
      <c r="R105" t="s">
        <v>38</v>
      </c>
      <c r="S105">
        <v>2023</v>
      </c>
      <c r="T105" t="s">
        <v>39</v>
      </c>
      <c r="U105" t="s">
        <v>319</v>
      </c>
      <c r="X105">
        <v>2</v>
      </c>
    </row>
    <row r="106" spans="1:24">
      <c r="A106" t="s">
        <v>316</v>
      </c>
      <c r="B106" t="s">
        <v>26</v>
      </c>
      <c r="C106" t="s">
        <v>27</v>
      </c>
      <c r="D106" t="s">
        <v>28</v>
      </c>
      <c r="E106" t="s">
        <v>320</v>
      </c>
      <c r="F106" t="s">
        <v>30</v>
      </c>
      <c r="G106" t="s">
        <v>321</v>
      </c>
      <c r="H106" t="s">
        <v>322</v>
      </c>
      <c r="I106" t="s">
        <v>92</v>
      </c>
      <c r="J106">
        <v>2022</v>
      </c>
      <c r="K106">
        <v>8</v>
      </c>
      <c r="L106">
        <v>7</v>
      </c>
      <c r="M106" t="s">
        <v>34</v>
      </c>
      <c r="N106" t="s">
        <v>35</v>
      </c>
      <c r="O106" t="s">
        <v>36</v>
      </c>
      <c r="P106" t="s">
        <v>38</v>
      </c>
      <c r="Q106" s="49">
        <v>45627</v>
      </c>
      <c r="R106" t="s">
        <v>38</v>
      </c>
      <c r="S106">
        <v>2023</v>
      </c>
      <c r="T106" t="s">
        <v>39</v>
      </c>
      <c r="U106" t="s">
        <v>323</v>
      </c>
      <c r="W106" t="s">
        <v>324</v>
      </c>
      <c r="X106">
        <v>2</v>
      </c>
    </row>
    <row r="107" spans="1:24">
      <c r="A107" t="s">
        <v>325</v>
      </c>
      <c r="B107" t="s">
        <v>26</v>
      </c>
      <c r="C107" t="s">
        <v>55</v>
      </c>
      <c r="D107" t="s">
        <v>56</v>
      </c>
      <c r="E107" t="s">
        <v>70</v>
      </c>
      <c r="F107" t="s">
        <v>283</v>
      </c>
      <c r="G107" t="s">
        <v>326</v>
      </c>
      <c r="H107">
        <v>111720499</v>
      </c>
      <c r="I107" t="s">
        <v>327</v>
      </c>
      <c r="J107">
        <v>2014</v>
      </c>
      <c r="K107">
        <v>8</v>
      </c>
      <c r="L107">
        <v>-1</v>
      </c>
      <c r="M107" t="s">
        <v>34</v>
      </c>
      <c r="N107" t="s">
        <v>35</v>
      </c>
      <c r="O107" t="s">
        <v>36</v>
      </c>
      <c r="P107" t="s">
        <v>37</v>
      </c>
      <c r="R107" t="s">
        <v>38</v>
      </c>
      <c r="S107">
        <v>2023</v>
      </c>
      <c r="T107" t="s">
        <v>62</v>
      </c>
      <c r="U107" t="s">
        <v>63</v>
      </c>
      <c r="X107">
        <v>2</v>
      </c>
    </row>
    <row r="108" spans="1:24">
      <c r="A108" t="s">
        <v>325</v>
      </c>
      <c r="B108" t="s">
        <v>26</v>
      </c>
      <c r="C108" t="s">
        <v>55</v>
      </c>
      <c r="D108" t="s">
        <v>56</v>
      </c>
      <c r="E108" t="s">
        <v>65</v>
      </c>
      <c r="F108" t="s">
        <v>177</v>
      </c>
      <c r="G108" t="s">
        <v>178</v>
      </c>
      <c r="H108">
        <v>50200467</v>
      </c>
      <c r="I108" t="s">
        <v>328</v>
      </c>
      <c r="J108">
        <v>2016</v>
      </c>
      <c r="K108">
        <v>8</v>
      </c>
      <c r="L108">
        <v>1</v>
      </c>
      <c r="M108" t="s">
        <v>34</v>
      </c>
      <c r="N108" t="s">
        <v>35</v>
      </c>
      <c r="O108" t="s">
        <v>36</v>
      </c>
      <c r="P108" t="s">
        <v>37</v>
      </c>
      <c r="R108" t="s">
        <v>38</v>
      </c>
      <c r="S108">
        <v>2023</v>
      </c>
      <c r="T108" t="s">
        <v>62</v>
      </c>
      <c r="U108" t="s">
        <v>63</v>
      </c>
      <c r="X108">
        <v>2</v>
      </c>
    </row>
    <row r="109" spans="1:24">
      <c r="A109" t="s">
        <v>325</v>
      </c>
      <c r="B109" t="s">
        <v>26</v>
      </c>
      <c r="C109" t="s">
        <v>55</v>
      </c>
      <c r="D109" t="s">
        <v>56</v>
      </c>
      <c r="E109" t="s">
        <v>65</v>
      </c>
      <c r="F109" t="s">
        <v>177</v>
      </c>
      <c r="G109" t="s">
        <v>178</v>
      </c>
      <c r="H109">
        <v>50200454</v>
      </c>
      <c r="I109" t="s">
        <v>329</v>
      </c>
      <c r="J109">
        <v>2016</v>
      </c>
      <c r="K109">
        <v>8</v>
      </c>
      <c r="L109">
        <v>1</v>
      </c>
      <c r="M109" t="s">
        <v>34</v>
      </c>
      <c r="N109" t="s">
        <v>35</v>
      </c>
      <c r="O109" t="s">
        <v>36</v>
      </c>
      <c r="P109" t="s">
        <v>37</v>
      </c>
      <c r="R109" t="s">
        <v>38</v>
      </c>
      <c r="S109">
        <v>2023</v>
      </c>
      <c r="T109" t="s">
        <v>62</v>
      </c>
      <c r="U109" t="s">
        <v>63</v>
      </c>
      <c r="X109">
        <v>2</v>
      </c>
    </row>
    <row r="110" spans="1:24">
      <c r="A110" t="s">
        <v>325</v>
      </c>
      <c r="B110" t="s">
        <v>26</v>
      </c>
      <c r="C110" t="s">
        <v>55</v>
      </c>
      <c r="D110" t="s">
        <v>56</v>
      </c>
      <c r="E110" t="s">
        <v>65</v>
      </c>
      <c r="F110" t="s">
        <v>177</v>
      </c>
      <c r="G110" t="s">
        <v>178</v>
      </c>
      <c r="H110">
        <v>50200453</v>
      </c>
      <c r="I110" t="s">
        <v>330</v>
      </c>
      <c r="J110">
        <v>2016</v>
      </c>
      <c r="K110">
        <v>8</v>
      </c>
      <c r="L110">
        <v>1</v>
      </c>
      <c r="M110" t="s">
        <v>34</v>
      </c>
      <c r="N110" t="s">
        <v>35</v>
      </c>
      <c r="O110" t="s">
        <v>36</v>
      </c>
      <c r="P110" t="s">
        <v>37</v>
      </c>
      <c r="R110" t="s">
        <v>38</v>
      </c>
      <c r="S110">
        <v>2023</v>
      </c>
      <c r="T110" t="s">
        <v>62</v>
      </c>
      <c r="U110" t="s">
        <v>63</v>
      </c>
      <c r="X110">
        <v>2</v>
      </c>
    </row>
    <row r="111" spans="1:24">
      <c r="A111" t="s">
        <v>325</v>
      </c>
      <c r="B111" t="s">
        <v>26</v>
      </c>
      <c r="C111" t="s">
        <v>55</v>
      </c>
      <c r="D111" t="s">
        <v>56</v>
      </c>
      <c r="E111" t="s">
        <v>65</v>
      </c>
      <c r="F111" t="s">
        <v>177</v>
      </c>
      <c r="G111" t="s">
        <v>178</v>
      </c>
      <c r="H111">
        <v>50200446</v>
      </c>
      <c r="I111" t="s">
        <v>331</v>
      </c>
      <c r="J111">
        <v>2016</v>
      </c>
      <c r="K111">
        <v>8</v>
      </c>
      <c r="L111">
        <v>1</v>
      </c>
      <c r="M111" t="s">
        <v>34</v>
      </c>
      <c r="N111" t="s">
        <v>35</v>
      </c>
      <c r="O111" t="s">
        <v>36</v>
      </c>
      <c r="P111" t="s">
        <v>37</v>
      </c>
      <c r="R111" t="s">
        <v>38</v>
      </c>
      <c r="S111">
        <v>2023</v>
      </c>
      <c r="T111" t="s">
        <v>62</v>
      </c>
      <c r="U111" t="s">
        <v>63</v>
      </c>
      <c r="X111">
        <v>2</v>
      </c>
    </row>
    <row r="112" spans="1:24">
      <c r="A112" t="s">
        <v>325</v>
      </c>
      <c r="B112" t="s">
        <v>26</v>
      </c>
      <c r="C112" t="s">
        <v>55</v>
      </c>
      <c r="D112" t="s">
        <v>56</v>
      </c>
      <c r="E112" t="s">
        <v>65</v>
      </c>
      <c r="F112" t="s">
        <v>177</v>
      </c>
      <c r="G112" t="s">
        <v>178</v>
      </c>
      <c r="H112">
        <v>50200445</v>
      </c>
      <c r="I112" t="s">
        <v>332</v>
      </c>
      <c r="J112">
        <v>2016</v>
      </c>
      <c r="K112">
        <v>8</v>
      </c>
      <c r="L112">
        <v>1</v>
      </c>
      <c r="M112" t="s">
        <v>34</v>
      </c>
      <c r="N112" t="s">
        <v>35</v>
      </c>
      <c r="O112" t="s">
        <v>36</v>
      </c>
      <c r="P112" t="s">
        <v>37</v>
      </c>
      <c r="R112" t="s">
        <v>38</v>
      </c>
      <c r="S112">
        <v>2023</v>
      </c>
      <c r="T112" t="s">
        <v>62</v>
      </c>
      <c r="U112" t="s">
        <v>63</v>
      </c>
      <c r="X112">
        <v>2</v>
      </c>
    </row>
    <row r="113" spans="1:24">
      <c r="A113" t="s">
        <v>325</v>
      </c>
      <c r="B113" t="s">
        <v>26</v>
      </c>
      <c r="C113" t="s">
        <v>55</v>
      </c>
      <c r="D113" t="s">
        <v>56</v>
      </c>
      <c r="E113" t="s">
        <v>65</v>
      </c>
      <c r="F113" t="s">
        <v>177</v>
      </c>
      <c r="G113" t="s">
        <v>178</v>
      </c>
      <c r="H113">
        <v>50200443</v>
      </c>
      <c r="I113" t="s">
        <v>333</v>
      </c>
      <c r="J113">
        <v>2016</v>
      </c>
      <c r="K113">
        <v>8</v>
      </c>
      <c r="L113">
        <v>1</v>
      </c>
      <c r="M113" t="s">
        <v>34</v>
      </c>
      <c r="N113" t="s">
        <v>35</v>
      </c>
      <c r="O113" t="s">
        <v>36</v>
      </c>
      <c r="P113" t="s">
        <v>37</v>
      </c>
      <c r="R113" t="s">
        <v>38</v>
      </c>
      <c r="S113">
        <v>2023</v>
      </c>
      <c r="T113" t="s">
        <v>62</v>
      </c>
      <c r="U113" t="s">
        <v>63</v>
      </c>
      <c r="X113">
        <v>2</v>
      </c>
    </row>
    <row r="114" spans="1:24">
      <c r="A114" t="s">
        <v>334</v>
      </c>
      <c r="B114" t="s">
        <v>26</v>
      </c>
      <c r="C114" t="s">
        <v>55</v>
      </c>
      <c r="D114" t="s">
        <v>56</v>
      </c>
      <c r="E114" t="s">
        <v>119</v>
      </c>
      <c r="F114" t="s">
        <v>198</v>
      </c>
      <c r="G114" t="s">
        <v>121</v>
      </c>
      <c r="H114" t="s">
        <v>335</v>
      </c>
      <c r="I114" t="s">
        <v>336</v>
      </c>
      <c r="J114">
        <v>2016</v>
      </c>
      <c r="K114">
        <v>8</v>
      </c>
      <c r="L114">
        <v>1</v>
      </c>
      <c r="M114" t="s">
        <v>34</v>
      </c>
      <c r="N114" t="s">
        <v>35</v>
      </c>
      <c r="O114" t="s">
        <v>36</v>
      </c>
      <c r="P114" t="s">
        <v>37</v>
      </c>
      <c r="R114" t="s">
        <v>38</v>
      </c>
      <c r="S114">
        <v>2023</v>
      </c>
      <c r="T114" t="s">
        <v>62</v>
      </c>
      <c r="U114" t="s">
        <v>63</v>
      </c>
      <c r="X114">
        <v>2</v>
      </c>
    </row>
    <row r="115" spans="1:24">
      <c r="A115" t="s">
        <v>334</v>
      </c>
      <c r="B115" t="s">
        <v>26</v>
      </c>
      <c r="C115" t="s">
        <v>55</v>
      </c>
      <c r="D115" t="s">
        <v>56</v>
      </c>
      <c r="E115" t="s">
        <v>119</v>
      </c>
      <c r="F115" t="s">
        <v>198</v>
      </c>
      <c r="G115" t="s">
        <v>121</v>
      </c>
      <c r="H115" t="s">
        <v>337</v>
      </c>
      <c r="I115" t="s">
        <v>338</v>
      </c>
      <c r="J115">
        <v>2016</v>
      </c>
      <c r="K115">
        <v>8</v>
      </c>
      <c r="L115">
        <v>1</v>
      </c>
      <c r="M115" t="s">
        <v>34</v>
      </c>
      <c r="N115" t="s">
        <v>35</v>
      </c>
      <c r="O115" t="s">
        <v>36</v>
      </c>
      <c r="P115" t="s">
        <v>37</v>
      </c>
      <c r="R115" t="s">
        <v>38</v>
      </c>
      <c r="S115">
        <v>2023</v>
      </c>
      <c r="T115" t="s">
        <v>62</v>
      </c>
      <c r="U115" t="s">
        <v>63</v>
      </c>
      <c r="X115">
        <v>2</v>
      </c>
    </row>
    <row r="116" spans="1:24">
      <c r="A116" t="s">
        <v>339</v>
      </c>
      <c r="B116" t="s">
        <v>26</v>
      </c>
      <c r="C116" t="s">
        <v>55</v>
      </c>
      <c r="D116" t="s">
        <v>56</v>
      </c>
      <c r="E116" t="s">
        <v>70</v>
      </c>
      <c r="F116" t="s">
        <v>171</v>
      </c>
      <c r="G116" t="s">
        <v>297</v>
      </c>
      <c r="H116" t="s">
        <v>340</v>
      </c>
      <c r="I116" t="s">
        <v>341</v>
      </c>
      <c r="J116">
        <v>2017</v>
      </c>
      <c r="K116">
        <v>8</v>
      </c>
      <c r="L116">
        <v>2</v>
      </c>
      <c r="M116" t="s">
        <v>34</v>
      </c>
      <c r="N116" t="s">
        <v>35</v>
      </c>
      <c r="O116" t="s">
        <v>36</v>
      </c>
      <c r="P116" t="s">
        <v>37</v>
      </c>
      <c r="R116" t="s">
        <v>38</v>
      </c>
      <c r="S116">
        <v>2023</v>
      </c>
      <c r="T116" t="s">
        <v>62</v>
      </c>
      <c r="U116" t="s">
        <v>63</v>
      </c>
      <c r="X116">
        <v>2</v>
      </c>
    </row>
    <row r="117" spans="1:24">
      <c r="A117" t="s">
        <v>339</v>
      </c>
      <c r="B117" t="s">
        <v>26</v>
      </c>
      <c r="C117" t="s">
        <v>55</v>
      </c>
      <c r="D117" t="s">
        <v>56</v>
      </c>
      <c r="E117" t="s">
        <v>70</v>
      </c>
      <c r="F117" t="s">
        <v>171</v>
      </c>
      <c r="G117" t="s">
        <v>297</v>
      </c>
      <c r="H117" t="s">
        <v>342</v>
      </c>
      <c r="I117" t="s">
        <v>343</v>
      </c>
      <c r="J117">
        <v>2017</v>
      </c>
      <c r="K117">
        <v>8</v>
      </c>
      <c r="L117">
        <v>2</v>
      </c>
      <c r="M117" t="s">
        <v>34</v>
      </c>
      <c r="N117" t="s">
        <v>35</v>
      </c>
      <c r="O117" t="s">
        <v>36</v>
      </c>
      <c r="P117" t="s">
        <v>37</v>
      </c>
      <c r="R117" t="s">
        <v>38</v>
      </c>
      <c r="S117">
        <v>2023</v>
      </c>
      <c r="T117" t="s">
        <v>62</v>
      </c>
      <c r="U117" t="s">
        <v>63</v>
      </c>
      <c r="X117">
        <v>2</v>
      </c>
    </row>
    <row r="118" spans="1:24">
      <c r="A118" t="s">
        <v>339</v>
      </c>
      <c r="B118" t="s">
        <v>26</v>
      </c>
      <c r="C118" t="s">
        <v>55</v>
      </c>
      <c r="D118" t="s">
        <v>56</v>
      </c>
      <c r="E118" t="s">
        <v>70</v>
      </c>
      <c r="F118" t="s">
        <v>171</v>
      </c>
      <c r="G118" t="s">
        <v>297</v>
      </c>
      <c r="H118" t="s">
        <v>344</v>
      </c>
      <c r="I118" t="s">
        <v>345</v>
      </c>
      <c r="J118">
        <v>2017</v>
      </c>
      <c r="K118">
        <v>8</v>
      </c>
      <c r="L118">
        <v>2</v>
      </c>
      <c r="M118" t="s">
        <v>34</v>
      </c>
      <c r="N118" t="s">
        <v>35</v>
      </c>
      <c r="O118" t="s">
        <v>36</v>
      </c>
      <c r="P118" t="s">
        <v>37</v>
      </c>
      <c r="R118" t="s">
        <v>38</v>
      </c>
      <c r="S118">
        <v>2023</v>
      </c>
      <c r="T118" t="s">
        <v>62</v>
      </c>
      <c r="U118" t="s">
        <v>63</v>
      </c>
      <c r="X118">
        <v>2</v>
      </c>
    </row>
    <row r="119" spans="1:24">
      <c r="A119" t="s">
        <v>339</v>
      </c>
      <c r="B119" t="s">
        <v>26</v>
      </c>
      <c r="C119" t="s">
        <v>55</v>
      </c>
      <c r="D119" t="s">
        <v>56</v>
      </c>
      <c r="E119" t="s">
        <v>70</v>
      </c>
      <c r="F119" t="s">
        <v>171</v>
      </c>
      <c r="G119" t="s">
        <v>297</v>
      </c>
      <c r="H119" t="s">
        <v>346</v>
      </c>
      <c r="I119" t="s">
        <v>347</v>
      </c>
      <c r="J119">
        <v>2017</v>
      </c>
      <c r="K119">
        <v>8</v>
      </c>
      <c r="L119">
        <v>2</v>
      </c>
      <c r="M119" t="s">
        <v>34</v>
      </c>
      <c r="N119" t="s">
        <v>35</v>
      </c>
      <c r="O119" t="s">
        <v>36</v>
      </c>
      <c r="P119" t="s">
        <v>37</v>
      </c>
      <c r="R119" t="s">
        <v>38</v>
      </c>
      <c r="S119">
        <v>2023</v>
      </c>
      <c r="T119" t="s">
        <v>62</v>
      </c>
      <c r="U119" t="s">
        <v>63</v>
      </c>
      <c r="X119">
        <v>2</v>
      </c>
    </row>
    <row r="120" spans="1:24">
      <c r="A120" t="s">
        <v>339</v>
      </c>
      <c r="B120" t="s">
        <v>26</v>
      </c>
      <c r="C120" t="s">
        <v>55</v>
      </c>
      <c r="D120" t="s">
        <v>56</v>
      </c>
      <c r="E120" t="s">
        <v>70</v>
      </c>
      <c r="F120" t="s">
        <v>171</v>
      </c>
      <c r="G120" t="s">
        <v>297</v>
      </c>
      <c r="H120" t="s">
        <v>348</v>
      </c>
      <c r="I120" t="s">
        <v>349</v>
      </c>
      <c r="J120">
        <v>2017</v>
      </c>
      <c r="K120">
        <v>8</v>
      </c>
      <c r="L120">
        <v>2</v>
      </c>
      <c r="M120" t="s">
        <v>34</v>
      </c>
      <c r="N120" t="s">
        <v>35</v>
      </c>
      <c r="O120" t="s">
        <v>36</v>
      </c>
      <c r="P120" t="s">
        <v>37</v>
      </c>
      <c r="R120" t="s">
        <v>38</v>
      </c>
      <c r="S120">
        <v>2023</v>
      </c>
      <c r="T120" t="s">
        <v>62</v>
      </c>
      <c r="U120" t="s">
        <v>63</v>
      </c>
      <c r="X120">
        <v>2</v>
      </c>
    </row>
    <row r="121" spans="1:24">
      <c r="A121" t="s">
        <v>339</v>
      </c>
      <c r="B121" t="s">
        <v>26</v>
      </c>
      <c r="C121" t="s">
        <v>55</v>
      </c>
      <c r="D121" t="s">
        <v>56</v>
      </c>
      <c r="E121" t="s">
        <v>70</v>
      </c>
      <c r="F121" t="s">
        <v>171</v>
      </c>
      <c r="G121" t="s">
        <v>297</v>
      </c>
      <c r="H121" t="s">
        <v>350</v>
      </c>
      <c r="I121" t="s">
        <v>351</v>
      </c>
      <c r="J121">
        <v>2017</v>
      </c>
      <c r="K121">
        <v>8</v>
      </c>
      <c r="L121">
        <v>2</v>
      </c>
      <c r="M121" t="s">
        <v>34</v>
      </c>
      <c r="N121" t="s">
        <v>35</v>
      </c>
      <c r="O121" t="s">
        <v>36</v>
      </c>
      <c r="P121" t="s">
        <v>37</v>
      </c>
      <c r="R121" t="s">
        <v>38</v>
      </c>
      <c r="S121">
        <v>2023</v>
      </c>
      <c r="T121" t="s">
        <v>62</v>
      </c>
      <c r="U121" t="s">
        <v>63</v>
      </c>
      <c r="X121">
        <v>2</v>
      </c>
    </row>
    <row r="122" spans="1:24">
      <c r="A122" t="s">
        <v>339</v>
      </c>
      <c r="B122" t="s">
        <v>26</v>
      </c>
      <c r="C122" t="s">
        <v>55</v>
      </c>
      <c r="D122" t="s">
        <v>28</v>
      </c>
      <c r="E122" t="s">
        <v>129</v>
      </c>
      <c r="F122" t="s">
        <v>66</v>
      </c>
      <c r="G122" t="s">
        <v>352</v>
      </c>
      <c r="H122">
        <v>118479</v>
      </c>
      <c r="I122" t="s">
        <v>353</v>
      </c>
      <c r="J122">
        <v>2019</v>
      </c>
      <c r="K122">
        <v>8</v>
      </c>
      <c r="L122">
        <v>4</v>
      </c>
      <c r="M122" t="s">
        <v>34</v>
      </c>
      <c r="N122" t="s">
        <v>35</v>
      </c>
      <c r="O122" t="s">
        <v>36</v>
      </c>
      <c r="P122" t="s">
        <v>37</v>
      </c>
      <c r="R122" t="s">
        <v>38</v>
      </c>
      <c r="S122">
        <v>2023</v>
      </c>
      <c r="T122" t="s">
        <v>62</v>
      </c>
      <c r="U122" t="s">
        <v>63</v>
      </c>
      <c r="X122">
        <v>2</v>
      </c>
    </row>
    <row r="123" spans="1:24">
      <c r="A123" t="s">
        <v>339</v>
      </c>
      <c r="B123" t="s">
        <v>26</v>
      </c>
      <c r="C123" t="s">
        <v>55</v>
      </c>
      <c r="D123" t="s">
        <v>28</v>
      </c>
      <c r="E123" t="s">
        <v>129</v>
      </c>
      <c r="F123" t="s">
        <v>66</v>
      </c>
      <c r="G123" t="s">
        <v>130</v>
      </c>
      <c r="H123">
        <v>8355</v>
      </c>
      <c r="I123" t="s">
        <v>354</v>
      </c>
      <c r="J123">
        <v>2017</v>
      </c>
      <c r="K123">
        <v>8</v>
      </c>
      <c r="L123">
        <v>2</v>
      </c>
      <c r="M123" t="s">
        <v>34</v>
      </c>
      <c r="N123" t="s">
        <v>35</v>
      </c>
      <c r="O123" t="s">
        <v>36</v>
      </c>
      <c r="P123" t="s">
        <v>37</v>
      </c>
      <c r="R123" t="s">
        <v>38</v>
      </c>
      <c r="S123">
        <v>2023</v>
      </c>
      <c r="T123" t="s">
        <v>62</v>
      </c>
      <c r="U123" t="s">
        <v>63</v>
      </c>
      <c r="X123">
        <v>2</v>
      </c>
    </row>
    <row r="124" spans="1:24">
      <c r="A124" t="s">
        <v>355</v>
      </c>
      <c r="B124" t="s">
        <v>26</v>
      </c>
      <c r="C124" t="s">
        <v>55</v>
      </c>
      <c r="D124" t="s">
        <v>28</v>
      </c>
      <c r="E124" t="s">
        <v>129</v>
      </c>
      <c r="F124" t="s">
        <v>66</v>
      </c>
      <c r="G124" t="s">
        <v>356</v>
      </c>
      <c r="H124" t="s">
        <v>357</v>
      </c>
      <c r="I124" t="s">
        <v>358</v>
      </c>
      <c r="J124">
        <v>2021</v>
      </c>
      <c r="K124">
        <v>8</v>
      </c>
      <c r="L124">
        <v>6</v>
      </c>
      <c r="M124" t="s">
        <v>34</v>
      </c>
      <c r="N124" t="s">
        <v>35</v>
      </c>
      <c r="O124" t="s">
        <v>36</v>
      </c>
      <c r="P124" t="s">
        <v>37</v>
      </c>
      <c r="R124" t="s">
        <v>38</v>
      </c>
      <c r="S124">
        <v>2023</v>
      </c>
      <c r="T124" t="s">
        <v>62</v>
      </c>
      <c r="U124" t="s">
        <v>63</v>
      </c>
      <c r="X124">
        <v>2</v>
      </c>
    </row>
    <row r="125" spans="1:24">
      <c r="A125" t="s">
        <v>355</v>
      </c>
      <c r="B125" t="s">
        <v>26</v>
      </c>
      <c r="C125" t="s">
        <v>55</v>
      </c>
      <c r="D125" t="s">
        <v>28</v>
      </c>
      <c r="E125" t="s">
        <v>129</v>
      </c>
      <c r="F125" t="s">
        <v>66</v>
      </c>
      <c r="G125" t="s">
        <v>130</v>
      </c>
      <c r="H125">
        <v>8358</v>
      </c>
      <c r="I125" t="s">
        <v>359</v>
      </c>
      <c r="J125">
        <v>2017</v>
      </c>
      <c r="K125">
        <v>8</v>
      </c>
      <c r="L125">
        <v>2</v>
      </c>
      <c r="M125" t="s">
        <v>34</v>
      </c>
      <c r="N125" t="s">
        <v>35</v>
      </c>
      <c r="O125" t="s">
        <v>36</v>
      </c>
      <c r="P125" t="s">
        <v>37</v>
      </c>
      <c r="R125" t="s">
        <v>38</v>
      </c>
      <c r="S125">
        <v>2023</v>
      </c>
      <c r="T125" t="s">
        <v>62</v>
      </c>
      <c r="U125" t="s">
        <v>63</v>
      </c>
      <c r="X125">
        <v>2</v>
      </c>
    </row>
    <row r="126" spans="1:24">
      <c r="A126" t="s">
        <v>355</v>
      </c>
      <c r="B126" t="s">
        <v>26</v>
      </c>
      <c r="C126" t="s">
        <v>55</v>
      </c>
      <c r="D126" t="s">
        <v>28</v>
      </c>
      <c r="E126" t="s">
        <v>129</v>
      </c>
      <c r="F126" t="s">
        <v>66</v>
      </c>
      <c r="G126" t="s">
        <v>130</v>
      </c>
      <c r="H126">
        <v>8356</v>
      </c>
      <c r="I126" t="s">
        <v>360</v>
      </c>
      <c r="J126">
        <v>2017</v>
      </c>
      <c r="K126">
        <v>8</v>
      </c>
      <c r="L126">
        <v>2</v>
      </c>
      <c r="M126" t="s">
        <v>34</v>
      </c>
      <c r="N126" t="s">
        <v>35</v>
      </c>
      <c r="O126" t="s">
        <v>36</v>
      </c>
      <c r="P126" t="s">
        <v>37</v>
      </c>
      <c r="R126" t="s">
        <v>38</v>
      </c>
      <c r="S126">
        <v>2023</v>
      </c>
      <c r="T126" t="s">
        <v>62</v>
      </c>
      <c r="U126" t="s">
        <v>63</v>
      </c>
      <c r="X126">
        <v>2</v>
      </c>
    </row>
    <row r="127" spans="1:24">
      <c r="A127" t="s">
        <v>355</v>
      </c>
      <c r="B127" t="s">
        <v>26</v>
      </c>
      <c r="C127" t="s">
        <v>55</v>
      </c>
      <c r="D127" t="s">
        <v>28</v>
      </c>
      <c r="E127" t="s">
        <v>129</v>
      </c>
      <c r="F127" t="s">
        <v>66</v>
      </c>
      <c r="G127" t="s">
        <v>130</v>
      </c>
      <c r="H127">
        <v>8354</v>
      </c>
      <c r="I127" t="s">
        <v>361</v>
      </c>
      <c r="J127">
        <v>2017</v>
      </c>
      <c r="K127">
        <v>8</v>
      </c>
      <c r="L127">
        <v>2</v>
      </c>
      <c r="M127" t="s">
        <v>34</v>
      </c>
      <c r="N127" t="s">
        <v>35</v>
      </c>
      <c r="O127" t="s">
        <v>36</v>
      </c>
      <c r="P127" t="s">
        <v>37</v>
      </c>
      <c r="R127" t="s">
        <v>38</v>
      </c>
      <c r="S127">
        <v>2023</v>
      </c>
      <c r="T127" t="s">
        <v>62</v>
      </c>
      <c r="U127" t="s">
        <v>63</v>
      </c>
      <c r="X127">
        <v>2</v>
      </c>
    </row>
    <row r="128" spans="1:24">
      <c r="A128" t="s">
        <v>362</v>
      </c>
      <c r="B128" t="s">
        <v>26</v>
      </c>
      <c r="C128" t="s">
        <v>55</v>
      </c>
      <c r="D128" t="s">
        <v>56</v>
      </c>
      <c r="E128" t="s">
        <v>65</v>
      </c>
      <c r="F128" t="s">
        <v>177</v>
      </c>
      <c r="G128" t="s">
        <v>178</v>
      </c>
      <c r="H128">
        <v>50200449</v>
      </c>
      <c r="I128" t="s">
        <v>363</v>
      </c>
      <c r="J128">
        <v>2016</v>
      </c>
      <c r="K128">
        <v>8</v>
      </c>
      <c r="L128">
        <v>1</v>
      </c>
      <c r="M128" t="s">
        <v>34</v>
      </c>
      <c r="N128" t="s">
        <v>35</v>
      </c>
      <c r="O128" t="s">
        <v>36</v>
      </c>
      <c r="P128" t="s">
        <v>37</v>
      </c>
      <c r="R128" t="s">
        <v>38</v>
      </c>
      <c r="S128">
        <v>2023</v>
      </c>
      <c r="T128" t="s">
        <v>62</v>
      </c>
      <c r="U128" t="s">
        <v>63</v>
      </c>
      <c r="X128">
        <v>2</v>
      </c>
    </row>
    <row r="129" spans="1:24">
      <c r="A129" t="s">
        <v>362</v>
      </c>
      <c r="B129" t="s">
        <v>26</v>
      </c>
      <c r="C129" t="s">
        <v>55</v>
      </c>
      <c r="D129" t="s">
        <v>56</v>
      </c>
      <c r="E129" t="s">
        <v>70</v>
      </c>
      <c r="F129" t="s">
        <v>364</v>
      </c>
      <c r="G129" t="s">
        <v>365</v>
      </c>
      <c r="H129">
        <v>1005050</v>
      </c>
      <c r="I129" t="s">
        <v>366</v>
      </c>
      <c r="J129">
        <v>2014</v>
      </c>
      <c r="K129">
        <v>8</v>
      </c>
      <c r="L129">
        <v>-1</v>
      </c>
      <c r="M129" t="s">
        <v>34</v>
      </c>
      <c r="N129" t="s">
        <v>35</v>
      </c>
      <c r="O129" t="s">
        <v>36</v>
      </c>
      <c r="P129" t="s">
        <v>37</v>
      </c>
      <c r="R129" t="s">
        <v>38</v>
      </c>
      <c r="S129">
        <v>2023</v>
      </c>
      <c r="T129" t="s">
        <v>62</v>
      </c>
      <c r="U129" t="s">
        <v>63</v>
      </c>
      <c r="X129">
        <v>2</v>
      </c>
    </row>
    <row r="130" spans="1:24">
      <c r="A130" t="s">
        <v>367</v>
      </c>
      <c r="B130" t="s">
        <v>26</v>
      </c>
      <c r="C130" t="s">
        <v>55</v>
      </c>
      <c r="D130" t="s">
        <v>56</v>
      </c>
      <c r="E130" t="s">
        <v>70</v>
      </c>
      <c r="F130" t="s">
        <v>283</v>
      </c>
      <c r="G130" t="s">
        <v>284</v>
      </c>
      <c r="H130">
        <v>122010785</v>
      </c>
      <c r="I130" t="s">
        <v>368</v>
      </c>
      <c r="J130">
        <v>2021</v>
      </c>
      <c r="K130">
        <v>8</v>
      </c>
      <c r="L130">
        <v>6</v>
      </c>
      <c r="M130" t="s">
        <v>34</v>
      </c>
      <c r="N130" t="s">
        <v>35</v>
      </c>
      <c r="O130" t="s">
        <v>36</v>
      </c>
      <c r="P130" t="s">
        <v>37</v>
      </c>
      <c r="R130" t="s">
        <v>38</v>
      </c>
      <c r="S130">
        <v>2023</v>
      </c>
      <c r="T130" t="s">
        <v>62</v>
      </c>
      <c r="U130" t="s">
        <v>63</v>
      </c>
      <c r="X130">
        <v>2</v>
      </c>
    </row>
    <row r="131" spans="1:24">
      <c r="A131" t="s">
        <v>369</v>
      </c>
      <c r="B131" t="s">
        <v>26</v>
      </c>
      <c r="C131" t="s">
        <v>55</v>
      </c>
      <c r="D131" t="s">
        <v>56</v>
      </c>
      <c r="E131" t="s">
        <v>57</v>
      </c>
      <c r="F131" t="s">
        <v>30</v>
      </c>
      <c r="G131" t="s">
        <v>78</v>
      </c>
      <c r="H131" t="s">
        <v>370</v>
      </c>
      <c r="I131" t="s">
        <v>371</v>
      </c>
      <c r="J131">
        <v>2020</v>
      </c>
      <c r="K131">
        <v>8</v>
      </c>
      <c r="L131">
        <v>5</v>
      </c>
      <c r="M131" t="s">
        <v>34</v>
      </c>
      <c r="N131" t="s">
        <v>35</v>
      </c>
      <c r="O131" t="s">
        <v>36</v>
      </c>
      <c r="P131" t="s">
        <v>37</v>
      </c>
      <c r="R131" t="s">
        <v>38</v>
      </c>
      <c r="S131">
        <v>2023</v>
      </c>
      <c r="T131" t="s">
        <v>62</v>
      </c>
      <c r="U131" t="s">
        <v>63</v>
      </c>
      <c r="X131">
        <v>2</v>
      </c>
    </row>
    <row r="132" spans="1:24">
      <c r="A132" t="s">
        <v>372</v>
      </c>
      <c r="B132" t="s">
        <v>26</v>
      </c>
      <c r="C132" t="s">
        <v>55</v>
      </c>
      <c r="D132" t="s">
        <v>56</v>
      </c>
      <c r="E132" t="s">
        <v>70</v>
      </c>
      <c r="F132" t="s">
        <v>225</v>
      </c>
      <c r="G132" t="s">
        <v>226</v>
      </c>
      <c r="H132" t="s">
        <v>373</v>
      </c>
      <c r="I132" t="s">
        <v>374</v>
      </c>
      <c r="J132">
        <v>2014</v>
      </c>
      <c r="K132">
        <v>8</v>
      </c>
      <c r="L132">
        <v>-1</v>
      </c>
      <c r="M132" t="s">
        <v>34</v>
      </c>
      <c r="N132" t="s">
        <v>35</v>
      </c>
      <c r="O132" t="s">
        <v>36</v>
      </c>
      <c r="P132" t="s">
        <v>37</v>
      </c>
      <c r="R132" t="s">
        <v>38</v>
      </c>
      <c r="S132">
        <v>2023</v>
      </c>
      <c r="T132" t="s">
        <v>62</v>
      </c>
      <c r="U132" t="s">
        <v>63</v>
      </c>
      <c r="X132">
        <v>2</v>
      </c>
    </row>
    <row r="133" spans="1:24">
      <c r="A133" t="s">
        <v>375</v>
      </c>
      <c r="B133" t="s">
        <v>26</v>
      </c>
      <c r="C133" t="s">
        <v>55</v>
      </c>
      <c r="D133" t="s">
        <v>56</v>
      </c>
      <c r="E133" t="s">
        <v>70</v>
      </c>
      <c r="F133" t="s">
        <v>171</v>
      </c>
      <c r="G133" t="s">
        <v>297</v>
      </c>
      <c r="H133" t="s">
        <v>376</v>
      </c>
      <c r="I133" t="s">
        <v>377</v>
      </c>
      <c r="J133">
        <v>2017</v>
      </c>
      <c r="K133">
        <v>8</v>
      </c>
      <c r="L133">
        <v>2</v>
      </c>
      <c r="M133" t="s">
        <v>34</v>
      </c>
      <c r="N133" t="s">
        <v>35</v>
      </c>
      <c r="O133" t="s">
        <v>36</v>
      </c>
      <c r="P133" t="s">
        <v>37</v>
      </c>
      <c r="R133" t="s">
        <v>38</v>
      </c>
      <c r="S133">
        <v>2023</v>
      </c>
      <c r="T133" t="s">
        <v>62</v>
      </c>
      <c r="U133" t="s">
        <v>63</v>
      </c>
      <c r="X133">
        <v>2</v>
      </c>
    </row>
    <row r="134" spans="1:24">
      <c r="A134" t="s">
        <v>378</v>
      </c>
      <c r="B134" t="s">
        <v>26</v>
      </c>
      <c r="C134" t="s">
        <v>55</v>
      </c>
      <c r="D134" t="s">
        <v>56</v>
      </c>
      <c r="E134" t="s">
        <v>70</v>
      </c>
      <c r="F134" t="s">
        <v>171</v>
      </c>
      <c r="G134" t="s">
        <v>297</v>
      </c>
      <c r="H134" t="s">
        <v>379</v>
      </c>
      <c r="I134" t="s">
        <v>380</v>
      </c>
      <c r="J134">
        <v>2017</v>
      </c>
      <c r="K134">
        <v>8</v>
      </c>
      <c r="L134">
        <v>2</v>
      </c>
      <c r="M134" t="s">
        <v>34</v>
      </c>
      <c r="N134" t="s">
        <v>35</v>
      </c>
      <c r="O134" t="s">
        <v>36</v>
      </c>
      <c r="P134" t="s">
        <v>37</v>
      </c>
      <c r="R134" t="s">
        <v>38</v>
      </c>
      <c r="S134">
        <v>2023</v>
      </c>
      <c r="T134" t="s">
        <v>62</v>
      </c>
      <c r="U134" t="s">
        <v>63</v>
      </c>
      <c r="X134">
        <v>2</v>
      </c>
    </row>
    <row r="135" spans="1:24">
      <c r="A135" t="s">
        <v>381</v>
      </c>
      <c r="B135" t="s">
        <v>26</v>
      </c>
      <c r="C135" t="s">
        <v>55</v>
      </c>
      <c r="D135" t="s">
        <v>56</v>
      </c>
      <c r="E135" t="s">
        <v>70</v>
      </c>
      <c r="F135" t="s">
        <v>171</v>
      </c>
      <c r="G135" t="s">
        <v>297</v>
      </c>
      <c r="H135" t="s">
        <v>382</v>
      </c>
      <c r="I135" t="s">
        <v>383</v>
      </c>
      <c r="J135">
        <v>2017</v>
      </c>
      <c r="K135">
        <v>8</v>
      </c>
      <c r="L135">
        <v>2</v>
      </c>
      <c r="M135" t="s">
        <v>34</v>
      </c>
      <c r="N135" t="s">
        <v>35</v>
      </c>
      <c r="O135" t="s">
        <v>36</v>
      </c>
      <c r="P135" t="s">
        <v>37</v>
      </c>
      <c r="R135" t="s">
        <v>38</v>
      </c>
      <c r="S135">
        <v>2023</v>
      </c>
      <c r="T135" t="s">
        <v>62</v>
      </c>
      <c r="U135" t="s">
        <v>63</v>
      </c>
      <c r="X135">
        <v>2</v>
      </c>
    </row>
    <row r="136" spans="1:24">
      <c r="A136" t="s">
        <v>384</v>
      </c>
      <c r="B136" t="s">
        <v>26</v>
      </c>
      <c r="C136" t="s">
        <v>55</v>
      </c>
      <c r="D136" t="s">
        <v>56</v>
      </c>
      <c r="E136" t="s">
        <v>70</v>
      </c>
      <c r="F136" t="s">
        <v>171</v>
      </c>
      <c r="G136" t="s">
        <v>297</v>
      </c>
      <c r="H136" t="s">
        <v>385</v>
      </c>
      <c r="I136" t="s">
        <v>386</v>
      </c>
      <c r="J136">
        <v>2017</v>
      </c>
      <c r="K136">
        <v>8</v>
      </c>
      <c r="L136">
        <v>2</v>
      </c>
      <c r="M136" t="s">
        <v>34</v>
      </c>
      <c r="N136" t="s">
        <v>35</v>
      </c>
      <c r="O136" t="s">
        <v>36</v>
      </c>
      <c r="P136" t="s">
        <v>37</v>
      </c>
      <c r="R136" t="s">
        <v>38</v>
      </c>
      <c r="S136">
        <v>2023</v>
      </c>
      <c r="T136" t="s">
        <v>62</v>
      </c>
      <c r="U136" t="s">
        <v>63</v>
      </c>
      <c r="X136">
        <v>2</v>
      </c>
    </row>
    <row r="137" spans="1:24">
      <c r="A137" t="s">
        <v>387</v>
      </c>
      <c r="B137" t="s">
        <v>26</v>
      </c>
      <c r="C137" t="s">
        <v>55</v>
      </c>
      <c r="D137" t="s">
        <v>56</v>
      </c>
      <c r="E137" t="s">
        <v>70</v>
      </c>
      <c r="F137" t="s">
        <v>171</v>
      </c>
      <c r="G137" t="s">
        <v>297</v>
      </c>
      <c r="H137" t="s">
        <v>388</v>
      </c>
      <c r="I137" t="s">
        <v>389</v>
      </c>
      <c r="J137">
        <v>2017</v>
      </c>
      <c r="K137">
        <v>8</v>
      </c>
      <c r="L137">
        <v>2</v>
      </c>
      <c r="M137" t="s">
        <v>34</v>
      </c>
      <c r="N137" t="s">
        <v>35</v>
      </c>
      <c r="O137" t="s">
        <v>36</v>
      </c>
      <c r="P137" t="s">
        <v>37</v>
      </c>
      <c r="R137" t="s">
        <v>38</v>
      </c>
      <c r="S137">
        <v>2023</v>
      </c>
      <c r="T137" t="s">
        <v>62</v>
      </c>
      <c r="U137" t="s">
        <v>63</v>
      </c>
      <c r="X137">
        <v>2</v>
      </c>
    </row>
    <row r="138" spans="1:24">
      <c r="A138" t="s">
        <v>390</v>
      </c>
      <c r="B138" t="s">
        <v>26</v>
      </c>
      <c r="C138" t="s">
        <v>55</v>
      </c>
      <c r="D138" t="s">
        <v>56</v>
      </c>
      <c r="E138" t="s">
        <v>70</v>
      </c>
      <c r="F138" t="s">
        <v>364</v>
      </c>
      <c r="G138" t="s">
        <v>365</v>
      </c>
      <c r="H138">
        <v>1006012</v>
      </c>
      <c r="I138" t="s">
        <v>391</v>
      </c>
      <c r="J138">
        <v>2014</v>
      </c>
      <c r="K138">
        <v>8</v>
      </c>
      <c r="L138">
        <v>-1</v>
      </c>
      <c r="M138" t="s">
        <v>34</v>
      </c>
      <c r="N138" t="s">
        <v>35</v>
      </c>
      <c r="O138" t="s">
        <v>36</v>
      </c>
      <c r="P138" t="s">
        <v>37</v>
      </c>
      <c r="R138" t="s">
        <v>38</v>
      </c>
      <c r="S138">
        <v>2023</v>
      </c>
      <c r="T138" t="s">
        <v>62</v>
      </c>
      <c r="U138" t="s">
        <v>63</v>
      </c>
      <c r="X138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J329"/>
  <sheetViews>
    <sheetView tabSelected="1" topLeftCell="S1" zoomScale="70" zoomScaleNormal="70" workbookViewId="0">
      <pane ySplit="15" topLeftCell="A21" activePane="bottomLeft" state="frozen"/>
      <selection activeCell="C1" sqref="C1"/>
      <selection pane="bottomLeft" activeCell="AF336" sqref="AF336"/>
    </sheetView>
  </sheetViews>
  <sheetFormatPr baseColWidth="10" defaultColWidth="11.453125" defaultRowHeight="13"/>
  <cols>
    <col min="1" max="1" width="29.1796875" style="222" bestFit="1" customWidth="1"/>
    <col min="2" max="2" width="48.08984375" style="222" bestFit="1" customWidth="1"/>
    <col min="3" max="3" width="24.7265625" style="222" hidden="1" customWidth="1"/>
    <col min="4" max="4" width="18.1796875" style="222" hidden="1" customWidth="1"/>
    <col min="5" max="5" width="53.08984375" style="222" customWidth="1"/>
    <col min="6" max="6" width="21.453125" style="222" customWidth="1"/>
    <col min="7" max="7" width="23.6328125" style="223" customWidth="1"/>
    <col min="8" max="8" width="21.08984375" style="224" customWidth="1"/>
    <col min="9" max="9" width="19.08984375" style="223" bestFit="1" customWidth="1"/>
    <col min="10" max="10" width="17.7265625" style="225" bestFit="1" customWidth="1"/>
    <col min="11" max="12" width="14.90625" style="226" bestFit="1" customWidth="1"/>
    <col min="13" max="13" width="24" style="222" bestFit="1" customWidth="1"/>
    <col min="14" max="14" width="26.7265625" style="222" bestFit="1" customWidth="1"/>
    <col min="15" max="15" width="24.54296875" style="222" bestFit="1" customWidth="1"/>
    <col min="16" max="16" width="17.7265625" style="222" bestFit="1" customWidth="1"/>
    <col min="17" max="17" width="22" style="226" bestFit="1" customWidth="1"/>
    <col min="18" max="18" width="20.90625" style="226" bestFit="1" customWidth="1"/>
    <col min="19" max="19" width="28.26953125" style="227" bestFit="1" customWidth="1"/>
    <col min="20" max="20" width="30.1796875" style="222" bestFit="1" customWidth="1"/>
    <col min="21" max="21" width="26.7265625" style="222" bestFit="1" customWidth="1"/>
    <col min="22" max="22" width="34.26953125" style="223" bestFit="1" customWidth="1"/>
    <col min="23" max="23" width="41.08984375" style="238" bestFit="1" customWidth="1"/>
    <col min="24" max="24" width="16.81640625" style="226" customWidth="1"/>
    <col min="25" max="25" width="7.6328125" style="227" customWidth="1"/>
    <col min="26" max="26" width="5.54296875" style="227" customWidth="1"/>
    <col min="27" max="27" width="5.81640625" style="227" customWidth="1"/>
    <col min="28" max="28" width="5.54296875" style="227" customWidth="1"/>
    <col min="29" max="29" width="5.1796875" style="227" customWidth="1"/>
    <col min="30" max="30" width="5.54296875" style="227" customWidth="1"/>
    <col min="31" max="31" width="6.1796875" style="227" customWidth="1"/>
    <col min="32" max="34" width="5.26953125" style="227" customWidth="1"/>
    <col min="35" max="35" width="5.81640625" style="227" customWidth="1"/>
    <col min="36" max="36" width="6.1796875" style="227" customWidth="1"/>
    <col min="37" max="16384" width="11.453125" style="2"/>
  </cols>
  <sheetData>
    <row r="1" spans="1:36">
      <c r="A1" s="2"/>
      <c r="B1" s="2"/>
      <c r="C1" s="2"/>
      <c r="D1" s="2"/>
      <c r="E1" s="2"/>
      <c r="F1" s="2"/>
      <c r="G1" s="30"/>
      <c r="H1" s="214"/>
      <c r="I1" s="30"/>
      <c r="J1" s="6"/>
      <c r="K1" s="6"/>
      <c r="L1" s="6"/>
      <c r="M1" s="2"/>
      <c r="N1" s="2"/>
      <c r="O1" s="2"/>
      <c r="P1" s="2"/>
      <c r="Q1" s="6"/>
      <c r="R1" s="6"/>
      <c r="S1" s="8"/>
      <c r="T1" s="2"/>
      <c r="U1" s="2"/>
      <c r="V1" s="30"/>
      <c r="W1" s="23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2"/>
      <c r="C2" s="2"/>
      <c r="D2" s="2"/>
      <c r="E2" s="2"/>
      <c r="F2" s="2"/>
      <c r="G2" s="30"/>
      <c r="H2" s="214"/>
      <c r="I2" s="30"/>
      <c r="J2" s="16"/>
      <c r="K2" s="6"/>
      <c r="L2" s="6"/>
      <c r="M2" s="2"/>
      <c r="N2" s="2"/>
      <c r="O2" s="2"/>
      <c r="P2" s="2"/>
      <c r="Q2" s="6"/>
      <c r="R2" s="6"/>
      <c r="S2" s="8"/>
      <c r="T2" s="2"/>
      <c r="U2" s="2"/>
      <c r="V2" s="30"/>
      <c r="W2" s="235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9" t="s">
        <v>392</v>
      </c>
      <c r="B3" s="258" t="s">
        <v>737</v>
      </c>
      <c r="C3" s="259"/>
      <c r="D3" s="259"/>
      <c r="E3" s="260"/>
      <c r="F3" s="2"/>
      <c r="G3" s="30"/>
      <c r="H3" s="214"/>
      <c r="I3" s="30"/>
      <c r="J3" s="25"/>
      <c r="K3" s="6"/>
      <c r="L3" s="6"/>
      <c r="M3" s="6"/>
      <c r="N3" s="2"/>
      <c r="O3" s="2"/>
      <c r="P3" s="2"/>
      <c r="Q3" s="6"/>
      <c r="R3" s="6"/>
      <c r="S3" s="8"/>
      <c r="T3" s="2"/>
      <c r="U3" s="2"/>
      <c r="V3" s="30"/>
      <c r="W3" s="235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13"/>
      <c r="B4" s="11"/>
      <c r="C4" s="11"/>
      <c r="D4" s="11"/>
      <c r="E4" s="11"/>
      <c r="F4" s="2"/>
      <c r="G4" s="30"/>
      <c r="H4" s="214"/>
      <c r="I4" s="30"/>
      <c r="J4" s="25"/>
      <c r="K4" s="60"/>
      <c r="L4" s="60"/>
      <c r="M4" s="16"/>
      <c r="N4" s="2"/>
      <c r="O4" s="2"/>
      <c r="P4" s="2"/>
      <c r="Q4" s="6"/>
      <c r="R4" s="6"/>
      <c r="S4" s="8"/>
      <c r="T4" s="2"/>
      <c r="U4" s="2"/>
      <c r="V4" s="30"/>
      <c r="W4" s="235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>
      <c r="A5" s="9" t="s">
        <v>393</v>
      </c>
      <c r="B5" s="258" t="s">
        <v>749</v>
      </c>
      <c r="C5" s="259"/>
      <c r="D5" s="259"/>
      <c r="E5" s="260"/>
      <c r="F5" s="2"/>
      <c r="G5" s="30"/>
      <c r="H5" s="214"/>
      <c r="I5" s="30"/>
      <c r="J5" s="25"/>
      <c r="K5" s="6"/>
      <c r="L5" s="6"/>
      <c r="M5" s="2"/>
      <c r="N5" s="2"/>
      <c r="O5" s="2"/>
      <c r="P5" s="2"/>
      <c r="Q5" s="6"/>
      <c r="R5" s="6"/>
      <c r="S5" s="8"/>
      <c r="T5" s="2"/>
      <c r="U5" s="2"/>
      <c r="V5" s="30"/>
      <c r="W5" s="235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>
      <c r="A6" s="13"/>
      <c r="B6" s="11"/>
      <c r="C6" s="11"/>
      <c r="D6" s="11"/>
      <c r="E6" s="11"/>
      <c r="F6" s="2"/>
      <c r="G6" s="30"/>
      <c r="H6" s="214"/>
      <c r="I6" s="30"/>
      <c r="J6" s="25"/>
      <c r="K6" s="6"/>
      <c r="L6" s="6"/>
      <c r="M6" s="2"/>
      <c r="N6" s="2"/>
      <c r="O6" s="2"/>
      <c r="P6" s="2"/>
      <c r="Q6" s="6"/>
      <c r="R6" s="6"/>
      <c r="S6" s="8"/>
      <c r="T6" s="2"/>
      <c r="U6" s="2"/>
      <c r="V6" s="30"/>
      <c r="W6" s="235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6">
      <c r="A7" s="9" t="s">
        <v>395</v>
      </c>
      <c r="B7" s="258" t="s">
        <v>738</v>
      </c>
      <c r="C7" s="259"/>
      <c r="D7" s="259"/>
      <c r="E7" s="260"/>
      <c r="F7" s="2"/>
      <c r="G7" s="30"/>
      <c r="H7" s="214"/>
      <c r="I7" s="30"/>
      <c r="J7" s="25"/>
      <c r="K7" s="6"/>
      <c r="L7" s="6"/>
      <c r="M7" s="2"/>
      <c r="N7" s="2"/>
      <c r="O7" s="2"/>
      <c r="P7" s="2"/>
      <c r="Q7" s="6"/>
      <c r="R7" s="6"/>
      <c r="S7" s="8"/>
      <c r="T7" s="2"/>
      <c r="U7" s="2"/>
      <c r="V7" s="30"/>
      <c r="W7" s="235"/>
      <c r="X7" s="22" t="s">
        <v>396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26">
      <c r="A8" s="13"/>
      <c r="B8" s="2"/>
      <c r="C8" s="2"/>
      <c r="D8" s="2"/>
      <c r="E8" s="2"/>
      <c r="F8" s="2"/>
      <c r="G8" s="30"/>
      <c r="H8" s="214"/>
      <c r="I8" s="30"/>
      <c r="J8" s="25"/>
      <c r="K8" s="6"/>
      <c r="L8" s="6"/>
      <c r="M8" s="2"/>
      <c r="N8" s="2"/>
      <c r="O8" s="2"/>
      <c r="P8" s="2"/>
      <c r="Q8" s="6"/>
      <c r="R8" s="6"/>
      <c r="S8" s="8"/>
      <c r="T8" s="2"/>
      <c r="U8" s="2"/>
      <c r="V8" s="30"/>
      <c r="W8" s="235"/>
      <c r="X8" s="22" t="s">
        <v>397</v>
      </c>
      <c r="Y8" s="24" t="str">
        <f>+'TABLA CÁLCULO'!B24</f>
        <v/>
      </c>
      <c r="Z8" s="24" t="str">
        <f>+'TABLA CÁLCULO'!C24</f>
        <v/>
      </c>
      <c r="AA8" s="24" t="str">
        <f>+'TABLA CÁLCULO'!D24</f>
        <v/>
      </c>
      <c r="AB8" s="24" t="str">
        <f>+'TABLA CÁLCULO'!E24</f>
        <v/>
      </c>
      <c r="AC8" s="24" t="str">
        <f>+'TABLA CÁLCULO'!F24</f>
        <v/>
      </c>
      <c r="AD8" s="24" t="str">
        <f>+'TABLA CÁLCULO'!G24</f>
        <v/>
      </c>
      <c r="AE8" s="24" t="str">
        <f>+'TABLA CÁLCULO'!H24</f>
        <v/>
      </c>
      <c r="AF8" s="24" t="str">
        <f>+'TABLA CÁLCULO'!I24</f>
        <v/>
      </c>
      <c r="AG8" s="24" t="str">
        <f>+'TABLA CÁLCULO'!J24</f>
        <v/>
      </c>
      <c r="AH8" s="24" t="str">
        <f>+'TABLA CÁLCULO'!K24</f>
        <v/>
      </c>
      <c r="AI8" s="24" t="str">
        <f>+'TABLA CÁLCULO'!L24</f>
        <v/>
      </c>
      <c r="AJ8" s="24" t="str">
        <f>+'TABLA CÁLCULO'!M24</f>
        <v/>
      </c>
    </row>
    <row r="9" spans="1:36" ht="26">
      <c r="A9" s="9" t="s">
        <v>398</v>
      </c>
      <c r="B9" s="23">
        <v>2026</v>
      </c>
      <c r="C9" s="2"/>
      <c r="D9" s="2"/>
      <c r="E9" s="2"/>
      <c r="F9" s="2"/>
      <c r="G9" s="30"/>
      <c r="H9" s="214"/>
      <c r="I9" s="30"/>
      <c r="J9" s="25"/>
      <c r="K9" s="6"/>
      <c r="L9" s="6"/>
      <c r="M9" s="2"/>
      <c r="N9" s="2"/>
      <c r="O9" s="2"/>
      <c r="P9" s="2"/>
      <c r="Q9" s="6"/>
      <c r="R9" s="6"/>
      <c r="S9" s="8"/>
      <c r="T9" s="2"/>
      <c r="U9" s="2"/>
      <c r="V9" s="30"/>
      <c r="W9" s="235"/>
      <c r="X9" s="9" t="s">
        <v>399</v>
      </c>
      <c r="Y9" s="21" t="str">
        <f>+'TABLA CÁLCULO'!B25</f>
        <v/>
      </c>
      <c r="Z9" s="21" t="str">
        <f>+'TABLA CÁLCULO'!C25</f>
        <v/>
      </c>
      <c r="AA9" s="21" t="str">
        <f>+'TABLA CÁLCULO'!D25</f>
        <v/>
      </c>
      <c r="AB9" s="21" t="str">
        <f>+'TABLA CÁLCULO'!E25</f>
        <v/>
      </c>
      <c r="AC9" s="21" t="str">
        <f>+'TABLA CÁLCULO'!F25</f>
        <v/>
      </c>
      <c r="AD9" s="21" t="str">
        <f>+'TABLA CÁLCULO'!G25</f>
        <v/>
      </c>
      <c r="AE9" s="21" t="str">
        <f>+'TABLA CÁLCULO'!H25</f>
        <v/>
      </c>
      <c r="AF9" s="21" t="str">
        <f>+'TABLA CÁLCULO'!I25</f>
        <v/>
      </c>
      <c r="AG9" s="21" t="str">
        <f>+'TABLA CÁLCULO'!J25</f>
        <v/>
      </c>
      <c r="AH9" s="21" t="str">
        <f>+'TABLA CÁLCULO'!K25</f>
        <v/>
      </c>
      <c r="AI9" s="21" t="str">
        <f>+'TABLA CÁLCULO'!L25</f>
        <v/>
      </c>
      <c r="AJ9" s="21" t="str">
        <f>+'TABLA CÁLCULO'!M25</f>
        <v/>
      </c>
    </row>
    <row r="10" spans="1:36" ht="26">
      <c r="A10" s="13"/>
      <c r="B10" s="8"/>
      <c r="C10" s="2"/>
      <c r="D10" s="2"/>
      <c r="E10" s="2"/>
      <c r="F10" s="2"/>
      <c r="G10" s="30"/>
      <c r="H10" s="214"/>
      <c r="I10" s="30"/>
      <c r="J10" s="25"/>
      <c r="K10" s="6"/>
      <c r="L10" s="6"/>
      <c r="M10" s="2"/>
      <c r="N10" s="2"/>
      <c r="O10" s="2"/>
      <c r="P10" s="2"/>
      <c r="Q10" s="6"/>
      <c r="R10" s="6"/>
      <c r="S10" s="8"/>
      <c r="T10" s="2"/>
      <c r="U10" s="2"/>
      <c r="V10" s="30"/>
      <c r="W10" s="235"/>
      <c r="X10" s="9" t="s">
        <v>400</v>
      </c>
      <c r="Y10" s="21" t="str">
        <f>+'TABLA CÁLCULO'!B26</f>
        <v/>
      </c>
      <c r="Z10" s="21" t="str">
        <f>+'TABLA CÁLCULO'!C26</f>
        <v/>
      </c>
      <c r="AA10" s="21" t="str">
        <f>+'TABLA CÁLCULO'!D26</f>
        <v/>
      </c>
      <c r="AB10" s="21" t="str">
        <f>+'TABLA CÁLCULO'!E26</f>
        <v/>
      </c>
      <c r="AC10" s="21" t="str">
        <f>+'TABLA CÁLCULO'!F26</f>
        <v/>
      </c>
      <c r="AD10" s="21" t="str">
        <f>+'TABLA CÁLCULO'!G26</f>
        <v/>
      </c>
      <c r="AE10" s="21" t="str">
        <f>+'TABLA CÁLCULO'!H26</f>
        <v/>
      </c>
      <c r="AF10" s="21" t="str">
        <f>+'TABLA CÁLCULO'!I26</f>
        <v/>
      </c>
      <c r="AG10" s="21" t="str">
        <f>+'TABLA CÁLCULO'!J26</f>
        <v/>
      </c>
      <c r="AH10" s="21" t="str">
        <f>+'TABLA CÁLCULO'!K26</f>
        <v/>
      </c>
      <c r="AI10" s="21" t="str">
        <f>+'TABLA CÁLCULO'!L26</f>
        <v/>
      </c>
      <c r="AJ10" s="21" t="str">
        <f>+'TABLA CÁLCULO'!M26</f>
        <v/>
      </c>
    </row>
    <row r="11" spans="1:36" ht="26">
      <c r="A11" s="9" t="s">
        <v>401</v>
      </c>
      <c r="B11" s="31">
        <f>SUM('SEGUIMIENTO GASTO'!I8:I13)</f>
        <v>0</v>
      </c>
      <c r="C11" s="2"/>
      <c r="D11" s="9" t="s">
        <v>402</v>
      </c>
      <c r="E11" s="31">
        <f>+SUM('SEGUIMIENTO GASTO'!AI8:AI13)</f>
        <v>0</v>
      </c>
      <c r="F11" s="2"/>
      <c r="G11" s="30"/>
      <c r="H11" s="214"/>
      <c r="I11" s="30"/>
      <c r="J11" s="25"/>
      <c r="K11" s="6"/>
      <c r="L11" s="6"/>
      <c r="M11" s="2"/>
      <c r="N11" s="2"/>
      <c r="O11" s="2"/>
      <c r="P11" s="2"/>
      <c r="Q11" s="6"/>
      <c r="R11" s="6"/>
      <c r="S11" s="8"/>
      <c r="T11" s="2"/>
      <c r="U11" s="2"/>
      <c r="V11" s="30"/>
      <c r="W11" s="235"/>
      <c r="X11" s="9" t="s">
        <v>403</v>
      </c>
      <c r="Y11" s="21" t="str">
        <f>+'TABLA CÁLCULO'!B27</f>
        <v/>
      </c>
      <c r="Z11" s="21" t="str">
        <f>+'TABLA CÁLCULO'!C27</f>
        <v/>
      </c>
      <c r="AA11" s="21" t="str">
        <f>+'TABLA CÁLCULO'!D27</f>
        <v/>
      </c>
      <c r="AB11" s="21" t="str">
        <f>+'TABLA CÁLCULO'!E27</f>
        <v/>
      </c>
      <c r="AC11" s="21" t="str">
        <f>+'TABLA CÁLCULO'!F27</f>
        <v/>
      </c>
      <c r="AD11" s="21" t="str">
        <f>+'TABLA CÁLCULO'!G27</f>
        <v/>
      </c>
      <c r="AE11" s="21" t="str">
        <f>+'TABLA CÁLCULO'!H27</f>
        <v/>
      </c>
      <c r="AF11" s="21" t="str">
        <f>+'TABLA CÁLCULO'!I27</f>
        <v/>
      </c>
      <c r="AG11" s="21" t="str">
        <f>+'TABLA CÁLCULO'!J27</f>
        <v/>
      </c>
      <c r="AH11" s="21" t="str">
        <f>+'TABLA CÁLCULO'!K27</f>
        <v/>
      </c>
      <c r="AI11" s="21" t="str">
        <f>+'TABLA CÁLCULO'!L27</f>
        <v/>
      </c>
      <c r="AJ11" s="21" t="str">
        <f>+'TABLA CÁLCULO'!M27</f>
        <v/>
      </c>
    </row>
    <row r="12" spans="1:36">
      <c r="A12" s="13"/>
      <c r="B12" s="8"/>
      <c r="C12" s="2"/>
      <c r="D12" s="12"/>
      <c r="E12" s="8"/>
      <c r="F12" s="2"/>
      <c r="G12" s="30"/>
      <c r="H12" s="214"/>
      <c r="I12" s="30"/>
      <c r="J12" s="25"/>
      <c r="K12" s="6"/>
      <c r="L12" s="6"/>
      <c r="M12" s="2"/>
      <c r="N12" s="2"/>
      <c r="O12" s="2"/>
      <c r="P12" s="2"/>
      <c r="Q12" s="6"/>
      <c r="R12" s="6"/>
      <c r="S12" s="8"/>
      <c r="T12" s="2"/>
      <c r="U12" s="2"/>
      <c r="V12" s="30"/>
      <c r="W12" s="235"/>
      <c r="X12" s="6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26">
      <c r="A13" s="9" t="s">
        <v>404</v>
      </c>
      <c r="B13" s="31">
        <f>SUM('SEGUIMIENTO GASTO'!G21:G26)</f>
        <v>0</v>
      </c>
      <c r="C13" s="2"/>
      <c r="D13" s="9" t="s">
        <v>405</v>
      </c>
      <c r="E13" s="31">
        <f>+SUM('SEGUIMIENTO GASTO'!AG21:AG26)</f>
        <v>0</v>
      </c>
      <c r="F13" s="2"/>
      <c r="G13" s="30"/>
      <c r="H13" s="214"/>
      <c r="I13" s="30"/>
      <c r="J13" s="25"/>
      <c r="K13" s="6"/>
      <c r="L13" s="6"/>
      <c r="M13" s="2"/>
      <c r="N13" s="2"/>
      <c r="O13" s="2"/>
      <c r="P13" s="2"/>
      <c r="Q13" s="26" t="s">
        <v>406</v>
      </c>
      <c r="R13" s="6"/>
      <c r="S13" s="8"/>
      <c r="T13" s="20" t="s">
        <v>407</v>
      </c>
      <c r="U13" s="2"/>
      <c r="V13" s="30"/>
      <c r="W13" s="235"/>
      <c r="X13" s="6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2"/>
      <c r="C14" s="2"/>
      <c r="D14" s="2"/>
      <c r="E14" s="2"/>
      <c r="F14" s="2"/>
      <c r="G14" s="30"/>
      <c r="H14" s="214"/>
      <c r="I14" s="30"/>
      <c r="J14" s="25"/>
      <c r="K14" s="6"/>
      <c r="L14" s="6"/>
      <c r="M14" s="2"/>
      <c r="N14" s="2"/>
      <c r="O14" s="2"/>
      <c r="P14" s="2"/>
      <c r="Q14" s="6"/>
      <c r="R14" s="6"/>
      <c r="S14" s="8"/>
      <c r="T14" s="2"/>
      <c r="U14" s="2"/>
      <c r="V14" s="30"/>
      <c r="W14" s="235"/>
      <c r="X14" s="6"/>
      <c r="Y14" s="255" t="s">
        <v>408</v>
      </c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7"/>
    </row>
    <row r="15" spans="1:36" s="3" customFormat="1" ht="56.5">
      <c r="A15" s="61" t="s">
        <v>1</v>
      </c>
      <c r="B15" s="61" t="s">
        <v>2</v>
      </c>
      <c r="C15" s="61" t="s">
        <v>3</v>
      </c>
      <c r="D15" s="61" t="s">
        <v>4</v>
      </c>
      <c r="E15" s="61" t="s">
        <v>5</v>
      </c>
      <c r="F15" s="61" t="s">
        <v>6</v>
      </c>
      <c r="G15" s="61" t="s">
        <v>7</v>
      </c>
      <c r="H15" s="215" t="s">
        <v>8</v>
      </c>
      <c r="I15" s="61" t="s">
        <v>9</v>
      </c>
      <c r="J15" s="61" t="s">
        <v>10</v>
      </c>
      <c r="K15" s="61" t="s">
        <v>11</v>
      </c>
      <c r="L15" s="61" t="s">
        <v>12</v>
      </c>
      <c r="M15" s="61" t="s">
        <v>13</v>
      </c>
      <c r="N15" s="61" t="s">
        <v>14</v>
      </c>
      <c r="O15" s="61" t="s">
        <v>15</v>
      </c>
      <c r="P15" s="61" t="s">
        <v>16</v>
      </c>
      <c r="Q15" s="61" t="s">
        <v>17</v>
      </c>
      <c r="R15" s="61" t="s">
        <v>744</v>
      </c>
      <c r="S15" s="61" t="s">
        <v>1317</v>
      </c>
      <c r="T15" s="61" t="s">
        <v>20</v>
      </c>
      <c r="U15" s="61" t="s">
        <v>21</v>
      </c>
      <c r="V15" s="61" t="s">
        <v>745</v>
      </c>
      <c r="W15" s="236" t="s">
        <v>23</v>
      </c>
      <c r="X15" s="61" t="s">
        <v>24</v>
      </c>
      <c r="Y15" s="62" t="s">
        <v>409</v>
      </c>
      <c r="Z15" s="62" t="s">
        <v>410</v>
      </c>
      <c r="AA15" s="62" t="s">
        <v>411</v>
      </c>
      <c r="AB15" s="62" t="s">
        <v>412</v>
      </c>
      <c r="AC15" s="62" t="s">
        <v>413</v>
      </c>
      <c r="AD15" s="62" t="s">
        <v>414</v>
      </c>
      <c r="AE15" s="62" t="s">
        <v>415</v>
      </c>
      <c r="AF15" s="62" t="s">
        <v>416</v>
      </c>
      <c r="AG15" s="62" t="s">
        <v>417</v>
      </c>
      <c r="AH15" s="62" t="s">
        <v>418</v>
      </c>
      <c r="AI15" s="62" t="s">
        <v>419</v>
      </c>
      <c r="AJ15" s="62" t="s">
        <v>420</v>
      </c>
    </row>
    <row r="16" spans="1:36" s="222" customFormat="1" ht="12.75" hidden="1" customHeight="1">
      <c r="A16" s="216" t="s">
        <v>507</v>
      </c>
      <c r="B16" s="216" t="s">
        <v>750</v>
      </c>
      <c r="C16" s="216" t="s">
        <v>1310</v>
      </c>
      <c r="D16" s="216" t="s">
        <v>1311</v>
      </c>
      <c r="E16" s="239" t="s">
        <v>837</v>
      </c>
      <c r="F16" s="216" t="s">
        <v>838</v>
      </c>
      <c r="G16" s="217" t="s">
        <v>839</v>
      </c>
      <c r="H16" s="218" t="s">
        <v>840</v>
      </c>
      <c r="I16" s="217">
        <v>75188</v>
      </c>
      <c r="J16" s="219">
        <v>2025</v>
      </c>
      <c r="K16" s="220">
        <v>10</v>
      </c>
      <c r="L16" s="220">
        <f>K16-($B$9-J16)</f>
        <v>9</v>
      </c>
      <c r="M16" s="216" t="s">
        <v>439</v>
      </c>
      <c r="N16" s="216" t="s">
        <v>440</v>
      </c>
      <c r="O16" s="216" t="s">
        <v>464</v>
      </c>
      <c r="P16" s="216" t="s">
        <v>38</v>
      </c>
      <c r="Q16" s="220">
        <v>2026</v>
      </c>
      <c r="R16" s="220" t="s">
        <v>38</v>
      </c>
      <c r="S16" s="221">
        <v>2026</v>
      </c>
      <c r="T16" s="216" t="s">
        <v>1315</v>
      </c>
      <c r="U16" s="216" t="s">
        <v>1257</v>
      </c>
      <c r="V16" s="217"/>
      <c r="W16" s="237"/>
      <c r="X16" s="220">
        <v>1</v>
      </c>
      <c r="Y16" s="221"/>
      <c r="Z16" s="221"/>
      <c r="AA16" s="221"/>
      <c r="AB16" s="221"/>
      <c r="AC16" s="221"/>
      <c r="AD16" s="221" t="s">
        <v>422</v>
      </c>
      <c r="AE16" s="221"/>
      <c r="AF16" s="221"/>
      <c r="AG16" s="221"/>
      <c r="AH16" s="221"/>
      <c r="AI16" s="221"/>
      <c r="AJ16" s="221"/>
    </row>
    <row r="17" spans="1:36" s="222" customFormat="1" ht="12.75" hidden="1" customHeight="1">
      <c r="A17" s="216" t="s">
        <v>507</v>
      </c>
      <c r="B17" s="240" t="s">
        <v>751</v>
      </c>
      <c r="C17" s="216" t="s">
        <v>1310</v>
      </c>
      <c r="D17" s="216" t="s">
        <v>1311</v>
      </c>
      <c r="E17" s="216" t="s">
        <v>841</v>
      </c>
      <c r="F17" s="216" t="s">
        <v>842</v>
      </c>
      <c r="G17" s="217" t="s">
        <v>843</v>
      </c>
      <c r="H17" s="218" t="s">
        <v>844</v>
      </c>
      <c r="I17" s="217">
        <v>75067</v>
      </c>
      <c r="J17" s="219">
        <v>2025</v>
      </c>
      <c r="K17" s="220">
        <v>10</v>
      </c>
      <c r="L17" s="220">
        <f>K17-($B$9-J17)</f>
        <v>9</v>
      </c>
      <c r="M17" s="216" t="s">
        <v>439</v>
      </c>
      <c r="N17" s="216" t="s">
        <v>440</v>
      </c>
      <c r="O17" s="216" t="s">
        <v>464</v>
      </c>
      <c r="P17" s="216" t="s">
        <v>37</v>
      </c>
      <c r="Q17" s="220">
        <v>2025</v>
      </c>
      <c r="R17" s="220" t="s">
        <v>38</v>
      </c>
      <c r="S17" s="221">
        <v>2026</v>
      </c>
      <c r="T17" s="216" t="s">
        <v>1315</v>
      </c>
      <c r="U17" s="216" t="s">
        <v>1258</v>
      </c>
      <c r="V17" s="217"/>
      <c r="W17" s="237"/>
      <c r="X17" s="220">
        <v>1</v>
      </c>
      <c r="Y17" s="221"/>
      <c r="Z17" s="221"/>
      <c r="AA17" s="221" t="s">
        <v>648</v>
      </c>
      <c r="AB17" s="221"/>
      <c r="AC17" s="221"/>
      <c r="AD17" s="221"/>
      <c r="AE17" s="221"/>
      <c r="AF17" s="221"/>
      <c r="AG17" s="221"/>
      <c r="AH17" s="221"/>
      <c r="AI17" s="221"/>
      <c r="AJ17" s="221"/>
    </row>
    <row r="18" spans="1:36" s="222" customFormat="1" hidden="1">
      <c r="A18" s="240" t="s">
        <v>507</v>
      </c>
      <c r="B18" s="240" t="s">
        <v>750</v>
      </c>
      <c r="C18" s="216" t="s">
        <v>1310</v>
      </c>
      <c r="D18" s="216" t="s">
        <v>28</v>
      </c>
      <c r="E18" s="240" t="s">
        <v>845</v>
      </c>
      <c r="F18" s="240" t="s">
        <v>842</v>
      </c>
      <c r="G18" s="242" t="s">
        <v>846</v>
      </c>
      <c r="H18" s="243" t="s">
        <v>844</v>
      </c>
      <c r="I18" s="242">
        <v>75066</v>
      </c>
      <c r="J18" s="219">
        <v>2025</v>
      </c>
      <c r="K18" s="220">
        <v>10</v>
      </c>
      <c r="L18" s="220">
        <f>K18-($B$9-J18)</f>
        <v>9</v>
      </c>
      <c r="M18" s="216" t="s">
        <v>439</v>
      </c>
      <c r="N18" s="216" t="s">
        <v>440</v>
      </c>
      <c r="O18" s="216" t="s">
        <v>464</v>
      </c>
      <c r="P18" s="216" t="s">
        <v>37</v>
      </c>
      <c r="Q18" s="220">
        <v>2025</v>
      </c>
      <c r="R18" s="220" t="s">
        <v>38</v>
      </c>
      <c r="S18" s="221">
        <v>2026</v>
      </c>
      <c r="T18" s="216" t="s">
        <v>1315</v>
      </c>
      <c r="U18" s="240" t="s">
        <v>1258</v>
      </c>
      <c r="V18" s="242"/>
      <c r="W18" s="237"/>
      <c r="X18" s="241">
        <v>1</v>
      </c>
      <c r="Y18" s="244"/>
      <c r="Z18" s="244"/>
      <c r="AA18" s="244" t="s">
        <v>648</v>
      </c>
      <c r="AB18" s="244"/>
      <c r="AC18" s="244"/>
      <c r="AD18" s="244"/>
      <c r="AE18" s="244"/>
      <c r="AF18" s="244"/>
      <c r="AG18" s="244"/>
      <c r="AH18" s="244"/>
      <c r="AI18" s="244"/>
      <c r="AJ18" s="244"/>
    </row>
    <row r="19" spans="1:36" s="222" customFormat="1" hidden="1">
      <c r="A19" s="242" t="s">
        <v>752</v>
      </c>
      <c r="B19" s="240" t="s">
        <v>753</v>
      </c>
      <c r="C19" s="216" t="s">
        <v>442</v>
      </c>
      <c r="D19" s="216" t="s">
        <v>1311</v>
      </c>
      <c r="E19" s="240" t="s">
        <v>847</v>
      </c>
      <c r="F19" s="240" t="s">
        <v>848</v>
      </c>
      <c r="G19" s="242" t="s">
        <v>849</v>
      </c>
      <c r="H19" s="243" t="s">
        <v>850</v>
      </c>
      <c r="I19" s="242">
        <v>76577</v>
      </c>
      <c r="J19" s="219">
        <v>2025</v>
      </c>
      <c r="K19" s="220">
        <v>10</v>
      </c>
      <c r="L19" s="220">
        <f>K19-($B$9-J19)</f>
        <v>9</v>
      </c>
      <c r="M19" s="216" t="s">
        <v>439</v>
      </c>
      <c r="N19" s="216" t="s">
        <v>440</v>
      </c>
      <c r="O19" s="240" t="s">
        <v>421</v>
      </c>
      <c r="P19" s="216" t="s">
        <v>38</v>
      </c>
      <c r="Q19" s="220">
        <v>2026</v>
      </c>
      <c r="R19" s="220" t="s">
        <v>38</v>
      </c>
      <c r="S19" s="221">
        <v>2027</v>
      </c>
      <c r="T19" s="216" t="s">
        <v>1316</v>
      </c>
      <c r="U19" s="240" t="s">
        <v>1259</v>
      </c>
      <c r="V19" s="242"/>
      <c r="W19" s="237"/>
      <c r="X19" s="241">
        <v>1</v>
      </c>
      <c r="Y19" s="244"/>
      <c r="Z19" s="244"/>
      <c r="AA19" s="244"/>
      <c r="AB19" s="244"/>
      <c r="AC19" s="244"/>
      <c r="AD19" s="244" t="s">
        <v>422</v>
      </c>
      <c r="AE19" s="244"/>
      <c r="AF19" s="221"/>
      <c r="AG19" s="244"/>
      <c r="AH19" s="244"/>
      <c r="AI19" s="244"/>
      <c r="AJ19" s="244"/>
    </row>
    <row r="20" spans="1:36" s="222" customFormat="1" ht="15" hidden="1" customHeight="1">
      <c r="A20" s="216" t="s">
        <v>1478</v>
      </c>
      <c r="B20" s="216" t="s">
        <v>1479</v>
      </c>
      <c r="C20" s="216" t="s">
        <v>754</v>
      </c>
      <c r="D20" s="216" t="s">
        <v>28</v>
      </c>
      <c r="E20" s="240" t="s">
        <v>1320</v>
      </c>
      <c r="F20" s="246" t="s">
        <v>1321</v>
      </c>
      <c r="G20" s="245" t="s">
        <v>1322</v>
      </c>
      <c r="H20" s="243" t="s">
        <v>1323</v>
      </c>
      <c r="I20" s="245">
        <v>74052</v>
      </c>
      <c r="J20" s="219">
        <v>2015</v>
      </c>
      <c r="K20" s="220">
        <v>10</v>
      </c>
      <c r="L20" s="220">
        <v>0</v>
      </c>
      <c r="M20" s="216" t="s">
        <v>439</v>
      </c>
      <c r="N20" s="216" t="s">
        <v>440</v>
      </c>
      <c r="O20" s="216" t="s">
        <v>464</v>
      </c>
      <c r="P20" s="216" t="s">
        <v>37</v>
      </c>
      <c r="Q20" s="220" t="s">
        <v>421</v>
      </c>
      <c r="R20" s="220" t="s">
        <v>38</v>
      </c>
      <c r="S20" s="221">
        <v>2025</v>
      </c>
      <c r="T20" s="216" t="s">
        <v>1315</v>
      </c>
      <c r="U20" s="240" t="s">
        <v>1324</v>
      </c>
      <c r="V20" s="245"/>
      <c r="W20" s="237">
        <v>816550</v>
      </c>
      <c r="X20" s="247">
        <v>1</v>
      </c>
      <c r="Y20" s="248"/>
      <c r="Z20" s="248"/>
      <c r="AA20" s="248"/>
      <c r="AB20" s="248"/>
      <c r="AC20" s="248" t="s">
        <v>422</v>
      </c>
      <c r="AD20" s="248"/>
      <c r="AE20" s="248"/>
      <c r="AF20" s="244"/>
      <c r="AG20" s="248"/>
      <c r="AH20" s="248"/>
      <c r="AI20" s="248"/>
      <c r="AJ20" s="221"/>
    </row>
    <row r="21" spans="1:36" s="222" customFormat="1">
      <c r="A21" s="242" t="s">
        <v>754</v>
      </c>
      <c r="B21" s="240" t="s">
        <v>755</v>
      </c>
      <c r="C21" s="216" t="s">
        <v>754</v>
      </c>
      <c r="D21" s="216" t="s">
        <v>28</v>
      </c>
      <c r="E21" s="240" t="s">
        <v>851</v>
      </c>
      <c r="F21" s="240" t="s">
        <v>852</v>
      </c>
      <c r="G21" s="242" t="s">
        <v>853</v>
      </c>
      <c r="H21" s="243" t="s">
        <v>854</v>
      </c>
      <c r="I21" s="242">
        <v>75041</v>
      </c>
      <c r="J21" s="219">
        <v>2025</v>
      </c>
      <c r="K21" s="220">
        <v>10</v>
      </c>
      <c r="L21" s="220">
        <f t="shared" ref="L21:L26" si="0">K21-($B$9-J21)</f>
        <v>9</v>
      </c>
      <c r="M21" s="216" t="s">
        <v>439</v>
      </c>
      <c r="N21" s="216" t="s">
        <v>440</v>
      </c>
      <c r="O21" s="240" t="s">
        <v>464</v>
      </c>
      <c r="P21" s="216" t="s">
        <v>38</v>
      </c>
      <c r="Q21" s="220">
        <v>2026</v>
      </c>
      <c r="R21" s="220" t="s">
        <v>38</v>
      </c>
      <c r="S21" s="221">
        <v>2025</v>
      </c>
      <c r="T21" s="216" t="s">
        <v>1315</v>
      </c>
      <c r="U21" s="240" t="s">
        <v>1260</v>
      </c>
      <c r="V21" s="242"/>
      <c r="W21" s="237"/>
      <c r="X21" s="241">
        <v>2</v>
      </c>
      <c r="Y21" s="244"/>
      <c r="Z21" s="244"/>
      <c r="AA21" s="244"/>
      <c r="AB21" s="244"/>
      <c r="AC21" s="244" t="s">
        <v>422</v>
      </c>
      <c r="AD21" s="244"/>
      <c r="AE21" s="244"/>
      <c r="AF21" s="221"/>
      <c r="AG21" s="244"/>
      <c r="AH21" s="244"/>
      <c r="AI21" s="244" t="s">
        <v>422</v>
      </c>
      <c r="AJ21" s="244"/>
    </row>
    <row r="22" spans="1:36" s="222" customFormat="1">
      <c r="A22" s="245" t="s">
        <v>756</v>
      </c>
      <c r="B22" s="245" t="s">
        <v>756</v>
      </c>
      <c r="C22" s="216" t="s">
        <v>754</v>
      </c>
      <c r="D22" s="216" t="s">
        <v>28</v>
      </c>
      <c r="E22" s="246" t="s">
        <v>855</v>
      </c>
      <c r="F22" s="246" t="s">
        <v>852</v>
      </c>
      <c r="G22" s="245" t="s">
        <v>856</v>
      </c>
      <c r="H22" s="243">
        <v>34122</v>
      </c>
      <c r="I22" s="245">
        <v>75039</v>
      </c>
      <c r="J22" s="219">
        <v>2025</v>
      </c>
      <c r="K22" s="220">
        <v>10</v>
      </c>
      <c r="L22" s="220">
        <f t="shared" si="0"/>
        <v>9</v>
      </c>
      <c r="M22" s="216" t="s">
        <v>439</v>
      </c>
      <c r="N22" s="216" t="s">
        <v>440</v>
      </c>
      <c r="O22" s="246" t="s">
        <v>464</v>
      </c>
      <c r="P22" s="216" t="s">
        <v>38</v>
      </c>
      <c r="Q22" s="220">
        <v>2026</v>
      </c>
      <c r="R22" s="220" t="s">
        <v>38</v>
      </c>
      <c r="S22" s="221">
        <v>2025</v>
      </c>
      <c r="T22" s="216" t="s">
        <v>1315</v>
      </c>
      <c r="U22" s="240" t="s">
        <v>1260</v>
      </c>
      <c r="V22" s="245"/>
      <c r="W22" s="237"/>
      <c r="X22" s="247">
        <v>2</v>
      </c>
      <c r="Y22" s="248"/>
      <c r="Z22" s="248"/>
      <c r="AA22" s="248"/>
      <c r="AB22" s="248"/>
      <c r="AC22" s="248" t="s">
        <v>422</v>
      </c>
      <c r="AD22" s="248"/>
      <c r="AE22" s="248"/>
      <c r="AF22" s="221"/>
      <c r="AG22" s="248"/>
      <c r="AH22" s="248"/>
      <c r="AI22" s="248" t="s">
        <v>422</v>
      </c>
      <c r="AJ22" s="248"/>
    </row>
    <row r="23" spans="1:36" s="222" customFormat="1">
      <c r="A23" s="245" t="s">
        <v>507</v>
      </c>
      <c r="B23" s="246" t="s">
        <v>757</v>
      </c>
      <c r="C23" s="216" t="s">
        <v>754</v>
      </c>
      <c r="D23" s="216" t="s">
        <v>28</v>
      </c>
      <c r="E23" s="246" t="s">
        <v>857</v>
      </c>
      <c r="F23" s="246" t="s">
        <v>858</v>
      </c>
      <c r="G23" s="245" t="s">
        <v>859</v>
      </c>
      <c r="H23" s="243">
        <v>443333</v>
      </c>
      <c r="I23" s="245">
        <v>75038</v>
      </c>
      <c r="J23" s="219">
        <v>2025</v>
      </c>
      <c r="K23" s="220">
        <v>10</v>
      </c>
      <c r="L23" s="220">
        <f t="shared" si="0"/>
        <v>9</v>
      </c>
      <c r="M23" s="216" t="s">
        <v>439</v>
      </c>
      <c r="N23" s="216" t="s">
        <v>440</v>
      </c>
      <c r="O23" s="216" t="s">
        <v>464</v>
      </c>
      <c r="P23" s="216" t="s">
        <v>38</v>
      </c>
      <c r="Q23" s="220">
        <v>2026</v>
      </c>
      <c r="R23" s="220" t="s">
        <v>38</v>
      </c>
      <c r="S23" s="221">
        <v>2025</v>
      </c>
      <c r="T23" s="216" t="s">
        <v>1315</v>
      </c>
      <c r="U23" s="240" t="s">
        <v>1260</v>
      </c>
      <c r="V23" s="245"/>
      <c r="W23" s="237"/>
      <c r="X23" s="247">
        <v>2</v>
      </c>
      <c r="Y23" s="248"/>
      <c r="Z23" s="248"/>
      <c r="AA23" s="248"/>
      <c r="AB23" s="248"/>
      <c r="AC23" s="248" t="s">
        <v>422</v>
      </c>
      <c r="AD23" s="248"/>
      <c r="AE23" s="248"/>
      <c r="AF23" s="221"/>
      <c r="AG23" s="248"/>
      <c r="AH23" s="248"/>
      <c r="AI23" s="248" t="s">
        <v>422</v>
      </c>
      <c r="AJ23" s="248"/>
    </row>
    <row r="24" spans="1:36" s="222" customFormat="1" hidden="1">
      <c r="A24" s="242" t="s">
        <v>1307</v>
      </c>
      <c r="B24" s="240" t="s">
        <v>1309</v>
      </c>
      <c r="C24" s="216" t="s">
        <v>1312</v>
      </c>
      <c r="D24" s="216" t="s">
        <v>28</v>
      </c>
      <c r="E24" s="240" t="s">
        <v>860</v>
      </c>
      <c r="F24" s="240" t="s">
        <v>861</v>
      </c>
      <c r="G24" s="242" t="s">
        <v>862</v>
      </c>
      <c r="H24" s="243" t="s">
        <v>441</v>
      </c>
      <c r="I24" s="242">
        <v>75071</v>
      </c>
      <c r="J24" s="219">
        <v>2025</v>
      </c>
      <c r="K24" s="220">
        <v>10</v>
      </c>
      <c r="L24" s="220">
        <f t="shared" si="0"/>
        <v>9</v>
      </c>
      <c r="M24" s="216" t="s">
        <v>439</v>
      </c>
      <c r="N24" s="216" t="s">
        <v>440</v>
      </c>
      <c r="O24" s="240" t="s">
        <v>425</v>
      </c>
      <c r="P24" s="216" t="s">
        <v>38</v>
      </c>
      <c r="Q24" s="220">
        <v>2027</v>
      </c>
      <c r="R24" s="220" t="s">
        <v>38</v>
      </c>
      <c r="S24" s="221">
        <v>2026</v>
      </c>
      <c r="T24" s="216" t="s">
        <v>1315</v>
      </c>
      <c r="U24" s="240" t="s">
        <v>1261</v>
      </c>
      <c r="V24" s="242"/>
      <c r="W24" s="237"/>
      <c r="X24" s="241">
        <v>1</v>
      </c>
      <c r="Y24" s="244"/>
      <c r="Z24" s="244"/>
      <c r="AA24" s="244"/>
      <c r="AB24" s="244"/>
      <c r="AC24" s="244"/>
      <c r="AD24" s="244" t="s">
        <v>422</v>
      </c>
      <c r="AE24" s="244"/>
      <c r="AF24" s="221"/>
      <c r="AG24" s="244"/>
      <c r="AH24" s="244"/>
      <c r="AI24" s="244"/>
      <c r="AJ24" s="244"/>
    </row>
    <row r="25" spans="1:36" s="222" customFormat="1" hidden="1">
      <c r="A25" s="242" t="s">
        <v>507</v>
      </c>
      <c r="B25" s="240" t="s">
        <v>759</v>
      </c>
      <c r="C25" s="216" t="s">
        <v>1310</v>
      </c>
      <c r="D25" s="216" t="s">
        <v>317</v>
      </c>
      <c r="E25" s="240" t="s">
        <v>863</v>
      </c>
      <c r="F25" s="240" t="s">
        <v>864</v>
      </c>
      <c r="G25" s="242" t="s">
        <v>865</v>
      </c>
      <c r="H25" s="243" t="s">
        <v>866</v>
      </c>
      <c r="I25" s="242">
        <v>75302</v>
      </c>
      <c r="J25" s="219">
        <v>2025</v>
      </c>
      <c r="K25" s="220">
        <v>10</v>
      </c>
      <c r="L25" s="220">
        <f t="shared" si="0"/>
        <v>9</v>
      </c>
      <c r="M25" s="216" t="s">
        <v>439</v>
      </c>
      <c r="N25" s="216" t="s">
        <v>440</v>
      </c>
      <c r="O25" s="216" t="s">
        <v>464</v>
      </c>
      <c r="P25" s="216" t="s">
        <v>37</v>
      </c>
      <c r="Q25" s="220">
        <v>2025</v>
      </c>
      <c r="R25" s="220" t="s">
        <v>38</v>
      </c>
      <c r="S25" s="221">
        <v>2026</v>
      </c>
      <c r="T25" s="216" t="s">
        <v>1315</v>
      </c>
      <c r="U25" s="240" t="s">
        <v>1262</v>
      </c>
      <c r="V25" s="242"/>
      <c r="W25" s="237"/>
      <c r="X25" s="241">
        <v>1</v>
      </c>
      <c r="Y25" s="244"/>
      <c r="Z25" s="244"/>
      <c r="AA25" s="244" t="s">
        <v>648</v>
      </c>
      <c r="AB25" s="244"/>
      <c r="AC25" s="244"/>
      <c r="AD25" s="244" t="s">
        <v>422</v>
      </c>
      <c r="AE25" s="244"/>
      <c r="AF25" s="221"/>
      <c r="AG25" s="244"/>
      <c r="AH25" s="244"/>
      <c r="AI25" s="244"/>
      <c r="AJ25" s="244"/>
    </row>
    <row r="26" spans="1:36" s="230" customFormat="1" ht="14.5" hidden="1">
      <c r="A26" s="217" t="s">
        <v>507</v>
      </c>
      <c r="B26" s="240" t="s">
        <v>750</v>
      </c>
      <c r="C26" s="216" t="s">
        <v>1310</v>
      </c>
      <c r="D26" s="216" t="s">
        <v>1311</v>
      </c>
      <c r="E26" s="246" t="s">
        <v>867</v>
      </c>
      <c r="F26" s="216" t="s">
        <v>868</v>
      </c>
      <c r="G26" s="217" t="s">
        <v>869</v>
      </c>
      <c r="H26" s="243" t="s">
        <v>870</v>
      </c>
      <c r="I26" s="217">
        <v>75187</v>
      </c>
      <c r="J26" s="219">
        <v>2025</v>
      </c>
      <c r="K26" s="220">
        <v>10</v>
      </c>
      <c r="L26" s="220">
        <f t="shared" si="0"/>
        <v>9</v>
      </c>
      <c r="M26" s="216" t="s">
        <v>439</v>
      </c>
      <c r="N26" s="216" t="s">
        <v>440</v>
      </c>
      <c r="O26" s="216" t="s">
        <v>464</v>
      </c>
      <c r="P26" s="216" t="s">
        <v>38</v>
      </c>
      <c r="Q26" s="220">
        <v>2026</v>
      </c>
      <c r="R26" s="220" t="s">
        <v>38</v>
      </c>
      <c r="S26" s="221">
        <v>2027</v>
      </c>
      <c r="T26" s="216" t="s">
        <v>1315</v>
      </c>
      <c r="U26" s="240" t="s">
        <v>1257</v>
      </c>
      <c r="V26" s="217"/>
      <c r="W26" s="237"/>
      <c r="X26" s="220">
        <v>1</v>
      </c>
      <c r="Y26" s="221"/>
      <c r="Z26" s="221"/>
      <c r="AA26" s="221"/>
      <c r="AB26" s="221"/>
      <c r="AC26" s="221"/>
      <c r="AD26" s="221" t="s">
        <v>422</v>
      </c>
      <c r="AE26" s="221"/>
      <c r="AF26" s="221"/>
      <c r="AG26" s="221"/>
      <c r="AH26" s="221"/>
      <c r="AI26" s="221"/>
      <c r="AJ26" s="221"/>
    </row>
    <row r="27" spans="1:36" s="230" customFormat="1" ht="14.5" hidden="1">
      <c r="A27" s="216" t="s">
        <v>1478</v>
      </c>
      <c r="B27" s="216" t="s">
        <v>1479</v>
      </c>
      <c r="C27" s="216" t="s">
        <v>1313</v>
      </c>
      <c r="D27" s="216" t="s">
        <v>28</v>
      </c>
      <c r="E27" s="240" t="s">
        <v>1325</v>
      </c>
      <c r="F27" s="246" t="s">
        <v>483</v>
      </c>
      <c r="G27" s="245" t="s">
        <v>483</v>
      </c>
      <c r="H27" s="243" t="s">
        <v>441</v>
      </c>
      <c r="I27" s="245">
        <v>74177</v>
      </c>
      <c r="J27" s="219">
        <v>2015</v>
      </c>
      <c r="K27" s="220">
        <v>10</v>
      </c>
      <c r="L27" s="220">
        <v>0</v>
      </c>
      <c r="M27" s="216" t="s">
        <v>439</v>
      </c>
      <c r="N27" s="216" t="s">
        <v>440</v>
      </c>
      <c r="O27" s="216" t="s">
        <v>425</v>
      </c>
      <c r="P27" s="216" t="s">
        <v>37</v>
      </c>
      <c r="Q27" s="220" t="s">
        <v>421</v>
      </c>
      <c r="R27" s="220" t="s">
        <v>38</v>
      </c>
      <c r="S27" s="221">
        <v>2026</v>
      </c>
      <c r="T27" s="216" t="s">
        <v>1316</v>
      </c>
      <c r="U27" s="240"/>
      <c r="V27" s="245"/>
      <c r="W27" s="237"/>
      <c r="X27" s="247">
        <v>1</v>
      </c>
      <c r="Y27" s="248"/>
      <c r="Z27" s="248"/>
      <c r="AA27" s="248"/>
      <c r="AB27" s="248"/>
      <c r="AC27" s="248"/>
      <c r="AD27" s="248"/>
      <c r="AE27" s="248"/>
      <c r="AF27" s="244"/>
      <c r="AG27" s="248"/>
      <c r="AH27" s="248"/>
      <c r="AI27" s="248"/>
      <c r="AJ27" s="248" t="s">
        <v>422</v>
      </c>
    </row>
    <row r="28" spans="1:36" s="230" customFormat="1" ht="14.5" hidden="1">
      <c r="A28" s="240" t="s">
        <v>760</v>
      </c>
      <c r="B28" s="240" t="s">
        <v>761</v>
      </c>
      <c r="C28" s="216" t="s">
        <v>1313</v>
      </c>
      <c r="D28" s="216" t="s">
        <v>317</v>
      </c>
      <c r="E28" s="240" t="s">
        <v>871</v>
      </c>
      <c r="F28" s="240" t="s">
        <v>872</v>
      </c>
      <c r="G28" s="242" t="s">
        <v>873</v>
      </c>
      <c r="H28" s="243" t="s">
        <v>874</v>
      </c>
      <c r="I28" s="242">
        <v>75299</v>
      </c>
      <c r="J28" s="219">
        <v>2025</v>
      </c>
      <c r="K28" s="220">
        <v>10</v>
      </c>
      <c r="L28" s="220">
        <f>K28-($B$9-J28)</f>
        <v>9</v>
      </c>
      <c r="M28" s="216" t="s">
        <v>439</v>
      </c>
      <c r="N28" s="216" t="s">
        <v>440</v>
      </c>
      <c r="O28" s="240" t="s">
        <v>425</v>
      </c>
      <c r="P28" s="216" t="s">
        <v>38</v>
      </c>
      <c r="Q28" s="220">
        <v>2027</v>
      </c>
      <c r="R28" s="220" t="s">
        <v>38</v>
      </c>
      <c r="S28" s="221">
        <v>2026</v>
      </c>
      <c r="T28" s="216" t="s">
        <v>1315</v>
      </c>
      <c r="U28" s="240" t="s">
        <v>1263</v>
      </c>
      <c r="V28" s="242"/>
      <c r="W28" s="237"/>
      <c r="X28" s="241">
        <v>1</v>
      </c>
      <c r="Y28" s="244"/>
      <c r="Z28" s="244"/>
      <c r="AA28" s="244"/>
      <c r="AB28" s="244"/>
      <c r="AC28" s="244" t="s">
        <v>422</v>
      </c>
      <c r="AD28" s="244"/>
      <c r="AE28" s="244"/>
      <c r="AF28" s="244"/>
      <c r="AG28" s="244"/>
      <c r="AH28" s="244"/>
      <c r="AI28" s="244"/>
      <c r="AJ28" s="221"/>
    </row>
    <row r="29" spans="1:36" s="230" customFormat="1" ht="14.5" hidden="1">
      <c r="A29" s="240" t="s">
        <v>760</v>
      </c>
      <c r="B29" s="240" t="s">
        <v>761</v>
      </c>
      <c r="C29" s="216" t="s">
        <v>1313</v>
      </c>
      <c r="D29" s="216" t="s">
        <v>317</v>
      </c>
      <c r="E29" s="240" t="s">
        <v>871</v>
      </c>
      <c r="F29" s="240" t="s">
        <v>872</v>
      </c>
      <c r="G29" s="242" t="s">
        <v>873</v>
      </c>
      <c r="H29" s="243" t="s">
        <v>875</v>
      </c>
      <c r="I29" s="242">
        <v>75300</v>
      </c>
      <c r="J29" s="219">
        <v>2025</v>
      </c>
      <c r="K29" s="220">
        <v>10</v>
      </c>
      <c r="L29" s="220">
        <f>K29-($B$9-J29)</f>
        <v>9</v>
      </c>
      <c r="M29" s="216" t="s">
        <v>439</v>
      </c>
      <c r="N29" s="216" t="s">
        <v>440</v>
      </c>
      <c r="O29" s="240" t="s">
        <v>425</v>
      </c>
      <c r="P29" s="216" t="s">
        <v>38</v>
      </c>
      <c r="Q29" s="220">
        <v>2027</v>
      </c>
      <c r="R29" s="220" t="s">
        <v>38</v>
      </c>
      <c r="S29" s="221">
        <v>2026</v>
      </c>
      <c r="T29" s="216" t="s">
        <v>1315</v>
      </c>
      <c r="U29" s="240" t="s">
        <v>1263</v>
      </c>
      <c r="V29" s="242"/>
      <c r="W29" s="237"/>
      <c r="X29" s="241">
        <v>1</v>
      </c>
      <c r="Y29" s="244"/>
      <c r="Z29" s="244"/>
      <c r="AA29" s="244"/>
      <c r="AB29" s="244"/>
      <c r="AC29" s="244" t="s">
        <v>422</v>
      </c>
      <c r="AD29" s="244"/>
      <c r="AE29" s="244"/>
      <c r="AF29" s="244"/>
      <c r="AG29" s="244"/>
      <c r="AH29" s="244"/>
      <c r="AI29" s="244"/>
      <c r="AJ29" s="221"/>
    </row>
    <row r="30" spans="1:36" s="229" customFormat="1" ht="14.5" hidden="1">
      <c r="A30" s="240" t="s">
        <v>762</v>
      </c>
      <c r="B30" s="240" t="s">
        <v>763</v>
      </c>
      <c r="C30" s="216" t="s">
        <v>27</v>
      </c>
      <c r="D30" s="216" t="s">
        <v>1311</v>
      </c>
      <c r="E30" s="240" t="s">
        <v>876</v>
      </c>
      <c r="F30" s="240" t="s">
        <v>877</v>
      </c>
      <c r="G30" s="242" t="s">
        <v>878</v>
      </c>
      <c r="H30" s="243">
        <v>8014223</v>
      </c>
      <c r="I30" s="242">
        <v>75134</v>
      </c>
      <c r="J30" s="219">
        <v>2025</v>
      </c>
      <c r="K30" s="220">
        <v>10</v>
      </c>
      <c r="L30" s="220">
        <f>K30-($B$9-J30)</f>
        <v>9</v>
      </c>
      <c r="M30" s="216" t="s">
        <v>439</v>
      </c>
      <c r="N30" s="216" t="s">
        <v>440</v>
      </c>
      <c r="O30" s="240" t="s">
        <v>421</v>
      </c>
      <c r="P30" s="216" t="s">
        <v>38</v>
      </c>
      <c r="Q30" s="220">
        <v>2026</v>
      </c>
      <c r="R30" s="220" t="s">
        <v>38</v>
      </c>
      <c r="S30" s="221">
        <v>2026</v>
      </c>
      <c r="T30" s="216" t="s">
        <v>1315</v>
      </c>
      <c r="U30" s="240" t="s">
        <v>1264</v>
      </c>
      <c r="V30" s="242"/>
      <c r="W30" s="237"/>
      <c r="X30" s="241">
        <v>2</v>
      </c>
      <c r="Y30" s="244"/>
      <c r="Z30" s="244"/>
      <c r="AA30" s="244" t="s">
        <v>648</v>
      </c>
      <c r="AB30" s="244" t="s">
        <v>422</v>
      </c>
      <c r="AC30" s="244"/>
      <c r="AD30" s="244"/>
      <c r="AE30" s="244"/>
      <c r="AF30" s="244"/>
      <c r="AG30" s="244"/>
      <c r="AH30" s="244" t="s">
        <v>422</v>
      </c>
      <c r="AI30" s="244"/>
      <c r="AJ30" s="244"/>
    </row>
    <row r="31" spans="1:36" s="222" customFormat="1" hidden="1">
      <c r="A31" s="240" t="s">
        <v>764</v>
      </c>
      <c r="B31" s="240" t="s">
        <v>765</v>
      </c>
      <c r="C31" s="216" t="s">
        <v>263</v>
      </c>
      <c r="D31" s="216" t="s">
        <v>1311</v>
      </c>
      <c r="E31" s="240" t="s">
        <v>879</v>
      </c>
      <c r="F31" s="240" t="s">
        <v>880</v>
      </c>
      <c r="G31" s="242" t="s">
        <v>881</v>
      </c>
      <c r="H31" s="243">
        <v>41017</v>
      </c>
      <c r="I31" s="242">
        <v>75072</v>
      </c>
      <c r="J31" s="219">
        <v>2025</v>
      </c>
      <c r="K31" s="220">
        <v>10</v>
      </c>
      <c r="L31" s="220">
        <f>K31-($B$9-J31)</f>
        <v>9</v>
      </c>
      <c r="M31" s="216" t="s">
        <v>439</v>
      </c>
      <c r="N31" s="216" t="s">
        <v>440</v>
      </c>
      <c r="O31" s="240" t="s">
        <v>425</v>
      </c>
      <c r="P31" s="216" t="s">
        <v>38</v>
      </c>
      <c r="Q31" s="220">
        <v>2026</v>
      </c>
      <c r="R31" s="220" t="s">
        <v>38</v>
      </c>
      <c r="S31" s="221">
        <v>2026</v>
      </c>
      <c r="T31" s="216" t="s">
        <v>1315</v>
      </c>
      <c r="U31" s="240" t="s">
        <v>1265</v>
      </c>
      <c r="V31" s="242"/>
      <c r="W31" s="237"/>
      <c r="X31" s="241">
        <v>1</v>
      </c>
      <c r="Y31" s="244"/>
      <c r="Z31" s="244"/>
      <c r="AA31" s="244"/>
      <c r="AB31" s="244"/>
      <c r="AC31" s="244"/>
      <c r="AD31" s="244"/>
      <c r="AE31" s="244"/>
      <c r="AF31" s="244"/>
      <c r="AG31" s="244"/>
      <c r="AH31" s="244" t="s">
        <v>422</v>
      </c>
      <c r="AI31" s="244"/>
      <c r="AJ31" s="244"/>
    </row>
    <row r="32" spans="1:36" s="231" customFormat="1" ht="14.5" hidden="1">
      <c r="A32" s="216" t="s">
        <v>764</v>
      </c>
      <c r="B32" s="240" t="s">
        <v>766</v>
      </c>
      <c r="C32" s="216" t="s">
        <v>263</v>
      </c>
      <c r="D32" s="216" t="s">
        <v>1311</v>
      </c>
      <c r="E32" s="240" t="s">
        <v>879</v>
      </c>
      <c r="F32" s="216" t="s">
        <v>880</v>
      </c>
      <c r="G32" s="217" t="s">
        <v>881</v>
      </c>
      <c r="H32" s="218">
        <v>41013</v>
      </c>
      <c r="I32" s="217">
        <v>75073</v>
      </c>
      <c r="J32" s="219">
        <v>2025</v>
      </c>
      <c r="K32" s="220">
        <v>10</v>
      </c>
      <c r="L32" s="220">
        <f>(J32+K32)-$B$9</f>
        <v>9</v>
      </c>
      <c r="M32" s="216" t="s">
        <v>439</v>
      </c>
      <c r="N32" s="216" t="s">
        <v>440</v>
      </c>
      <c r="O32" s="216" t="s">
        <v>425</v>
      </c>
      <c r="P32" s="216" t="s">
        <v>38</v>
      </c>
      <c r="Q32" s="220">
        <v>2026</v>
      </c>
      <c r="R32" s="220" t="s">
        <v>38</v>
      </c>
      <c r="S32" s="221">
        <v>2026</v>
      </c>
      <c r="T32" s="216" t="s">
        <v>1315</v>
      </c>
      <c r="U32" s="216" t="s">
        <v>1265</v>
      </c>
      <c r="V32" s="217"/>
      <c r="W32" s="237"/>
      <c r="X32" s="220">
        <v>1</v>
      </c>
      <c r="Y32" s="221"/>
      <c r="Z32" s="221"/>
      <c r="AA32" s="221"/>
      <c r="AB32" s="221"/>
      <c r="AC32" s="221"/>
      <c r="AD32" s="221"/>
      <c r="AE32" s="221"/>
      <c r="AF32" s="221"/>
      <c r="AG32" s="221"/>
      <c r="AH32" s="221" t="s">
        <v>422</v>
      </c>
      <c r="AI32" s="221"/>
      <c r="AJ32" s="221"/>
    </row>
    <row r="33" spans="1:36" s="230" customFormat="1" ht="14.5" hidden="1">
      <c r="A33" s="216" t="s">
        <v>1478</v>
      </c>
      <c r="B33" s="216" t="s">
        <v>1479</v>
      </c>
      <c r="C33" s="216" t="s">
        <v>263</v>
      </c>
      <c r="D33" s="216" t="s">
        <v>1311</v>
      </c>
      <c r="E33" s="240" t="s">
        <v>882</v>
      </c>
      <c r="F33" s="246" t="s">
        <v>1326</v>
      </c>
      <c r="G33" s="245" t="s">
        <v>1327</v>
      </c>
      <c r="H33" s="243">
        <v>2470</v>
      </c>
      <c r="I33" s="245">
        <v>74184</v>
      </c>
      <c r="J33" s="219">
        <v>2015</v>
      </c>
      <c r="K33" s="220">
        <v>10</v>
      </c>
      <c r="L33" s="220">
        <v>0</v>
      </c>
      <c r="M33" s="216" t="s">
        <v>439</v>
      </c>
      <c r="N33" s="216" t="s">
        <v>440</v>
      </c>
      <c r="O33" s="216" t="s">
        <v>425</v>
      </c>
      <c r="P33" s="216" t="s">
        <v>37</v>
      </c>
      <c r="Q33" s="220" t="s">
        <v>421</v>
      </c>
      <c r="R33" s="220" t="s">
        <v>38</v>
      </c>
      <c r="S33" s="221">
        <v>2025</v>
      </c>
      <c r="T33" s="216" t="s">
        <v>1315</v>
      </c>
      <c r="U33" s="240" t="s">
        <v>1328</v>
      </c>
      <c r="V33" s="245"/>
      <c r="W33" s="237">
        <v>246971.63009404388</v>
      </c>
      <c r="X33" s="247">
        <v>1</v>
      </c>
      <c r="Y33" s="248"/>
      <c r="Z33" s="248"/>
      <c r="AA33" s="248"/>
      <c r="AB33" s="248"/>
      <c r="AC33" s="248"/>
      <c r="AD33" s="248"/>
      <c r="AE33" s="248"/>
      <c r="AF33" s="244"/>
      <c r="AG33" s="248"/>
      <c r="AH33" s="248"/>
      <c r="AI33" s="248"/>
      <c r="AJ33" s="248" t="s">
        <v>422</v>
      </c>
    </row>
    <row r="34" spans="1:36" s="230" customFormat="1" ht="14.5" hidden="1">
      <c r="A34" s="216" t="s">
        <v>1478</v>
      </c>
      <c r="B34" s="216" t="s">
        <v>1479</v>
      </c>
      <c r="C34" s="216" t="s">
        <v>263</v>
      </c>
      <c r="D34" s="216" t="s">
        <v>1311</v>
      </c>
      <c r="E34" s="240" t="s">
        <v>882</v>
      </c>
      <c r="F34" s="246" t="s">
        <v>1329</v>
      </c>
      <c r="G34" s="245" t="s">
        <v>1330</v>
      </c>
      <c r="H34" s="243" t="s">
        <v>1331</v>
      </c>
      <c r="I34" s="245">
        <v>74191</v>
      </c>
      <c r="J34" s="219">
        <v>2015</v>
      </c>
      <c r="K34" s="220">
        <v>10</v>
      </c>
      <c r="L34" s="220">
        <v>0</v>
      </c>
      <c r="M34" s="216" t="s">
        <v>439</v>
      </c>
      <c r="N34" s="216" t="s">
        <v>440</v>
      </c>
      <c r="O34" s="216" t="s">
        <v>425</v>
      </c>
      <c r="P34" s="216" t="s">
        <v>37</v>
      </c>
      <c r="Q34" s="220" t="s">
        <v>421</v>
      </c>
      <c r="R34" s="220" t="s">
        <v>38</v>
      </c>
      <c r="S34" s="221">
        <v>2025</v>
      </c>
      <c r="T34" s="216" t="s">
        <v>1315</v>
      </c>
      <c r="U34" s="240" t="s">
        <v>1328</v>
      </c>
      <c r="V34" s="245"/>
      <c r="W34" s="237">
        <v>246971.63009404388</v>
      </c>
      <c r="X34" s="247">
        <v>1</v>
      </c>
      <c r="Y34" s="248"/>
      <c r="Z34" s="248"/>
      <c r="AA34" s="248"/>
      <c r="AB34" s="248"/>
      <c r="AC34" s="248"/>
      <c r="AD34" s="248"/>
      <c r="AE34" s="248"/>
      <c r="AF34" s="244"/>
      <c r="AG34" s="248"/>
      <c r="AH34" s="248"/>
      <c r="AI34" s="248"/>
      <c r="AJ34" s="248" t="s">
        <v>422</v>
      </c>
    </row>
    <row r="35" spans="1:36" s="222" customFormat="1" hidden="1">
      <c r="A35" s="216" t="s">
        <v>1478</v>
      </c>
      <c r="B35" s="216" t="s">
        <v>1479</v>
      </c>
      <c r="C35" s="216" t="s">
        <v>263</v>
      </c>
      <c r="D35" s="216" t="s">
        <v>1311</v>
      </c>
      <c r="E35" s="240" t="s">
        <v>882</v>
      </c>
      <c r="F35" s="246" t="s">
        <v>1332</v>
      </c>
      <c r="G35" s="245" t="s">
        <v>1333</v>
      </c>
      <c r="H35" s="243" t="s">
        <v>1334</v>
      </c>
      <c r="I35" s="245">
        <v>74210</v>
      </c>
      <c r="J35" s="219">
        <v>2015</v>
      </c>
      <c r="K35" s="220">
        <v>10</v>
      </c>
      <c r="L35" s="220">
        <v>0</v>
      </c>
      <c r="M35" s="216" t="s">
        <v>439</v>
      </c>
      <c r="N35" s="216" t="s">
        <v>440</v>
      </c>
      <c r="O35" s="216" t="s">
        <v>425</v>
      </c>
      <c r="P35" s="216" t="s">
        <v>37</v>
      </c>
      <c r="Q35" s="220" t="s">
        <v>421</v>
      </c>
      <c r="R35" s="220" t="s">
        <v>38</v>
      </c>
      <c r="S35" s="221">
        <v>2025</v>
      </c>
      <c r="T35" s="216" t="s">
        <v>1315</v>
      </c>
      <c r="U35" s="240" t="s">
        <v>1328</v>
      </c>
      <c r="V35" s="245"/>
      <c r="W35" s="237">
        <v>246971.63009404388</v>
      </c>
      <c r="X35" s="247">
        <v>1</v>
      </c>
      <c r="Y35" s="248"/>
      <c r="Z35" s="248"/>
      <c r="AA35" s="248"/>
      <c r="AB35" s="248"/>
      <c r="AC35" s="248"/>
      <c r="AD35" s="248"/>
      <c r="AE35" s="248"/>
      <c r="AF35" s="244"/>
      <c r="AG35" s="248"/>
      <c r="AH35" s="248"/>
      <c r="AI35" s="248"/>
      <c r="AJ35" s="248" t="s">
        <v>422</v>
      </c>
    </row>
    <row r="36" spans="1:36" s="230" customFormat="1" ht="14.5" hidden="1">
      <c r="A36" s="216" t="s">
        <v>1478</v>
      </c>
      <c r="B36" s="216" t="s">
        <v>1479</v>
      </c>
      <c r="C36" s="216" t="s">
        <v>263</v>
      </c>
      <c r="D36" s="216" t="s">
        <v>1311</v>
      </c>
      <c r="E36" s="240" t="s">
        <v>882</v>
      </c>
      <c r="F36" s="246" t="s">
        <v>1335</v>
      </c>
      <c r="G36" s="245" t="s">
        <v>1336</v>
      </c>
      <c r="H36" s="243" t="s">
        <v>1337</v>
      </c>
      <c r="I36" s="245">
        <v>74194</v>
      </c>
      <c r="J36" s="219">
        <v>2015</v>
      </c>
      <c r="K36" s="220">
        <v>10</v>
      </c>
      <c r="L36" s="220">
        <v>0</v>
      </c>
      <c r="M36" s="216" t="s">
        <v>439</v>
      </c>
      <c r="N36" s="216" t="s">
        <v>440</v>
      </c>
      <c r="O36" s="216" t="s">
        <v>425</v>
      </c>
      <c r="P36" s="216" t="s">
        <v>37</v>
      </c>
      <c r="Q36" s="220" t="s">
        <v>421</v>
      </c>
      <c r="R36" s="220" t="s">
        <v>38</v>
      </c>
      <c r="S36" s="221">
        <v>2025</v>
      </c>
      <c r="T36" s="216" t="s">
        <v>1315</v>
      </c>
      <c r="U36" s="240" t="s">
        <v>1328</v>
      </c>
      <c r="V36" s="245"/>
      <c r="W36" s="237">
        <v>246971.63009404388</v>
      </c>
      <c r="X36" s="247">
        <v>1</v>
      </c>
      <c r="Y36" s="248"/>
      <c r="Z36" s="248"/>
      <c r="AA36" s="248"/>
      <c r="AB36" s="248"/>
      <c r="AC36" s="248"/>
      <c r="AD36" s="248"/>
      <c r="AE36" s="248"/>
      <c r="AF36" s="244"/>
      <c r="AG36" s="248"/>
      <c r="AH36" s="248"/>
      <c r="AI36" s="248"/>
      <c r="AJ36" s="248" t="s">
        <v>422</v>
      </c>
    </row>
    <row r="37" spans="1:36" s="230" customFormat="1" ht="14.5" hidden="1">
      <c r="A37" s="216" t="s">
        <v>1478</v>
      </c>
      <c r="B37" s="216" t="s">
        <v>1479</v>
      </c>
      <c r="C37" s="216" t="s">
        <v>263</v>
      </c>
      <c r="D37" s="216" t="s">
        <v>1311</v>
      </c>
      <c r="E37" s="240" t="s">
        <v>882</v>
      </c>
      <c r="F37" s="246" t="s">
        <v>1338</v>
      </c>
      <c r="G37" s="245" t="s">
        <v>1339</v>
      </c>
      <c r="H37" s="243">
        <v>19979</v>
      </c>
      <c r="I37" s="245">
        <v>74187</v>
      </c>
      <c r="J37" s="219">
        <v>2015</v>
      </c>
      <c r="K37" s="220">
        <v>10</v>
      </c>
      <c r="L37" s="220">
        <v>0</v>
      </c>
      <c r="M37" s="216" t="s">
        <v>439</v>
      </c>
      <c r="N37" s="216" t="s">
        <v>440</v>
      </c>
      <c r="O37" s="216" t="s">
        <v>425</v>
      </c>
      <c r="P37" s="216" t="s">
        <v>37</v>
      </c>
      <c r="Q37" s="220" t="s">
        <v>421</v>
      </c>
      <c r="R37" s="220" t="s">
        <v>38</v>
      </c>
      <c r="S37" s="221">
        <v>2025</v>
      </c>
      <c r="T37" s="216" t="s">
        <v>1315</v>
      </c>
      <c r="U37" s="240" t="s">
        <v>1328</v>
      </c>
      <c r="V37" s="245"/>
      <c r="W37" s="237">
        <v>246971.63009404388</v>
      </c>
      <c r="X37" s="247">
        <v>1</v>
      </c>
      <c r="Y37" s="248"/>
      <c r="Z37" s="248"/>
      <c r="AA37" s="248"/>
      <c r="AB37" s="248"/>
      <c r="AC37" s="248"/>
      <c r="AD37" s="248"/>
      <c r="AE37" s="248"/>
      <c r="AF37" s="244"/>
      <c r="AG37" s="248"/>
      <c r="AH37" s="248"/>
      <c r="AI37" s="248"/>
      <c r="AJ37" s="248" t="s">
        <v>422</v>
      </c>
    </row>
    <row r="38" spans="1:36" s="230" customFormat="1" ht="14.5" hidden="1">
      <c r="A38" s="216" t="s">
        <v>1478</v>
      </c>
      <c r="B38" s="216" t="s">
        <v>1479</v>
      </c>
      <c r="C38" s="216" t="s">
        <v>263</v>
      </c>
      <c r="D38" s="216" t="s">
        <v>1311</v>
      </c>
      <c r="E38" s="240" t="s">
        <v>882</v>
      </c>
      <c r="F38" s="246" t="s">
        <v>1340</v>
      </c>
      <c r="G38" s="245">
        <v>1636</v>
      </c>
      <c r="H38" s="243">
        <v>16900002248</v>
      </c>
      <c r="I38" s="245"/>
      <c r="J38" s="219">
        <v>2015</v>
      </c>
      <c r="K38" s="220">
        <v>10</v>
      </c>
      <c r="L38" s="220">
        <v>0</v>
      </c>
      <c r="M38" s="216" t="s">
        <v>439</v>
      </c>
      <c r="N38" s="216" t="s">
        <v>440</v>
      </c>
      <c r="O38" s="216" t="s">
        <v>425</v>
      </c>
      <c r="P38" s="216" t="s">
        <v>37</v>
      </c>
      <c r="Q38" s="220" t="s">
        <v>421</v>
      </c>
      <c r="R38" s="220" t="s">
        <v>38</v>
      </c>
      <c r="S38" s="221">
        <v>2025</v>
      </c>
      <c r="T38" s="216" t="s">
        <v>1315</v>
      </c>
      <c r="U38" s="240" t="s">
        <v>1328</v>
      </c>
      <c r="V38" s="245"/>
      <c r="W38" s="237">
        <v>246971.63009404388</v>
      </c>
      <c r="X38" s="247">
        <v>1</v>
      </c>
      <c r="Y38" s="248"/>
      <c r="Z38" s="248"/>
      <c r="AA38" s="248"/>
      <c r="AB38" s="248"/>
      <c r="AC38" s="248"/>
      <c r="AD38" s="248"/>
      <c r="AE38" s="248"/>
      <c r="AF38" s="244"/>
      <c r="AG38" s="248"/>
      <c r="AH38" s="248"/>
      <c r="AI38" s="248"/>
      <c r="AJ38" s="248" t="s">
        <v>422</v>
      </c>
    </row>
    <row r="39" spans="1:36" s="230" customFormat="1" ht="14.5" hidden="1">
      <c r="A39" s="216" t="s">
        <v>1478</v>
      </c>
      <c r="B39" s="216" t="s">
        <v>1479</v>
      </c>
      <c r="C39" s="216" t="s">
        <v>263</v>
      </c>
      <c r="D39" s="216" t="s">
        <v>1311</v>
      </c>
      <c r="E39" s="240" t="s">
        <v>882</v>
      </c>
      <c r="F39" s="246" t="s">
        <v>1342</v>
      </c>
      <c r="G39" s="245" t="s">
        <v>1343</v>
      </c>
      <c r="H39" s="243" t="s">
        <v>1344</v>
      </c>
      <c r="I39" s="245"/>
      <c r="J39" s="219">
        <v>2024</v>
      </c>
      <c r="K39" s="220">
        <v>10</v>
      </c>
      <c r="L39" s="220">
        <v>9</v>
      </c>
      <c r="M39" s="216" t="s">
        <v>439</v>
      </c>
      <c r="N39" s="216" t="s">
        <v>482</v>
      </c>
      <c r="O39" s="216" t="s">
        <v>425</v>
      </c>
      <c r="P39" s="216" t="s">
        <v>37</v>
      </c>
      <c r="Q39" s="220" t="s">
        <v>421</v>
      </c>
      <c r="R39" s="220" t="s">
        <v>37</v>
      </c>
      <c r="S39" s="221"/>
      <c r="T39" s="216" t="s">
        <v>1315</v>
      </c>
      <c r="U39" s="240"/>
      <c r="V39" s="245"/>
      <c r="W39" s="237"/>
      <c r="X39" s="247">
        <v>1</v>
      </c>
      <c r="Y39" s="248"/>
      <c r="Z39" s="248"/>
      <c r="AA39" s="248"/>
      <c r="AB39" s="248"/>
      <c r="AC39" s="248"/>
      <c r="AD39" s="248"/>
      <c r="AE39" s="248"/>
      <c r="AF39" s="244"/>
      <c r="AG39" s="248"/>
      <c r="AH39" s="248"/>
      <c r="AI39" s="248"/>
      <c r="AJ39" s="248" t="s">
        <v>422</v>
      </c>
    </row>
    <row r="40" spans="1:36" s="230" customFormat="1" ht="14.5" hidden="1">
      <c r="A40" s="240" t="s">
        <v>762</v>
      </c>
      <c r="B40" s="240" t="s">
        <v>763</v>
      </c>
      <c r="C40" s="216" t="s">
        <v>263</v>
      </c>
      <c r="D40" s="216" t="s">
        <v>1311</v>
      </c>
      <c r="E40" s="240" t="s">
        <v>882</v>
      </c>
      <c r="F40" s="240" t="s">
        <v>1305</v>
      </c>
      <c r="G40" s="240" t="s">
        <v>883</v>
      </c>
      <c r="H40" s="243" t="s">
        <v>884</v>
      </c>
      <c r="I40" s="242">
        <v>76591</v>
      </c>
      <c r="J40" s="219">
        <v>2025</v>
      </c>
      <c r="K40" s="241">
        <v>10</v>
      </c>
      <c r="L40" s="241">
        <f>(J40+K40)-$B$9</f>
        <v>9</v>
      </c>
      <c r="M40" s="240" t="s">
        <v>439</v>
      </c>
      <c r="N40" s="216" t="s">
        <v>440</v>
      </c>
      <c r="O40" s="240" t="s">
        <v>425</v>
      </c>
      <c r="P40" s="216" t="s">
        <v>38</v>
      </c>
      <c r="Q40" s="220">
        <v>2026</v>
      </c>
      <c r="R40" s="220" t="s">
        <v>38</v>
      </c>
      <c r="S40" s="221">
        <v>2025</v>
      </c>
      <c r="T40" s="216" t="s">
        <v>1315</v>
      </c>
      <c r="U40" s="240" t="s">
        <v>1266</v>
      </c>
      <c r="V40" s="242"/>
      <c r="W40" s="237"/>
      <c r="X40" s="241">
        <v>1</v>
      </c>
      <c r="Y40" s="244"/>
      <c r="Z40" s="244"/>
      <c r="AA40" s="244"/>
      <c r="AB40" s="244"/>
      <c r="AC40" s="244"/>
      <c r="AD40" s="244" t="s">
        <v>422</v>
      </c>
      <c r="AE40" s="244"/>
      <c r="AF40" s="244"/>
      <c r="AG40" s="244"/>
      <c r="AH40" s="244"/>
      <c r="AI40" s="244"/>
      <c r="AJ40" s="244"/>
    </row>
    <row r="41" spans="1:36" s="231" customFormat="1" ht="14.5" hidden="1">
      <c r="A41" s="240" t="s">
        <v>752</v>
      </c>
      <c r="B41" s="240" t="s">
        <v>767</v>
      </c>
      <c r="C41" s="216" t="s">
        <v>263</v>
      </c>
      <c r="D41" s="216" t="s">
        <v>1311</v>
      </c>
      <c r="E41" s="240" t="s">
        <v>882</v>
      </c>
      <c r="F41" s="240" t="s">
        <v>1305</v>
      </c>
      <c r="G41" s="240" t="s">
        <v>883</v>
      </c>
      <c r="H41" s="243" t="s">
        <v>885</v>
      </c>
      <c r="I41" s="242">
        <v>75108</v>
      </c>
      <c r="J41" s="219">
        <v>2025</v>
      </c>
      <c r="K41" s="220">
        <v>10</v>
      </c>
      <c r="L41" s="220">
        <f t="shared" ref="L41:L46" si="1">K41-($B$9-J41)</f>
        <v>9</v>
      </c>
      <c r="M41" s="216" t="s">
        <v>439</v>
      </c>
      <c r="N41" s="216" t="s">
        <v>440</v>
      </c>
      <c r="O41" s="240" t="s">
        <v>425</v>
      </c>
      <c r="P41" s="216" t="s">
        <v>38</v>
      </c>
      <c r="Q41" s="220">
        <v>2026</v>
      </c>
      <c r="R41" s="220" t="s">
        <v>38</v>
      </c>
      <c r="S41" s="221">
        <v>2025</v>
      </c>
      <c r="T41" s="216" t="s">
        <v>1315</v>
      </c>
      <c r="U41" s="240" t="s">
        <v>1266</v>
      </c>
      <c r="V41" s="242"/>
      <c r="W41" s="237"/>
      <c r="X41" s="241">
        <v>1</v>
      </c>
      <c r="Y41" s="244"/>
      <c r="Z41" s="244"/>
      <c r="AA41" s="244"/>
      <c r="AB41" s="244"/>
      <c r="AC41" s="244"/>
      <c r="AD41" s="244" t="s">
        <v>422</v>
      </c>
      <c r="AE41" s="244"/>
      <c r="AF41" s="244"/>
      <c r="AG41" s="244"/>
      <c r="AH41" s="244"/>
      <c r="AI41" s="244"/>
      <c r="AJ41" s="244"/>
    </row>
    <row r="42" spans="1:36" s="222" customFormat="1" ht="15" hidden="1" customHeight="1">
      <c r="A42" s="242" t="s">
        <v>762</v>
      </c>
      <c r="B42" s="240" t="s">
        <v>768</v>
      </c>
      <c r="C42" s="216" t="s">
        <v>263</v>
      </c>
      <c r="D42" s="216" t="s">
        <v>1311</v>
      </c>
      <c r="E42" s="240" t="s">
        <v>882</v>
      </c>
      <c r="F42" s="240" t="s">
        <v>1305</v>
      </c>
      <c r="G42" s="240" t="s">
        <v>883</v>
      </c>
      <c r="H42" s="243" t="s">
        <v>886</v>
      </c>
      <c r="I42" s="242">
        <v>75110</v>
      </c>
      <c r="J42" s="219">
        <v>2025</v>
      </c>
      <c r="K42" s="220">
        <v>10</v>
      </c>
      <c r="L42" s="220">
        <f t="shared" si="1"/>
        <v>9</v>
      </c>
      <c r="M42" s="216" t="s">
        <v>439</v>
      </c>
      <c r="N42" s="216" t="s">
        <v>440</v>
      </c>
      <c r="O42" s="240" t="s">
        <v>425</v>
      </c>
      <c r="P42" s="216" t="s">
        <v>38</v>
      </c>
      <c r="Q42" s="220">
        <v>2026</v>
      </c>
      <c r="R42" s="220" t="s">
        <v>38</v>
      </c>
      <c r="S42" s="221">
        <v>2025</v>
      </c>
      <c r="T42" s="216" t="s">
        <v>1315</v>
      </c>
      <c r="U42" s="240" t="s">
        <v>1266</v>
      </c>
      <c r="V42" s="242"/>
      <c r="W42" s="237"/>
      <c r="X42" s="241">
        <v>1</v>
      </c>
      <c r="Y42" s="244"/>
      <c r="Z42" s="244"/>
      <c r="AA42" s="244"/>
      <c r="AB42" s="244"/>
      <c r="AC42" s="244"/>
      <c r="AD42" s="244" t="s">
        <v>422</v>
      </c>
      <c r="AE42" s="244"/>
      <c r="AF42" s="244"/>
      <c r="AG42" s="244"/>
      <c r="AH42" s="244"/>
      <c r="AI42" s="244"/>
      <c r="AJ42" s="244"/>
    </row>
    <row r="43" spans="1:36" s="222" customFormat="1" ht="15" hidden="1" customHeight="1">
      <c r="A43" s="242" t="s">
        <v>1307</v>
      </c>
      <c r="B43" s="240" t="s">
        <v>768</v>
      </c>
      <c r="C43" s="216" t="s">
        <v>263</v>
      </c>
      <c r="D43" s="216" t="s">
        <v>1311</v>
      </c>
      <c r="E43" s="240" t="s">
        <v>882</v>
      </c>
      <c r="F43" s="240" t="s">
        <v>1305</v>
      </c>
      <c r="G43" s="240" t="s">
        <v>883</v>
      </c>
      <c r="H43" s="243" t="s">
        <v>887</v>
      </c>
      <c r="I43" s="242">
        <v>75113</v>
      </c>
      <c r="J43" s="219">
        <v>2025</v>
      </c>
      <c r="K43" s="220">
        <v>10</v>
      </c>
      <c r="L43" s="220">
        <f t="shared" si="1"/>
        <v>9</v>
      </c>
      <c r="M43" s="216" t="s">
        <v>439</v>
      </c>
      <c r="N43" s="216" t="s">
        <v>440</v>
      </c>
      <c r="O43" s="240" t="s">
        <v>425</v>
      </c>
      <c r="P43" s="216" t="s">
        <v>38</v>
      </c>
      <c r="Q43" s="220">
        <v>2026</v>
      </c>
      <c r="R43" s="220" t="s">
        <v>38</v>
      </c>
      <c r="S43" s="221">
        <v>2025</v>
      </c>
      <c r="T43" s="216" t="s">
        <v>1315</v>
      </c>
      <c r="U43" s="240" t="s">
        <v>1266</v>
      </c>
      <c r="V43" s="242"/>
      <c r="W43" s="237"/>
      <c r="X43" s="241">
        <v>1</v>
      </c>
      <c r="Y43" s="244"/>
      <c r="Z43" s="244"/>
      <c r="AA43" s="244"/>
      <c r="AB43" s="244"/>
      <c r="AC43" s="244"/>
      <c r="AD43" s="244" t="s">
        <v>422</v>
      </c>
      <c r="AE43" s="244"/>
      <c r="AF43" s="244"/>
      <c r="AG43" s="244"/>
      <c r="AH43" s="244"/>
      <c r="AI43" s="244"/>
      <c r="AJ43" s="244"/>
    </row>
    <row r="44" spans="1:36" s="222" customFormat="1" ht="15" hidden="1" customHeight="1">
      <c r="A44" s="242" t="s">
        <v>1307</v>
      </c>
      <c r="B44" s="242" t="s">
        <v>769</v>
      </c>
      <c r="C44" s="216" t="s">
        <v>263</v>
      </c>
      <c r="D44" s="216" t="s">
        <v>1311</v>
      </c>
      <c r="E44" s="240" t="s">
        <v>882</v>
      </c>
      <c r="F44" s="240" t="s">
        <v>1305</v>
      </c>
      <c r="G44" s="240" t="s">
        <v>883</v>
      </c>
      <c r="H44" s="243" t="s">
        <v>888</v>
      </c>
      <c r="I44" s="242">
        <v>75114</v>
      </c>
      <c r="J44" s="219">
        <v>2025</v>
      </c>
      <c r="K44" s="220">
        <v>10</v>
      </c>
      <c r="L44" s="220">
        <f t="shared" si="1"/>
        <v>9</v>
      </c>
      <c r="M44" s="216" t="s">
        <v>439</v>
      </c>
      <c r="N44" s="216" t="s">
        <v>440</v>
      </c>
      <c r="O44" s="240" t="s">
        <v>425</v>
      </c>
      <c r="P44" s="216" t="s">
        <v>38</v>
      </c>
      <c r="Q44" s="220">
        <v>2026</v>
      </c>
      <c r="R44" s="220" t="s">
        <v>38</v>
      </c>
      <c r="S44" s="221">
        <v>2025</v>
      </c>
      <c r="T44" s="216" t="s">
        <v>1315</v>
      </c>
      <c r="U44" s="240" t="s">
        <v>1266</v>
      </c>
      <c r="V44" s="242"/>
      <c r="W44" s="237"/>
      <c r="X44" s="241">
        <v>1</v>
      </c>
      <c r="Y44" s="244"/>
      <c r="Z44" s="244"/>
      <c r="AA44" s="244"/>
      <c r="AB44" s="244"/>
      <c r="AC44" s="244"/>
      <c r="AD44" s="244" t="s">
        <v>422</v>
      </c>
      <c r="AE44" s="244"/>
      <c r="AF44" s="244"/>
      <c r="AG44" s="244"/>
      <c r="AH44" s="244"/>
      <c r="AI44" s="244"/>
      <c r="AJ44" s="244"/>
    </row>
    <row r="45" spans="1:36" s="222" customFormat="1" ht="15" hidden="1" customHeight="1">
      <c r="A45" s="242" t="s">
        <v>1307</v>
      </c>
      <c r="B45" s="240" t="s">
        <v>770</v>
      </c>
      <c r="C45" s="216" t="s">
        <v>263</v>
      </c>
      <c r="D45" s="216" t="s">
        <v>1311</v>
      </c>
      <c r="E45" s="240" t="s">
        <v>882</v>
      </c>
      <c r="F45" s="240" t="s">
        <v>1305</v>
      </c>
      <c r="G45" s="240" t="s">
        <v>883</v>
      </c>
      <c r="H45" s="243" t="s">
        <v>889</v>
      </c>
      <c r="I45" s="242">
        <v>75115</v>
      </c>
      <c r="J45" s="219">
        <v>2025</v>
      </c>
      <c r="K45" s="220">
        <v>10</v>
      </c>
      <c r="L45" s="220">
        <f t="shared" si="1"/>
        <v>9</v>
      </c>
      <c r="M45" s="216" t="s">
        <v>439</v>
      </c>
      <c r="N45" s="216" t="s">
        <v>440</v>
      </c>
      <c r="O45" s="240" t="s">
        <v>425</v>
      </c>
      <c r="P45" s="216" t="s">
        <v>38</v>
      </c>
      <c r="Q45" s="220">
        <v>2026</v>
      </c>
      <c r="R45" s="220" t="s">
        <v>38</v>
      </c>
      <c r="S45" s="221">
        <v>2025</v>
      </c>
      <c r="T45" s="216" t="s">
        <v>1315</v>
      </c>
      <c r="U45" s="240" t="s">
        <v>1266</v>
      </c>
      <c r="V45" s="242"/>
      <c r="W45" s="237"/>
      <c r="X45" s="241">
        <v>1</v>
      </c>
      <c r="Y45" s="244"/>
      <c r="Z45" s="244"/>
      <c r="AA45" s="244"/>
      <c r="AB45" s="244"/>
      <c r="AC45" s="244"/>
      <c r="AD45" s="244" t="s">
        <v>422</v>
      </c>
      <c r="AE45" s="244"/>
      <c r="AF45" s="244"/>
      <c r="AG45" s="244"/>
      <c r="AH45" s="244"/>
      <c r="AI45" s="244"/>
      <c r="AJ45" s="244"/>
    </row>
    <row r="46" spans="1:36" s="222" customFormat="1" hidden="1">
      <c r="A46" s="240" t="s">
        <v>764</v>
      </c>
      <c r="B46" s="216" t="s">
        <v>771</v>
      </c>
      <c r="C46" s="216" t="s">
        <v>27</v>
      </c>
      <c r="D46" s="216" t="s">
        <v>317</v>
      </c>
      <c r="E46" s="240" t="s">
        <v>890</v>
      </c>
      <c r="F46" s="240" t="s">
        <v>891</v>
      </c>
      <c r="G46" s="242" t="s">
        <v>892</v>
      </c>
      <c r="H46" s="243">
        <v>644181</v>
      </c>
      <c r="I46" s="242">
        <v>75275</v>
      </c>
      <c r="J46" s="219">
        <v>2025</v>
      </c>
      <c r="K46" s="220">
        <v>10</v>
      </c>
      <c r="L46" s="220">
        <f t="shared" si="1"/>
        <v>9</v>
      </c>
      <c r="M46" s="216" t="s">
        <v>439</v>
      </c>
      <c r="N46" s="216" t="s">
        <v>440</v>
      </c>
      <c r="O46" s="240" t="s">
        <v>425</v>
      </c>
      <c r="P46" s="216" t="s">
        <v>37</v>
      </c>
      <c r="Q46" s="220">
        <v>2025</v>
      </c>
      <c r="R46" s="220" t="s">
        <v>38</v>
      </c>
      <c r="S46" s="221">
        <v>2025</v>
      </c>
      <c r="T46" s="216" t="s">
        <v>1315</v>
      </c>
      <c r="U46" s="240" t="s">
        <v>1267</v>
      </c>
      <c r="V46" s="242"/>
      <c r="W46" s="237"/>
      <c r="X46" s="241">
        <v>2</v>
      </c>
      <c r="Y46" s="244"/>
      <c r="Z46" s="244"/>
      <c r="AA46" s="244"/>
      <c r="AB46" s="244"/>
      <c r="AC46" s="244"/>
      <c r="AD46" s="244" t="s">
        <v>422</v>
      </c>
      <c r="AE46" s="244"/>
      <c r="AF46" s="244"/>
      <c r="AG46" s="244"/>
      <c r="AH46" s="244"/>
      <c r="AI46" s="244"/>
      <c r="AJ46" s="244" t="s">
        <v>422</v>
      </c>
    </row>
    <row r="47" spans="1:36" s="222" customFormat="1" hidden="1">
      <c r="A47" s="216" t="s">
        <v>1478</v>
      </c>
      <c r="B47" s="216" t="s">
        <v>1479</v>
      </c>
      <c r="C47" s="216" t="s">
        <v>27</v>
      </c>
      <c r="D47" s="216" t="s">
        <v>317</v>
      </c>
      <c r="E47" s="240" t="s">
        <v>893</v>
      </c>
      <c r="F47" s="246" t="s">
        <v>1345</v>
      </c>
      <c r="G47" s="245" t="s">
        <v>1346</v>
      </c>
      <c r="H47" s="243">
        <v>46195</v>
      </c>
      <c r="I47" s="245">
        <v>74061</v>
      </c>
      <c r="J47" s="219">
        <v>2015</v>
      </c>
      <c r="K47" s="220">
        <v>10</v>
      </c>
      <c r="L47" s="220">
        <v>0</v>
      </c>
      <c r="M47" s="216" t="s">
        <v>439</v>
      </c>
      <c r="N47" s="216" t="s">
        <v>440</v>
      </c>
      <c r="O47" s="216" t="s">
        <v>425</v>
      </c>
      <c r="P47" s="216" t="s">
        <v>37</v>
      </c>
      <c r="Q47" s="220" t="s">
        <v>421</v>
      </c>
      <c r="R47" s="220" t="s">
        <v>38</v>
      </c>
      <c r="S47" s="221">
        <v>2025</v>
      </c>
      <c r="T47" s="216" t="s">
        <v>1315</v>
      </c>
      <c r="U47" s="240" t="s">
        <v>1328</v>
      </c>
      <c r="V47" s="245"/>
      <c r="W47" s="237">
        <v>246971.63009404388</v>
      </c>
      <c r="X47" s="247">
        <v>2</v>
      </c>
      <c r="Y47" s="248"/>
      <c r="Z47" s="248"/>
      <c r="AA47" s="248"/>
      <c r="AB47" s="248"/>
      <c r="AC47" s="248"/>
      <c r="AD47" s="248" t="s">
        <v>422</v>
      </c>
      <c r="AE47" s="248"/>
      <c r="AF47" s="244"/>
      <c r="AG47" s="248"/>
      <c r="AH47" s="248"/>
      <c r="AI47" s="248"/>
      <c r="AJ47" s="248" t="s">
        <v>422</v>
      </c>
    </row>
    <row r="48" spans="1:36" s="222" customFormat="1" hidden="1">
      <c r="A48" s="216" t="s">
        <v>1478</v>
      </c>
      <c r="B48" s="216" t="s">
        <v>1479</v>
      </c>
      <c r="C48" s="216" t="s">
        <v>27</v>
      </c>
      <c r="D48" s="216" t="s">
        <v>317</v>
      </c>
      <c r="E48" s="240" t="s">
        <v>893</v>
      </c>
      <c r="F48" s="246" t="s">
        <v>1347</v>
      </c>
      <c r="G48" s="245" t="s">
        <v>1348</v>
      </c>
      <c r="H48" s="243" t="s">
        <v>1349</v>
      </c>
      <c r="I48" s="245">
        <v>74062</v>
      </c>
      <c r="J48" s="219">
        <v>2015</v>
      </c>
      <c r="K48" s="220">
        <v>10</v>
      </c>
      <c r="L48" s="220">
        <v>0</v>
      </c>
      <c r="M48" s="216" t="s">
        <v>439</v>
      </c>
      <c r="N48" s="216" t="s">
        <v>440</v>
      </c>
      <c r="O48" s="216" t="s">
        <v>425</v>
      </c>
      <c r="P48" s="216" t="s">
        <v>37</v>
      </c>
      <c r="Q48" s="220" t="s">
        <v>421</v>
      </c>
      <c r="R48" s="220" t="s">
        <v>38</v>
      </c>
      <c r="S48" s="221">
        <v>2025</v>
      </c>
      <c r="T48" s="216" t="s">
        <v>1315</v>
      </c>
      <c r="U48" s="240" t="s">
        <v>1328</v>
      </c>
      <c r="V48" s="245"/>
      <c r="W48" s="237">
        <v>246971.63009404388</v>
      </c>
      <c r="X48" s="247">
        <v>2</v>
      </c>
      <c r="Y48" s="248"/>
      <c r="Z48" s="248"/>
      <c r="AA48" s="248"/>
      <c r="AB48" s="248"/>
      <c r="AC48" s="248"/>
      <c r="AD48" s="248" t="s">
        <v>422</v>
      </c>
      <c r="AE48" s="248"/>
      <c r="AF48" s="244"/>
      <c r="AG48" s="248"/>
      <c r="AH48" s="248"/>
      <c r="AI48" s="248"/>
      <c r="AJ48" s="248" t="s">
        <v>422</v>
      </c>
    </row>
    <row r="49" spans="1:36" s="222" customFormat="1" hidden="1">
      <c r="A49" s="216" t="s">
        <v>1478</v>
      </c>
      <c r="B49" s="216" t="s">
        <v>1479</v>
      </c>
      <c r="C49" s="216" t="s">
        <v>27</v>
      </c>
      <c r="D49" s="216" t="s">
        <v>317</v>
      </c>
      <c r="E49" s="240" t="s">
        <v>893</v>
      </c>
      <c r="F49" s="246" t="s">
        <v>1347</v>
      </c>
      <c r="G49" s="245" t="s">
        <v>1348</v>
      </c>
      <c r="H49" s="243">
        <v>20885416</v>
      </c>
      <c r="I49" s="245">
        <v>74201</v>
      </c>
      <c r="J49" s="219">
        <v>2015</v>
      </c>
      <c r="K49" s="220">
        <v>10</v>
      </c>
      <c r="L49" s="220">
        <v>0</v>
      </c>
      <c r="M49" s="216" t="s">
        <v>439</v>
      </c>
      <c r="N49" s="216" t="s">
        <v>440</v>
      </c>
      <c r="O49" s="216" t="s">
        <v>425</v>
      </c>
      <c r="P49" s="216" t="s">
        <v>37</v>
      </c>
      <c r="Q49" s="220" t="s">
        <v>421</v>
      </c>
      <c r="R49" s="220" t="s">
        <v>38</v>
      </c>
      <c r="S49" s="221">
        <v>2025</v>
      </c>
      <c r="T49" s="216" t="s">
        <v>1315</v>
      </c>
      <c r="U49" s="240" t="s">
        <v>1328</v>
      </c>
      <c r="V49" s="245"/>
      <c r="W49" s="237">
        <v>246971.63009404388</v>
      </c>
      <c r="X49" s="247">
        <v>2</v>
      </c>
      <c r="Y49" s="248"/>
      <c r="Z49" s="248"/>
      <c r="AA49" s="248"/>
      <c r="AB49" s="248"/>
      <c r="AC49" s="248"/>
      <c r="AD49" s="248" t="s">
        <v>422</v>
      </c>
      <c r="AE49" s="248"/>
      <c r="AF49" s="244"/>
      <c r="AG49" s="248"/>
      <c r="AH49" s="248"/>
      <c r="AI49" s="248"/>
      <c r="AJ49" s="248" t="s">
        <v>422</v>
      </c>
    </row>
    <row r="50" spans="1:36" s="222" customFormat="1" hidden="1">
      <c r="A50" s="216" t="s">
        <v>1478</v>
      </c>
      <c r="B50" s="216" t="s">
        <v>1479</v>
      </c>
      <c r="C50" s="216" t="s">
        <v>27</v>
      </c>
      <c r="D50" s="216" t="s">
        <v>317</v>
      </c>
      <c r="E50" s="240" t="s">
        <v>893</v>
      </c>
      <c r="F50" s="246" t="s">
        <v>1345</v>
      </c>
      <c r="G50" s="245" t="s">
        <v>1350</v>
      </c>
      <c r="H50" s="243">
        <v>51822</v>
      </c>
      <c r="I50" s="245">
        <v>74197</v>
      </c>
      <c r="J50" s="219">
        <v>2024</v>
      </c>
      <c r="K50" s="220">
        <v>10</v>
      </c>
      <c r="L50" s="220">
        <v>9</v>
      </c>
      <c r="M50" s="216" t="s">
        <v>439</v>
      </c>
      <c r="N50" s="216" t="s">
        <v>482</v>
      </c>
      <c r="O50" s="216" t="s">
        <v>425</v>
      </c>
      <c r="P50" s="216" t="s">
        <v>37</v>
      </c>
      <c r="Q50" s="220" t="s">
        <v>421</v>
      </c>
      <c r="R50" s="220" t="s">
        <v>38</v>
      </c>
      <c r="S50" s="221">
        <v>2025</v>
      </c>
      <c r="T50" s="216" t="s">
        <v>1315</v>
      </c>
      <c r="U50" s="240" t="s">
        <v>1328</v>
      </c>
      <c r="V50" s="245"/>
      <c r="W50" s="237">
        <v>140953.44827586206</v>
      </c>
      <c r="X50" s="247">
        <v>2</v>
      </c>
      <c r="Y50" s="248"/>
      <c r="Z50" s="248"/>
      <c r="AA50" s="248"/>
      <c r="AB50" s="248"/>
      <c r="AC50" s="248"/>
      <c r="AD50" s="248" t="s">
        <v>422</v>
      </c>
      <c r="AE50" s="248"/>
      <c r="AF50" s="244"/>
      <c r="AG50" s="248"/>
      <c r="AH50" s="248"/>
      <c r="AI50" s="248"/>
      <c r="AJ50" s="248" t="s">
        <v>422</v>
      </c>
    </row>
    <row r="51" spans="1:36" s="230" customFormat="1" ht="14.5" hidden="1">
      <c r="A51" s="242" t="s">
        <v>762</v>
      </c>
      <c r="B51" s="240" t="s">
        <v>763</v>
      </c>
      <c r="C51" s="216" t="s">
        <v>27</v>
      </c>
      <c r="D51" s="216" t="s">
        <v>317</v>
      </c>
      <c r="E51" s="240" t="s">
        <v>893</v>
      </c>
      <c r="F51" s="240" t="s">
        <v>891</v>
      </c>
      <c r="G51" s="242" t="s">
        <v>894</v>
      </c>
      <c r="H51" s="243">
        <v>976105</v>
      </c>
      <c r="I51" s="242">
        <v>75263</v>
      </c>
      <c r="J51" s="219">
        <v>2025</v>
      </c>
      <c r="K51" s="220">
        <v>10</v>
      </c>
      <c r="L51" s="220">
        <f t="shared" ref="L51:L60" si="2">K51-($B$9-J51)</f>
        <v>9</v>
      </c>
      <c r="M51" s="216" t="s">
        <v>439</v>
      </c>
      <c r="N51" s="216" t="s">
        <v>440</v>
      </c>
      <c r="O51" s="240" t="s">
        <v>425</v>
      </c>
      <c r="P51" s="216" t="s">
        <v>37</v>
      </c>
      <c r="Q51" s="220">
        <v>2025</v>
      </c>
      <c r="R51" s="220" t="s">
        <v>38</v>
      </c>
      <c r="S51" s="221">
        <v>2025</v>
      </c>
      <c r="T51" s="216" t="s">
        <v>1315</v>
      </c>
      <c r="U51" s="240" t="s">
        <v>1267</v>
      </c>
      <c r="V51" s="242"/>
      <c r="W51" s="237"/>
      <c r="X51" s="241">
        <v>2</v>
      </c>
      <c r="Y51" s="244"/>
      <c r="Z51" s="244"/>
      <c r="AA51" s="244"/>
      <c r="AB51" s="244"/>
      <c r="AC51" s="244"/>
      <c r="AD51" s="244" t="s">
        <v>422</v>
      </c>
      <c r="AE51" s="244"/>
      <c r="AF51" s="244"/>
      <c r="AG51" s="244"/>
      <c r="AH51" s="244"/>
      <c r="AI51" s="244"/>
      <c r="AJ51" s="244" t="s">
        <v>422</v>
      </c>
    </row>
    <row r="52" spans="1:36" s="230" customFormat="1" ht="14.5" hidden="1">
      <c r="A52" s="242" t="s">
        <v>764</v>
      </c>
      <c r="B52" s="240" t="s">
        <v>765</v>
      </c>
      <c r="C52" s="216" t="s">
        <v>27</v>
      </c>
      <c r="D52" s="216" t="s">
        <v>317</v>
      </c>
      <c r="E52" s="240" t="s">
        <v>893</v>
      </c>
      <c r="F52" s="240" t="s">
        <v>891</v>
      </c>
      <c r="G52" s="242" t="s">
        <v>894</v>
      </c>
      <c r="H52" s="243">
        <v>976085</v>
      </c>
      <c r="I52" s="242">
        <v>75264</v>
      </c>
      <c r="J52" s="219">
        <v>2025</v>
      </c>
      <c r="K52" s="220">
        <v>10</v>
      </c>
      <c r="L52" s="220">
        <f t="shared" si="2"/>
        <v>9</v>
      </c>
      <c r="M52" s="216" t="s">
        <v>439</v>
      </c>
      <c r="N52" s="216" t="s">
        <v>440</v>
      </c>
      <c r="O52" s="240" t="s">
        <v>425</v>
      </c>
      <c r="P52" s="216" t="s">
        <v>37</v>
      </c>
      <c r="Q52" s="220">
        <v>2025</v>
      </c>
      <c r="R52" s="220" t="s">
        <v>38</v>
      </c>
      <c r="S52" s="221">
        <v>2025</v>
      </c>
      <c r="T52" s="216" t="s">
        <v>1315</v>
      </c>
      <c r="U52" s="240" t="s">
        <v>1267</v>
      </c>
      <c r="V52" s="242"/>
      <c r="W52" s="237"/>
      <c r="X52" s="241">
        <v>2</v>
      </c>
      <c r="Y52" s="244"/>
      <c r="Z52" s="244"/>
      <c r="AA52" s="244"/>
      <c r="AB52" s="244"/>
      <c r="AC52" s="244"/>
      <c r="AD52" s="244" t="s">
        <v>422</v>
      </c>
      <c r="AE52" s="244"/>
      <c r="AF52" s="244"/>
      <c r="AG52" s="244"/>
      <c r="AH52" s="244"/>
      <c r="AI52" s="244"/>
      <c r="AJ52" s="244" t="s">
        <v>422</v>
      </c>
    </row>
    <row r="53" spans="1:36" s="230" customFormat="1" ht="14.5" hidden="1">
      <c r="A53" s="228" t="s">
        <v>762</v>
      </c>
      <c r="B53" s="249" t="s">
        <v>763</v>
      </c>
      <c r="C53" s="216" t="s">
        <v>27</v>
      </c>
      <c r="D53" s="216" t="s">
        <v>317</v>
      </c>
      <c r="E53" s="250" t="s">
        <v>893</v>
      </c>
      <c r="F53" s="216" t="s">
        <v>891</v>
      </c>
      <c r="G53" s="217" t="s">
        <v>894</v>
      </c>
      <c r="H53" s="243">
        <v>976184</v>
      </c>
      <c r="I53" s="217">
        <v>75265</v>
      </c>
      <c r="J53" s="219">
        <v>2025</v>
      </c>
      <c r="K53" s="220">
        <v>10</v>
      </c>
      <c r="L53" s="220">
        <f t="shared" si="2"/>
        <v>9</v>
      </c>
      <c r="M53" s="216" t="s">
        <v>439</v>
      </c>
      <c r="N53" s="216" t="s">
        <v>440</v>
      </c>
      <c r="O53" s="216" t="s">
        <v>425</v>
      </c>
      <c r="P53" s="216" t="s">
        <v>37</v>
      </c>
      <c r="Q53" s="220">
        <v>2025</v>
      </c>
      <c r="R53" s="220" t="s">
        <v>38</v>
      </c>
      <c r="S53" s="221">
        <v>2025</v>
      </c>
      <c r="T53" s="216" t="s">
        <v>1315</v>
      </c>
      <c r="U53" s="240" t="s">
        <v>1267</v>
      </c>
      <c r="V53" s="216"/>
      <c r="W53" s="237"/>
      <c r="X53" s="220">
        <v>2</v>
      </c>
      <c r="Y53" s="221"/>
      <c r="Z53" s="221"/>
      <c r="AA53" s="221"/>
      <c r="AB53" s="221"/>
      <c r="AC53" s="221"/>
      <c r="AD53" s="221" t="s">
        <v>422</v>
      </c>
      <c r="AE53" s="221"/>
      <c r="AF53" s="244"/>
      <c r="AG53" s="221"/>
      <c r="AH53" s="221"/>
      <c r="AI53" s="221"/>
      <c r="AJ53" s="221" t="s">
        <v>422</v>
      </c>
    </row>
    <row r="54" spans="1:36" s="222" customFormat="1" hidden="1">
      <c r="A54" s="246" t="s">
        <v>762</v>
      </c>
      <c r="B54" s="246" t="s">
        <v>763</v>
      </c>
      <c r="C54" s="216" t="s">
        <v>27</v>
      </c>
      <c r="D54" s="216" t="s">
        <v>317</v>
      </c>
      <c r="E54" s="246" t="s">
        <v>893</v>
      </c>
      <c r="F54" s="246" t="s">
        <v>891</v>
      </c>
      <c r="G54" s="245" t="s">
        <v>894</v>
      </c>
      <c r="H54" s="251">
        <v>976084</v>
      </c>
      <c r="I54" s="245">
        <v>75266</v>
      </c>
      <c r="J54" s="219">
        <v>2025</v>
      </c>
      <c r="K54" s="247">
        <v>10</v>
      </c>
      <c r="L54" s="220">
        <f t="shared" si="2"/>
        <v>9</v>
      </c>
      <c r="M54" s="246" t="s">
        <v>439</v>
      </c>
      <c r="N54" s="216" t="s">
        <v>440</v>
      </c>
      <c r="O54" s="246" t="s">
        <v>425</v>
      </c>
      <c r="P54" s="216" t="s">
        <v>37</v>
      </c>
      <c r="Q54" s="220">
        <v>2025</v>
      </c>
      <c r="R54" s="220" t="s">
        <v>38</v>
      </c>
      <c r="S54" s="221">
        <v>2025</v>
      </c>
      <c r="T54" s="216" t="s">
        <v>1315</v>
      </c>
      <c r="U54" s="246" t="s">
        <v>1267</v>
      </c>
      <c r="V54" s="245"/>
      <c r="W54" s="237"/>
      <c r="X54" s="247">
        <v>2</v>
      </c>
      <c r="Y54" s="248"/>
      <c r="Z54" s="248"/>
      <c r="AA54" s="248"/>
      <c r="AB54" s="248"/>
      <c r="AC54" s="248"/>
      <c r="AD54" s="248" t="s">
        <v>422</v>
      </c>
      <c r="AE54" s="248"/>
      <c r="AF54" s="248"/>
      <c r="AG54" s="248"/>
      <c r="AH54" s="248"/>
      <c r="AI54" s="248"/>
      <c r="AJ54" s="248" t="s">
        <v>422</v>
      </c>
    </row>
    <row r="55" spans="1:36" s="222" customFormat="1" hidden="1">
      <c r="A55" s="242" t="s">
        <v>1307</v>
      </c>
      <c r="B55" s="240" t="s">
        <v>772</v>
      </c>
      <c r="C55" s="216" t="s">
        <v>27</v>
      </c>
      <c r="D55" s="216" t="s">
        <v>317</v>
      </c>
      <c r="E55" s="239" t="s">
        <v>893</v>
      </c>
      <c r="F55" s="239" t="s">
        <v>891</v>
      </c>
      <c r="G55" s="252" t="s">
        <v>894</v>
      </c>
      <c r="H55" s="243">
        <v>976108</v>
      </c>
      <c r="I55" s="242">
        <v>75268</v>
      </c>
      <c r="J55" s="219">
        <v>2025</v>
      </c>
      <c r="K55" s="220">
        <v>10</v>
      </c>
      <c r="L55" s="220">
        <f t="shared" si="2"/>
        <v>9</v>
      </c>
      <c r="M55" s="216" t="s">
        <v>439</v>
      </c>
      <c r="N55" s="216" t="s">
        <v>440</v>
      </c>
      <c r="O55" s="240" t="s">
        <v>425</v>
      </c>
      <c r="P55" s="216" t="s">
        <v>37</v>
      </c>
      <c r="Q55" s="220">
        <v>2025</v>
      </c>
      <c r="R55" s="220" t="s">
        <v>38</v>
      </c>
      <c r="S55" s="221">
        <v>2025</v>
      </c>
      <c r="T55" s="216" t="s">
        <v>1315</v>
      </c>
      <c r="U55" s="240" t="s">
        <v>1267</v>
      </c>
      <c r="V55" s="242"/>
      <c r="W55" s="237"/>
      <c r="X55" s="241">
        <v>2</v>
      </c>
      <c r="Y55" s="244"/>
      <c r="Z55" s="244"/>
      <c r="AA55" s="244"/>
      <c r="AB55" s="244"/>
      <c r="AC55" s="244"/>
      <c r="AD55" s="244" t="s">
        <v>422</v>
      </c>
      <c r="AE55" s="244"/>
      <c r="AF55" s="244"/>
      <c r="AG55" s="244"/>
      <c r="AH55" s="244"/>
      <c r="AI55" s="244"/>
      <c r="AJ55" s="244" t="s">
        <v>422</v>
      </c>
    </row>
    <row r="56" spans="1:36" s="222" customFormat="1" hidden="1">
      <c r="A56" s="242" t="s">
        <v>1307</v>
      </c>
      <c r="B56" s="239" t="s">
        <v>772</v>
      </c>
      <c r="C56" s="216" t="s">
        <v>27</v>
      </c>
      <c r="D56" s="216" t="s">
        <v>317</v>
      </c>
      <c r="E56" s="239" t="s">
        <v>893</v>
      </c>
      <c r="F56" s="239" t="s">
        <v>891</v>
      </c>
      <c r="G56" s="252" t="s">
        <v>894</v>
      </c>
      <c r="H56" s="243">
        <v>976100</v>
      </c>
      <c r="I56" s="252">
        <v>75269</v>
      </c>
      <c r="J56" s="219">
        <v>2025</v>
      </c>
      <c r="K56" s="220">
        <v>10</v>
      </c>
      <c r="L56" s="220">
        <f t="shared" si="2"/>
        <v>9</v>
      </c>
      <c r="M56" s="216" t="s">
        <v>439</v>
      </c>
      <c r="N56" s="216" t="s">
        <v>440</v>
      </c>
      <c r="O56" s="239" t="s">
        <v>425</v>
      </c>
      <c r="P56" s="216" t="s">
        <v>37</v>
      </c>
      <c r="Q56" s="220">
        <v>2025</v>
      </c>
      <c r="R56" s="220" t="s">
        <v>38</v>
      </c>
      <c r="S56" s="221">
        <v>2025</v>
      </c>
      <c r="T56" s="216" t="s">
        <v>1315</v>
      </c>
      <c r="U56" s="240" t="s">
        <v>1267</v>
      </c>
      <c r="V56" s="252"/>
      <c r="W56" s="237"/>
      <c r="X56" s="253">
        <v>2</v>
      </c>
      <c r="Y56" s="254"/>
      <c r="Z56" s="254"/>
      <c r="AA56" s="254"/>
      <c r="AB56" s="254"/>
      <c r="AC56" s="254"/>
      <c r="AD56" s="254" t="s">
        <v>422</v>
      </c>
      <c r="AE56" s="254"/>
      <c r="AF56" s="244"/>
      <c r="AG56" s="254"/>
      <c r="AH56" s="254"/>
      <c r="AI56" s="254"/>
      <c r="AJ56" s="254" t="s">
        <v>422</v>
      </c>
    </row>
    <row r="57" spans="1:36" s="232" customFormat="1" hidden="1">
      <c r="A57" s="242" t="s">
        <v>1307</v>
      </c>
      <c r="B57" s="239" t="s">
        <v>772</v>
      </c>
      <c r="C57" s="216" t="s">
        <v>27</v>
      </c>
      <c r="D57" s="216" t="s">
        <v>317</v>
      </c>
      <c r="E57" s="239" t="s">
        <v>893</v>
      </c>
      <c r="F57" s="239" t="s">
        <v>891</v>
      </c>
      <c r="G57" s="252" t="s">
        <v>894</v>
      </c>
      <c r="H57" s="243">
        <v>976106</v>
      </c>
      <c r="I57" s="252">
        <v>75270</v>
      </c>
      <c r="J57" s="219">
        <v>2025</v>
      </c>
      <c r="K57" s="220">
        <v>10</v>
      </c>
      <c r="L57" s="220">
        <f t="shared" si="2"/>
        <v>9</v>
      </c>
      <c r="M57" s="216" t="s">
        <v>439</v>
      </c>
      <c r="N57" s="216" t="s">
        <v>440</v>
      </c>
      <c r="O57" s="239" t="s">
        <v>425</v>
      </c>
      <c r="P57" s="216" t="s">
        <v>37</v>
      </c>
      <c r="Q57" s="220">
        <v>2025</v>
      </c>
      <c r="R57" s="220" t="s">
        <v>38</v>
      </c>
      <c r="S57" s="221">
        <v>2025</v>
      </c>
      <c r="T57" s="216" t="s">
        <v>1315</v>
      </c>
      <c r="U57" s="240" t="s">
        <v>1267</v>
      </c>
      <c r="V57" s="252"/>
      <c r="W57" s="237"/>
      <c r="X57" s="253">
        <v>2</v>
      </c>
      <c r="Y57" s="254"/>
      <c r="Z57" s="254"/>
      <c r="AA57" s="254"/>
      <c r="AB57" s="254"/>
      <c r="AC57" s="254"/>
      <c r="AD57" s="254" t="s">
        <v>422</v>
      </c>
      <c r="AE57" s="254"/>
      <c r="AF57" s="244"/>
      <c r="AG57" s="254"/>
      <c r="AH57" s="254"/>
      <c r="AI57" s="254"/>
      <c r="AJ57" s="254" t="s">
        <v>422</v>
      </c>
    </row>
    <row r="58" spans="1:36" s="232" customFormat="1" hidden="1">
      <c r="A58" s="240" t="s">
        <v>764</v>
      </c>
      <c r="B58" s="240" t="s">
        <v>766</v>
      </c>
      <c r="C58" s="216" t="s">
        <v>27</v>
      </c>
      <c r="D58" s="216" t="s">
        <v>317</v>
      </c>
      <c r="E58" s="240" t="s">
        <v>893</v>
      </c>
      <c r="F58" s="240" t="s">
        <v>891</v>
      </c>
      <c r="G58" s="242" t="s">
        <v>894</v>
      </c>
      <c r="H58" s="243">
        <v>947601</v>
      </c>
      <c r="I58" s="242">
        <v>75272</v>
      </c>
      <c r="J58" s="219">
        <v>2025</v>
      </c>
      <c r="K58" s="220">
        <v>10</v>
      </c>
      <c r="L58" s="220">
        <f t="shared" si="2"/>
        <v>9</v>
      </c>
      <c r="M58" s="216" t="s">
        <v>439</v>
      </c>
      <c r="N58" s="216" t="s">
        <v>440</v>
      </c>
      <c r="O58" s="240" t="s">
        <v>425</v>
      </c>
      <c r="P58" s="216" t="s">
        <v>37</v>
      </c>
      <c r="Q58" s="220">
        <v>2025</v>
      </c>
      <c r="R58" s="220" t="s">
        <v>38</v>
      </c>
      <c r="S58" s="221">
        <v>2025</v>
      </c>
      <c r="T58" s="216" t="s">
        <v>1315</v>
      </c>
      <c r="U58" s="240" t="s">
        <v>1267</v>
      </c>
      <c r="V58" s="242"/>
      <c r="W58" s="237"/>
      <c r="X58" s="241">
        <v>2</v>
      </c>
      <c r="Y58" s="244"/>
      <c r="Z58" s="244"/>
      <c r="AA58" s="244"/>
      <c r="AB58" s="244"/>
      <c r="AC58" s="244"/>
      <c r="AD58" s="244" t="s">
        <v>422</v>
      </c>
      <c r="AE58" s="244"/>
      <c r="AF58" s="244"/>
      <c r="AG58" s="244"/>
      <c r="AH58" s="244"/>
      <c r="AI58" s="244"/>
      <c r="AJ58" s="221" t="s">
        <v>422</v>
      </c>
    </row>
    <row r="59" spans="1:36" s="232" customFormat="1" hidden="1">
      <c r="A59" s="242" t="s">
        <v>1307</v>
      </c>
      <c r="B59" s="240" t="s">
        <v>769</v>
      </c>
      <c r="C59" s="216" t="s">
        <v>27</v>
      </c>
      <c r="D59" s="216" t="s">
        <v>317</v>
      </c>
      <c r="E59" s="240" t="s">
        <v>893</v>
      </c>
      <c r="F59" s="240" t="s">
        <v>891</v>
      </c>
      <c r="G59" s="242" t="s">
        <v>894</v>
      </c>
      <c r="H59" s="243">
        <v>976112</v>
      </c>
      <c r="I59" s="242">
        <v>75267</v>
      </c>
      <c r="J59" s="219">
        <v>2025</v>
      </c>
      <c r="K59" s="220">
        <v>10</v>
      </c>
      <c r="L59" s="220">
        <f t="shared" si="2"/>
        <v>9</v>
      </c>
      <c r="M59" s="216" t="s">
        <v>439</v>
      </c>
      <c r="N59" s="216" t="s">
        <v>440</v>
      </c>
      <c r="O59" s="240" t="s">
        <v>425</v>
      </c>
      <c r="P59" s="216" t="s">
        <v>37</v>
      </c>
      <c r="Q59" s="220">
        <v>2025</v>
      </c>
      <c r="R59" s="220" t="s">
        <v>38</v>
      </c>
      <c r="S59" s="221">
        <v>2025</v>
      </c>
      <c r="T59" s="216" t="s">
        <v>1315</v>
      </c>
      <c r="U59" s="240" t="s">
        <v>1267</v>
      </c>
      <c r="V59" s="242"/>
      <c r="W59" s="237"/>
      <c r="X59" s="241">
        <v>2</v>
      </c>
      <c r="Y59" s="244"/>
      <c r="Z59" s="244"/>
      <c r="AA59" s="244"/>
      <c r="AB59" s="244"/>
      <c r="AC59" s="244"/>
      <c r="AD59" s="244" t="s">
        <v>422</v>
      </c>
      <c r="AE59" s="244"/>
      <c r="AF59" s="244"/>
      <c r="AG59" s="244"/>
      <c r="AH59" s="244"/>
      <c r="AI59" s="244"/>
      <c r="AJ59" s="221" t="s">
        <v>422</v>
      </c>
    </row>
    <row r="60" spans="1:36" s="232" customFormat="1" hidden="1">
      <c r="A60" s="240" t="s">
        <v>764</v>
      </c>
      <c r="B60" s="240" t="s">
        <v>773</v>
      </c>
      <c r="C60" s="216" t="s">
        <v>27</v>
      </c>
      <c r="D60" s="216" t="s">
        <v>317</v>
      </c>
      <c r="E60" s="240" t="s">
        <v>893</v>
      </c>
      <c r="F60" s="240" t="s">
        <v>891</v>
      </c>
      <c r="G60" s="242" t="s">
        <v>894</v>
      </c>
      <c r="H60" s="243">
        <v>976095</v>
      </c>
      <c r="I60" s="242">
        <v>75273</v>
      </c>
      <c r="J60" s="219">
        <v>2025</v>
      </c>
      <c r="K60" s="220">
        <v>10</v>
      </c>
      <c r="L60" s="220">
        <f t="shared" si="2"/>
        <v>9</v>
      </c>
      <c r="M60" s="216" t="s">
        <v>439</v>
      </c>
      <c r="N60" s="216" t="s">
        <v>440</v>
      </c>
      <c r="O60" s="240" t="s">
        <v>425</v>
      </c>
      <c r="P60" s="216" t="s">
        <v>37</v>
      </c>
      <c r="Q60" s="220">
        <v>2025</v>
      </c>
      <c r="R60" s="220" t="s">
        <v>38</v>
      </c>
      <c r="S60" s="221">
        <v>2025</v>
      </c>
      <c r="T60" s="216" t="s">
        <v>1315</v>
      </c>
      <c r="U60" s="240" t="s">
        <v>1267</v>
      </c>
      <c r="V60" s="242"/>
      <c r="W60" s="237"/>
      <c r="X60" s="241">
        <v>2</v>
      </c>
      <c r="Y60" s="244"/>
      <c r="Z60" s="244"/>
      <c r="AA60" s="244"/>
      <c r="AB60" s="244"/>
      <c r="AC60" s="244"/>
      <c r="AD60" s="244" t="s">
        <v>422</v>
      </c>
      <c r="AE60" s="244"/>
      <c r="AF60" s="244"/>
      <c r="AG60" s="244"/>
      <c r="AH60" s="244"/>
      <c r="AI60" s="244"/>
      <c r="AJ60" s="244" t="s">
        <v>422</v>
      </c>
    </row>
    <row r="61" spans="1:36" s="232" customFormat="1" hidden="1">
      <c r="A61" s="216" t="s">
        <v>1478</v>
      </c>
      <c r="B61" s="216" t="s">
        <v>1479</v>
      </c>
      <c r="C61" s="216" t="s">
        <v>1313</v>
      </c>
      <c r="D61" s="216" t="s">
        <v>1311</v>
      </c>
      <c r="E61" s="240" t="s">
        <v>1480</v>
      </c>
      <c r="F61" s="246" t="s">
        <v>1351</v>
      </c>
      <c r="G61" s="245" t="s">
        <v>1352</v>
      </c>
      <c r="H61" s="243" t="s">
        <v>1353</v>
      </c>
      <c r="I61" s="245">
        <v>74173</v>
      </c>
      <c r="J61" s="219">
        <v>2015</v>
      </c>
      <c r="K61" s="220">
        <v>10</v>
      </c>
      <c r="L61" s="220">
        <v>0</v>
      </c>
      <c r="M61" s="216" t="s">
        <v>439</v>
      </c>
      <c r="N61" s="216" t="s">
        <v>440</v>
      </c>
      <c r="O61" s="216" t="s">
        <v>425</v>
      </c>
      <c r="P61" s="216" t="s">
        <v>37</v>
      </c>
      <c r="Q61" s="220" t="s">
        <v>421</v>
      </c>
      <c r="R61" s="220" t="s">
        <v>38</v>
      </c>
      <c r="S61" s="221">
        <v>2026</v>
      </c>
      <c r="T61" s="216" t="s">
        <v>1315</v>
      </c>
      <c r="U61" s="240"/>
      <c r="V61" s="245"/>
      <c r="W61" s="237"/>
      <c r="X61" s="247">
        <v>2</v>
      </c>
      <c r="Y61" s="248"/>
      <c r="Z61" s="248"/>
      <c r="AA61" s="248"/>
      <c r="AB61" s="248"/>
      <c r="AC61" s="248"/>
      <c r="AD61" s="248" t="s">
        <v>422</v>
      </c>
      <c r="AE61" s="248"/>
      <c r="AF61" s="244"/>
      <c r="AG61" s="248"/>
      <c r="AH61" s="248"/>
      <c r="AI61" s="248"/>
      <c r="AJ61" s="248" t="s">
        <v>422</v>
      </c>
    </row>
    <row r="62" spans="1:36" s="232" customFormat="1" hidden="1">
      <c r="A62" s="240" t="s">
        <v>760</v>
      </c>
      <c r="B62" s="240" t="s">
        <v>774</v>
      </c>
      <c r="C62" s="216" t="s">
        <v>1313</v>
      </c>
      <c r="D62" s="216" t="s">
        <v>1311</v>
      </c>
      <c r="E62" s="240" t="s">
        <v>1299</v>
      </c>
      <c r="F62" s="240" t="s">
        <v>895</v>
      </c>
      <c r="G62" s="242">
        <v>111994</v>
      </c>
      <c r="H62" s="243" t="s">
        <v>896</v>
      </c>
      <c r="I62" s="242">
        <v>75111</v>
      </c>
      <c r="J62" s="219">
        <v>2025</v>
      </c>
      <c r="K62" s="220">
        <v>10</v>
      </c>
      <c r="L62" s="220">
        <f t="shared" ref="L62:L108" si="3">K62-($B$9-J62)</f>
        <v>9</v>
      </c>
      <c r="M62" s="216" t="s">
        <v>439</v>
      </c>
      <c r="N62" s="216" t="s">
        <v>440</v>
      </c>
      <c r="O62" s="240" t="s">
        <v>425</v>
      </c>
      <c r="P62" s="216" t="s">
        <v>37</v>
      </c>
      <c r="Q62" s="220">
        <v>2025</v>
      </c>
      <c r="R62" s="220" t="s">
        <v>38</v>
      </c>
      <c r="S62" s="221">
        <v>2027</v>
      </c>
      <c r="T62" s="216" t="s">
        <v>1316</v>
      </c>
      <c r="U62" s="240" t="s">
        <v>1268</v>
      </c>
      <c r="V62" s="242"/>
      <c r="W62" s="237"/>
      <c r="X62" s="241">
        <v>1</v>
      </c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21" t="s">
        <v>422</v>
      </c>
    </row>
    <row r="63" spans="1:36" s="232" customFormat="1" hidden="1">
      <c r="A63" s="240" t="s">
        <v>752</v>
      </c>
      <c r="B63" s="240" t="s">
        <v>753</v>
      </c>
      <c r="C63" s="216" t="s">
        <v>442</v>
      </c>
      <c r="D63" s="216" t="s">
        <v>1311</v>
      </c>
      <c r="E63" s="240" t="s">
        <v>897</v>
      </c>
      <c r="F63" s="240" t="s">
        <v>898</v>
      </c>
      <c r="G63" s="242" t="s">
        <v>899</v>
      </c>
      <c r="H63" s="243" t="s">
        <v>844</v>
      </c>
      <c r="I63" s="242">
        <v>76576</v>
      </c>
      <c r="J63" s="219">
        <v>2025</v>
      </c>
      <c r="K63" s="220">
        <v>10</v>
      </c>
      <c r="L63" s="220">
        <f t="shared" si="3"/>
        <v>9</v>
      </c>
      <c r="M63" s="216" t="s">
        <v>439</v>
      </c>
      <c r="N63" s="216" t="s">
        <v>440</v>
      </c>
      <c r="O63" s="240" t="s">
        <v>421</v>
      </c>
      <c r="P63" s="216" t="s">
        <v>37</v>
      </c>
      <c r="Q63" s="220">
        <v>2025</v>
      </c>
      <c r="R63" s="220" t="s">
        <v>37</v>
      </c>
      <c r="S63" s="221">
        <v>2027</v>
      </c>
      <c r="T63" s="216"/>
      <c r="U63" s="240" t="s">
        <v>1259</v>
      </c>
      <c r="V63" s="242"/>
      <c r="W63" s="237"/>
      <c r="X63" s="241">
        <v>0</v>
      </c>
      <c r="Y63" s="244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</row>
    <row r="64" spans="1:36" s="232" customFormat="1" hidden="1">
      <c r="A64" s="242" t="s">
        <v>1307</v>
      </c>
      <c r="B64" s="242" t="s">
        <v>769</v>
      </c>
      <c r="C64" s="216" t="s">
        <v>27</v>
      </c>
      <c r="D64" s="216" t="s">
        <v>1311</v>
      </c>
      <c r="E64" s="240" t="s">
        <v>900</v>
      </c>
      <c r="F64" s="240" t="s">
        <v>901</v>
      </c>
      <c r="G64" s="242" t="s">
        <v>902</v>
      </c>
      <c r="H64" s="243"/>
      <c r="I64" s="242">
        <v>76770</v>
      </c>
      <c r="J64" s="219">
        <v>2025</v>
      </c>
      <c r="K64" s="220">
        <v>10</v>
      </c>
      <c r="L64" s="220">
        <f t="shared" si="3"/>
        <v>9</v>
      </c>
      <c r="M64" s="216" t="s">
        <v>439</v>
      </c>
      <c r="N64" s="216" t="s">
        <v>440</v>
      </c>
      <c r="O64" s="240" t="s">
        <v>421</v>
      </c>
      <c r="P64" s="216" t="s">
        <v>38</v>
      </c>
      <c r="Q64" s="220">
        <v>2026</v>
      </c>
      <c r="R64" s="220" t="s">
        <v>38</v>
      </c>
      <c r="S64" s="221">
        <v>2026</v>
      </c>
      <c r="T64" s="216" t="s">
        <v>1315</v>
      </c>
      <c r="U64" s="240" t="s">
        <v>1269</v>
      </c>
      <c r="V64" s="242"/>
      <c r="W64" s="237"/>
      <c r="X64" s="241">
        <v>1</v>
      </c>
      <c r="Y64" s="244"/>
      <c r="Z64" s="244"/>
      <c r="AA64" s="244" t="s">
        <v>432</v>
      </c>
      <c r="AB64" s="244"/>
      <c r="AC64" s="244"/>
      <c r="AD64" s="244"/>
      <c r="AE64" s="244"/>
      <c r="AF64" s="244"/>
      <c r="AG64" s="244"/>
      <c r="AH64" s="244"/>
      <c r="AI64" s="244"/>
      <c r="AJ64" s="244"/>
    </row>
    <row r="65" spans="1:36" s="232" customFormat="1" hidden="1">
      <c r="A65" s="242" t="s">
        <v>1307</v>
      </c>
      <c r="B65" s="240" t="s">
        <v>772</v>
      </c>
      <c r="C65" s="216" t="s">
        <v>27</v>
      </c>
      <c r="D65" s="216" t="s">
        <v>1311</v>
      </c>
      <c r="E65" s="240" t="s">
        <v>903</v>
      </c>
      <c r="F65" s="240" t="s">
        <v>904</v>
      </c>
      <c r="G65" s="242" t="s">
        <v>905</v>
      </c>
      <c r="H65" s="243">
        <v>230302675</v>
      </c>
      <c r="I65" s="242">
        <v>75058</v>
      </c>
      <c r="J65" s="219">
        <v>2025</v>
      </c>
      <c r="K65" s="220">
        <v>10</v>
      </c>
      <c r="L65" s="220">
        <f t="shared" si="3"/>
        <v>9</v>
      </c>
      <c r="M65" s="216" t="s">
        <v>439</v>
      </c>
      <c r="N65" s="216" t="s">
        <v>440</v>
      </c>
      <c r="O65" s="240" t="s">
        <v>421</v>
      </c>
      <c r="P65" s="216" t="s">
        <v>38</v>
      </c>
      <c r="Q65" s="220">
        <v>2026</v>
      </c>
      <c r="R65" s="220" t="s">
        <v>38</v>
      </c>
      <c r="S65" s="221">
        <v>2026</v>
      </c>
      <c r="T65" s="216" t="s">
        <v>1315</v>
      </c>
      <c r="U65" s="240" t="s">
        <v>1270</v>
      </c>
      <c r="V65" s="242"/>
      <c r="W65" s="237"/>
      <c r="X65" s="241">
        <v>1</v>
      </c>
      <c r="Y65" s="244"/>
      <c r="Z65" s="244"/>
      <c r="AA65" s="244"/>
      <c r="AB65" s="244"/>
      <c r="AC65" s="244"/>
      <c r="AD65" s="244" t="s">
        <v>422</v>
      </c>
      <c r="AE65" s="244"/>
      <c r="AF65" s="244"/>
      <c r="AG65" s="244"/>
      <c r="AH65" s="244"/>
      <c r="AI65" s="244"/>
      <c r="AJ65" s="244"/>
    </row>
    <row r="66" spans="1:36" s="232" customFormat="1" hidden="1">
      <c r="A66" s="240" t="s">
        <v>762</v>
      </c>
      <c r="B66" s="240" t="s">
        <v>768</v>
      </c>
      <c r="C66" s="216" t="s">
        <v>27</v>
      </c>
      <c r="D66" s="216" t="s">
        <v>1311</v>
      </c>
      <c r="E66" s="240" t="s">
        <v>906</v>
      </c>
      <c r="F66" s="240" t="s">
        <v>904</v>
      </c>
      <c r="G66" s="242" t="s">
        <v>905</v>
      </c>
      <c r="H66" s="243">
        <v>230302673</v>
      </c>
      <c r="I66" s="242">
        <v>75056</v>
      </c>
      <c r="J66" s="219">
        <v>2025</v>
      </c>
      <c r="K66" s="220">
        <v>10</v>
      </c>
      <c r="L66" s="220">
        <f t="shared" si="3"/>
        <v>9</v>
      </c>
      <c r="M66" s="216" t="s">
        <v>439</v>
      </c>
      <c r="N66" s="216" t="s">
        <v>440</v>
      </c>
      <c r="O66" s="240" t="s">
        <v>421</v>
      </c>
      <c r="P66" s="216" t="s">
        <v>38</v>
      </c>
      <c r="Q66" s="220">
        <v>2026</v>
      </c>
      <c r="R66" s="220" t="s">
        <v>38</v>
      </c>
      <c r="S66" s="221">
        <v>2026</v>
      </c>
      <c r="T66" s="216" t="s">
        <v>1315</v>
      </c>
      <c r="U66" s="240" t="s">
        <v>1270</v>
      </c>
      <c r="V66" s="242"/>
      <c r="W66" s="237"/>
      <c r="X66" s="241">
        <v>1</v>
      </c>
      <c r="Y66" s="244"/>
      <c r="Z66" s="244"/>
      <c r="AA66" s="244"/>
      <c r="AB66" s="244"/>
      <c r="AC66" s="244"/>
      <c r="AD66" s="244" t="s">
        <v>422</v>
      </c>
      <c r="AE66" s="244"/>
      <c r="AF66" s="244"/>
      <c r="AG66" s="244"/>
      <c r="AH66" s="244"/>
      <c r="AI66" s="244"/>
      <c r="AJ66" s="221"/>
    </row>
    <row r="67" spans="1:36" s="232" customFormat="1" hidden="1">
      <c r="A67" s="240" t="s">
        <v>762</v>
      </c>
      <c r="B67" s="240" t="s">
        <v>768</v>
      </c>
      <c r="C67" s="216" t="s">
        <v>27</v>
      </c>
      <c r="D67" s="216" t="s">
        <v>1311</v>
      </c>
      <c r="E67" s="240" t="s">
        <v>906</v>
      </c>
      <c r="F67" s="240" t="s">
        <v>904</v>
      </c>
      <c r="G67" s="242" t="s">
        <v>905</v>
      </c>
      <c r="H67" s="243">
        <v>230302674</v>
      </c>
      <c r="I67" s="242">
        <v>75057</v>
      </c>
      <c r="J67" s="219">
        <v>2025</v>
      </c>
      <c r="K67" s="220">
        <v>10</v>
      </c>
      <c r="L67" s="220">
        <f t="shared" si="3"/>
        <v>9</v>
      </c>
      <c r="M67" s="216" t="s">
        <v>439</v>
      </c>
      <c r="N67" s="216" t="s">
        <v>440</v>
      </c>
      <c r="O67" s="240" t="s">
        <v>421</v>
      </c>
      <c r="P67" s="216" t="s">
        <v>38</v>
      </c>
      <c r="Q67" s="220">
        <v>2026</v>
      </c>
      <c r="R67" s="220" t="s">
        <v>38</v>
      </c>
      <c r="S67" s="221">
        <v>2026</v>
      </c>
      <c r="T67" s="216" t="s">
        <v>1315</v>
      </c>
      <c r="U67" s="240" t="s">
        <v>1270</v>
      </c>
      <c r="V67" s="242"/>
      <c r="W67" s="237"/>
      <c r="X67" s="241">
        <v>1</v>
      </c>
      <c r="Y67" s="244"/>
      <c r="Z67" s="244"/>
      <c r="AA67" s="244"/>
      <c r="AB67" s="244"/>
      <c r="AC67" s="244"/>
      <c r="AD67" s="244" t="s">
        <v>422</v>
      </c>
      <c r="AE67" s="244"/>
      <c r="AF67" s="244"/>
      <c r="AG67" s="244"/>
      <c r="AH67" s="244"/>
      <c r="AI67" s="244"/>
      <c r="AJ67" s="221"/>
    </row>
    <row r="68" spans="1:36" s="232" customFormat="1" hidden="1">
      <c r="A68" s="240" t="s">
        <v>764</v>
      </c>
      <c r="B68" s="216" t="s">
        <v>771</v>
      </c>
      <c r="C68" s="216" t="s">
        <v>27</v>
      </c>
      <c r="D68" s="216" t="s">
        <v>1311</v>
      </c>
      <c r="E68" s="246" t="s">
        <v>907</v>
      </c>
      <c r="F68" s="216" t="s">
        <v>901</v>
      </c>
      <c r="G68" s="217" t="s">
        <v>902</v>
      </c>
      <c r="H68" s="243" t="s">
        <v>844</v>
      </c>
      <c r="I68" s="217">
        <v>76550</v>
      </c>
      <c r="J68" s="219">
        <v>2025</v>
      </c>
      <c r="K68" s="220">
        <v>10</v>
      </c>
      <c r="L68" s="220">
        <f t="shared" si="3"/>
        <v>9</v>
      </c>
      <c r="M68" s="216" t="s">
        <v>439</v>
      </c>
      <c r="N68" s="216" t="s">
        <v>440</v>
      </c>
      <c r="O68" s="216" t="s">
        <v>421</v>
      </c>
      <c r="P68" s="216" t="s">
        <v>38</v>
      </c>
      <c r="Q68" s="220">
        <v>2026</v>
      </c>
      <c r="R68" s="220" t="s">
        <v>38</v>
      </c>
      <c r="S68" s="221">
        <v>2026</v>
      </c>
      <c r="T68" s="216" t="s">
        <v>1315</v>
      </c>
      <c r="U68" s="240" t="s">
        <v>1269</v>
      </c>
      <c r="V68" s="217"/>
      <c r="W68" s="237"/>
      <c r="X68" s="220">
        <v>1</v>
      </c>
      <c r="Y68" s="221"/>
      <c r="Z68" s="244"/>
      <c r="AA68" s="221" t="s">
        <v>432</v>
      </c>
      <c r="AB68" s="221"/>
      <c r="AC68" s="221"/>
      <c r="AD68" s="221"/>
      <c r="AE68" s="221"/>
      <c r="AF68" s="244"/>
      <c r="AG68" s="221"/>
      <c r="AH68" s="221"/>
      <c r="AI68" s="221"/>
      <c r="AJ68" s="221"/>
    </row>
    <row r="69" spans="1:36" s="232" customFormat="1" hidden="1">
      <c r="A69" s="240" t="s">
        <v>764</v>
      </c>
      <c r="B69" s="240" t="s">
        <v>1308</v>
      </c>
      <c r="C69" s="216" t="s">
        <v>27</v>
      </c>
      <c r="D69" s="216" t="s">
        <v>28</v>
      </c>
      <c r="E69" s="246" t="s">
        <v>908</v>
      </c>
      <c r="F69" s="216" t="s">
        <v>909</v>
      </c>
      <c r="G69" s="217" t="s">
        <v>910</v>
      </c>
      <c r="H69" s="243">
        <v>2269604</v>
      </c>
      <c r="I69" s="217">
        <v>76694</v>
      </c>
      <c r="J69" s="219">
        <v>2025</v>
      </c>
      <c r="K69" s="220">
        <v>10</v>
      </c>
      <c r="L69" s="220">
        <f t="shared" si="3"/>
        <v>9</v>
      </c>
      <c r="M69" s="216" t="s">
        <v>439</v>
      </c>
      <c r="N69" s="216" t="s">
        <v>440</v>
      </c>
      <c r="O69" s="216" t="s">
        <v>425</v>
      </c>
      <c r="P69" s="216" t="s">
        <v>38</v>
      </c>
      <c r="Q69" s="220">
        <v>2026</v>
      </c>
      <c r="R69" s="220" t="s">
        <v>38</v>
      </c>
      <c r="S69" s="221">
        <v>2026</v>
      </c>
      <c r="T69" s="216" t="s">
        <v>1315</v>
      </c>
      <c r="U69" s="240" t="s">
        <v>1271</v>
      </c>
      <c r="V69" s="217"/>
      <c r="W69" s="237"/>
      <c r="X69" s="220">
        <v>1</v>
      </c>
      <c r="Y69" s="221"/>
      <c r="Z69" s="244"/>
      <c r="AA69" s="221"/>
      <c r="AB69" s="221"/>
      <c r="AC69" s="221"/>
      <c r="AD69" s="221" t="s">
        <v>422</v>
      </c>
      <c r="AE69" s="221"/>
      <c r="AF69" s="244"/>
      <c r="AG69" s="221"/>
      <c r="AH69" s="221"/>
      <c r="AI69" s="221"/>
      <c r="AJ69" s="221"/>
    </row>
    <row r="70" spans="1:36" s="232" customFormat="1">
      <c r="A70" s="217" t="s">
        <v>775</v>
      </c>
      <c r="B70" s="240" t="s">
        <v>776</v>
      </c>
      <c r="C70" s="216" t="s">
        <v>263</v>
      </c>
      <c r="D70" s="216" t="s">
        <v>28</v>
      </c>
      <c r="E70" s="240" t="s">
        <v>911</v>
      </c>
      <c r="F70" s="216" t="s">
        <v>852</v>
      </c>
      <c r="G70" s="217" t="s">
        <v>912</v>
      </c>
      <c r="H70" s="243" t="s">
        <v>913</v>
      </c>
      <c r="I70" s="217">
        <v>75116</v>
      </c>
      <c r="J70" s="219">
        <v>2025</v>
      </c>
      <c r="K70" s="220">
        <v>10</v>
      </c>
      <c r="L70" s="220">
        <f t="shared" si="3"/>
        <v>9</v>
      </c>
      <c r="M70" s="216" t="s">
        <v>439</v>
      </c>
      <c r="N70" s="216" t="s">
        <v>440</v>
      </c>
      <c r="O70" s="216" t="s">
        <v>425</v>
      </c>
      <c r="P70" s="216" t="s">
        <v>37</v>
      </c>
      <c r="Q70" s="220">
        <v>2025</v>
      </c>
      <c r="R70" s="220" t="s">
        <v>38</v>
      </c>
      <c r="S70" s="221">
        <v>2025</v>
      </c>
      <c r="T70" s="216" t="s">
        <v>1315</v>
      </c>
      <c r="U70" s="240" t="s">
        <v>1260</v>
      </c>
      <c r="V70" s="217"/>
      <c r="W70" s="237"/>
      <c r="X70" s="220">
        <v>1</v>
      </c>
      <c r="Y70" s="221"/>
      <c r="Z70" s="244"/>
      <c r="AA70" s="221"/>
      <c r="AB70" s="221"/>
      <c r="AC70" s="221"/>
      <c r="AD70" s="221"/>
      <c r="AE70" s="221"/>
      <c r="AF70" s="244"/>
      <c r="AG70" s="221"/>
      <c r="AH70" s="221"/>
      <c r="AI70" s="221" t="s">
        <v>422</v>
      </c>
      <c r="AJ70" s="221"/>
    </row>
    <row r="71" spans="1:36" s="232" customFormat="1" hidden="1">
      <c r="A71" s="240" t="s">
        <v>775</v>
      </c>
      <c r="B71" s="240" t="s">
        <v>778</v>
      </c>
      <c r="C71" s="216" t="s">
        <v>1310</v>
      </c>
      <c r="D71" s="216" t="s">
        <v>317</v>
      </c>
      <c r="E71" s="240" t="s">
        <v>914</v>
      </c>
      <c r="F71" s="240"/>
      <c r="G71" s="242"/>
      <c r="H71" s="243"/>
      <c r="I71" s="242"/>
      <c r="J71" s="219">
        <v>2025</v>
      </c>
      <c r="K71" s="220">
        <v>10</v>
      </c>
      <c r="L71" s="220">
        <f t="shared" si="3"/>
        <v>9</v>
      </c>
      <c r="M71" s="216" t="s">
        <v>439</v>
      </c>
      <c r="N71" s="216" t="s">
        <v>440</v>
      </c>
      <c r="O71" s="240" t="s">
        <v>421</v>
      </c>
      <c r="P71" s="216" t="s">
        <v>37</v>
      </c>
      <c r="Q71" s="220">
        <v>2025</v>
      </c>
      <c r="R71" s="220" t="s">
        <v>38</v>
      </c>
      <c r="S71" s="221">
        <v>2025</v>
      </c>
      <c r="T71" s="216" t="s">
        <v>1315</v>
      </c>
      <c r="U71" s="240" t="s">
        <v>1272</v>
      </c>
      <c r="V71" s="242"/>
      <c r="W71" s="237"/>
      <c r="X71" s="241">
        <v>1</v>
      </c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 t="s">
        <v>422</v>
      </c>
      <c r="AJ71" s="221"/>
    </row>
    <row r="72" spans="1:36" s="232" customFormat="1" hidden="1">
      <c r="A72" s="240" t="s">
        <v>760</v>
      </c>
      <c r="B72" s="240" t="s">
        <v>779</v>
      </c>
      <c r="C72" s="216" t="s">
        <v>27</v>
      </c>
      <c r="D72" s="216" t="s">
        <v>1311</v>
      </c>
      <c r="E72" s="240" t="s">
        <v>915</v>
      </c>
      <c r="F72" s="240" t="s">
        <v>916</v>
      </c>
      <c r="G72" s="242" t="s">
        <v>917</v>
      </c>
      <c r="H72" s="243" t="s">
        <v>918</v>
      </c>
      <c r="I72" s="242">
        <v>75244</v>
      </c>
      <c r="J72" s="219">
        <v>2025</v>
      </c>
      <c r="K72" s="220">
        <v>10</v>
      </c>
      <c r="L72" s="220">
        <f t="shared" si="3"/>
        <v>9</v>
      </c>
      <c r="M72" s="216" t="s">
        <v>439</v>
      </c>
      <c r="N72" s="216" t="s">
        <v>440</v>
      </c>
      <c r="O72" s="240" t="s">
        <v>421</v>
      </c>
      <c r="P72" s="216" t="s">
        <v>38</v>
      </c>
      <c r="Q72" s="220">
        <v>2026</v>
      </c>
      <c r="R72" s="220" t="s">
        <v>38</v>
      </c>
      <c r="S72" s="221">
        <v>2026</v>
      </c>
      <c r="T72" s="216" t="s">
        <v>1315</v>
      </c>
      <c r="U72" s="240" t="s">
        <v>1271</v>
      </c>
      <c r="V72" s="242"/>
      <c r="W72" s="237"/>
      <c r="X72" s="241">
        <v>1</v>
      </c>
      <c r="Y72" s="244"/>
      <c r="Z72" s="244"/>
      <c r="AA72" s="244"/>
      <c r="AB72" s="244"/>
      <c r="AC72" s="244"/>
      <c r="AD72" s="244" t="s">
        <v>422</v>
      </c>
      <c r="AE72" s="244"/>
      <c r="AF72" s="244"/>
      <c r="AG72" s="244"/>
      <c r="AH72" s="244"/>
      <c r="AI72" s="244"/>
      <c r="AJ72" s="221"/>
    </row>
    <row r="73" spans="1:36" s="232" customFormat="1" hidden="1">
      <c r="A73" s="240" t="s">
        <v>760</v>
      </c>
      <c r="B73" s="240" t="s">
        <v>774</v>
      </c>
      <c r="C73" s="216" t="s">
        <v>27</v>
      </c>
      <c r="D73" s="216" t="s">
        <v>1311</v>
      </c>
      <c r="E73" s="240" t="s">
        <v>915</v>
      </c>
      <c r="F73" s="240" t="s">
        <v>916</v>
      </c>
      <c r="G73" s="242" t="s">
        <v>917</v>
      </c>
      <c r="H73" s="243" t="s">
        <v>919</v>
      </c>
      <c r="I73" s="242">
        <v>75245</v>
      </c>
      <c r="J73" s="219">
        <v>2025</v>
      </c>
      <c r="K73" s="220">
        <v>10</v>
      </c>
      <c r="L73" s="220">
        <f t="shared" si="3"/>
        <v>9</v>
      </c>
      <c r="M73" s="216" t="s">
        <v>439</v>
      </c>
      <c r="N73" s="216" t="s">
        <v>440</v>
      </c>
      <c r="O73" s="240" t="s">
        <v>421</v>
      </c>
      <c r="P73" s="216" t="s">
        <v>38</v>
      </c>
      <c r="Q73" s="220">
        <v>2026</v>
      </c>
      <c r="R73" s="220" t="s">
        <v>38</v>
      </c>
      <c r="S73" s="221">
        <v>2026</v>
      </c>
      <c r="T73" s="216" t="s">
        <v>1315</v>
      </c>
      <c r="U73" s="240" t="s">
        <v>1271</v>
      </c>
      <c r="V73" s="242"/>
      <c r="W73" s="237"/>
      <c r="X73" s="241">
        <v>1</v>
      </c>
      <c r="Y73" s="244"/>
      <c r="Z73" s="244"/>
      <c r="AA73" s="244"/>
      <c r="AB73" s="244"/>
      <c r="AC73" s="244"/>
      <c r="AD73" s="244" t="s">
        <v>422</v>
      </c>
      <c r="AE73" s="244"/>
      <c r="AF73" s="244"/>
      <c r="AG73" s="244"/>
      <c r="AH73" s="244"/>
      <c r="AI73" s="244"/>
      <c r="AJ73" s="221"/>
    </row>
    <row r="74" spans="1:36" s="232" customFormat="1" hidden="1">
      <c r="A74" s="240" t="s">
        <v>760</v>
      </c>
      <c r="B74" s="240" t="s">
        <v>780</v>
      </c>
      <c r="C74" s="216" t="s">
        <v>27</v>
      </c>
      <c r="D74" s="216" t="s">
        <v>1311</v>
      </c>
      <c r="E74" s="240" t="s">
        <v>915</v>
      </c>
      <c r="F74" s="240" t="s">
        <v>916</v>
      </c>
      <c r="G74" s="242" t="s">
        <v>917</v>
      </c>
      <c r="H74" s="243" t="s">
        <v>920</v>
      </c>
      <c r="I74" s="242">
        <v>75246</v>
      </c>
      <c r="J74" s="219">
        <v>2025</v>
      </c>
      <c r="K74" s="220">
        <v>10</v>
      </c>
      <c r="L74" s="220">
        <f t="shared" si="3"/>
        <v>9</v>
      </c>
      <c r="M74" s="216" t="s">
        <v>439</v>
      </c>
      <c r="N74" s="216" t="s">
        <v>440</v>
      </c>
      <c r="O74" s="240" t="s">
        <v>421</v>
      </c>
      <c r="P74" s="216" t="s">
        <v>38</v>
      </c>
      <c r="Q74" s="220">
        <v>2026</v>
      </c>
      <c r="R74" s="220" t="s">
        <v>38</v>
      </c>
      <c r="S74" s="221">
        <v>2026</v>
      </c>
      <c r="T74" s="216" t="s">
        <v>1315</v>
      </c>
      <c r="U74" s="240" t="s">
        <v>1271</v>
      </c>
      <c r="V74" s="242"/>
      <c r="W74" s="237"/>
      <c r="X74" s="241">
        <v>1</v>
      </c>
      <c r="Y74" s="244"/>
      <c r="Z74" s="244"/>
      <c r="AA74" s="244"/>
      <c r="AB74" s="244"/>
      <c r="AC74" s="244"/>
      <c r="AD74" s="244" t="s">
        <v>422</v>
      </c>
      <c r="AE74" s="244"/>
      <c r="AF74" s="244"/>
      <c r="AG74" s="244"/>
      <c r="AH74" s="244"/>
      <c r="AI74" s="244"/>
      <c r="AJ74" s="221"/>
    </row>
    <row r="75" spans="1:36" s="232" customFormat="1" hidden="1">
      <c r="A75" s="240" t="s">
        <v>752</v>
      </c>
      <c r="B75" s="240" t="s">
        <v>781</v>
      </c>
      <c r="C75" s="216" t="s">
        <v>27</v>
      </c>
      <c r="D75" s="216" t="s">
        <v>1311</v>
      </c>
      <c r="E75" s="240" t="s">
        <v>921</v>
      </c>
      <c r="F75" s="240" t="s">
        <v>916</v>
      </c>
      <c r="G75" s="242" t="s">
        <v>922</v>
      </c>
      <c r="H75" s="243" t="s">
        <v>923</v>
      </c>
      <c r="I75" s="242">
        <v>75231</v>
      </c>
      <c r="J75" s="219">
        <v>2025</v>
      </c>
      <c r="K75" s="220">
        <v>10</v>
      </c>
      <c r="L75" s="220">
        <f t="shared" si="3"/>
        <v>9</v>
      </c>
      <c r="M75" s="216" t="s">
        <v>439</v>
      </c>
      <c r="N75" s="216" t="s">
        <v>440</v>
      </c>
      <c r="O75" s="240" t="s">
        <v>421</v>
      </c>
      <c r="P75" s="216" t="s">
        <v>38</v>
      </c>
      <c r="Q75" s="220">
        <v>2026</v>
      </c>
      <c r="R75" s="220" t="s">
        <v>38</v>
      </c>
      <c r="S75" s="221">
        <v>2026</v>
      </c>
      <c r="T75" s="216" t="s">
        <v>1315</v>
      </c>
      <c r="U75" s="240" t="s">
        <v>1271</v>
      </c>
      <c r="V75" s="242"/>
      <c r="W75" s="237"/>
      <c r="X75" s="241">
        <v>1</v>
      </c>
      <c r="Y75" s="244"/>
      <c r="Z75" s="244"/>
      <c r="AA75" s="244"/>
      <c r="AB75" s="244"/>
      <c r="AC75" s="244"/>
      <c r="AD75" s="244" t="s">
        <v>422</v>
      </c>
      <c r="AE75" s="244"/>
      <c r="AF75" s="244"/>
      <c r="AG75" s="244"/>
      <c r="AH75" s="244"/>
      <c r="AI75" s="244"/>
      <c r="AJ75" s="221"/>
    </row>
    <row r="76" spans="1:36" s="232" customFormat="1" hidden="1">
      <c r="A76" s="240" t="s">
        <v>752</v>
      </c>
      <c r="B76" s="240" t="s">
        <v>781</v>
      </c>
      <c r="C76" s="216" t="s">
        <v>27</v>
      </c>
      <c r="D76" s="216" t="s">
        <v>1311</v>
      </c>
      <c r="E76" s="240" t="s">
        <v>921</v>
      </c>
      <c r="F76" s="240" t="s">
        <v>916</v>
      </c>
      <c r="G76" s="242" t="s">
        <v>922</v>
      </c>
      <c r="H76" s="243" t="s">
        <v>924</v>
      </c>
      <c r="I76" s="242">
        <v>75232</v>
      </c>
      <c r="J76" s="219">
        <v>2025</v>
      </c>
      <c r="K76" s="220">
        <v>10</v>
      </c>
      <c r="L76" s="220">
        <f t="shared" si="3"/>
        <v>9</v>
      </c>
      <c r="M76" s="216" t="s">
        <v>439</v>
      </c>
      <c r="N76" s="216" t="s">
        <v>440</v>
      </c>
      <c r="O76" s="240" t="s">
        <v>421</v>
      </c>
      <c r="P76" s="216" t="s">
        <v>38</v>
      </c>
      <c r="Q76" s="220">
        <v>2026</v>
      </c>
      <c r="R76" s="220" t="s">
        <v>38</v>
      </c>
      <c r="S76" s="221">
        <v>2026</v>
      </c>
      <c r="T76" s="216" t="s">
        <v>1315</v>
      </c>
      <c r="U76" s="240" t="s">
        <v>1271</v>
      </c>
      <c r="V76" s="242"/>
      <c r="W76" s="237"/>
      <c r="X76" s="241">
        <v>1</v>
      </c>
      <c r="Y76" s="244"/>
      <c r="Z76" s="244"/>
      <c r="AA76" s="244"/>
      <c r="AB76" s="244"/>
      <c r="AC76" s="244"/>
      <c r="AD76" s="244" t="s">
        <v>422</v>
      </c>
      <c r="AE76" s="244"/>
      <c r="AF76" s="244"/>
      <c r="AG76" s="244"/>
      <c r="AH76" s="244"/>
      <c r="AI76" s="244"/>
      <c r="AJ76" s="221"/>
    </row>
    <row r="77" spans="1:36" s="232" customFormat="1" hidden="1">
      <c r="A77" s="240" t="s">
        <v>752</v>
      </c>
      <c r="B77" s="240" t="s">
        <v>782</v>
      </c>
      <c r="C77" s="216" t="s">
        <v>27</v>
      </c>
      <c r="D77" s="216" t="s">
        <v>1311</v>
      </c>
      <c r="E77" s="240" t="s">
        <v>921</v>
      </c>
      <c r="F77" s="240" t="s">
        <v>916</v>
      </c>
      <c r="G77" s="242" t="s">
        <v>922</v>
      </c>
      <c r="H77" s="243" t="s">
        <v>925</v>
      </c>
      <c r="I77" s="242">
        <v>75230</v>
      </c>
      <c r="J77" s="219">
        <v>2025</v>
      </c>
      <c r="K77" s="220">
        <v>10</v>
      </c>
      <c r="L77" s="220">
        <f t="shared" si="3"/>
        <v>9</v>
      </c>
      <c r="M77" s="216" t="s">
        <v>439</v>
      </c>
      <c r="N77" s="216" t="s">
        <v>440</v>
      </c>
      <c r="O77" s="240" t="s">
        <v>421</v>
      </c>
      <c r="P77" s="216" t="s">
        <v>38</v>
      </c>
      <c r="Q77" s="220">
        <v>2026</v>
      </c>
      <c r="R77" s="220" t="s">
        <v>38</v>
      </c>
      <c r="S77" s="221">
        <v>2026</v>
      </c>
      <c r="T77" s="216" t="s">
        <v>1315</v>
      </c>
      <c r="U77" s="240" t="s">
        <v>1271</v>
      </c>
      <c r="V77" s="242"/>
      <c r="W77" s="237"/>
      <c r="X77" s="241">
        <v>1</v>
      </c>
      <c r="Y77" s="244"/>
      <c r="Z77" s="244"/>
      <c r="AA77" s="244"/>
      <c r="AB77" s="244"/>
      <c r="AC77" s="244"/>
      <c r="AD77" s="244" t="s">
        <v>422</v>
      </c>
      <c r="AE77" s="244"/>
      <c r="AF77" s="244"/>
      <c r="AG77" s="244"/>
      <c r="AH77" s="244"/>
      <c r="AI77" s="244"/>
      <c r="AJ77" s="221"/>
    </row>
    <row r="78" spans="1:36" s="232" customFormat="1" hidden="1">
      <c r="A78" s="240" t="s">
        <v>752</v>
      </c>
      <c r="B78" s="240" t="s">
        <v>783</v>
      </c>
      <c r="C78" s="216" t="s">
        <v>27</v>
      </c>
      <c r="D78" s="216" t="s">
        <v>1311</v>
      </c>
      <c r="E78" s="240" t="s">
        <v>921</v>
      </c>
      <c r="F78" s="240" t="s">
        <v>916</v>
      </c>
      <c r="G78" s="242" t="s">
        <v>922</v>
      </c>
      <c r="H78" s="243" t="s">
        <v>926</v>
      </c>
      <c r="I78" s="242">
        <v>75221</v>
      </c>
      <c r="J78" s="219">
        <v>2025</v>
      </c>
      <c r="K78" s="220">
        <v>10</v>
      </c>
      <c r="L78" s="220">
        <f t="shared" si="3"/>
        <v>9</v>
      </c>
      <c r="M78" s="216" t="s">
        <v>439</v>
      </c>
      <c r="N78" s="216" t="s">
        <v>440</v>
      </c>
      <c r="O78" s="240" t="s">
        <v>421</v>
      </c>
      <c r="P78" s="216" t="s">
        <v>38</v>
      </c>
      <c r="Q78" s="220">
        <v>2026</v>
      </c>
      <c r="R78" s="220" t="s">
        <v>38</v>
      </c>
      <c r="S78" s="221">
        <v>2026</v>
      </c>
      <c r="T78" s="216" t="s">
        <v>1315</v>
      </c>
      <c r="U78" s="240" t="s">
        <v>1271</v>
      </c>
      <c r="V78" s="242"/>
      <c r="W78" s="237"/>
      <c r="X78" s="241">
        <v>1</v>
      </c>
      <c r="Y78" s="244"/>
      <c r="Z78" s="244"/>
      <c r="AA78" s="244"/>
      <c r="AB78" s="244"/>
      <c r="AC78" s="244"/>
      <c r="AD78" s="244" t="s">
        <v>422</v>
      </c>
      <c r="AE78" s="244"/>
      <c r="AF78" s="244"/>
      <c r="AG78" s="244"/>
      <c r="AH78" s="244"/>
      <c r="AI78" s="244"/>
      <c r="AJ78" s="221"/>
    </row>
    <row r="79" spans="1:36" s="232" customFormat="1" hidden="1">
      <c r="A79" s="240" t="s">
        <v>752</v>
      </c>
      <c r="B79" s="240" t="s">
        <v>784</v>
      </c>
      <c r="C79" s="216" t="s">
        <v>27</v>
      </c>
      <c r="D79" s="216" t="s">
        <v>1311</v>
      </c>
      <c r="E79" s="240" t="s">
        <v>921</v>
      </c>
      <c r="F79" s="240" t="s">
        <v>916</v>
      </c>
      <c r="G79" s="242" t="s">
        <v>922</v>
      </c>
      <c r="H79" s="243" t="s">
        <v>927</v>
      </c>
      <c r="I79" s="242">
        <v>75222</v>
      </c>
      <c r="J79" s="219">
        <v>2025</v>
      </c>
      <c r="K79" s="220">
        <v>10</v>
      </c>
      <c r="L79" s="220">
        <f t="shared" si="3"/>
        <v>9</v>
      </c>
      <c r="M79" s="216" t="s">
        <v>439</v>
      </c>
      <c r="N79" s="216" t="s">
        <v>440</v>
      </c>
      <c r="O79" s="240" t="s">
        <v>421</v>
      </c>
      <c r="P79" s="216" t="s">
        <v>38</v>
      </c>
      <c r="Q79" s="220">
        <v>2026</v>
      </c>
      <c r="R79" s="220" t="s">
        <v>38</v>
      </c>
      <c r="S79" s="221">
        <v>2026</v>
      </c>
      <c r="T79" s="216" t="s">
        <v>1315</v>
      </c>
      <c r="U79" s="240" t="s">
        <v>1271</v>
      </c>
      <c r="V79" s="242"/>
      <c r="W79" s="237"/>
      <c r="X79" s="241">
        <v>1</v>
      </c>
      <c r="Y79" s="244"/>
      <c r="Z79" s="244"/>
      <c r="AA79" s="244"/>
      <c r="AB79" s="244"/>
      <c r="AC79" s="244"/>
      <c r="AD79" s="244" t="s">
        <v>422</v>
      </c>
      <c r="AE79" s="244"/>
      <c r="AF79" s="244"/>
      <c r="AG79" s="244"/>
      <c r="AH79" s="244"/>
      <c r="AI79" s="244"/>
      <c r="AJ79" s="221"/>
    </row>
    <row r="80" spans="1:36" s="232" customFormat="1" hidden="1">
      <c r="A80" s="240" t="s">
        <v>752</v>
      </c>
      <c r="B80" s="240" t="s">
        <v>785</v>
      </c>
      <c r="C80" s="216" t="s">
        <v>27</v>
      </c>
      <c r="D80" s="216" t="s">
        <v>1311</v>
      </c>
      <c r="E80" s="240" t="s">
        <v>921</v>
      </c>
      <c r="F80" s="240" t="s">
        <v>916</v>
      </c>
      <c r="G80" s="242" t="s">
        <v>922</v>
      </c>
      <c r="H80" s="243" t="s">
        <v>928</v>
      </c>
      <c r="I80" s="242">
        <v>75223</v>
      </c>
      <c r="J80" s="219">
        <v>2025</v>
      </c>
      <c r="K80" s="220">
        <v>10</v>
      </c>
      <c r="L80" s="220">
        <f t="shared" si="3"/>
        <v>9</v>
      </c>
      <c r="M80" s="216" t="s">
        <v>439</v>
      </c>
      <c r="N80" s="216" t="s">
        <v>440</v>
      </c>
      <c r="O80" s="240" t="s">
        <v>421</v>
      </c>
      <c r="P80" s="216" t="s">
        <v>38</v>
      </c>
      <c r="Q80" s="220">
        <v>2026</v>
      </c>
      <c r="R80" s="220" t="s">
        <v>38</v>
      </c>
      <c r="S80" s="221">
        <v>2026</v>
      </c>
      <c r="T80" s="216" t="s">
        <v>1315</v>
      </c>
      <c r="U80" s="240" t="s">
        <v>1271</v>
      </c>
      <c r="V80" s="242"/>
      <c r="W80" s="237"/>
      <c r="X80" s="241">
        <v>1</v>
      </c>
      <c r="Y80" s="244"/>
      <c r="Z80" s="244"/>
      <c r="AA80" s="244"/>
      <c r="AB80" s="244"/>
      <c r="AC80" s="244"/>
      <c r="AD80" s="244" t="s">
        <v>422</v>
      </c>
      <c r="AE80" s="244"/>
      <c r="AF80" s="244"/>
      <c r="AG80" s="244"/>
      <c r="AH80" s="244"/>
      <c r="AI80" s="244"/>
      <c r="AJ80" s="221"/>
    </row>
    <row r="81" spans="1:36" s="232" customFormat="1" hidden="1">
      <c r="A81" s="240" t="s">
        <v>752</v>
      </c>
      <c r="B81" s="240" t="s">
        <v>786</v>
      </c>
      <c r="C81" s="216" t="s">
        <v>27</v>
      </c>
      <c r="D81" s="216" t="s">
        <v>1311</v>
      </c>
      <c r="E81" s="240" t="s">
        <v>921</v>
      </c>
      <c r="F81" s="240" t="s">
        <v>916</v>
      </c>
      <c r="G81" s="242" t="s">
        <v>922</v>
      </c>
      <c r="H81" s="243" t="s">
        <v>929</v>
      </c>
      <c r="I81" s="242">
        <v>75224</v>
      </c>
      <c r="J81" s="219">
        <v>2025</v>
      </c>
      <c r="K81" s="220">
        <v>10</v>
      </c>
      <c r="L81" s="220">
        <f t="shared" si="3"/>
        <v>9</v>
      </c>
      <c r="M81" s="216" t="s">
        <v>439</v>
      </c>
      <c r="N81" s="216" t="s">
        <v>440</v>
      </c>
      <c r="O81" s="240" t="s">
        <v>421</v>
      </c>
      <c r="P81" s="216" t="s">
        <v>38</v>
      </c>
      <c r="Q81" s="220">
        <v>2026</v>
      </c>
      <c r="R81" s="220" t="s">
        <v>38</v>
      </c>
      <c r="S81" s="221">
        <v>2026</v>
      </c>
      <c r="T81" s="216" t="s">
        <v>1315</v>
      </c>
      <c r="U81" s="240" t="s">
        <v>1271</v>
      </c>
      <c r="V81" s="242"/>
      <c r="W81" s="237"/>
      <c r="X81" s="241">
        <v>1</v>
      </c>
      <c r="Y81" s="244"/>
      <c r="Z81" s="244"/>
      <c r="AA81" s="244"/>
      <c r="AB81" s="244"/>
      <c r="AC81" s="244"/>
      <c r="AD81" s="244" t="s">
        <v>422</v>
      </c>
      <c r="AE81" s="244"/>
      <c r="AF81" s="244"/>
      <c r="AG81" s="244"/>
      <c r="AH81" s="244"/>
      <c r="AI81" s="244"/>
      <c r="AJ81" s="221"/>
    </row>
    <row r="82" spans="1:36" s="232" customFormat="1" hidden="1">
      <c r="A82" s="240" t="s">
        <v>752</v>
      </c>
      <c r="B82" s="240" t="s">
        <v>787</v>
      </c>
      <c r="C82" s="216" t="s">
        <v>27</v>
      </c>
      <c r="D82" s="216" t="s">
        <v>1311</v>
      </c>
      <c r="E82" s="240" t="s">
        <v>921</v>
      </c>
      <c r="F82" s="240" t="s">
        <v>916</v>
      </c>
      <c r="G82" s="242" t="s">
        <v>922</v>
      </c>
      <c r="H82" s="243" t="s">
        <v>930</v>
      </c>
      <c r="I82" s="242">
        <v>75225</v>
      </c>
      <c r="J82" s="219">
        <v>2025</v>
      </c>
      <c r="K82" s="220">
        <v>10</v>
      </c>
      <c r="L82" s="220">
        <f t="shared" si="3"/>
        <v>9</v>
      </c>
      <c r="M82" s="216" t="s">
        <v>439</v>
      </c>
      <c r="N82" s="216" t="s">
        <v>440</v>
      </c>
      <c r="O82" s="240" t="s">
        <v>421</v>
      </c>
      <c r="P82" s="216" t="s">
        <v>38</v>
      </c>
      <c r="Q82" s="220">
        <v>2026</v>
      </c>
      <c r="R82" s="220" t="s">
        <v>38</v>
      </c>
      <c r="S82" s="221">
        <v>2026</v>
      </c>
      <c r="T82" s="216" t="s">
        <v>1315</v>
      </c>
      <c r="U82" s="240" t="s">
        <v>1271</v>
      </c>
      <c r="V82" s="242"/>
      <c r="W82" s="237"/>
      <c r="X82" s="241">
        <v>1</v>
      </c>
      <c r="Y82" s="244"/>
      <c r="Z82" s="244"/>
      <c r="AA82" s="244"/>
      <c r="AB82" s="244"/>
      <c r="AC82" s="244"/>
      <c r="AD82" s="244" t="s">
        <v>422</v>
      </c>
      <c r="AE82" s="244"/>
      <c r="AF82" s="244"/>
      <c r="AG82" s="244"/>
      <c r="AH82" s="244"/>
      <c r="AI82" s="244"/>
      <c r="AJ82" s="221"/>
    </row>
    <row r="83" spans="1:36" s="232" customFormat="1" hidden="1">
      <c r="A83" s="240" t="s">
        <v>752</v>
      </c>
      <c r="B83" s="240" t="s">
        <v>758</v>
      </c>
      <c r="C83" s="216" t="s">
        <v>27</v>
      </c>
      <c r="D83" s="216" t="s">
        <v>1311</v>
      </c>
      <c r="E83" s="240" t="s">
        <v>921</v>
      </c>
      <c r="F83" s="240" t="s">
        <v>916</v>
      </c>
      <c r="G83" s="242" t="s">
        <v>922</v>
      </c>
      <c r="H83" s="243" t="s">
        <v>931</v>
      </c>
      <c r="I83" s="242">
        <v>75226</v>
      </c>
      <c r="J83" s="219">
        <v>2025</v>
      </c>
      <c r="K83" s="220">
        <v>10</v>
      </c>
      <c r="L83" s="220">
        <f t="shared" si="3"/>
        <v>9</v>
      </c>
      <c r="M83" s="216" t="s">
        <v>439</v>
      </c>
      <c r="N83" s="216" t="s">
        <v>440</v>
      </c>
      <c r="O83" s="240" t="s">
        <v>421</v>
      </c>
      <c r="P83" s="216" t="s">
        <v>38</v>
      </c>
      <c r="Q83" s="220">
        <v>2026</v>
      </c>
      <c r="R83" s="220" t="s">
        <v>38</v>
      </c>
      <c r="S83" s="221">
        <v>2026</v>
      </c>
      <c r="T83" s="216" t="s">
        <v>1315</v>
      </c>
      <c r="U83" s="240" t="s">
        <v>1271</v>
      </c>
      <c r="V83" s="242"/>
      <c r="W83" s="237"/>
      <c r="X83" s="241">
        <v>1</v>
      </c>
      <c r="Y83" s="244"/>
      <c r="Z83" s="244"/>
      <c r="AA83" s="244"/>
      <c r="AB83" s="244"/>
      <c r="AC83" s="244"/>
      <c r="AD83" s="244" t="s">
        <v>422</v>
      </c>
      <c r="AE83" s="244"/>
      <c r="AF83" s="244"/>
      <c r="AG83" s="244"/>
      <c r="AH83" s="244"/>
      <c r="AI83" s="244"/>
      <c r="AJ83" s="221"/>
    </row>
    <row r="84" spans="1:36" s="232" customFormat="1" hidden="1">
      <c r="A84" s="240" t="s">
        <v>752</v>
      </c>
      <c r="B84" s="240" t="s">
        <v>767</v>
      </c>
      <c r="C84" s="216" t="s">
        <v>27</v>
      </c>
      <c r="D84" s="216" t="s">
        <v>1311</v>
      </c>
      <c r="E84" s="240" t="s">
        <v>921</v>
      </c>
      <c r="F84" s="240" t="s">
        <v>916</v>
      </c>
      <c r="G84" s="242" t="s">
        <v>922</v>
      </c>
      <c r="H84" s="243" t="s">
        <v>932</v>
      </c>
      <c r="I84" s="242">
        <v>75227</v>
      </c>
      <c r="J84" s="219">
        <v>2025</v>
      </c>
      <c r="K84" s="220">
        <v>10</v>
      </c>
      <c r="L84" s="220">
        <f t="shared" si="3"/>
        <v>9</v>
      </c>
      <c r="M84" s="216" t="s">
        <v>439</v>
      </c>
      <c r="N84" s="216" t="s">
        <v>440</v>
      </c>
      <c r="O84" s="240" t="s">
        <v>421</v>
      </c>
      <c r="P84" s="216" t="s">
        <v>38</v>
      </c>
      <c r="Q84" s="220">
        <v>2026</v>
      </c>
      <c r="R84" s="220" t="s">
        <v>38</v>
      </c>
      <c r="S84" s="221">
        <v>2026</v>
      </c>
      <c r="T84" s="216" t="s">
        <v>1315</v>
      </c>
      <c r="U84" s="240" t="s">
        <v>1271</v>
      </c>
      <c r="V84" s="242"/>
      <c r="W84" s="237"/>
      <c r="X84" s="241">
        <v>1</v>
      </c>
      <c r="Y84" s="244"/>
      <c r="Z84" s="244"/>
      <c r="AA84" s="244"/>
      <c r="AB84" s="244"/>
      <c r="AC84" s="244"/>
      <c r="AD84" s="244" t="s">
        <v>422</v>
      </c>
      <c r="AE84" s="244"/>
      <c r="AF84" s="244"/>
      <c r="AG84" s="244"/>
      <c r="AH84" s="244"/>
      <c r="AI84" s="244"/>
      <c r="AJ84" s="221"/>
    </row>
    <row r="85" spans="1:36" s="232" customFormat="1" hidden="1">
      <c r="A85" s="240" t="s">
        <v>752</v>
      </c>
      <c r="B85" s="240" t="s">
        <v>788</v>
      </c>
      <c r="C85" s="216" t="s">
        <v>27</v>
      </c>
      <c r="D85" s="216" t="s">
        <v>1311</v>
      </c>
      <c r="E85" s="240" t="s">
        <v>921</v>
      </c>
      <c r="F85" s="240" t="s">
        <v>916</v>
      </c>
      <c r="G85" s="242" t="s">
        <v>922</v>
      </c>
      <c r="H85" s="243" t="s">
        <v>933</v>
      </c>
      <c r="I85" s="242">
        <v>75228</v>
      </c>
      <c r="J85" s="219">
        <v>2025</v>
      </c>
      <c r="K85" s="220">
        <v>10</v>
      </c>
      <c r="L85" s="220">
        <f t="shared" si="3"/>
        <v>9</v>
      </c>
      <c r="M85" s="216" t="s">
        <v>439</v>
      </c>
      <c r="N85" s="216" t="s">
        <v>440</v>
      </c>
      <c r="O85" s="240" t="s">
        <v>421</v>
      </c>
      <c r="P85" s="216" t="s">
        <v>38</v>
      </c>
      <c r="Q85" s="220">
        <v>2026</v>
      </c>
      <c r="R85" s="220" t="s">
        <v>38</v>
      </c>
      <c r="S85" s="221">
        <v>2026</v>
      </c>
      <c r="T85" s="216" t="s">
        <v>1315</v>
      </c>
      <c r="U85" s="240" t="s">
        <v>1271</v>
      </c>
      <c r="V85" s="242"/>
      <c r="W85" s="237"/>
      <c r="X85" s="241">
        <v>1</v>
      </c>
      <c r="Y85" s="244"/>
      <c r="Z85" s="244"/>
      <c r="AA85" s="244"/>
      <c r="AB85" s="244"/>
      <c r="AC85" s="244"/>
      <c r="AD85" s="244" t="s">
        <v>422</v>
      </c>
      <c r="AE85" s="244"/>
      <c r="AF85" s="244"/>
      <c r="AG85" s="244"/>
      <c r="AH85" s="244"/>
      <c r="AI85" s="244"/>
      <c r="AJ85" s="221"/>
    </row>
    <row r="86" spans="1:36" s="232" customFormat="1" hidden="1">
      <c r="A86" s="240" t="s">
        <v>752</v>
      </c>
      <c r="B86" s="240" t="s">
        <v>789</v>
      </c>
      <c r="C86" s="216" t="s">
        <v>27</v>
      </c>
      <c r="D86" s="216" t="s">
        <v>1311</v>
      </c>
      <c r="E86" s="240" t="s">
        <v>921</v>
      </c>
      <c r="F86" s="240" t="s">
        <v>916</v>
      </c>
      <c r="G86" s="242" t="s">
        <v>922</v>
      </c>
      <c r="H86" s="243" t="s">
        <v>934</v>
      </c>
      <c r="I86" s="242">
        <v>75229</v>
      </c>
      <c r="J86" s="219">
        <v>2025</v>
      </c>
      <c r="K86" s="220">
        <v>10</v>
      </c>
      <c r="L86" s="220">
        <f t="shared" si="3"/>
        <v>9</v>
      </c>
      <c r="M86" s="216" t="s">
        <v>439</v>
      </c>
      <c r="N86" s="216" t="s">
        <v>440</v>
      </c>
      <c r="O86" s="240" t="s">
        <v>421</v>
      </c>
      <c r="P86" s="216" t="s">
        <v>38</v>
      </c>
      <c r="Q86" s="220">
        <v>2026</v>
      </c>
      <c r="R86" s="220" t="s">
        <v>38</v>
      </c>
      <c r="S86" s="221">
        <v>2026</v>
      </c>
      <c r="T86" s="216" t="s">
        <v>1315</v>
      </c>
      <c r="U86" s="240" t="s">
        <v>1271</v>
      </c>
      <c r="V86" s="242"/>
      <c r="W86" s="237"/>
      <c r="X86" s="241">
        <v>1</v>
      </c>
      <c r="Y86" s="244"/>
      <c r="Z86" s="244"/>
      <c r="AA86" s="244"/>
      <c r="AB86" s="244"/>
      <c r="AC86" s="244"/>
      <c r="AD86" s="244" t="s">
        <v>422</v>
      </c>
      <c r="AE86" s="244"/>
      <c r="AF86" s="244"/>
      <c r="AG86" s="244"/>
      <c r="AH86" s="244"/>
      <c r="AI86" s="244"/>
      <c r="AJ86" s="221"/>
    </row>
    <row r="87" spans="1:36" s="232" customFormat="1" hidden="1">
      <c r="A87" s="240" t="s">
        <v>752</v>
      </c>
      <c r="B87" s="240" t="s">
        <v>790</v>
      </c>
      <c r="C87" s="216" t="s">
        <v>27</v>
      </c>
      <c r="D87" s="216" t="s">
        <v>317</v>
      </c>
      <c r="E87" s="240" t="s">
        <v>935</v>
      </c>
      <c r="F87" s="240" t="s">
        <v>916</v>
      </c>
      <c r="G87" s="242" t="s">
        <v>936</v>
      </c>
      <c r="H87" s="243" t="s">
        <v>937</v>
      </c>
      <c r="I87" s="242">
        <v>75233</v>
      </c>
      <c r="J87" s="219">
        <v>2025</v>
      </c>
      <c r="K87" s="220">
        <v>10</v>
      </c>
      <c r="L87" s="220">
        <f t="shared" si="3"/>
        <v>9</v>
      </c>
      <c r="M87" s="216" t="s">
        <v>439</v>
      </c>
      <c r="N87" s="216" t="s">
        <v>440</v>
      </c>
      <c r="O87" s="240" t="s">
        <v>421</v>
      </c>
      <c r="P87" s="216" t="s">
        <v>38</v>
      </c>
      <c r="Q87" s="220">
        <v>2026</v>
      </c>
      <c r="R87" s="220" t="s">
        <v>38</v>
      </c>
      <c r="S87" s="221">
        <v>2026</v>
      </c>
      <c r="T87" s="216" t="s">
        <v>1315</v>
      </c>
      <c r="U87" s="240" t="s">
        <v>1271</v>
      </c>
      <c r="V87" s="242"/>
      <c r="W87" s="237"/>
      <c r="X87" s="241">
        <v>1</v>
      </c>
      <c r="Y87" s="244"/>
      <c r="Z87" s="244"/>
      <c r="AA87" s="244"/>
      <c r="AB87" s="244"/>
      <c r="AC87" s="244"/>
      <c r="AD87" s="244" t="s">
        <v>422</v>
      </c>
      <c r="AE87" s="244"/>
      <c r="AF87" s="244"/>
      <c r="AG87" s="244"/>
      <c r="AH87" s="244"/>
      <c r="AI87" s="244"/>
      <c r="AJ87" s="221"/>
    </row>
    <row r="88" spans="1:36" s="232" customFormat="1" hidden="1">
      <c r="A88" s="242" t="s">
        <v>1307</v>
      </c>
      <c r="B88" s="240" t="s">
        <v>791</v>
      </c>
      <c r="C88" s="216" t="s">
        <v>27</v>
      </c>
      <c r="D88" s="216" t="s">
        <v>317</v>
      </c>
      <c r="E88" s="240" t="s">
        <v>935</v>
      </c>
      <c r="F88" s="240" t="s">
        <v>916</v>
      </c>
      <c r="G88" s="242" t="s">
        <v>936</v>
      </c>
      <c r="H88" s="243" t="s">
        <v>938</v>
      </c>
      <c r="I88" s="242">
        <v>75247</v>
      </c>
      <c r="J88" s="219">
        <v>2025</v>
      </c>
      <c r="K88" s="220">
        <v>10</v>
      </c>
      <c r="L88" s="220">
        <f t="shared" si="3"/>
        <v>9</v>
      </c>
      <c r="M88" s="216" t="s">
        <v>439</v>
      </c>
      <c r="N88" s="216" t="s">
        <v>440</v>
      </c>
      <c r="O88" s="240" t="s">
        <v>421</v>
      </c>
      <c r="P88" s="216" t="s">
        <v>38</v>
      </c>
      <c r="Q88" s="220">
        <v>2026</v>
      </c>
      <c r="R88" s="220" t="s">
        <v>38</v>
      </c>
      <c r="S88" s="221">
        <v>2026</v>
      </c>
      <c r="T88" s="216" t="s">
        <v>1315</v>
      </c>
      <c r="U88" s="240" t="s">
        <v>1271</v>
      </c>
      <c r="V88" s="242"/>
      <c r="W88" s="237"/>
      <c r="X88" s="241">
        <v>1</v>
      </c>
      <c r="Y88" s="244"/>
      <c r="Z88" s="244"/>
      <c r="AA88" s="244"/>
      <c r="AB88" s="244"/>
      <c r="AC88" s="244"/>
      <c r="AD88" s="244" t="s">
        <v>422</v>
      </c>
      <c r="AE88" s="244"/>
      <c r="AF88" s="244"/>
      <c r="AG88" s="244"/>
      <c r="AH88" s="244"/>
      <c r="AI88" s="244"/>
      <c r="AJ88" s="221"/>
    </row>
    <row r="89" spans="1:36" s="232" customFormat="1" hidden="1">
      <c r="A89" s="242" t="s">
        <v>1307</v>
      </c>
      <c r="B89" s="240" t="s">
        <v>770</v>
      </c>
      <c r="C89" s="216" t="s">
        <v>27</v>
      </c>
      <c r="D89" s="216" t="s">
        <v>317</v>
      </c>
      <c r="E89" s="240" t="s">
        <v>939</v>
      </c>
      <c r="F89" s="240" t="s">
        <v>940</v>
      </c>
      <c r="G89" s="242" t="s">
        <v>941</v>
      </c>
      <c r="H89" s="243" t="s">
        <v>844</v>
      </c>
      <c r="I89" s="242">
        <v>75260</v>
      </c>
      <c r="J89" s="219">
        <v>2025</v>
      </c>
      <c r="K89" s="220">
        <v>10</v>
      </c>
      <c r="L89" s="220">
        <f t="shared" si="3"/>
        <v>9</v>
      </c>
      <c r="M89" s="216" t="s">
        <v>439</v>
      </c>
      <c r="N89" s="216" t="s">
        <v>440</v>
      </c>
      <c r="O89" s="240" t="s">
        <v>421</v>
      </c>
      <c r="P89" s="216" t="s">
        <v>38</v>
      </c>
      <c r="Q89" s="220">
        <v>2026</v>
      </c>
      <c r="R89" s="220" t="s">
        <v>38</v>
      </c>
      <c r="S89" s="221">
        <v>2026</v>
      </c>
      <c r="T89" s="216" t="s">
        <v>1315</v>
      </c>
      <c r="U89" s="240" t="s">
        <v>1271</v>
      </c>
      <c r="V89" s="242"/>
      <c r="W89" s="237"/>
      <c r="X89" s="241">
        <v>1</v>
      </c>
      <c r="Y89" s="244"/>
      <c r="Z89" s="244"/>
      <c r="AA89" s="244"/>
      <c r="AB89" s="244"/>
      <c r="AC89" s="244"/>
      <c r="AD89" s="244" t="s">
        <v>422</v>
      </c>
      <c r="AE89" s="244"/>
      <c r="AF89" s="244"/>
      <c r="AG89" s="244"/>
      <c r="AH89" s="244"/>
      <c r="AI89" s="244"/>
      <c r="AJ89" s="221"/>
    </row>
    <row r="90" spans="1:36" s="232" customFormat="1" hidden="1">
      <c r="A90" s="242" t="s">
        <v>1307</v>
      </c>
      <c r="B90" s="240" t="s">
        <v>792</v>
      </c>
      <c r="C90" s="216" t="s">
        <v>27</v>
      </c>
      <c r="D90" s="216" t="s">
        <v>1311</v>
      </c>
      <c r="E90" s="240" t="s">
        <v>942</v>
      </c>
      <c r="F90" s="240" t="s">
        <v>916</v>
      </c>
      <c r="G90" s="242" t="s">
        <v>943</v>
      </c>
      <c r="H90" s="243" t="s">
        <v>944</v>
      </c>
      <c r="I90" s="242">
        <v>75249</v>
      </c>
      <c r="J90" s="219">
        <v>2025</v>
      </c>
      <c r="K90" s="220">
        <v>10</v>
      </c>
      <c r="L90" s="220">
        <f t="shared" si="3"/>
        <v>9</v>
      </c>
      <c r="M90" s="216" t="s">
        <v>439</v>
      </c>
      <c r="N90" s="216" t="s">
        <v>440</v>
      </c>
      <c r="O90" s="240" t="s">
        <v>421</v>
      </c>
      <c r="P90" s="216" t="s">
        <v>38</v>
      </c>
      <c r="Q90" s="220">
        <v>2026</v>
      </c>
      <c r="R90" s="220" t="s">
        <v>38</v>
      </c>
      <c r="S90" s="221">
        <v>2026</v>
      </c>
      <c r="T90" s="216" t="s">
        <v>1315</v>
      </c>
      <c r="U90" s="240" t="s">
        <v>1271</v>
      </c>
      <c r="V90" s="242"/>
      <c r="W90" s="237"/>
      <c r="X90" s="241">
        <v>1</v>
      </c>
      <c r="Y90" s="244"/>
      <c r="Z90" s="244"/>
      <c r="AA90" s="244"/>
      <c r="AB90" s="244"/>
      <c r="AC90" s="244"/>
      <c r="AD90" s="244" t="s">
        <v>422</v>
      </c>
      <c r="AE90" s="244"/>
      <c r="AF90" s="244"/>
      <c r="AG90" s="244"/>
      <c r="AH90" s="244"/>
      <c r="AI90" s="244"/>
      <c r="AJ90" s="221"/>
    </row>
    <row r="91" spans="1:36" s="232" customFormat="1" hidden="1">
      <c r="A91" s="240" t="s">
        <v>1307</v>
      </c>
      <c r="B91" s="240" t="s">
        <v>793</v>
      </c>
      <c r="C91" s="216" t="s">
        <v>27</v>
      </c>
      <c r="D91" s="216" t="s">
        <v>1311</v>
      </c>
      <c r="E91" s="240" t="s">
        <v>942</v>
      </c>
      <c r="F91" s="240" t="s">
        <v>916</v>
      </c>
      <c r="G91" s="242" t="s">
        <v>943</v>
      </c>
      <c r="H91" s="243" t="s">
        <v>945</v>
      </c>
      <c r="I91" s="242">
        <v>75253</v>
      </c>
      <c r="J91" s="219">
        <v>2025</v>
      </c>
      <c r="K91" s="220">
        <v>10</v>
      </c>
      <c r="L91" s="220">
        <f t="shared" si="3"/>
        <v>9</v>
      </c>
      <c r="M91" s="216" t="s">
        <v>439</v>
      </c>
      <c r="N91" s="216" t="s">
        <v>440</v>
      </c>
      <c r="O91" s="240" t="s">
        <v>421</v>
      </c>
      <c r="P91" s="216" t="s">
        <v>38</v>
      </c>
      <c r="Q91" s="220">
        <v>2026</v>
      </c>
      <c r="R91" s="220" t="s">
        <v>38</v>
      </c>
      <c r="S91" s="221">
        <v>2026</v>
      </c>
      <c r="T91" s="216" t="s">
        <v>1315</v>
      </c>
      <c r="U91" s="240" t="s">
        <v>1271</v>
      </c>
      <c r="V91" s="242"/>
      <c r="W91" s="237"/>
      <c r="X91" s="241">
        <v>1</v>
      </c>
      <c r="Y91" s="244"/>
      <c r="Z91" s="244"/>
      <c r="AA91" s="244"/>
      <c r="AB91" s="244"/>
      <c r="AC91" s="244"/>
      <c r="AD91" s="244" t="s">
        <v>422</v>
      </c>
      <c r="AE91" s="244"/>
      <c r="AF91" s="244"/>
      <c r="AG91" s="244"/>
      <c r="AH91" s="244"/>
      <c r="AI91" s="244"/>
      <c r="AJ91" s="221"/>
    </row>
    <row r="92" spans="1:36" s="232" customFormat="1" hidden="1">
      <c r="A92" s="242" t="s">
        <v>1307</v>
      </c>
      <c r="B92" s="240" t="s">
        <v>794</v>
      </c>
      <c r="C92" s="216" t="s">
        <v>27</v>
      </c>
      <c r="D92" s="216" t="s">
        <v>1311</v>
      </c>
      <c r="E92" s="240" t="s">
        <v>942</v>
      </c>
      <c r="F92" s="240" t="s">
        <v>916</v>
      </c>
      <c r="G92" s="242" t="s">
        <v>943</v>
      </c>
      <c r="H92" s="243" t="s">
        <v>946</v>
      </c>
      <c r="I92" s="242">
        <v>75252</v>
      </c>
      <c r="J92" s="219">
        <v>2025</v>
      </c>
      <c r="K92" s="220">
        <v>10</v>
      </c>
      <c r="L92" s="220">
        <f t="shared" si="3"/>
        <v>9</v>
      </c>
      <c r="M92" s="216" t="s">
        <v>439</v>
      </c>
      <c r="N92" s="216" t="s">
        <v>440</v>
      </c>
      <c r="O92" s="240" t="s">
        <v>421</v>
      </c>
      <c r="P92" s="216" t="s">
        <v>38</v>
      </c>
      <c r="Q92" s="220">
        <v>2026</v>
      </c>
      <c r="R92" s="220" t="s">
        <v>38</v>
      </c>
      <c r="S92" s="221">
        <v>2026</v>
      </c>
      <c r="T92" s="216" t="s">
        <v>1315</v>
      </c>
      <c r="U92" s="240" t="s">
        <v>1271</v>
      </c>
      <c r="V92" s="242"/>
      <c r="W92" s="237"/>
      <c r="X92" s="241">
        <v>1</v>
      </c>
      <c r="Y92" s="244"/>
      <c r="Z92" s="244"/>
      <c r="AA92" s="244"/>
      <c r="AB92" s="244"/>
      <c r="AC92" s="244"/>
      <c r="AD92" s="244" t="s">
        <v>422</v>
      </c>
      <c r="AE92" s="244"/>
      <c r="AF92" s="244"/>
      <c r="AG92" s="244"/>
      <c r="AH92" s="244"/>
      <c r="AI92" s="244"/>
      <c r="AJ92" s="221"/>
    </row>
    <row r="93" spans="1:36" s="232" customFormat="1" hidden="1">
      <c r="A93" s="242" t="s">
        <v>1307</v>
      </c>
      <c r="B93" s="240" t="s">
        <v>795</v>
      </c>
      <c r="C93" s="216" t="s">
        <v>27</v>
      </c>
      <c r="D93" s="216" t="s">
        <v>1311</v>
      </c>
      <c r="E93" s="240" t="s">
        <v>942</v>
      </c>
      <c r="F93" s="240" t="s">
        <v>916</v>
      </c>
      <c r="G93" s="242" t="s">
        <v>943</v>
      </c>
      <c r="H93" s="243" t="s">
        <v>947</v>
      </c>
      <c r="I93" s="242">
        <v>75256</v>
      </c>
      <c r="J93" s="219">
        <v>2025</v>
      </c>
      <c r="K93" s="220">
        <v>10</v>
      </c>
      <c r="L93" s="220">
        <f t="shared" si="3"/>
        <v>9</v>
      </c>
      <c r="M93" s="216" t="s">
        <v>439</v>
      </c>
      <c r="N93" s="216" t="s">
        <v>440</v>
      </c>
      <c r="O93" s="240" t="s">
        <v>421</v>
      </c>
      <c r="P93" s="216" t="s">
        <v>38</v>
      </c>
      <c r="Q93" s="220">
        <v>2026</v>
      </c>
      <c r="R93" s="220" t="s">
        <v>38</v>
      </c>
      <c r="S93" s="221">
        <v>2026</v>
      </c>
      <c r="T93" s="216" t="s">
        <v>1315</v>
      </c>
      <c r="U93" s="240" t="s">
        <v>1271</v>
      </c>
      <c r="V93" s="242"/>
      <c r="W93" s="237"/>
      <c r="X93" s="241">
        <v>1</v>
      </c>
      <c r="Y93" s="244"/>
      <c r="Z93" s="244"/>
      <c r="AA93" s="244"/>
      <c r="AB93" s="244"/>
      <c r="AC93" s="244"/>
      <c r="AD93" s="244" t="s">
        <v>422</v>
      </c>
      <c r="AE93" s="244"/>
      <c r="AF93" s="244"/>
      <c r="AG93" s="244"/>
      <c r="AH93" s="244"/>
      <c r="AI93" s="244"/>
      <c r="AJ93" s="221"/>
    </row>
    <row r="94" spans="1:36" s="232" customFormat="1" hidden="1">
      <c r="A94" s="242" t="s">
        <v>1307</v>
      </c>
      <c r="B94" s="240" t="s">
        <v>772</v>
      </c>
      <c r="C94" s="216" t="s">
        <v>27</v>
      </c>
      <c r="D94" s="216" t="s">
        <v>1311</v>
      </c>
      <c r="E94" s="240" t="s">
        <v>942</v>
      </c>
      <c r="F94" s="240" t="s">
        <v>916</v>
      </c>
      <c r="G94" s="242" t="s">
        <v>943</v>
      </c>
      <c r="H94" s="243" t="s">
        <v>948</v>
      </c>
      <c r="I94" s="242">
        <v>75257</v>
      </c>
      <c r="J94" s="219">
        <v>2025</v>
      </c>
      <c r="K94" s="220">
        <v>10</v>
      </c>
      <c r="L94" s="220">
        <f t="shared" si="3"/>
        <v>9</v>
      </c>
      <c r="M94" s="216" t="s">
        <v>439</v>
      </c>
      <c r="N94" s="216" t="s">
        <v>440</v>
      </c>
      <c r="O94" s="240" t="s">
        <v>421</v>
      </c>
      <c r="P94" s="216" t="s">
        <v>38</v>
      </c>
      <c r="Q94" s="220">
        <v>2026</v>
      </c>
      <c r="R94" s="220" t="s">
        <v>38</v>
      </c>
      <c r="S94" s="221">
        <v>2026</v>
      </c>
      <c r="T94" s="216" t="s">
        <v>1315</v>
      </c>
      <c r="U94" s="240" t="s">
        <v>1271</v>
      </c>
      <c r="V94" s="242"/>
      <c r="W94" s="237"/>
      <c r="X94" s="241">
        <v>1</v>
      </c>
      <c r="Y94" s="244"/>
      <c r="Z94" s="244"/>
      <c r="AA94" s="244"/>
      <c r="AB94" s="244"/>
      <c r="AC94" s="244"/>
      <c r="AD94" s="244" t="s">
        <v>422</v>
      </c>
      <c r="AE94" s="244"/>
      <c r="AF94" s="244"/>
      <c r="AG94" s="244"/>
      <c r="AH94" s="244"/>
      <c r="AI94" s="244"/>
      <c r="AJ94" s="221"/>
    </row>
    <row r="95" spans="1:36" s="232" customFormat="1" hidden="1">
      <c r="A95" s="242" t="s">
        <v>1307</v>
      </c>
      <c r="B95" s="240" t="s">
        <v>772</v>
      </c>
      <c r="C95" s="216" t="s">
        <v>27</v>
      </c>
      <c r="D95" s="216" t="s">
        <v>1311</v>
      </c>
      <c r="E95" s="240" t="s">
        <v>942</v>
      </c>
      <c r="F95" s="240" t="s">
        <v>916</v>
      </c>
      <c r="G95" s="242" t="s">
        <v>943</v>
      </c>
      <c r="H95" s="243" t="s">
        <v>949</v>
      </c>
      <c r="I95" s="242">
        <v>75258</v>
      </c>
      <c r="J95" s="219">
        <v>2025</v>
      </c>
      <c r="K95" s="220">
        <v>10</v>
      </c>
      <c r="L95" s="220">
        <f t="shared" si="3"/>
        <v>9</v>
      </c>
      <c r="M95" s="216" t="s">
        <v>439</v>
      </c>
      <c r="N95" s="216" t="s">
        <v>440</v>
      </c>
      <c r="O95" s="240" t="s">
        <v>421</v>
      </c>
      <c r="P95" s="216" t="s">
        <v>38</v>
      </c>
      <c r="Q95" s="220">
        <v>2026</v>
      </c>
      <c r="R95" s="220" t="s">
        <v>38</v>
      </c>
      <c r="S95" s="221">
        <v>2026</v>
      </c>
      <c r="T95" s="216" t="s">
        <v>1315</v>
      </c>
      <c r="U95" s="240" t="s">
        <v>1271</v>
      </c>
      <c r="V95" s="242"/>
      <c r="W95" s="237"/>
      <c r="X95" s="241">
        <v>1</v>
      </c>
      <c r="Y95" s="244"/>
      <c r="Z95" s="244"/>
      <c r="AA95" s="244"/>
      <c r="AB95" s="244"/>
      <c r="AC95" s="244"/>
      <c r="AD95" s="244" t="s">
        <v>422</v>
      </c>
      <c r="AE95" s="244"/>
      <c r="AF95" s="244"/>
      <c r="AG95" s="244"/>
      <c r="AH95" s="244"/>
      <c r="AI95" s="244"/>
      <c r="AJ95" s="221"/>
    </row>
    <row r="96" spans="1:36" s="232" customFormat="1" hidden="1">
      <c r="A96" s="242" t="s">
        <v>1307</v>
      </c>
      <c r="B96" s="240" t="s">
        <v>772</v>
      </c>
      <c r="C96" s="216" t="s">
        <v>27</v>
      </c>
      <c r="D96" s="216" t="s">
        <v>1311</v>
      </c>
      <c r="E96" s="240" t="s">
        <v>942</v>
      </c>
      <c r="F96" s="240" t="s">
        <v>916</v>
      </c>
      <c r="G96" s="242" t="s">
        <v>943</v>
      </c>
      <c r="H96" s="243" t="s">
        <v>950</v>
      </c>
      <c r="I96" s="242">
        <v>75259</v>
      </c>
      <c r="J96" s="219">
        <v>2025</v>
      </c>
      <c r="K96" s="220">
        <v>10</v>
      </c>
      <c r="L96" s="220">
        <f t="shared" si="3"/>
        <v>9</v>
      </c>
      <c r="M96" s="216" t="s">
        <v>439</v>
      </c>
      <c r="N96" s="216" t="s">
        <v>440</v>
      </c>
      <c r="O96" s="240" t="s">
        <v>421</v>
      </c>
      <c r="P96" s="216" t="s">
        <v>38</v>
      </c>
      <c r="Q96" s="220">
        <v>2026</v>
      </c>
      <c r="R96" s="220" t="s">
        <v>38</v>
      </c>
      <c r="S96" s="221">
        <v>2026</v>
      </c>
      <c r="T96" s="216" t="s">
        <v>1315</v>
      </c>
      <c r="U96" s="240" t="s">
        <v>1271</v>
      </c>
      <c r="V96" s="242"/>
      <c r="W96" s="237"/>
      <c r="X96" s="241">
        <v>1</v>
      </c>
      <c r="Y96" s="244"/>
      <c r="Z96" s="244"/>
      <c r="AA96" s="244"/>
      <c r="AB96" s="244"/>
      <c r="AC96" s="244"/>
      <c r="AD96" s="244" t="s">
        <v>422</v>
      </c>
      <c r="AE96" s="244"/>
      <c r="AF96" s="244"/>
      <c r="AG96" s="244"/>
      <c r="AH96" s="244"/>
      <c r="AI96" s="244"/>
      <c r="AJ96" s="221"/>
    </row>
    <row r="97" spans="1:36" s="232" customFormat="1" hidden="1">
      <c r="A97" s="242" t="s">
        <v>1307</v>
      </c>
      <c r="B97" s="240" t="s">
        <v>796</v>
      </c>
      <c r="C97" s="216" t="s">
        <v>27</v>
      </c>
      <c r="D97" s="216" t="s">
        <v>1311</v>
      </c>
      <c r="E97" s="240" t="s">
        <v>942</v>
      </c>
      <c r="F97" s="240" t="s">
        <v>916</v>
      </c>
      <c r="G97" s="242" t="s">
        <v>943</v>
      </c>
      <c r="H97" s="243" t="s">
        <v>951</v>
      </c>
      <c r="I97" s="242">
        <v>75254</v>
      </c>
      <c r="J97" s="219">
        <v>2025</v>
      </c>
      <c r="K97" s="220">
        <v>10</v>
      </c>
      <c r="L97" s="220">
        <f t="shared" si="3"/>
        <v>9</v>
      </c>
      <c r="M97" s="216" t="s">
        <v>439</v>
      </c>
      <c r="N97" s="216" t="s">
        <v>440</v>
      </c>
      <c r="O97" s="240" t="s">
        <v>421</v>
      </c>
      <c r="P97" s="216" t="s">
        <v>38</v>
      </c>
      <c r="Q97" s="220">
        <v>2026</v>
      </c>
      <c r="R97" s="220" t="s">
        <v>38</v>
      </c>
      <c r="S97" s="221">
        <v>2026</v>
      </c>
      <c r="T97" s="216" t="s">
        <v>1315</v>
      </c>
      <c r="U97" s="240" t="s">
        <v>1271</v>
      </c>
      <c r="V97" s="242"/>
      <c r="W97" s="237"/>
      <c r="X97" s="241">
        <v>1</v>
      </c>
      <c r="Y97" s="244"/>
      <c r="Z97" s="244"/>
      <c r="AA97" s="244"/>
      <c r="AB97" s="244"/>
      <c r="AC97" s="244"/>
      <c r="AD97" s="244" t="s">
        <v>422</v>
      </c>
      <c r="AE97" s="244"/>
      <c r="AF97" s="244"/>
      <c r="AG97" s="244"/>
      <c r="AH97" s="244"/>
      <c r="AI97" s="244"/>
      <c r="AJ97" s="221"/>
    </row>
    <row r="98" spans="1:36" s="232" customFormat="1" hidden="1">
      <c r="A98" s="240" t="s">
        <v>1307</v>
      </c>
      <c r="B98" s="240" t="s">
        <v>797</v>
      </c>
      <c r="C98" s="216" t="s">
        <v>27</v>
      </c>
      <c r="D98" s="216" t="s">
        <v>1311</v>
      </c>
      <c r="E98" s="240" t="s">
        <v>942</v>
      </c>
      <c r="F98" s="240" t="s">
        <v>916</v>
      </c>
      <c r="G98" s="242" t="s">
        <v>943</v>
      </c>
      <c r="H98" s="243" t="s">
        <v>952</v>
      </c>
      <c r="I98" s="242">
        <v>75250</v>
      </c>
      <c r="J98" s="219">
        <v>2025</v>
      </c>
      <c r="K98" s="220">
        <v>10</v>
      </c>
      <c r="L98" s="220">
        <f t="shared" si="3"/>
        <v>9</v>
      </c>
      <c r="M98" s="216" t="s">
        <v>439</v>
      </c>
      <c r="N98" s="216" t="s">
        <v>440</v>
      </c>
      <c r="O98" s="240" t="s">
        <v>421</v>
      </c>
      <c r="P98" s="216" t="s">
        <v>38</v>
      </c>
      <c r="Q98" s="220">
        <v>2026</v>
      </c>
      <c r="R98" s="220" t="s">
        <v>38</v>
      </c>
      <c r="S98" s="221">
        <v>2026</v>
      </c>
      <c r="T98" s="216" t="s">
        <v>1315</v>
      </c>
      <c r="U98" s="240" t="s">
        <v>1271</v>
      </c>
      <c r="V98" s="242"/>
      <c r="W98" s="237"/>
      <c r="X98" s="241">
        <v>1</v>
      </c>
      <c r="Y98" s="244"/>
      <c r="Z98" s="244"/>
      <c r="AA98" s="244"/>
      <c r="AB98" s="244"/>
      <c r="AC98" s="244"/>
      <c r="AD98" s="244" t="s">
        <v>422</v>
      </c>
      <c r="AE98" s="244"/>
      <c r="AF98" s="244"/>
      <c r="AG98" s="244"/>
      <c r="AH98" s="244"/>
      <c r="AI98" s="244"/>
      <c r="AJ98" s="221"/>
    </row>
    <row r="99" spans="1:36" s="232" customFormat="1" hidden="1">
      <c r="A99" s="240" t="s">
        <v>1307</v>
      </c>
      <c r="B99" s="240" t="s">
        <v>798</v>
      </c>
      <c r="C99" s="216" t="s">
        <v>27</v>
      </c>
      <c r="D99" s="216" t="s">
        <v>1311</v>
      </c>
      <c r="E99" s="240" t="s">
        <v>942</v>
      </c>
      <c r="F99" s="240" t="s">
        <v>916</v>
      </c>
      <c r="G99" s="242" t="s">
        <v>943</v>
      </c>
      <c r="H99" s="243" t="s">
        <v>953</v>
      </c>
      <c r="I99" s="242">
        <v>75248</v>
      </c>
      <c r="J99" s="219">
        <v>2025</v>
      </c>
      <c r="K99" s="220">
        <v>10</v>
      </c>
      <c r="L99" s="220">
        <f t="shared" si="3"/>
        <v>9</v>
      </c>
      <c r="M99" s="216" t="s">
        <v>439</v>
      </c>
      <c r="N99" s="216" t="s">
        <v>440</v>
      </c>
      <c r="O99" s="240" t="s">
        <v>421</v>
      </c>
      <c r="P99" s="216" t="s">
        <v>38</v>
      </c>
      <c r="Q99" s="220">
        <v>2026</v>
      </c>
      <c r="R99" s="220" t="s">
        <v>38</v>
      </c>
      <c r="S99" s="221">
        <v>2026</v>
      </c>
      <c r="T99" s="216" t="s">
        <v>1315</v>
      </c>
      <c r="U99" s="240" t="s">
        <v>1271</v>
      </c>
      <c r="V99" s="242"/>
      <c r="W99" s="237"/>
      <c r="X99" s="241">
        <v>1</v>
      </c>
      <c r="Y99" s="244"/>
      <c r="Z99" s="244"/>
      <c r="AA99" s="244"/>
      <c r="AB99" s="244"/>
      <c r="AC99" s="244"/>
      <c r="AD99" s="244" t="s">
        <v>422</v>
      </c>
      <c r="AE99" s="244"/>
      <c r="AF99" s="244"/>
      <c r="AG99" s="244"/>
      <c r="AH99" s="244"/>
      <c r="AI99" s="244"/>
      <c r="AJ99" s="221"/>
    </row>
    <row r="100" spans="1:36" s="232" customFormat="1" hidden="1">
      <c r="A100" s="240" t="s">
        <v>762</v>
      </c>
      <c r="B100" s="240" t="s">
        <v>799</v>
      </c>
      <c r="C100" s="216" t="s">
        <v>27</v>
      </c>
      <c r="D100" s="216" t="s">
        <v>1311</v>
      </c>
      <c r="E100" s="240" t="s">
        <v>942</v>
      </c>
      <c r="F100" s="240" t="s">
        <v>916</v>
      </c>
      <c r="G100" s="242" t="s">
        <v>943</v>
      </c>
      <c r="H100" s="243" t="s">
        <v>954</v>
      </c>
      <c r="I100" s="242">
        <v>75241</v>
      </c>
      <c r="J100" s="219">
        <v>2025</v>
      </c>
      <c r="K100" s="220">
        <v>10</v>
      </c>
      <c r="L100" s="220">
        <f t="shared" si="3"/>
        <v>9</v>
      </c>
      <c r="M100" s="216" t="s">
        <v>439</v>
      </c>
      <c r="N100" s="216" t="s">
        <v>440</v>
      </c>
      <c r="O100" s="240" t="s">
        <v>421</v>
      </c>
      <c r="P100" s="216" t="s">
        <v>38</v>
      </c>
      <c r="Q100" s="220">
        <v>2026</v>
      </c>
      <c r="R100" s="220" t="s">
        <v>38</v>
      </c>
      <c r="S100" s="221">
        <v>2026</v>
      </c>
      <c r="T100" s="216" t="s">
        <v>1315</v>
      </c>
      <c r="U100" s="240" t="s">
        <v>1271</v>
      </c>
      <c r="V100" s="242"/>
      <c r="W100" s="237"/>
      <c r="X100" s="241">
        <v>1</v>
      </c>
      <c r="Y100" s="244"/>
      <c r="Z100" s="244"/>
      <c r="AA100" s="244"/>
      <c r="AB100" s="244"/>
      <c r="AC100" s="244"/>
      <c r="AD100" s="244" t="s">
        <v>422</v>
      </c>
      <c r="AE100" s="244"/>
      <c r="AF100" s="244"/>
      <c r="AG100" s="244"/>
      <c r="AH100" s="244"/>
      <c r="AI100" s="244"/>
      <c r="AJ100" s="221"/>
    </row>
    <row r="101" spans="1:36" s="232" customFormat="1" hidden="1">
      <c r="A101" s="240" t="s">
        <v>1307</v>
      </c>
      <c r="B101" s="240" t="s">
        <v>799</v>
      </c>
      <c r="C101" s="216" t="s">
        <v>27</v>
      </c>
      <c r="D101" s="216" t="s">
        <v>1311</v>
      </c>
      <c r="E101" s="240" t="s">
        <v>942</v>
      </c>
      <c r="F101" s="240" t="s">
        <v>916</v>
      </c>
      <c r="G101" s="242" t="s">
        <v>943</v>
      </c>
      <c r="H101" s="243" t="s">
        <v>955</v>
      </c>
      <c r="I101" s="242">
        <v>75251</v>
      </c>
      <c r="J101" s="219">
        <v>2025</v>
      </c>
      <c r="K101" s="220">
        <v>10</v>
      </c>
      <c r="L101" s="220">
        <f t="shared" si="3"/>
        <v>9</v>
      </c>
      <c r="M101" s="216" t="s">
        <v>439</v>
      </c>
      <c r="N101" s="216" t="s">
        <v>440</v>
      </c>
      <c r="O101" s="240" t="s">
        <v>421</v>
      </c>
      <c r="P101" s="216" t="s">
        <v>38</v>
      </c>
      <c r="Q101" s="220">
        <v>2026</v>
      </c>
      <c r="R101" s="220" t="s">
        <v>38</v>
      </c>
      <c r="S101" s="221">
        <v>2026</v>
      </c>
      <c r="T101" s="216" t="s">
        <v>1315</v>
      </c>
      <c r="U101" s="240" t="s">
        <v>1271</v>
      </c>
      <c r="V101" s="242"/>
      <c r="W101" s="237"/>
      <c r="X101" s="241">
        <v>1</v>
      </c>
      <c r="Y101" s="244"/>
      <c r="Z101" s="244"/>
      <c r="AA101" s="244"/>
      <c r="AB101" s="244"/>
      <c r="AC101" s="244"/>
      <c r="AD101" s="244" t="s">
        <v>422</v>
      </c>
      <c r="AE101" s="244"/>
      <c r="AF101" s="244"/>
      <c r="AG101" s="244"/>
      <c r="AH101" s="244"/>
      <c r="AI101" s="244"/>
      <c r="AJ101" s="221"/>
    </row>
    <row r="102" spans="1:36" s="232" customFormat="1" hidden="1">
      <c r="A102" s="240" t="s">
        <v>764</v>
      </c>
      <c r="B102" s="240" t="s">
        <v>800</v>
      </c>
      <c r="C102" s="216" t="s">
        <v>27</v>
      </c>
      <c r="D102" s="216" t="s">
        <v>1311</v>
      </c>
      <c r="E102" s="240" t="s">
        <v>942</v>
      </c>
      <c r="F102" s="240" t="s">
        <v>916</v>
      </c>
      <c r="G102" s="242" t="s">
        <v>943</v>
      </c>
      <c r="H102" s="243" t="s">
        <v>956</v>
      </c>
      <c r="I102" s="242">
        <v>75261</v>
      </c>
      <c r="J102" s="219">
        <v>2025</v>
      </c>
      <c r="K102" s="220">
        <v>10</v>
      </c>
      <c r="L102" s="220">
        <f t="shared" si="3"/>
        <v>9</v>
      </c>
      <c r="M102" s="216" t="s">
        <v>439</v>
      </c>
      <c r="N102" s="216" t="s">
        <v>440</v>
      </c>
      <c r="O102" s="240" t="s">
        <v>421</v>
      </c>
      <c r="P102" s="216" t="s">
        <v>38</v>
      </c>
      <c r="Q102" s="220">
        <v>2026</v>
      </c>
      <c r="R102" s="220" t="s">
        <v>38</v>
      </c>
      <c r="S102" s="221">
        <v>2026</v>
      </c>
      <c r="T102" s="216" t="s">
        <v>1315</v>
      </c>
      <c r="U102" s="240" t="s">
        <v>1271</v>
      </c>
      <c r="V102" s="242"/>
      <c r="W102" s="237"/>
      <c r="X102" s="241">
        <v>1</v>
      </c>
      <c r="Y102" s="244"/>
      <c r="Z102" s="244"/>
      <c r="AA102" s="244"/>
      <c r="AB102" s="244"/>
      <c r="AC102" s="244"/>
      <c r="AD102" s="244" t="s">
        <v>422</v>
      </c>
      <c r="AE102" s="244"/>
      <c r="AF102" s="244"/>
      <c r="AG102" s="244"/>
      <c r="AH102" s="244"/>
      <c r="AI102" s="244"/>
      <c r="AJ102" s="221"/>
    </row>
    <row r="103" spans="1:36" s="232" customFormat="1" hidden="1">
      <c r="A103" s="240" t="s">
        <v>762</v>
      </c>
      <c r="B103" s="240" t="s">
        <v>801</v>
      </c>
      <c r="C103" s="216" t="s">
        <v>27</v>
      </c>
      <c r="D103" s="216" t="s">
        <v>1311</v>
      </c>
      <c r="E103" s="240" t="s">
        <v>942</v>
      </c>
      <c r="F103" s="240" t="s">
        <v>916</v>
      </c>
      <c r="G103" s="242" t="s">
        <v>943</v>
      </c>
      <c r="H103" s="243" t="s">
        <v>957</v>
      </c>
      <c r="I103" s="242">
        <v>75242</v>
      </c>
      <c r="J103" s="219">
        <v>2025</v>
      </c>
      <c r="K103" s="220">
        <v>10</v>
      </c>
      <c r="L103" s="220">
        <f t="shared" si="3"/>
        <v>9</v>
      </c>
      <c r="M103" s="216" t="s">
        <v>439</v>
      </c>
      <c r="N103" s="216" t="s">
        <v>440</v>
      </c>
      <c r="O103" s="240" t="s">
        <v>421</v>
      </c>
      <c r="P103" s="216" t="s">
        <v>38</v>
      </c>
      <c r="Q103" s="220">
        <v>2026</v>
      </c>
      <c r="R103" s="220" t="s">
        <v>38</v>
      </c>
      <c r="S103" s="221">
        <v>2026</v>
      </c>
      <c r="T103" s="216" t="s">
        <v>1315</v>
      </c>
      <c r="U103" s="240" t="s">
        <v>1271</v>
      </c>
      <c r="V103" s="242"/>
      <c r="W103" s="237"/>
      <c r="X103" s="241">
        <v>1</v>
      </c>
      <c r="Y103" s="244"/>
      <c r="Z103" s="244"/>
      <c r="AA103" s="244"/>
      <c r="AB103" s="244"/>
      <c r="AC103" s="244"/>
      <c r="AD103" s="244" t="s">
        <v>422</v>
      </c>
      <c r="AE103" s="244"/>
      <c r="AF103" s="244"/>
      <c r="AG103" s="244"/>
      <c r="AH103" s="244"/>
      <c r="AI103" s="244"/>
      <c r="AJ103" s="221"/>
    </row>
    <row r="104" spans="1:36" s="232" customFormat="1" hidden="1">
      <c r="A104" s="242" t="s">
        <v>1307</v>
      </c>
      <c r="B104" s="240" t="s">
        <v>769</v>
      </c>
      <c r="C104" s="216" t="s">
        <v>27</v>
      </c>
      <c r="D104" s="216" t="s">
        <v>1311</v>
      </c>
      <c r="E104" s="240" t="s">
        <v>942</v>
      </c>
      <c r="F104" s="240" t="s">
        <v>916</v>
      </c>
      <c r="G104" s="242" t="s">
        <v>943</v>
      </c>
      <c r="H104" s="243" t="s">
        <v>958</v>
      </c>
      <c r="I104" s="242">
        <v>75255</v>
      </c>
      <c r="J104" s="219">
        <v>2025</v>
      </c>
      <c r="K104" s="220">
        <v>10</v>
      </c>
      <c r="L104" s="220">
        <f t="shared" si="3"/>
        <v>9</v>
      </c>
      <c r="M104" s="216" t="s">
        <v>439</v>
      </c>
      <c r="N104" s="216" t="s">
        <v>440</v>
      </c>
      <c r="O104" s="240" t="s">
        <v>421</v>
      </c>
      <c r="P104" s="216" t="s">
        <v>38</v>
      </c>
      <c r="Q104" s="220">
        <v>2026</v>
      </c>
      <c r="R104" s="220" t="s">
        <v>38</v>
      </c>
      <c r="S104" s="221">
        <v>2026</v>
      </c>
      <c r="T104" s="216" t="s">
        <v>1315</v>
      </c>
      <c r="U104" s="240" t="s">
        <v>1271</v>
      </c>
      <c r="V104" s="242"/>
      <c r="W104" s="237"/>
      <c r="X104" s="241">
        <v>1</v>
      </c>
      <c r="Y104" s="244"/>
      <c r="Z104" s="244"/>
      <c r="AA104" s="244"/>
      <c r="AB104" s="244"/>
      <c r="AC104" s="244"/>
      <c r="AD104" s="244" t="s">
        <v>422</v>
      </c>
      <c r="AE104" s="244"/>
      <c r="AF104" s="244"/>
      <c r="AG104" s="244"/>
      <c r="AH104" s="244"/>
      <c r="AI104" s="244"/>
      <c r="AJ104" s="221"/>
    </row>
    <row r="105" spans="1:36" s="232" customFormat="1" hidden="1">
      <c r="A105" s="240" t="s">
        <v>764</v>
      </c>
      <c r="B105" s="240" t="s">
        <v>773</v>
      </c>
      <c r="C105" s="216" t="s">
        <v>27</v>
      </c>
      <c r="D105" s="216" t="s">
        <v>1311</v>
      </c>
      <c r="E105" s="240" t="s">
        <v>942</v>
      </c>
      <c r="F105" s="240" t="s">
        <v>916</v>
      </c>
      <c r="G105" s="242" t="s">
        <v>943</v>
      </c>
      <c r="H105" s="243" t="s">
        <v>959</v>
      </c>
      <c r="I105" s="242">
        <v>75262</v>
      </c>
      <c r="J105" s="219">
        <v>2025</v>
      </c>
      <c r="K105" s="220">
        <v>10</v>
      </c>
      <c r="L105" s="220">
        <f t="shared" si="3"/>
        <v>9</v>
      </c>
      <c r="M105" s="216" t="s">
        <v>439</v>
      </c>
      <c r="N105" s="216" t="s">
        <v>440</v>
      </c>
      <c r="O105" s="240" t="s">
        <v>421</v>
      </c>
      <c r="P105" s="216" t="s">
        <v>38</v>
      </c>
      <c r="Q105" s="220">
        <v>2026</v>
      </c>
      <c r="R105" s="220" t="s">
        <v>38</v>
      </c>
      <c r="S105" s="221">
        <v>2026</v>
      </c>
      <c r="T105" s="216" t="s">
        <v>1315</v>
      </c>
      <c r="U105" s="240" t="s">
        <v>1271</v>
      </c>
      <c r="V105" s="242"/>
      <c r="W105" s="237"/>
      <c r="X105" s="241">
        <v>1</v>
      </c>
      <c r="Y105" s="244"/>
      <c r="Z105" s="244"/>
      <c r="AA105" s="244"/>
      <c r="AB105" s="244"/>
      <c r="AC105" s="244"/>
      <c r="AD105" s="244" t="s">
        <v>422</v>
      </c>
      <c r="AE105" s="244"/>
      <c r="AF105" s="244"/>
      <c r="AG105" s="244"/>
      <c r="AH105" s="244"/>
      <c r="AI105" s="244"/>
      <c r="AJ105" s="221"/>
    </row>
    <row r="106" spans="1:36" s="232" customFormat="1" hidden="1">
      <c r="A106" s="240" t="s">
        <v>507</v>
      </c>
      <c r="B106" s="240" t="s">
        <v>802</v>
      </c>
      <c r="C106" s="216" t="s">
        <v>27</v>
      </c>
      <c r="D106" s="216" t="s">
        <v>1311</v>
      </c>
      <c r="E106" s="240" t="s">
        <v>942</v>
      </c>
      <c r="F106" s="240" t="s">
        <v>916</v>
      </c>
      <c r="G106" s="242" t="s">
        <v>943</v>
      </c>
      <c r="H106" s="243" t="s">
        <v>960</v>
      </c>
      <c r="I106" s="242">
        <v>75243</v>
      </c>
      <c r="J106" s="219">
        <v>2025</v>
      </c>
      <c r="K106" s="220">
        <v>10</v>
      </c>
      <c r="L106" s="220">
        <f t="shared" si="3"/>
        <v>9</v>
      </c>
      <c r="M106" s="216" t="s">
        <v>439</v>
      </c>
      <c r="N106" s="216" t="s">
        <v>440</v>
      </c>
      <c r="O106" s="216" t="s">
        <v>425</v>
      </c>
      <c r="P106" s="216" t="s">
        <v>38</v>
      </c>
      <c r="Q106" s="220">
        <v>2026</v>
      </c>
      <c r="R106" s="220" t="s">
        <v>38</v>
      </c>
      <c r="S106" s="221">
        <v>2026</v>
      </c>
      <c r="T106" s="216" t="s">
        <v>1315</v>
      </c>
      <c r="U106" s="240" t="s">
        <v>1271</v>
      </c>
      <c r="V106" s="242"/>
      <c r="W106" s="237"/>
      <c r="X106" s="241">
        <v>1</v>
      </c>
      <c r="Y106" s="244"/>
      <c r="Z106" s="244"/>
      <c r="AA106" s="244"/>
      <c r="AB106" s="244"/>
      <c r="AC106" s="244"/>
      <c r="AD106" s="244" t="s">
        <v>422</v>
      </c>
      <c r="AE106" s="244"/>
      <c r="AF106" s="244"/>
      <c r="AG106" s="244"/>
      <c r="AH106" s="244"/>
      <c r="AI106" s="244"/>
      <c r="AJ106" s="221"/>
    </row>
    <row r="107" spans="1:36" s="232" customFormat="1" hidden="1">
      <c r="A107" s="240" t="s">
        <v>760</v>
      </c>
      <c r="B107" s="240" t="s">
        <v>777</v>
      </c>
      <c r="C107" s="216" t="s">
        <v>1313</v>
      </c>
      <c r="D107" s="216" t="s">
        <v>317</v>
      </c>
      <c r="E107" s="240" t="s">
        <v>961</v>
      </c>
      <c r="F107" s="240" t="s">
        <v>872</v>
      </c>
      <c r="G107" s="242" t="s">
        <v>962</v>
      </c>
      <c r="H107" s="243">
        <v>24070045</v>
      </c>
      <c r="I107" s="242">
        <v>76166</v>
      </c>
      <c r="J107" s="219">
        <v>2025</v>
      </c>
      <c r="K107" s="220">
        <v>10</v>
      </c>
      <c r="L107" s="220">
        <f t="shared" si="3"/>
        <v>9</v>
      </c>
      <c r="M107" s="216" t="s">
        <v>439</v>
      </c>
      <c r="N107" s="216" t="s">
        <v>440</v>
      </c>
      <c r="O107" s="240" t="s">
        <v>425</v>
      </c>
      <c r="P107" s="216" t="s">
        <v>38</v>
      </c>
      <c r="Q107" s="220">
        <v>2027</v>
      </c>
      <c r="R107" s="220" t="s">
        <v>38</v>
      </c>
      <c r="S107" s="221">
        <v>2026</v>
      </c>
      <c r="T107" s="216" t="s">
        <v>1315</v>
      </c>
      <c r="U107" s="240" t="s">
        <v>1273</v>
      </c>
      <c r="V107" s="242"/>
      <c r="W107" s="237"/>
      <c r="X107" s="241">
        <v>1</v>
      </c>
      <c r="Y107" s="244"/>
      <c r="Z107" s="244"/>
      <c r="AA107" s="244"/>
      <c r="AB107" s="244"/>
      <c r="AC107" s="244" t="s">
        <v>422</v>
      </c>
      <c r="AD107" s="244"/>
      <c r="AE107" s="244"/>
      <c r="AF107" s="244"/>
      <c r="AG107" s="244"/>
      <c r="AH107" s="244"/>
      <c r="AI107" s="244"/>
      <c r="AJ107" s="221"/>
    </row>
    <row r="108" spans="1:36" s="232" customFormat="1" hidden="1">
      <c r="A108" s="240" t="s">
        <v>760</v>
      </c>
      <c r="B108" s="240" t="s">
        <v>777</v>
      </c>
      <c r="C108" s="216" t="s">
        <v>1313</v>
      </c>
      <c r="D108" s="216" t="s">
        <v>317</v>
      </c>
      <c r="E108" s="240" t="s">
        <v>961</v>
      </c>
      <c r="F108" s="240" t="s">
        <v>872</v>
      </c>
      <c r="G108" s="242" t="s">
        <v>962</v>
      </c>
      <c r="H108" s="243">
        <v>24070046</v>
      </c>
      <c r="I108" s="242">
        <v>76167</v>
      </c>
      <c r="J108" s="219">
        <v>2025</v>
      </c>
      <c r="K108" s="220">
        <v>10</v>
      </c>
      <c r="L108" s="220">
        <f t="shared" si="3"/>
        <v>9</v>
      </c>
      <c r="M108" s="216" t="s">
        <v>439</v>
      </c>
      <c r="N108" s="216" t="s">
        <v>440</v>
      </c>
      <c r="O108" s="240" t="s">
        <v>425</v>
      </c>
      <c r="P108" s="216" t="s">
        <v>38</v>
      </c>
      <c r="Q108" s="220">
        <v>2027</v>
      </c>
      <c r="R108" s="220" t="s">
        <v>38</v>
      </c>
      <c r="S108" s="221">
        <v>2026</v>
      </c>
      <c r="T108" s="216" t="s">
        <v>1315</v>
      </c>
      <c r="U108" s="240" t="s">
        <v>1273</v>
      </c>
      <c r="V108" s="242"/>
      <c r="W108" s="237"/>
      <c r="X108" s="241">
        <v>1</v>
      </c>
      <c r="Y108" s="244"/>
      <c r="Z108" s="244"/>
      <c r="AA108" s="244"/>
      <c r="AB108" s="244"/>
      <c r="AC108" s="244" t="s">
        <v>422</v>
      </c>
      <c r="AD108" s="244"/>
      <c r="AE108" s="244"/>
      <c r="AF108" s="244"/>
      <c r="AG108" s="244"/>
      <c r="AH108" s="244"/>
      <c r="AI108" s="244"/>
      <c r="AJ108" s="221"/>
    </row>
    <row r="109" spans="1:36" s="232" customFormat="1" hidden="1">
      <c r="A109" s="216" t="s">
        <v>1478</v>
      </c>
      <c r="B109" s="216" t="s">
        <v>1479</v>
      </c>
      <c r="C109" s="216" t="s">
        <v>27</v>
      </c>
      <c r="D109" s="216" t="s">
        <v>317</v>
      </c>
      <c r="E109" s="240" t="s">
        <v>1481</v>
      </c>
      <c r="F109" s="246" t="s">
        <v>1354</v>
      </c>
      <c r="G109" s="245" t="s">
        <v>1355</v>
      </c>
      <c r="H109" s="243">
        <v>210323251456</v>
      </c>
      <c r="I109" s="245">
        <v>74190</v>
      </c>
      <c r="J109" s="219">
        <v>2024</v>
      </c>
      <c r="K109" s="220">
        <v>10</v>
      </c>
      <c r="L109" s="220">
        <v>9</v>
      </c>
      <c r="M109" s="216" t="s">
        <v>439</v>
      </c>
      <c r="N109" s="216" t="s">
        <v>440</v>
      </c>
      <c r="O109" s="216" t="s">
        <v>36</v>
      </c>
      <c r="P109" s="216" t="s">
        <v>37</v>
      </c>
      <c r="Q109" s="220" t="s">
        <v>421</v>
      </c>
      <c r="R109" s="220" t="s">
        <v>37</v>
      </c>
      <c r="S109" s="221">
        <v>2025</v>
      </c>
      <c r="T109" s="216" t="s">
        <v>1315</v>
      </c>
      <c r="U109" s="240"/>
      <c r="V109" s="245"/>
      <c r="W109" s="237"/>
      <c r="X109" s="247">
        <v>2</v>
      </c>
      <c r="Y109" s="248"/>
      <c r="Z109" s="248"/>
      <c r="AA109" s="248"/>
      <c r="AB109" s="248"/>
      <c r="AC109" s="248"/>
      <c r="AD109" s="248" t="s">
        <v>422</v>
      </c>
      <c r="AE109" s="248"/>
      <c r="AF109" s="244"/>
      <c r="AG109" s="248"/>
      <c r="AH109" s="248"/>
      <c r="AI109" s="248"/>
      <c r="AJ109" s="248" t="s">
        <v>422</v>
      </c>
    </row>
    <row r="110" spans="1:36" s="232" customFormat="1">
      <c r="A110" s="240" t="s">
        <v>775</v>
      </c>
      <c r="B110" s="240" t="s">
        <v>775</v>
      </c>
      <c r="C110" s="216" t="s">
        <v>263</v>
      </c>
      <c r="D110" s="216" t="s">
        <v>317</v>
      </c>
      <c r="E110" s="240" t="s">
        <v>963</v>
      </c>
      <c r="F110" s="240" t="s">
        <v>852</v>
      </c>
      <c r="G110" s="242" t="s">
        <v>964</v>
      </c>
      <c r="H110" s="243" t="s">
        <v>844</v>
      </c>
      <c r="I110" s="242">
        <v>75118</v>
      </c>
      <c r="J110" s="219">
        <v>2025</v>
      </c>
      <c r="K110" s="220">
        <v>10</v>
      </c>
      <c r="L110" s="220">
        <f t="shared" ref="L110:L124" si="4">K110-($B$9-J110)</f>
        <v>9</v>
      </c>
      <c r="M110" s="216" t="s">
        <v>439</v>
      </c>
      <c r="N110" s="216" t="s">
        <v>440</v>
      </c>
      <c r="O110" s="240" t="s">
        <v>421</v>
      </c>
      <c r="P110" s="216" t="s">
        <v>37</v>
      </c>
      <c r="Q110" s="220">
        <v>2025</v>
      </c>
      <c r="R110" s="220" t="s">
        <v>38</v>
      </c>
      <c r="S110" s="221">
        <v>2026</v>
      </c>
      <c r="T110" s="216" t="s">
        <v>1315</v>
      </c>
      <c r="U110" s="240" t="s">
        <v>1260</v>
      </c>
      <c r="V110" s="242"/>
      <c r="W110" s="237"/>
      <c r="X110" s="241">
        <v>1</v>
      </c>
      <c r="Y110" s="244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 t="s">
        <v>422</v>
      </c>
      <c r="AJ110" s="221"/>
    </row>
    <row r="111" spans="1:36" s="232" customFormat="1" hidden="1">
      <c r="A111" s="240" t="s">
        <v>1307</v>
      </c>
      <c r="B111" s="240" t="s">
        <v>793</v>
      </c>
      <c r="C111" s="216" t="s">
        <v>27</v>
      </c>
      <c r="D111" s="216" t="s">
        <v>317</v>
      </c>
      <c r="E111" s="240" t="s">
        <v>1300</v>
      </c>
      <c r="F111" s="240" t="s">
        <v>965</v>
      </c>
      <c r="G111" s="242" t="s">
        <v>966</v>
      </c>
      <c r="H111" s="243" t="s">
        <v>844</v>
      </c>
      <c r="I111" s="242">
        <v>76222</v>
      </c>
      <c r="J111" s="219">
        <v>2025</v>
      </c>
      <c r="K111" s="220">
        <v>10</v>
      </c>
      <c r="L111" s="220">
        <f t="shared" si="4"/>
        <v>9</v>
      </c>
      <c r="M111" s="216" t="s">
        <v>439</v>
      </c>
      <c r="N111" s="216" t="s">
        <v>440</v>
      </c>
      <c r="O111" s="240" t="s">
        <v>425</v>
      </c>
      <c r="P111" s="216" t="s">
        <v>38</v>
      </c>
      <c r="Q111" s="220">
        <v>2026</v>
      </c>
      <c r="R111" s="220" t="s">
        <v>38</v>
      </c>
      <c r="S111" s="221">
        <v>2026</v>
      </c>
      <c r="T111" s="216" t="s">
        <v>1315</v>
      </c>
      <c r="U111" s="240" t="s">
        <v>1274</v>
      </c>
      <c r="V111" s="242"/>
      <c r="W111" s="237"/>
      <c r="X111" s="241">
        <v>1</v>
      </c>
      <c r="Y111" s="244"/>
      <c r="Z111" s="244"/>
      <c r="AA111" s="244"/>
      <c r="AB111" s="244"/>
      <c r="AC111" s="244"/>
      <c r="AD111" s="244"/>
      <c r="AE111" s="244" t="s">
        <v>422</v>
      </c>
      <c r="AF111" s="244"/>
      <c r="AG111" s="244"/>
      <c r="AH111" s="244"/>
      <c r="AI111" s="244"/>
      <c r="AJ111" s="221"/>
    </row>
    <row r="112" spans="1:36" s="232" customFormat="1">
      <c r="A112" s="240" t="s">
        <v>775</v>
      </c>
      <c r="B112" s="240" t="s">
        <v>775</v>
      </c>
      <c r="C112" s="216" t="s">
        <v>263</v>
      </c>
      <c r="D112" s="216" t="s">
        <v>28</v>
      </c>
      <c r="E112" s="240" t="s">
        <v>967</v>
      </c>
      <c r="F112" s="240" t="s">
        <v>852</v>
      </c>
      <c r="G112" s="242" t="s">
        <v>968</v>
      </c>
      <c r="H112" s="243" t="s">
        <v>969</v>
      </c>
      <c r="I112" s="242">
        <v>75117</v>
      </c>
      <c r="J112" s="219">
        <v>2025</v>
      </c>
      <c r="K112" s="220">
        <v>10</v>
      </c>
      <c r="L112" s="220">
        <f t="shared" si="4"/>
        <v>9</v>
      </c>
      <c r="M112" s="216" t="s">
        <v>439</v>
      </c>
      <c r="N112" s="216" t="s">
        <v>440</v>
      </c>
      <c r="O112" s="240" t="s">
        <v>425</v>
      </c>
      <c r="P112" s="216" t="s">
        <v>37</v>
      </c>
      <c r="Q112" s="220">
        <v>2025</v>
      </c>
      <c r="R112" s="220" t="s">
        <v>38</v>
      </c>
      <c r="S112" s="221">
        <v>2026</v>
      </c>
      <c r="T112" s="216" t="s">
        <v>1315</v>
      </c>
      <c r="U112" s="240" t="s">
        <v>1260</v>
      </c>
      <c r="V112" s="242"/>
      <c r="W112" s="237"/>
      <c r="X112" s="241">
        <v>1</v>
      </c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 t="s">
        <v>422</v>
      </c>
      <c r="AJ112" s="221"/>
    </row>
    <row r="113" spans="1:36" s="232" customFormat="1" hidden="1">
      <c r="A113" s="240" t="s">
        <v>762</v>
      </c>
      <c r="B113" s="240" t="s">
        <v>803</v>
      </c>
      <c r="C113" s="216" t="s">
        <v>27</v>
      </c>
      <c r="D113" s="216" t="s">
        <v>28</v>
      </c>
      <c r="E113" s="240" t="s">
        <v>970</v>
      </c>
      <c r="F113" s="240" t="s">
        <v>909</v>
      </c>
      <c r="G113" s="242" t="s">
        <v>971</v>
      </c>
      <c r="H113" s="243">
        <v>1636913</v>
      </c>
      <c r="I113" s="242">
        <v>75235</v>
      </c>
      <c r="J113" s="219">
        <v>2025</v>
      </c>
      <c r="K113" s="220">
        <v>10</v>
      </c>
      <c r="L113" s="220">
        <f t="shared" si="4"/>
        <v>9</v>
      </c>
      <c r="M113" s="216" t="s">
        <v>439</v>
      </c>
      <c r="N113" s="216" t="s">
        <v>440</v>
      </c>
      <c r="O113" s="240" t="s">
        <v>425</v>
      </c>
      <c r="P113" s="216" t="s">
        <v>38</v>
      </c>
      <c r="Q113" s="220">
        <v>2026</v>
      </c>
      <c r="R113" s="220" t="s">
        <v>38</v>
      </c>
      <c r="S113" s="221">
        <v>2026</v>
      </c>
      <c r="T113" s="216" t="s">
        <v>1315</v>
      </c>
      <c r="U113" s="240" t="s">
        <v>1271</v>
      </c>
      <c r="V113" s="242"/>
      <c r="W113" s="237"/>
      <c r="X113" s="241">
        <v>1</v>
      </c>
      <c r="Y113" s="244"/>
      <c r="Z113" s="244"/>
      <c r="AA113" s="244"/>
      <c r="AB113" s="244"/>
      <c r="AC113" s="244"/>
      <c r="AD113" s="244" t="s">
        <v>422</v>
      </c>
      <c r="AE113" s="244"/>
      <c r="AF113" s="244"/>
      <c r="AG113" s="244"/>
      <c r="AH113" s="244"/>
      <c r="AI113" s="244"/>
      <c r="AJ113" s="221"/>
    </row>
    <row r="114" spans="1:36" s="232" customFormat="1" hidden="1">
      <c r="A114" s="240" t="s">
        <v>762</v>
      </c>
      <c r="B114" s="240" t="s">
        <v>804</v>
      </c>
      <c r="C114" s="216" t="s">
        <v>27</v>
      </c>
      <c r="D114" s="216" t="s">
        <v>28</v>
      </c>
      <c r="E114" s="240" t="s">
        <v>970</v>
      </c>
      <c r="F114" s="240" t="s">
        <v>909</v>
      </c>
      <c r="G114" s="242" t="s">
        <v>971</v>
      </c>
      <c r="H114" s="243">
        <v>1636919</v>
      </c>
      <c r="I114" s="242">
        <v>75237</v>
      </c>
      <c r="J114" s="219">
        <v>2025</v>
      </c>
      <c r="K114" s="220">
        <v>10</v>
      </c>
      <c r="L114" s="220">
        <f t="shared" si="4"/>
        <v>9</v>
      </c>
      <c r="M114" s="216" t="s">
        <v>439</v>
      </c>
      <c r="N114" s="216" t="s">
        <v>440</v>
      </c>
      <c r="O114" s="240" t="s">
        <v>425</v>
      </c>
      <c r="P114" s="216" t="s">
        <v>38</v>
      </c>
      <c r="Q114" s="220">
        <v>2026</v>
      </c>
      <c r="R114" s="220" t="s">
        <v>38</v>
      </c>
      <c r="S114" s="221">
        <v>2026</v>
      </c>
      <c r="T114" s="216" t="s">
        <v>1315</v>
      </c>
      <c r="U114" s="240" t="s">
        <v>1271</v>
      </c>
      <c r="V114" s="242"/>
      <c r="W114" s="237"/>
      <c r="X114" s="241">
        <v>1</v>
      </c>
      <c r="Y114" s="244"/>
      <c r="Z114" s="244"/>
      <c r="AA114" s="244"/>
      <c r="AB114" s="244"/>
      <c r="AC114" s="244"/>
      <c r="AD114" s="244" t="s">
        <v>422</v>
      </c>
      <c r="AE114" s="244"/>
      <c r="AF114" s="244"/>
      <c r="AG114" s="244"/>
      <c r="AH114" s="244"/>
      <c r="AI114" s="244"/>
      <c r="AJ114" s="221"/>
    </row>
    <row r="115" spans="1:36" s="232" customFormat="1" hidden="1">
      <c r="A115" s="240" t="s">
        <v>762</v>
      </c>
      <c r="B115" s="240" t="s">
        <v>804</v>
      </c>
      <c r="C115" s="216" t="s">
        <v>27</v>
      </c>
      <c r="D115" s="216" t="s">
        <v>28</v>
      </c>
      <c r="E115" s="240" t="s">
        <v>970</v>
      </c>
      <c r="F115" s="240" t="s">
        <v>909</v>
      </c>
      <c r="G115" s="242" t="s">
        <v>971</v>
      </c>
      <c r="H115" s="243">
        <v>1636924</v>
      </c>
      <c r="I115" s="242">
        <v>75238</v>
      </c>
      <c r="J115" s="219">
        <v>2025</v>
      </c>
      <c r="K115" s="220">
        <v>10</v>
      </c>
      <c r="L115" s="220">
        <f t="shared" si="4"/>
        <v>9</v>
      </c>
      <c r="M115" s="216" t="s">
        <v>439</v>
      </c>
      <c r="N115" s="216" t="s">
        <v>440</v>
      </c>
      <c r="O115" s="240" t="s">
        <v>425</v>
      </c>
      <c r="P115" s="216" t="s">
        <v>38</v>
      </c>
      <c r="Q115" s="220">
        <v>2026</v>
      </c>
      <c r="R115" s="220" t="s">
        <v>38</v>
      </c>
      <c r="S115" s="221">
        <v>2026</v>
      </c>
      <c r="T115" s="216" t="s">
        <v>1315</v>
      </c>
      <c r="U115" s="240" t="s">
        <v>1271</v>
      </c>
      <c r="V115" s="242"/>
      <c r="W115" s="237"/>
      <c r="X115" s="241">
        <v>1</v>
      </c>
      <c r="Y115" s="244"/>
      <c r="Z115" s="244"/>
      <c r="AA115" s="244"/>
      <c r="AB115" s="244"/>
      <c r="AC115" s="244"/>
      <c r="AD115" s="244" t="s">
        <v>422</v>
      </c>
      <c r="AE115" s="244"/>
      <c r="AF115" s="244"/>
      <c r="AG115" s="244"/>
      <c r="AH115" s="244"/>
      <c r="AI115" s="244"/>
      <c r="AJ115" s="221"/>
    </row>
    <row r="116" spans="1:36" s="232" customFormat="1" hidden="1">
      <c r="A116" s="240" t="s">
        <v>762</v>
      </c>
      <c r="B116" s="240" t="s">
        <v>805</v>
      </c>
      <c r="C116" s="216" t="s">
        <v>27</v>
      </c>
      <c r="D116" s="216" t="s">
        <v>28</v>
      </c>
      <c r="E116" s="240" t="s">
        <v>970</v>
      </c>
      <c r="F116" s="240" t="s">
        <v>909</v>
      </c>
      <c r="G116" s="242" t="s">
        <v>971</v>
      </c>
      <c r="H116" s="243">
        <v>1636928</v>
      </c>
      <c r="I116" s="242">
        <v>75239</v>
      </c>
      <c r="J116" s="219">
        <v>2025</v>
      </c>
      <c r="K116" s="220">
        <v>10</v>
      </c>
      <c r="L116" s="220">
        <f t="shared" si="4"/>
        <v>9</v>
      </c>
      <c r="M116" s="216" t="s">
        <v>439</v>
      </c>
      <c r="N116" s="216" t="s">
        <v>440</v>
      </c>
      <c r="O116" s="240" t="s">
        <v>425</v>
      </c>
      <c r="P116" s="216" t="s">
        <v>38</v>
      </c>
      <c r="Q116" s="220">
        <v>2026</v>
      </c>
      <c r="R116" s="220" t="s">
        <v>38</v>
      </c>
      <c r="S116" s="221">
        <v>2026</v>
      </c>
      <c r="T116" s="216" t="s">
        <v>1315</v>
      </c>
      <c r="U116" s="240" t="s">
        <v>1271</v>
      </c>
      <c r="V116" s="242"/>
      <c r="W116" s="237"/>
      <c r="X116" s="241">
        <v>1</v>
      </c>
      <c r="Y116" s="244"/>
      <c r="Z116" s="244"/>
      <c r="AA116" s="244"/>
      <c r="AB116" s="244"/>
      <c r="AC116" s="244"/>
      <c r="AD116" s="244" t="s">
        <v>422</v>
      </c>
      <c r="AE116" s="244"/>
      <c r="AF116" s="244"/>
      <c r="AG116" s="244"/>
      <c r="AH116" s="244"/>
      <c r="AI116" s="244"/>
      <c r="AJ116" s="221"/>
    </row>
    <row r="117" spans="1:36" s="222" customFormat="1" hidden="1">
      <c r="A117" s="240" t="s">
        <v>762</v>
      </c>
      <c r="B117" s="240" t="s">
        <v>805</v>
      </c>
      <c r="C117" s="216" t="s">
        <v>27</v>
      </c>
      <c r="D117" s="216" t="s">
        <v>28</v>
      </c>
      <c r="E117" s="240" t="s">
        <v>970</v>
      </c>
      <c r="F117" s="240" t="s">
        <v>909</v>
      </c>
      <c r="G117" s="242" t="s">
        <v>971</v>
      </c>
      <c r="H117" s="243">
        <v>1636915</v>
      </c>
      <c r="I117" s="242">
        <v>75240</v>
      </c>
      <c r="J117" s="219">
        <v>2025</v>
      </c>
      <c r="K117" s="220">
        <v>10</v>
      </c>
      <c r="L117" s="220">
        <f t="shared" si="4"/>
        <v>9</v>
      </c>
      <c r="M117" s="216" t="s">
        <v>439</v>
      </c>
      <c r="N117" s="216" t="s">
        <v>440</v>
      </c>
      <c r="O117" s="240" t="s">
        <v>425</v>
      </c>
      <c r="P117" s="216" t="s">
        <v>38</v>
      </c>
      <c r="Q117" s="220">
        <v>2026</v>
      </c>
      <c r="R117" s="220" t="s">
        <v>38</v>
      </c>
      <c r="S117" s="221">
        <v>2026</v>
      </c>
      <c r="T117" s="216" t="s">
        <v>1315</v>
      </c>
      <c r="U117" s="240" t="s">
        <v>1271</v>
      </c>
      <c r="V117" s="242"/>
      <c r="W117" s="237"/>
      <c r="X117" s="241">
        <v>1</v>
      </c>
      <c r="Y117" s="244"/>
      <c r="Z117" s="244"/>
      <c r="AA117" s="244"/>
      <c r="AB117" s="244"/>
      <c r="AC117" s="244"/>
      <c r="AD117" s="244" t="s">
        <v>422</v>
      </c>
      <c r="AE117" s="244"/>
      <c r="AF117" s="244"/>
      <c r="AG117" s="244"/>
      <c r="AH117" s="244"/>
      <c r="AI117" s="244"/>
      <c r="AJ117" s="221"/>
    </row>
    <row r="118" spans="1:36" s="229" customFormat="1" ht="14.5" hidden="1">
      <c r="A118" s="240" t="s">
        <v>762</v>
      </c>
      <c r="B118" s="240" t="s">
        <v>806</v>
      </c>
      <c r="C118" s="216" t="s">
        <v>27</v>
      </c>
      <c r="D118" s="216" t="s">
        <v>28</v>
      </c>
      <c r="E118" s="240" t="s">
        <v>970</v>
      </c>
      <c r="F118" s="240" t="s">
        <v>909</v>
      </c>
      <c r="G118" s="242" t="s">
        <v>971</v>
      </c>
      <c r="H118" s="243">
        <v>1636914</v>
      </c>
      <c r="I118" s="242">
        <v>75236</v>
      </c>
      <c r="J118" s="219">
        <v>2025</v>
      </c>
      <c r="K118" s="220">
        <v>10</v>
      </c>
      <c r="L118" s="220">
        <f t="shared" si="4"/>
        <v>9</v>
      </c>
      <c r="M118" s="216" t="s">
        <v>439</v>
      </c>
      <c r="N118" s="216" t="s">
        <v>440</v>
      </c>
      <c r="O118" s="240" t="s">
        <v>425</v>
      </c>
      <c r="P118" s="216" t="s">
        <v>38</v>
      </c>
      <c r="Q118" s="220">
        <v>2026</v>
      </c>
      <c r="R118" s="220" t="s">
        <v>38</v>
      </c>
      <c r="S118" s="221">
        <v>2026</v>
      </c>
      <c r="T118" s="216" t="s">
        <v>1315</v>
      </c>
      <c r="U118" s="240" t="s">
        <v>1271</v>
      </c>
      <c r="V118" s="242"/>
      <c r="W118" s="237"/>
      <c r="X118" s="241">
        <v>1</v>
      </c>
      <c r="Y118" s="244"/>
      <c r="Z118" s="244"/>
      <c r="AA118" s="244"/>
      <c r="AB118" s="244"/>
      <c r="AC118" s="244"/>
      <c r="AD118" s="244" t="s">
        <v>422</v>
      </c>
      <c r="AE118" s="244"/>
      <c r="AF118" s="244"/>
      <c r="AG118" s="244"/>
      <c r="AH118" s="244"/>
      <c r="AI118" s="244"/>
      <c r="AJ118" s="221"/>
    </row>
    <row r="119" spans="1:36" s="222" customFormat="1" hidden="1">
      <c r="A119" s="240" t="s">
        <v>762</v>
      </c>
      <c r="B119" s="240" t="s">
        <v>807</v>
      </c>
      <c r="C119" s="216" t="s">
        <v>27</v>
      </c>
      <c r="D119" s="216" t="s">
        <v>28</v>
      </c>
      <c r="E119" s="240" t="s">
        <v>970</v>
      </c>
      <c r="F119" s="240" t="s">
        <v>909</v>
      </c>
      <c r="G119" s="242" t="s">
        <v>971</v>
      </c>
      <c r="H119" s="243">
        <v>1636909</v>
      </c>
      <c r="I119" s="242">
        <v>75234</v>
      </c>
      <c r="J119" s="219">
        <v>2025</v>
      </c>
      <c r="K119" s="220">
        <v>10</v>
      </c>
      <c r="L119" s="220">
        <f t="shared" si="4"/>
        <v>9</v>
      </c>
      <c r="M119" s="216" t="s">
        <v>439</v>
      </c>
      <c r="N119" s="216" t="s">
        <v>440</v>
      </c>
      <c r="O119" s="240" t="s">
        <v>425</v>
      </c>
      <c r="P119" s="216" t="s">
        <v>38</v>
      </c>
      <c r="Q119" s="220">
        <v>2026</v>
      </c>
      <c r="R119" s="220" t="s">
        <v>38</v>
      </c>
      <c r="S119" s="221">
        <v>2026</v>
      </c>
      <c r="T119" s="216" t="s">
        <v>1315</v>
      </c>
      <c r="U119" s="240" t="s">
        <v>1271</v>
      </c>
      <c r="V119" s="242"/>
      <c r="W119" s="237"/>
      <c r="X119" s="241">
        <v>1</v>
      </c>
      <c r="Y119" s="244"/>
      <c r="Z119" s="244"/>
      <c r="AA119" s="244"/>
      <c r="AB119" s="244"/>
      <c r="AC119" s="244"/>
      <c r="AD119" s="244" t="s">
        <v>422</v>
      </c>
      <c r="AE119" s="244"/>
      <c r="AF119" s="244"/>
      <c r="AG119" s="244"/>
      <c r="AH119" s="244"/>
      <c r="AI119" s="244"/>
      <c r="AJ119" s="221"/>
    </row>
    <row r="120" spans="1:36" s="222" customFormat="1" hidden="1">
      <c r="A120" s="240" t="s">
        <v>507</v>
      </c>
      <c r="B120" s="240" t="s">
        <v>759</v>
      </c>
      <c r="C120" s="216" t="s">
        <v>1310</v>
      </c>
      <c r="D120" s="216" t="s">
        <v>317</v>
      </c>
      <c r="E120" s="240" t="s">
        <v>972</v>
      </c>
      <c r="F120" s="240" t="s">
        <v>973</v>
      </c>
      <c r="G120" s="242" t="s">
        <v>974</v>
      </c>
      <c r="H120" s="243" t="s">
        <v>975</v>
      </c>
      <c r="I120" s="242">
        <v>75065</v>
      </c>
      <c r="J120" s="219">
        <v>2025</v>
      </c>
      <c r="K120" s="220">
        <v>10</v>
      </c>
      <c r="L120" s="220">
        <f t="shared" si="4"/>
        <v>9</v>
      </c>
      <c r="M120" s="216" t="s">
        <v>439</v>
      </c>
      <c r="N120" s="216" t="s">
        <v>440</v>
      </c>
      <c r="O120" s="216" t="s">
        <v>464</v>
      </c>
      <c r="P120" s="216" t="s">
        <v>38</v>
      </c>
      <c r="Q120" s="220">
        <v>2026</v>
      </c>
      <c r="R120" s="220" t="s">
        <v>38</v>
      </c>
      <c r="S120" s="221">
        <v>2026</v>
      </c>
      <c r="T120" s="216" t="s">
        <v>1315</v>
      </c>
      <c r="U120" s="240" t="s">
        <v>1275</v>
      </c>
      <c r="V120" s="242"/>
      <c r="W120" s="237"/>
      <c r="X120" s="241">
        <v>1</v>
      </c>
      <c r="Y120" s="244"/>
      <c r="Z120" s="244"/>
      <c r="AA120" s="244"/>
      <c r="AB120" s="244" t="s">
        <v>422</v>
      </c>
      <c r="AC120" s="244"/>
      <c r="AD120" s="244"/>
      <c r="AE120" s="244"/>
      <c r="AF120" s="244"/>
      <c r="AG120" s="244"/>
      <c r="AH120" s="244"/>
      <c r="AI120" s="244"/>
      <c r="AJ120" s="221"/>
    </row>
    <row r="121" spans="1:36" s="222" customFormat="1" hidden="1">
      <c r="A121" s="240" t="s">
        <v>507</v>
      </c>
      <c r="B121" s="240" t="s">
        <v>750</v>
      </c>
      <c r="C121" s="216" t="s">
        <v>1310</v>
      </c>
      <c r="D121" s="216" t="s">
        <v>317</v>
      </c>
      <c r="E121" s="240" t="s">
        <v>976</v>
      </c>
      <c r="F121" s="240" t="s">
        <v>977</v>
      </c>
      <c r="G121" s="242">
        <v>5702</v>
      </c>
      <c r="H121" s="243" t="s">
        <v>978</v>
      </c>
      <c r="I121" s="242">
        <v>75186</v>
      </c>
      <c r="J121" s="219">
        <v>2025</v>
      </c>
      <c r="K121" s="220">
        <v>10</v>
      </c>
      <c r="L121" s="220">
        <f t="shared" si="4"/>
        <v>9</v>
      </c>
      <c r="M121" s="216" t="s">
        <v>439</v>
      </c>
      <c r="N121" s="216" t="s">
        <v>440</v>
      </c>
      <c r="O121" s="216" t="s">
        <v>464</v>
      </c>
      <c r="P121" s="216" t="s">
        <v>38</v>
      </c>
      <c r="Q121" s="220">
        <v>2027</v>
      </c>
      <c r="R121" s="220" t="s">
        <v>38</v>
      </c>
      <c r="S121" s="221">
        <v>2026</v>
      </c>
      <c r="T121" s="216" t="s">
        <v>1315</v>
      </c>
      <c r="U121" s="240" t="s">
        <v>1257</v>
      </c>
      <c r="V121" s="242"/>
      <c r="W121" s="237"/>
      <c r="X121" s="241">
        <v>1</v>
      </c>
      <c r="Y121" s="244"/>
      <c r="Z121" s="244"/>
      <c r="AA121" s="244"/>
      <c r="AB121" s="244"/>
      <c r="AC121" s="244"/>
      <c r="AD121" s="244" t="s">
        <v>422</v>
      </c>
      <c r="AE121" s="244"/>
      <c r="AF121" s="244"/>
      <c r="AG121" s="244"/>
      <c r="AH121" s="244"/>
      <c r="AI121" s="244"/>
      <c r="AJ121" s="221"/>
    </row>
    <row r="122" spans="1:36" s="222" customFormat="1" hidden="1">
      <c r="A122" s="240" t="s">
        <v>507</v>
      </c>
      <c r="B122" s="240" t="s">
        <v>751</v>
      </c>
      <c r="C122" s="216" t="s">
        <v>1310</v>
      </c>
      <c r="D122" s="216" t="s">
        <v>317</v>
      </c>
      <c r="E122" s="240" t="s">
        <v>979</v>
      </c>
      <c r="F122" s="240" t="s">
        <v>977</v>
      </c>
      <c r="G122" s="242">
        <v>5702</v>
      </c>
      <c r="H122" s="243" t="s">
        <v>980</v>
      </c>
      <c r="I122" s="242">
        <v>75184</v>
      </c>
      <c r="J122" s="219">
        <v>2025</v>
      </c>
      <c r="K122" s="220">
        <v>10</v>
      </c>
      <c r="L122" s="220">
        <f t="shared" si="4"/>
        <v>9</v>
      </c>
      <c r="M122" s="216" t="s">
        <v>439</v>
      </c>
      <c r="N122" s="216" t="s">
        <v>440</v>
      </c>
      <c r="O122" s="216" t="s">
        <v>464</v>
      </c>
      <c r="P122" s="216" t="s">
        <v>38</v>
      </c>
      <c r="Q122" s="220">
        <v>2027</v>
      </c>
      <c r="R122" s="220" t="s">
        <v>38</v>
      </c>
      <c r="S122" s="221">
        <v>2026</v>
      </c>
      <c r="T122" s="216" t="s">
        <v>1315</v>
      </c>
      <c r="U122" s="240" t="s">
        <v>1257</v>
      </c>
      <c r="V122" s="242"/>
      <c r="W122" s="237"/>
      <c r="X122" s="241">
        <v>1</v>
      </c>
      <c r="Y122" s="244"/>
      <c r="Z122" s="244"/>
      <c r="AA122" s="244"/>
      <c r="AB122" s="244"/>
      <c r="AC122" s="244"/>
      <c r="AD122" s="244" t="s">
        <v>422</v>
      </c>
      <c r="AE122" s="244"/>
      <c r="AF122" s="244"/>
      <c r="AG122" s="244"/>
      <c r="AH122" s="244"/>
      <c r="AI122" s="244"/>
      <c r="AJ122" s="221"/>
    </row>
    <row r="123" spans="1:36" s="222" customFormat="1" hidden="1">
      <c r="A123" s="240" t="s">
        <v>507</v>
      </c>
      <c r="B123" s="240" t="s">
        <v>750</v>
      </c>
      <c r="C123" s="216" t="s">
        <v>1310</v>
      </c>
      <c r="D123" s="216" t="s">
        <v>317</v>
      </c>
      <c r="E123" s="240" t="s">
        <v>979</v>
      </c>
      <c r="F123" s="240" t="s">
        <v>977</v>
      </c>
      <c r="G123" s="242">
        <v>5702</v>
      </c>
      <c r="H123" s="243" t="s">
        <v>981</v>
      </c>
      <c r="I123" s="242">
        <v>75185</v>
      </c>
      <c r="J123" s="219">
        <v>2025</v>
      </c>
      <c r="K123" s="220">
        <v>10</v>
      </c>
      <c r="L123" s="220">
        <f t="shared" si="4"/>
        <v>9</v>
      </c>
      <c r="M123" s="216" t="s">
        <v>439</v>
      </c>
      <c r="N123" s="216" t="s">
        <v>440</v>
      </c>
      <c r="O123" s="216" t="s">
        <v>464</v>
      </c>
      <c r="P123" s="216" t="s">
        <v>38</v>
      </c>
      <c r="Q123" s="220">
        <v>2027</v>
      </c>
      <c r="R123" s="220" t="s">
        <v>38</v>
      </c>
      <c r="S123" s="221">
        <v>2026</v>
      </c>
      <c r="T123" s="216" t="s">
        <v>1315</v>
      </c>
      <c r="U123" s="240" t="s">
        <v>1257</v>
      </c>
      <c r="V123" s="242"/>
      <c r="W123" s="237"/>
      <c r="X123" s="241">
        <v>1</v>
      </c>
      <c r="Y123" s="244"/>
      <c r="Z123" s="244"/>
      <c r="AA123" s="244"/>
      <c r="AB123" s="244"/>
      <c r="AC123" s="244"/>
      <c r="AD123" s="244" t="s">
        <v>422</v>
      </c>
      <c r="AE123" s="244"/>
      <c r="AF123" s="244"/>
      <c r="AG123" s="244"/>
      <c r="AH123" s="244"/>
      <c r="AI123" s="244"/>
      <c r="AJ123" s="221"/>
    </row>
    <row r="124" spans="1:36" s="222" customFormat="1" hidden="1">
      <c r="A124" s="240" t="s">
        <v>752</v>
      </c>
      <c r="B124" s="240" t="s">
        <v>753</v>
      </c>
      <c r="C124" s="216" t="s">
        <v>442</v>
      </c>
      <c r="D124" s="216" t="s">
        <v>1311</v>
      </c>
      <c r="E124" s="240" t="s">
        <v>982</v>
      </c>
      <c r="F124" s="240" t="s">
        <v>848</v>
      </c>
      <c r="G124" s="242">
        <v>2482</v>
      </c>
      <c r="H124" s="243" t="s">
        <v>983</v>
      </c>
      <c r="I124" s="242">
        <v>76090</v>
      </c>
      <c r="J124" s="219">
        <v>2025</v>
      </c>
      <c r="K124" s="220">
        <v>10</v>
      </c>
      <c r="L124" s="220">
        <f t="shared" si="4"/>
        <v>9</v>
      </c>
      <c r="M124" s="216" t="s">
        <v>439</v>
      </c>
      <c r="N124" s="216" t="s">
        <v>440</v>
      </c>
      <c r="O124" s="240" t="s">
        <v>425</v>
      </c>
      <c r="P124" s="216" t="s">
        <v>38</v>
      </c>
      <c r="Q124" s="220">
        <v>2026</v>
      </c>
      <c r="R124" s="220" t="s">
        <v>37</v>
      </c>
      <c r="S124" s="221">
        <v>2027</v>
      </c>
      <c r="T124" s="216"/>
      <c r="U124" s="240" t="s">
        <v>1259</v>
      </c>
      <c r="V124" s="242"/>
      <c r="W124" s="237"/>
      <c r="X124" s="241">
        <v>0</v>
      </c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21"/>
    </row>
    <row r="125" spans="1:36" s="222" customFormat="1" hidden="1">
      <c r="A125" s="216" t="s">
        <v>1478</v>
      </c>
      <c r="B125" s="216" t="s">
        <v>1479</v>
      </c>
      <c r="C125" s="216" t="s">
        <v>27</v>
      </c>
      <c r="D125" s="216" t="s">
        <v>28</v>
      </c>
      <c r="E125" s="240" t="s">
        <v>1482</v>
      </c>
      <c r="F125" s="246" t="s">
        <v>1372</v>
      </c>
      <c r="G125" s="245" t="s">
        <v>1373</v>
      </c>
      <c r="H125" s="243" t="s">
        <v>1374</v>
      </c>
      <c r="I125" s="245">
        <v>74179</v>
      </c>
      <c r="J125" s="219">
        <v>2015</v>
      </c>
      <c r="K125" s="220">
        <v>10</v>
      </c>
      <c r="L125" s="220">
        <v>0</v>
      </c>
      <c r="M125" s="216" t="s">
        <v>439</v>
      </c>
      <c r="N125" s="216" t="s">
        <v>440</v>
      </c>
      <c r="O125" s="216" t="s">
        <v>425</v>
      </c>
      <c r="P125" s="216" t="s">
        <v>37</v>
      </c>
      <c r="Q125" s="220" t="s">
        <v>421</v>
      </c>
      <c r="R125" s="220" t="s">
        <v>38</v>
      </c>
      <c r="S125" s="221">
        <v>2025</v>
      </c>
      <c r="T125" s="216" t="s">
        <v>1315</v>
      </c>
      <c r="U125" s="240" t="s">
        <v>1328</v>
      </c>
      <c r="V125" s="245"/>
      <c r="W125" s="237">
        <v>246971.63009404388</v>
      </c>
      <c r="X125" s="247">
        <v>1</v>
      </c>
      <c r="Y125" s="248"/>
      <c r="Z125" s="248"/>
      <c r="AA125" s="248"/>
      <c r="AB125" s="248"/>
      <c r="AC125" s="248"/>
      <c r="AD125" s="248"/>
      <c r="AE125" s="248"/>
      <c r="AF125" s="244"/>
      <c r="AG125" s="248"/>
      <c r="AH125" s="248"/>
      <c r="AI125" s="248"/>
      <c r="AJ125" s="248" t="s">
        <v>422</v>
      </c>
    </row>
    <row r="126" spans="1:36" s="222" customFormat="1" hidden="1">
      <c r="A126" s="240" t="s">
        <v>762</v>
      </c>
      <c r="B126" s="240" t="s">
        <v>763</v>
      </c>
      <c r="C126" s="216" t="s">
        <v>27</v>
      </c>
      <c r="D126" s="216" t="s">
        <v>1311</v>
      </c>
      <c r="E126" s="240" t="s">
        <v>984</v>
      </c>
      <c r="F126" s="240" t="s">
        <v>916</v>
      </c>
      <c r="G126" s="242" t="s">
        <v>985</v>
      </c>
      <c r="H126" s="243" t="s">
        <v>986</v>
      </c>
      <c r="I126" s="242">
        <v>75101</v>
      </c>
      <c r="J126" s="219">
        <v>2025</v>
      </c>
      <c r="K126" s="220">
        <v>10</v>
      </c>
      <c r="L126" s="220">
        <f t="shared" ref="L126:L131" si="5">K126-($B$9-J126)</f>
        <v>9</v>
      </c>
      <c r="M126" s="216" t="s">
        <v>439</v>
      </c>
      <c r="N126" s="216" t="s">
        <v>440</v>
      </c>
      <c r="O126" s="240" t="s">
        <v>421</v>
      </c>
      <c r="P126" s="216" t="s">
        <v>38</v>
      </c>
      <c r="Q126" s="220">
        <v>2027</v>
      </c>
      <c r="R126" s="220" t="s">
        <v>38</v>
      </c>
      <c r="S126" s="221">
        <v>2026</v>
      </c>
      <c r="T126" s="216" t="s">
        <v>1315</v>
      </c>
      <c r="U126" s="240" t="s">
        <v>1271</v>
      </c>
      <c r="V126" s="242"/>
      <c r="W126" s="237"/>
      <c r="X126" s="241">
        <v>1</v>
      </c>
      <c r="Y126" s="244"/>
      <c r="Z126" s="244"/>
      <c r="AA126" s="244"/>
      <c r="AB126" s="244"/>
      <c r="AC126" s="244"/>
      <c r="AD126" s="244" t="s">
        <v>422</v>
      </c>
      <c r="AE126" s="244"/>
      <c r="AF126" s="244"/>
      <c r="AG126" s="244"/>
      <c r="AH126" s="244"/>
      <c r="AI126" s="244"/>
      <c r="AJ126" s="221"/>
    </row>
    <row r="127" spans="1:36" s="222" customFormat="1" hidden="1">
      <c r="A127" s="240" t="s">
        <v>762</v>
      </c>
      <c r="B127" s="240" t="s">
        <v>809</v>
      </c>
      <c r="C127" s="216" t="s">
        <v>27</v>
      </c>
      <c r="D127" s="216" t="s">
        <v>1311</v>
      </c>
      <c r="E127" s="240" t="s">
        <v>984</v>
      </c>
      <c r="F127" s="240" t="s">
        <v>916</v>
      </c>
      <c r="G127" s="242" t="s">
        <v>985</v>
      </c>
      <c r="H127" s="243" t="s">
        <v>987</v>
      </c>
      <c r="I127" s="242">
        <v>75093</v>
      </c>
      <c r="J127" s="219">
        <v>2025</v>
      </c>
      <c r="K127" s="220">
        <v>10</v>
      </c>
      <c r="L127" s="220">
        <f t="shared" si="5"/>
        <v>9</v>
      </c>
      <c r="M127" s="216" t="s">
        <v>439</v>
      </c>
      <c r="N127" s="216" t="s">
        <v>440</v>
      </c>
      <c r="O127" s="240" t="s">
        <v>421</v>
      </c>
      <c r="P127" s="216" t="s">
        <v>38</v>
      </c>
      <c r="Q127" s="220">
        <v>2027</v>
      </c>
      <c r="R127" s="220" t="s">
        <v>38</v>
      </c>
      <c r="S127" s="221">
        <v>2026</v>
      </c>
      <c r="T127" s="216" t="s">
        <v>1315</v>
      </c>
      <c r="U127" s="240" t="s">
        <v>1271</v>
      </c>
      <c r="V127" s="242"/>
      <c r="W127" s="237"/>
      <c r="X127" s="241">
        <v>1</v>
      </c>
      <c r="Y127" s="244"/>
      <c r="Z127" s="244"/>
      <c r="AA127" s="244"/>
      <c r="AB127" s="244"/>
      <c r="AC127" s="244"/>
      <c r="AD127" s="244" t="s">
        <v>422</v>
      </c>
      <c r="AE127" s="244"/>
      <c r="AF127" s="244"/>
      <c r="AG127" s="244"/>
      <c r="AH127" s="244"/>
      <c r="AI127" s="244"/>
      <c r="AJ127" s="221"/>
    </row>
    <row r="128" spans="1:36" s="222" customFormat="1" hidden="1">
      <c r="A128" s="240" t="s">
        <v>762</v>
      </c>
      <c r="B128" s="240" t="s">
        <v>763</v>
      </c>
      <c r="C128" s="216" t="s">
        <v>27</v>
      </c>
      <c r="D128" s="216" t="s">
        <v>28</v>
      </c>
      <c r="E128" s="240" t="s">
        <v>988</v>
      </c>
      <c r="F128" s="240" t="s">
        <v>989</v>
      </c>
      <c r="G128" s="242" t="s">
        <v>990</v>
      </c>
      <c r="H128" s="243" t="s">
        <v>991</v>
      </c>
      <c r="I128" s="242">
        <v>75107</v>
      </c>
      <c r="J128" s="219">
        <v>2025</v>
      </c>
      <c r="K128" s="220">
        <v>10</v>
      </c>
      <c r="L128" s="220">
        <f t="shared" si="5"/>
        <v>9</v>
      </c>
      <c r="M128" s="216" t="s">
        <v>439</v>
      </c>
      <c r="N128" s="216" t="s">
        <v>440</v>
      </c>
      <c r="O128" s="240" t="s">
        <v>425</v>
      </c>
      <c r="P128" s="216" t="s">
        <v>38</v>
      </c>
      <c r="Q128" s="220">
        <v>2026</v>
      </c>
      <c r="R128" s="220" t="s">
        <v>38</v>
      </c>
      <c r="S128" s="221">
        <v>2026</v>
      </c>
      <c r="T128" s="216" t="s">
        <v>1315</v>
      </c>
      <c r="U128" s="240" t="s">
        <v>1276</v>
      </c>
      <c r="V128" s="242"/>
      <c r="W128" s="237"/>
      <c r="X128" s="241">
        <v>1</v>
      </c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 t="s">
        <v>422</v>
      </c>
      <c r="AI128" s="244"/>
      <c r="AJ128" s="221"/>
    </row>
    <row r="129" spans="1:36" s="222" customFormat="1" ht="15" hidden="1" customHeight="1">
      <c r="A129" s="240" t="s">
        <v>764</v>
      </c>
      <c r="B129" s="240" t="s">
        <v>810</v>
      </c>
      <c r="C129" s="216" t="s">
        <v>27</v>
      </c>
      <c r="D129" s="216" t="s">
        <v>28</v>
      </c>
      <c r="E129" s="240" t="s">
        <v>992</v>
      </c>
      <c r="F129" s="240" t="s">
        <v>993</v>
      </c>
      <c r="G129" s="242" t="s">
        <v>994</v>
      </c>
      <c r="H129" s="243">
        <v>42826</v>
      </c>
      <c r="I129" s="242">
        <v>75109</v>
      </c>
      <c r="J129" s="219">
        <v>2025</v>
      </c>
      <c r="K129" s="220">
        <v>10</v>
      </c>
      <c r="L129" s="220">
        <f t="shared" si="5"/>
        <v>9</v>
      </c>
      <c r="M129" s="216" t="s">
        <v>439</v>
      </c>
      <c r="N129" s="216" t="s">
        <v>440</v>
      </c>
      <c r="O129" s="240" t="s">
        <v>425</v>
      </c>
      <c r="P129" s="216" t="s">
        <v>38</v>
      </c>
      <c r="Q129" s="220">
        <v>2027</v>
      </c>
      <c r="R129" s="220" t="s">
        <v>38</v>
      </c>
      <c r="S129" s="221">
        <v>2025</v>
      </c>
      <c r="T129" s="216" t="s">
        <v>1315</v>
      </c>
      <c r="U129" s="240" t="s">
        <v>1266</v>
      </c>
      <c r="V129" s="242"/>
      <c r="W129" s="237"/>
      <c r="X129" s="241">
        <v>1</v>
      </c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21" t="s">
        <v>422</v>
      </c>
    </row>
    <row r="130" spans="1:36" s="222" customFormat="1" hidden="1">
      <c r="A130" s="240" t="s">
        <v>811</v>
      </c>
      <c r="B130" s="240" t="s">
        <v>812</v>
      </c>
      <c r="C130" s="216" t="s">
        <v>55</v>
      </c>
      <c r="D130" s="216" t="s">
        <v>28</v>
      </c>
      <c r="E130" s="240" t="s">
        <v>1301</v>
      </c>
      <c r="F130" s="240" t="s">
        <v>995</v>
      </c>
      <c r="G130" s="242" t="s">
        <v>996</v>
      </c>
      <c r="H130" s="243" t="s">
        <v>997</v>
      </c>
      <c r="I130" s="242">
        <v>75154</v>
      </c>
      <c r="J130" s="219">
        <v>2025</v>
      </c>
      <c r="K130" s="220">
        <v>10</v>
      </c>
      <c r="L130" s="220">
        <f t="shared" si="5"/>
        <v>9</v>
      </c>
      <c r="M130" s="216" t="s">
        <v>439</v>
      </c>
      <c r="N130" s="216" t="s">
        <v>440</v>
      </c>
      <c r="O130" s="240" t="s">
        <v>36</v>
      </c>
      <c r="P130" s="216" t="s">
        <v>38</v>
      </c>
      <c r="Q130" s="220">
        <v>2032</v>
      </c>
      <c r="R130" s="220" t="s">
        <v>38</v>
      </c>
      <c r="S130" s="221">
        <v>2026</v>
      </c>
      <c r="T130" s="216" t="s">
        <v>1316</v>
      </c>
      <c r="U130" s="240" t="s">
        <v>323</v>
      </c>
      <c r="V130" s="242"/>
      <c r="W130" s="237"/>
      <c r="X130" s="241">
        <v>2</v>
      </c>
      <c r="Y130" s="244"/>
      <c r="Z130" s="244"/>
      <c r="AA130" s="244"/>
      <c r="AB130" s="244"/>
      <c r="AC130" s="244"/>
      <c r="AD130" s="244" t="s">
        <v>422</v>
      </c>
      <c r="AE130" s="244"/>
      <c r="AF130" s="244"/>
      <c r="AG130" s="244"/>
      <c r="AH130" s="244"/>
      <c r="AI130" s="244"/>
      <c r="AJ130" s="221" t="s">
        <v>422</v>
      </c>
    </row>
    <row r="131" spans="1:36" s="222" customFormat="1" hidden="1">
      <c r="A131" s="240" t="s">
        <v>752</v>
      </c>
      <c r="B131" s="240" t="s">
        <v>813</v>
      </c>
      <c r="C131" s="216" t="s">
        <v>55</v>
      </c>
      <c r="D131" s="216" t="s">
        <v>28</v>
      </c>
      <c r="E131" s="240" t="s">
        <v>1301</v>
      </c>
      <c r="F131" s="240" t="s">
        <v>995</v>
      </c>
      <c r="G131" s="242" t="s">
        <v>996</v>
      </c>
      <c r="H131" s="243" t="s">
        <v>998</v>
      </c>
      <c r="I131" s="242">
        <v>75155</v>
      </c>
      <c r="J131" s="219">
        <v>2025</v>
      </c>
      <c r="K131" s="220">
        <v>10</v>
      </c>
      <c r="L131" s="220">
        <f t="shared" si="5"/>
        <v>9</v>
      </c>
      <c r="M131" s="216" t="s">
        <v>439</v>
      </c>
      <c r="N131" s="216" t="s">
        <v>440</v>
      </c>
      <c r="O131" s="240" t="s">
        <v>36</v>
      </c>
      <c r="P131" s="216" t="s">
        <v>38</v>
      </c>
      <c r="Q131" s="220">
        <v>2032</v>
      </c>
      <c r="R131" s="220" t="s">
        <v>38</v>
      </c>
      <c r="S131" s="221">
        <v>2026</v>
      </c>
      <c r="T131" s="216" t="s">
        <v>1316</v>
      </c>
      <c r="U131" s="240" t="s">
        <v>323</v>
      </c>
      <c r="V131" s="242"/>
      <c r="W131" s="237"/>
      <c r="X131" s="241">
        <v>2</v>
      </c>
      <c r="Y131" s="244"/>
      <c r="Z131" s="244"/>
      <c r="AA131" s="244"/>
      <c r="AB131" s="244"/>
      <c r="AC131" s="244"/>
      <c r="AD131" s="244" t="s">
        <v>422</v>
      </c>
      <c r="AE131" s="244"/>
      <c r="AF131" s="244"/>
      <c r="AG131" s="244"/>
      <c r="AH131" s="244"/>
      <c r="AI131" s="244"/>
      <c r="AJ131" s="221" t="s">
        <v>422</v>
      </c>
    </row>
    <row r="132" spans="1:36" s="222" customFormat="1" hidden="1">
      <c r="A132" s="216" t="s">
        <v>1478</v>
      </c>
      <c r="B132" s="216" t="s">
        <v>1479</v>
      </c>
      <c r="C132" s="216" t="s">
        <v>55</v>
      </c>
      <c r="D132" s="216" t="s">
        <v>28</v>
      </c>
      <c r="E132" s="240" t="s">
        <v>1301</v>
      </c>
      <c r="F132" s="246" t="s">
        <v>1375</v>
      </c>
      <c r="G132" s="245" t="s">
        <v>1376</v>
      </c>
      <c r="H132" s="243" t="s">
        <v>1377</v>
      </c>
      <c r="I132" s="245"/>
      <c r="J132" s="219">
        <v>2015</v>
      </c>
      <c r="K132" s="220">
        <v>10</v>
      </c>
      <c r="L132" s="220">
        <v>0</v>
      </c>
      <c r="M132" s="216" t="s">
        <v>439</v>
      </c>
      <c r="N132" s="216" t="s">
        <v>440</v>
      </c>
      <c r="O132" s="216" t="s">
        <v>36</v>
      </c>
      <c r="P132" s="216" t="s">
        <v>37</v>
      </c>
      <c r="Q132" s="220" t="s">
        <v>421</v>
      </c>
      <c r="R132" s="220" t="s">
        <v>38</v>
      </c>
      <c r="S132" s="221">
        <v>2025</v>
      </c>
      <c r="T132" s="216" t="s">
        <v>1315</v>
      </c>
      <c r="U132" s="240" t="s">
        <v>1328</v>
      </c>
      <c r="V132" s="245"/>
      <c r="W132" s="237">
        <v>246971.63009404388</v>
      </c>
      <c r="X132" s="247">
        <v>2</v>
      </c>
      <c r="Y132" s="248"/>
      <c r="Z132" s="248"/>
      <c r="AA132" s="248"/>
      <c r="AB132" s="248"/>
      <c r="AC132" s="248"/>
      <c r="AD132" s="248" t="s">
        <v>422</v>
      </c>
      <c r="AE132" s="248"/>
      <c r="AF132" s="244"/>
      <c r="AG132" s="248"/>
      <c r="AH132" s="248"/>
      <c r="AI132" s="248"/>
      <c r="AJ132" s="248" t="s">
        <v>422</v>
      </c>
    </row>
    <row r="133" spans="1:36" s="222" customFormat="1" hidden="1">
      <c r="A133" s="216" t="s">
        <v>1478</v>
      </c>
      <c r="B133" s="216" t="s">
        <v>1479</v>
      </c>
      <c r="C133" s="216" t="s">
        <v>55</v>
      </c>
      <c r="D133" s="216" t="s">
        <v>28</v>
      </c>
      <c r="E133" s="240" t="s">
        <v>1301</v>
      </c>
      <c r="F133" s="246" t="s">
        <v>1375</v>
      </c>
      <c r="G133" s="245" t="s">
        <v>1376</v>
      </c>
      <c r="H133" s="243" t="s">
        <v>1378</v>
      </c>
      <c r="I133" s="245">
        <v>74134</v>
      </c>
      <c r="J133" s="219">
        <v>2015</v>
      </c>
      <c r="K133" s="220">
        <v>10</v>
      </c>
      <c r="L133" s="220">
        <v>0</v>
      </c>
      <c r="M133" s="216" t="s">
        <v>439</v>
      </c>
      <c r="N133" s="216" t="s">
        <v>440</v>
      </c>
      <c r="O133" s="216" t="s">
        <v>36</v>
      </c>
      <c r="P133" s="216" t="s">
        <v>37</v>
      </c>
      <c r="Q133" s="220" t="s">
        <v>421</v>
      </c>
      <c r="R133" s="220" t="s">
        <v>38</v>
      </c>
      <c r="S133" s="221">
        <v>2025</v>
      </c>
      <c r="T133" s="216" t="s">
        <v>1315</v>
      </c>
      <c r="U133" s="240" t="s">
        <v>1328</v>
      </c>
      <c r="V133" s="245"/>
      <c r="W133" s="237">
        <v>246971.63009404388</v>
      </c>
      <c r="X133" s="247">
        <v>2</v>
      </c>
      <c r="Y133" s="248"/>
      <c r="Z133" s="248"/>
      <c r="AA133" s="248"/>
      <c r="AB133" s="248"/>
      <c r="AC133" s="248"/>
      <c r="AD133" s="248" t="s">
        <v>422</v>
      </c>
      <c r="AE133" s="248"/>
      <c r="AF133" s="244"/>
      <c r="AG133" s="248"/>
      <c r="AH133" s="248"/>
      <c r="AI133" s="248"/>
      <c r="AJ133" s="248" t="s">
        <v>422</v>
      </c>
    </row>
    <row r="134" spans="1:36" s="222" customFormat="1" hidden="1">
      <c r="A134" s="216" t="s">
        <v>1478</v>
      </c>
      <c r="B134" s="216" t="s">
        <v>1479</v>
      </c>
      <c r="C134" s="216" t="s">
        <v>55</v>
      </c>
      <c r="D134" s="216" t="s">
        <v>28</v>
      </c>
      <c r="E134" s="240" t="s">
        <v>1301</v>
      </c>
      <c r="F134" s="246" t="s">
        <v>1375</v>
      </c>
      <c r="G134" s="245" t="s">
        <v>1379</v>
      </c>
      <c r="H134" s="243" t="s">
        <v>1380</v>
      </c>
      <c r="I134" s="245">
        <v>74135</v>
      </c>
      <c r="J134" s="219">
        <v>2015</v>
      </c>
      <c r="K134" s="220">
        <v>10</v>
      </c>
      <c r="L134" s="220">
        <v>0</v>
      </c>
      <c r="M134" s="216" t="s">
        <v>439</v>
      </c>
      <c r="N134" s="216" t="s">
        <v>440</v>
      </c>
      <c r="O134" s="216" t="s">
        <v>36</v>
      </c>
      <c r="P134" s="216" t="s">
        <v>37</v>
      </c>
      <c r="Q134" s="220" t="s">
        <v>421</v>
      </c>
      <c r="R134" s="220" t="s">
        <v>38</v>
      </c>
      <c r="S134" s="221">
        <v>2025</v>
      </c>
      <c r="T134" s="216" t="s">
        <v>1315</v>
      </c>
      <c r="U134" s="240" t="s">
        <v>1328</v>
      </c>
      <c r="V134" s="245"/>
      <c r="W134" s="237">
        <v>246971.63009404388</v>
      </c>
      <c r="X134" s="247">
        <v>2</v>
      </c>
      <c r="Y134" s="248"/>
      <c r="Z134" s="248"/>
      <c r="AA134" s="248"/>
      <c r="AB134" s="248"/>
      <c r="AC134" s="248"/>
      <c r="AD134" s="248" t="s">
        <v>422</v>
      </c>
      <c r="AE134" s="248"/>
      <c r="AF134" s="244"/>
      <c r="AG134" s="248"/>
      <c r="AH134" s="248"/>
      <c r="AI134" s="248"/>
      <c r="AJ134" s="248" t="s">
        <v>422</v>
      </c>
    </row>
    <row r="135" spans="1:36" s="222" customFormat="1" hidden="1">
      <c r="A135" s="216" t="s">
        <v>1478</v>
      </c>
      <c r="B135" s="216" t="s">
        <v>1479</v>
      </c>
      <c r="C135" s="216" t="s">
        <v>1312</v>
      </c>
      <c r="D135" s="216" t="s">
        <v>1311</v>
      </c>
      <c r="E135" s="240" t="s">
        <v>999</v>
      </c>
      <c r="F135" s="246" t="s">
        <v>1381</v>
      </c>
      <c r="G135" s="245" t="s">
        <v>1382</v>
      </c>
      <c r="H135" s="243" t="s">
        <v>1383</v>
      </c>
      <c r="I135" s="245"/>
      <c r="J135" s="219">
        <v>2010</v>
      </c>
      <c r="K135" s="220">
        <v>10</v>
      </c>
      <c r="L135" s="220">
        <v>-5</v>
      </c>
      <c r="M135" s="216" t="s">
        <v>439</v>
      </c>
      <c r="N135" s="216" t="s">
        <v>440</v>
      </c>
      <c r="O135" s="216" t="s">
        <v>425</v>
      </c>
      <c r="P135" s="216" t="s">
        <v>37</v>
      </c>
      <c r="Q135" s="220" t="s">
        <v>421</v>
      </c>
      <c r="R135" s="220" t="s">
        <v>37</v>
      </c>
      <c r="S135" s="221"/>
      <c r="T135" s="245" t="s">
        <v>1315</v>
      </c>
      <c r="U135" s="240"/>
      <c r="V135" s="245"/>
      <c r="W135" s="237"/>
      <c r="X135" s="247">
        <v>1</v>
      </c>
      <c r="Y135" s="248"/>
      <c r="Z135" s="248"/>
      <c r="AA135" s="248"/>
      <c r="AB135" s="248"/>
      <c r="AC135" s="248"/>
      <c r="AD135" s="248"/>
      <c r="AE135" s="248"/>
      <c r="AF135" s="244"/>
      <c r="AG135" s="248"/>
      <c r="AH135" s="248"/>
      <c r="AI135" s="248"/>
      <c r="AJ135" s="248" t="s">
        <v>422</v>
      </c>
    </row>
    <row r="136" spans="1:36" s="222" customFormat="1" hidden="1">
      <c r="A136" s="216" t="s">
        <v>1478</v>
      </c>
      <c r="B136" s="216" t="s">
        <v>1479</v>
      </c>
      <c r="C136" s="216" t="s">
        <v>1312</v>
      </c>
      <c r="D136" s="216" t="s">
        <v>1311</v>
      </c>
      <c r="E136" s="240" t="s">
        <v>999</v>
      </c>
      <c r="F136" s="246" t="s">
        <v>1384</v>
      </c>
      <c r="G136" s="245" t="s">
        <v>1385</v>
      </c>
      <c r="H136" s="243">
        <v>20221220</v>
      </c>
      <c r="I136" s="245">
        <v>74205</v>
      </c>
      <c r="J136" s="219">
        <v>2010</v>
      </c>
      <c r="K136" s="220">
        <v>10</v>
      </c>
      <c r="L136" s="220">
        <v>-5</v>
      </c>
      <c r="M136" s="216" t="s">
        <v>439</v>
      </c>
      <c r="N136" s="216" t="s">
        <v>440</v>
      </c>
      <c r="O136" s="216" t="s">
        <v>425</v>
      </c>
      <c r="P136" s="216" t="s">
        <v>37</v>
      </c>
      <c r="Q136" s="220" t="s">
        <v>421</v>
      </c>
      <c r="R136" s="220" t="s">
        <v>37</v>
      </c>
      <c r="S136" s="221"/>
      <c r="T136" s="245" t="s">
        <v>1315</v>
      </c>
      <c r="U136" s="240"/>
      <c r="V136" s="245"/>
      <c r="W136" s="237"/>
      <c r="X136" s="247">
        <v>1</v>
      </c>
      <c r="Y136" s="248"/>
      <c r="Z136" s="248"/>
      <c r="AA136" s="248"/>
      <c r="AB136" s="248"/>
      <c r="AC136" s="248"/>
      <c r="AD136" s="248"/>
      <c r="AE136" s="248"/>
      <c r="AF136" s="244"/>
      <c r="AG136" s="248"/>
      <c r="AH136" s="248"/>
      <c r="AI136" s="248"/>
      <c r="AJ136" s="248" t="s">
        <v>422</v>
      </c>
    </row>
    <row r="137" spans="1:36" s="222" customFormat="1" hidden="1">
      <c r="A137" s="240" t="s">
        <v>752</v>
      </c>
      <c r="B137" s="240" t="s">
        <v>790</v>
      </c>
      <c r="C137" s="216" t="s">
        <v>1312</v>
      </c>
      <c r="D137" s="216" t="s">
        <v>1311</v>
      </c>
      <c r="E137" s="240" t="s">
        <v>999</v>
      </c>
      <c r="F137" s="240" t="s">
        <v>742</v>
      </c>
      <c r="G137" s="242" t="s">
        <v>1000</v>
      </c>
      <c r="H137" s="243" t="s">
        <v>1001</v>
      </c>
      <c r="I137" s="242">
        <v>75277</v>
      </c>
      <c r="J137" s="219">
        <v>2025</v>
      </c>
      <c r="K137" s="220">
        <v>10</v>
      </c>
      <c r="L137" s="220">
        <f>K137-($B$9-J137)</f>
        <v>9</v>
      </c>
      <c r="M137" s="216" t="s">
        <v>439</v>
      </c>
      <c r="N137" s="216" t="s">
        <v>440</v>
      </c>
      <c r="O137" s="240" t="s">
        <v>425</v>
      </c>
      <c r="P137" s="216" t="s">
        <v>38</v>
      </c>
      <c r="Q137" s="220">
        <v>2027</v>
      </c>
      <c r="R137" s="220" t="s">
        <v>38</v>
      </c>
      <c r="S137" s="221">
        <v>2026</v>
      </c>
      <c r="T137" s="245" t="s">
        <v>1315</v>
      </c>
      <c r="U137" s="240" t="s">
        <v>1277</v>
      </c>
      <c r="V137" s="242"/>
      <c r="W137" s="237"/>
      <c r="X137" s="241">
        <v>2</v>
      </c>
      <c r="Y137" s="244" t="s">
        <v>432</v>
      </c>
      <c r="Z137" s="244"/>
      <c r="AA137" s="244"/>
      <c r="AB137" s="244"/>
      <c r="AC137" s="244"/>
      <c r="AD137" s="244"/>
      <c r="AE137" s="244" t="s">
        <v>422</v>
      </c>
      <c r="AF137" s="244"/>
      <c r="AG137" s="244"/>
      <c r="AH137" s="244"/>
      <c r="AI137" s="244"/>
      <c r="AJ137" s="221"/>
    </row>
    <row r="138" spans="1:36" s="222" customFormat="1" ht="15" hidden="1" customHeight="1">
      <c r="A138" s="242" t="s">
        <v>1307</v>
      </c>
      <c r="B138" s="240" t="s">
        <v>801</v>
      </c>
      <c r="C138" s="216" t="s">
        <v>1312</v>
      </c>
      <c r="D138" s="216" t="s">
        <v>1311</v>
      </c>
      <c r="E138" s="240" t="s">
        <v>999</v>
      </c>
      <c r="F138" s="240" t="s">
        <v>742</v>
      </c>
      <c r="G138" s="242" t="s">
        <v>1000</v>
      </c>
      <c r="H138" s="243" t="s">
        <v>1002</v>
      </c>
      <c r="I138" s="242">
        <v>75278</v>
      </c>
      <c r="J138" s="219">
        <v>2025</v>
      </c>
      <c r="K138" s="220">
        <v>10</v>
      </c>
      <c r="L138" s="220">
        <f>K138-($B$9-J138)</f>
        <v>9</v>
      </c>
      <c r="M138" s="216" t="s">
        <v>439</v>
      </c>
      <c r="N138" s="216" t="s">
        <v>440</v>
      </c>
      <c r="O138" s="240" t="s">
        <v>425</v>
      </c>
      <c r="P138" s="216" t="s">
        <v>38</v>
      </c>
      <c r="Q138" s="220">
        <v>2027</v>
      </c>
      <c r="R138" s="220" t="s">
        <v>38</v>
      </c>
      <c r="S138" s="221">
        <v>2026</v>
      </c>
      <c r="T138" s="245" t="s">
        <v>1315</v>
      </c>
      <c r="U138" s="240" t="s">
        <v>1277</v>
      </c>
      <c r="V138" s="242"/>
      <c r="W138" s="237"/>
      <c r="X138" s="241">
        <v>2</v>
      </c>
      <c r="Y138" s="244" t="s">
        <v>432</v>
      </c>
      <c r="Z138" s="244"/>
      <c r="AA138" s="244"/>
      <c r="AB138" s="244"/>
      <c r="AC138" s="244"/>
      <c r="AD138" s="244"/>
      <c r="AE138" s="244" t="s">
        <v>422</v>
      </c>
      <c r="AF138" s="244"/>
      <c r="AG138" s="244"/>
      <c r="AH138" s="244"/>
      <c r="AI138" s="244"/>
      <c r="AJ138" s="221"/>
    </row>
    <row r="139" spans="1:36" s="222" customFormat="1" hidden="1">
      <c r="A139" s="240" t="s">
        <v>764</v>
      </c>
      <c r="B139" s="240" t="s">
        <v>766</v>
      </c>
      <c r="C139" s="216" t="s">
        <v>1312</v>
      </c>
      <c r="D139" s="216" t="s">
        <v>1311</v>
      </c>
      <c r="E139" s="240" t="s">
        <v>999</v>
      </c>
      <c r="F139" s="240" t="s">
        <v>742</v>
      </c>
      <c r="G139" s="242" t="s">
        <v>1000</v>
      </c>
      <c r="H139" s="243" t="s">
        <v>1003</v>
      </c>
      <c r="I139" s="242">
        <v>75280</v>
      </c>
      <c r="J139" s="219">
        <v>2025</v>
      </c>
      <c r="K139" s="220">
        <v>10</v>
      </c>
      <c r="L139" s="220">
        <f>K139-($B$9-J139)</f>
        <v>9</v>
      </c>
      <c r="M139" s="216" t="s">
        <v>439</v>
      </c>
      <c r="N139" s="216" t="s">
        <v>440</v>
      </c>
      <c r="O139" s="240" t="s">
        <v>425</v>
      </c>
      <c r="P139" s="216" t="s">
        <v>38</v>
      </c>
      <c r="Q139" s="220">
        <v>2027</v>
      </c>
      <c r="R139" s="220" t="s">
        <v>38</v>
      </c>
      <c r="S139" s="221">
        <v>2026</v>
      </c>
      <c r="T139" s="245" t="s">
        <v>1315</v>
      </c>
      <c r="U139" s="240" t="s">
        <v>1277</v>
      </c>
      <c r="V139" s="242"/>
      <c r="W139" s="237"/>
      <c r="X139" s="241">
        <v>2</v>
      </c>
      <c r="Y139" s="244" t="s">
        <v>648</v>
      </c>
      <c r="Z139" s="244"/>
      <c r="AA139" s="244"/>
      <c r="AB139" s="244"/>
      <c r="AC139" s="244"/>
      <c r="AD139" s="244"/>
      <c r="AE139" s="244" t="s">
        <v>422</v>
      </c>
      <c r="AF139" s="244"/>
      <c r="AG139" s="244"/>
      <c r="AH139" s="244"/>
      <c r="AI139" s="244"/>
      <c r="AJ139" s="221"/>
    </row>
    <row r="140" spans="1:36" s="222" customFormat="1" hidden="1">
      <c r="A140" s="216" t="s">
        <v>1478</v>
      </c>
      <c r="B140" s="216" t="s">
        <v>1479</v>
      </c>
      <c r="C140" s="216" t="s">
        <v>1312</v>
      </c>
      <c r="D140" s="216" t="s">
        <v>1311</v>
      </c>
      <c r="E140" s="240" t="s">
        <v>999</v>
      </c>
      <c r="F140" s="246" t="s">
        <v>1396</v>
      </c>
      <c r="G140" s="245" t="s">
        <v>1397</v>
      </c>
      <c r="H140" s="243">
        <v>123</v>
      </c>
      <c r="I140" s="245">
        <v>74119</v>
      </c>
      <c r="J140" s="219">
        <v>2015</v>
      </c>
      <c r="K140" s="220">
        <v>10</v>
      </c>
      <c r="L140" s="220">
        <v>0</v>
      </c>
      <c r="M140" s="216" t="s">
        <v>439</v>
      </c>
      <c r="N140" s="216" t="s">
        <v>440</v>
      </c>
      <c r="O140" s="216" t="s">
        <v>425</v>
      </c>
      <c r="P140" s="216" t="s">
        <v>37</v>
      </c>
      <c r="Q140" s="220" t="s">
        <v>421</v>
      </c>
      <c r="R140" s="220" t="s">
        <v>38</v>
      </c>
      <c r="S140" s="221">
        <v>2025</v>
      </c>
      <c r="T140" s="217"/>
      <c r="U140" s="240" t="s">
        <v>1328</v>
      </c>
      <c r="V140" s="245"/>
      <c r="W140" s="237">
        <v>246971.63009404388</v>
      </c>
      <c r="X140" s="247">
        <v>1</v>
      </c>
      <c r="Y140" s="248"/>
      <c r="Z140" s="248"/>
      <c r="AA140" s="248"/>
      <c r="AB140" s="248"/>
      <c r="AC140" s="248"/>
      <c r="AD140" s="248"/>
      <c r="AE140" s="248"/>
      <c r="AF140" s="244"/>
      <c r="AG140" s="248"/>
      <c r="AH140" s="248"/>
      <c r="AI140" s="248"/>
      <c r="AJ140" s="248" t="s">
        <v>422</v>
      </c>
    </row>
    <row r="141" spans="1:36" s="222" customFormat="1" hidden="1">
      <c r="A141" s="216" t="s">
        <v>1478</v>
      </c>
      <c r="B141" s="216" t="s">
        <v>1479</v>
      </c>
      <c r="C141" s="216" t="s">
        <v>1312</v>
      </c>
      <c r="D141" s="216" t="s">
        <v>1311</v>
      </c>
      <c r="E141" s="240" t="s">
        <v>999</v>
      </c>
      <c r="F141" s="246" t="s">
        <v>1398</v>
      </c>
      <c r="G141" s="245" t="s">
        <v>1399</v>
      </c>
      <c r="H141" s="243" t="s">
        <v>1400</v>
      </c>
      <c r="I141" s="245"/>
      <c r="J141" s="219">
        <v>2015</v>
      </c>
      <c r="K141" s="220">
        <v>10</v>
      </c>
      <c r="L141" s="220">
        <v>0</v>
      </c>
      <c r="M141" s="216" t="s">
        <v>439</v>
      </c>
      <c r="N141" s="216" t="s">
        <v>440</v>
      </c>
      <c r="O141" s="216" t="s">
        <v>425</v>
      </c>
      <c r="P141" s="216" t="s">
        <v>37</v>
      </c>
      <c r="Q141" s="220" t="s">
        <v>421</v>
      </c>
      <c r="R141" s="220" t="s">
        <v>38</v>
      </c>
      <c r="S141" s="221">
        <v>2025</v>
      </c>
      <c r="T141" s="242"/>
      <c r="U141" s="240" t="s">
        <v>1328</v>
      </c>
      <c r="V141" s="245"/>
      <c r="W141" s="237">
        <v>246971.63009404388</v>
      </c>
      <c r="X141" s="247">
        <v>1</v>
      </c>
      <c r="Y141" s="248"/>
      <c r="Z141" s="248"/>
      <c r="AA141" s="248"/>
      <c r="AB141" s="248"/>
      <c r="AC141" s="248"/>
      <c r="AD141" s="248"/>
      <c r="AE141" s="248"/>
      <c r="AF141" s="244"/>
      <c r="AG141" s="248"/>
      <c r="AH141" s="248"/>
      <c r="AI141" s="248"/>
      <c r="AJ141" s="248" t="s">
        <v>422</v>
      </c>
    </row>
    <row r="142" spans="1:36" s="222" customFormat="1" hidden="1">
      <c r="A142" s="216" t="s">
        <v>1478</v>
      </c>
      <c r="B142" s="216" t="s">
        <v>1479</v>
      </c>
      <c r="C142" s="216" t="s">
        <v>1312</v>
      </c>
      <c r="D142" s="216" t="s">
        <v>1311</v>
      </c>
      <c r="E142" s="240" t="s">
        <v>999</v>
      </c>
      <c r="F142" s="246" t="s">
        <v>1384</v>
      </c>
      <c r="G142" s="245" t="s">
        <v>1401</v>
      </c>
      <c r="H142" s="243" t="s">
        <v>1402</v>
      </c>
      <c r="I142" s="245">
        <v>74120</v>
      </c>
      <c r="J142" s="219">
        <v>2015</v>
      </c>
      <c r="K142" s="220">
        <v>10</v>
      </c>
      <c r="L142" s="220">
        <v>0</v>
      </c>
      <c r="M142" s="216" t="s">
        <v>439</v>
      </c>
      <c r="N142" s="216" t="s">
        <v>440</v>
      </c>
      <c r="O142" s="216" t="s">
        <v>425</v>
      </c>
      <c r="P142" s="216" t="s">
        <v>37</v>
      </c>
      <c r="Q142" s="220" t="s">
        <v>421</v>
      </c>
      <c r="R142" s="220" t="s">
        <v>38</v>
      </c>
      <c r="S142" s="221">
        <v>2025</v>
      </c>
      <c r="T142" s="217"/>
      <c r="U142" s="240" t="s">
        <v>1328</v>
      </c>
      <c r="V142" s="245"/>
      <c r="W142" s="237">
        <v>246971.63009404388</v>
      </c>
      <c r="X142" s="247">
        <v>1</v>
      </c>
      <c r="Y142" s="248"/>
      <c r="Z142" s="248"/>
      <c r="AA142" s="248"/>
      <c r="AB142" s="248"/>
      <c r="AC142" s="248"/>
      <c r="AD142" s="248"/>
      <c r="AE142" s="248"/>
      <c r="AF142" s="244"/>
      <c r="AG142" s="248"/>
      <c r="AH142" s="248"/>
      <c r="AI142" s="248"/>
      <c r="AJ142" s="248" t="s">
        <v>422</v>
      </c>
    </row>
    <row r="143" spans="1:36" s="222" customFormat="1" hidden="1">
      <c r="A143" s="216" t="s">
        <v>1478</v>
      </c>
      <c r="B143" s="216" t="s">
        <v>1479</v>
      </c>
      <c r="C143" s="216" t="s">
        <v>1312</v>
      </c>
      <c r="D143" s="216" t="s">
        <v>1311</v>
      </c>
      <c r="E143" s="240" t="s">
        <v>999</v>
      </c>
      <c r="F143" s="246" t="s">
        <v>1384</v>
      </c>
      <c r="G143" s="245" t="s">
        <v>1403</v>
      </c>
      <c r="H143" s="243">
        <v>202201018</v>
      </c>
      <c r="I143" s="245">
        <v>74123</v>
      </c>
      <c r="J143" s="219">
        <v>2015</v>
      </c>
      <c r="K143" s="220">
        <v>10</v>
      </c>
      <c r="L143" s="220">
        <v>0</v>
      </c>
      <c r="M143" s="216" t="s">
        <v>439</v>
      </c>
      <c r="N143" s="216" t="s">
        <v>440</v>
      </c>
      <c r="O143" s="216" t="s">
        <v>425</v>
      </c>
      <c r="P143" s="216" t="s">
        <v>37</v>
      </c>
      <c r="Q143" s="220" t="s">
        <v>421</v>
      </c>
      <c r="R143" s="220" t="s">
        <v>38</v>
      </c>
      <c r="S143" s="221">
        <v>2025</v>
      </c>
      <c r="T143" s="217"/>
      <c r="U143" s="240" t="s">
        <v>1328</v>
      </c>
      <c r="V143" s="245"/>
      <c r="W143" s="237">
        <v>246971.63009404388</v>
      </c>
      <c r="X143" s="247">
        <v>1</v>
      </c>
      <c r="Y143" s="248"/>
      <c r="Z143" s="248"/>
      <c r="AA143" s="248"/>
      <c r="AB143" s="248"/>
      <c r="AC143" s="248"/>
      <c r="AD143" s="248"/>
      <c r="AE143" s="248"/>
      <c r="AF143" s="244"/>
      <c r="AG143" s="248"/>
      <c r="AH143" s="248"/>
      <c r="AI143" s="248"/>
      <c r="AJ143" s="248" t="s">
        <v>422</v>
      </c>
    </row>
    <row r="144" spans="1:36" s="222" customFormat="1" hidden="1">
      <c r="A144" s="216" t="s">
        <v>1478</v>
      </c>
      <c r="B144" s="216" t="s">
        <v>1479</v>
      </c>
      <c r="C144" s="216" t="s">
        <v>1312</v>
      </c>
      <c r="D144" s="216" t="s">
        <v>1311</v>
      </c>
      <c r="E144" s="240" t="s">
        <v>999</v>
      </c>
      <c r="F144" s="246" t="s">
        <v>1404</v>
      </c>
      <c r="G144" s="245" t="s">
        <v>1405</v>
      </c>
      <c r="H144" s="243" t="s">
        <v>1406</v>
      </c>
      <c r="I144" s="245">
        <v>74127</v>
      </c>
      <c r="J144" s="219">
        <v>2015</v>
      </c>
      <c r="K144" s="220">
        <v>10</v>
      </c>
      <c r="L144" s="220">
        <v>0</v>
      </c>
      <c r="M144" s="216" t="s">
        <v>439</v>
      </c>
      <c r="N144" s="216" t="s">
        <v>440</v>
      </c>
      <c r="O144" s="216" t="s">
        <v>425</v>
      </c>
      <c r="P144" s="216" t="s">
        <v>37</v>
      </c>
      <c r="Q144" s="220" t="s">
        <v>421</v>
      </c>
      <c r="R144" s="220" t="s">
        <v>38</v>
      </c>
      <c r="S144" s="221">
        <v>2025</v>
      </c>
      <c r="T144" s="245"/>
      <c r="U144" s="240" t="s">
        <v>1328</v>
      </c>
      <c r="V144" s="245"/>
      <c r="W144" s="237">
        <v>246971.63009404388</v>
      </c>
      <c r="X144" s="247">
        <v>1</v>
      </c>
      <c r="Y144" s="248"/>
      <c r="Z144" s="248"/>
      <c r="AA144" s="248"/>
      <c r="AB144" s="248"/>
      <c r="AC144" s="248"/>
      <c r="AD144" s="248"/>
      <c r="AE144" s="248"/>
      <c r="AF144" s="244"/>
      <c r="AG144" s="248"/>
      <c r="AH144" s="248"/>
      <c r="AI144" s="248"/>
      <c r="AJ144" s="248" t="s">
        <v>422</v>
      </c>
    </row>
    <row r="145" spans="1:36" s="222" customFormat="1" hidden="1">
      <c r="A145" s="216" t="s">
        <v>1478</v>
      </c>
      <c r="B145" s="216" t="s">
        <v>1479</v>
      </c>
      <c r="C145" s="216" t="s">
        <v>1312</v>
      </c>
      <c r="D145" s="216" t="s">
        <v>1311</v>
      </c>
      <c r="E145" s="240" t="s">
        <v>999</v>
      </c>
      <c r="F145" s="246" t="s">
        <v>1407</v>
      </c>
      <c r="G145" s="245" t="s">
        <v>1408</v>
      </c>
      <c r="H145" s="243" t="s">
        <v>1409</v>
      </c>
      <c r="I145" s="245">
        <v>74131</v>
      </c>
      <c r="J145" s="219">
        <v>2015</v>
      </c>
      <c r="K145" s="220">
        <v>10</v>
      </c>
      <c r="L145" s="220">
        <v>0</v>
      </c>
      <c r="M145" s="216" t="s">
        <v>509</v>
      </c>
      <c r="N145" s="216" t="s">
        <v>440</v>
      </c>
      <c r="O145" s="216" t="s">
        <v>425</v>
      </c>
      <c r="P145" s="216" t="s">
        <v>37</v>
      </c>
      <c r="Q145" s="220" t="s">
        <v>421</v>
      </c>
      <c r="R145" s="220" t="s">
        <v>38</v>
      </c>
      <c r="S145" s="221">
        <v>2025</v>
      </c>
      <c r="T145" s="245"/>
      <c r="U145" s="240" t="s">
        <v>1328</v>
      </c>
      <c r="V145" s="245"/>
      <c r="W145" s="237">
        <v>246971.63009404388</v>
      </c>
      <c r="X145" s="247">
        <v>1</v>
      </c>
      <c r="Y145" s="248"/>
      <c r="Z145" s="248"/>
      <c r="AA145" s="248"/>
      <c r="AB145" s="248"/>
      <c r="AC145" s="248"/>
      <c r="AD145" s="248"/>
      <c r="AE145" s="248"/>
      <c r="AF145" s="244"/>
      <c r="AG145" s="248"/>
      <c r="AH145" s="248"/>
      <c r="AI145" s="248"/>
      <c r="AJ145" s="248" t="s">
        <v>422</v>
      </c>
    </row>
    <row r="146" spans="1:36" s="233" customFormat="1" ht="14.5" hidden="1">
      <c r="A146" s="216" t="s">
        <v>1478</v>
      </c>
      <c r="B146" s="216" t="s">
        <v>1479</v>
      </c>
      <c r="C146" s="216" t="s">
        <v>1312</v>
      </c>
      <c r="D146" s="216" t="s">
        <v>1311</v>
      </c>
      <c r="E146" s="240" t="s">
        <v>999</v>
      </c>
      <c r="F146" s="246" t="s">
        <v>1384</v>
      </c>
      <c r="G146" s="245" t="s">
        <v>1410</v>
      </c>
      <c r="H146" s="243">
        <v>202209038</v>
      </c>
      <c r="I146" s="245">
        <v>74133</v>
      </c>
      <c r="J146" s="219">
        <v>2015</v>
      </c>
      <c r="K146" s="220">
        <v>10</v>
      </c>
      <c r="L146" s="220">
        <v>0</v>
      </c>
      <c r="M146" s="216" t="s">
        <v>439</v>
      </c>
      <c r="N146" s="216" t="s">
        <v>440</v>
      </c>
      <c r="O146" s="216" t="s">
        <v>425</v>
      </c>
      <c r="P146" s="216" t="s">
        <v>37</v>
      </c>
      <c r="Q146" s="220" t="s">
        <v>421</v>
      </c>
      <c r="R146" s="220" t="s">
        <v>38</v>
      </c>
      <c r="S146" s="221">
        <v>2025</v>
      </c>
      <c r="T146" s="245" t="s">
        <v>1315</v>
      </c>
      <c r="U146" s="240" t="s">
        <v>1328</v>
      </c>
      <c r="V146" s="245"/>
      <c r="W146" s="237">
        <v>246971.63009404388</v>
      </c>
      <c r="X146" s="247">
        <v>1</v>
      </c>
      <c r="Y146" s="248"/>
      <c r="Z146" s="248"/>
      <c r="AA146" s="248"/>
      <c r="AB146" s="248"/>
      <c r="AC146" s="248"/>
      <c r="AD146" s="248"/>
      <c r="AE146" s="248"/>
      <c r="AF146" s="244"/>
      <c r="AG146" s="248"/>
      <c r="AH146" s="248"/>
      <c r="AI146" s="248"/>
      <c r="AJ146" s="248" t="s">
        <v>422</v>
      </c>
    </row>
    <row r="147" spans="1:36" s="233" customFormat="1" ht="14.5" hidden="1">
      <c r="A147" s="216" t="s">
        <v>1478</v>
      </c>
      <c r="B147" s="216" t="s">
        <v>1479</v>
      </c>
      <c r="C147" s="216" t="s">
        <v>1312</v>
      </c>
      <c r="D147" s="216" t="s">
        <v>1311</v>
      </c>
      <c r="E147" s="240" t="s">
        <v>999</v>
      </c>
      <c r="F147" s="246" t="s">
        <v>1384</v>
      </c>
      <c r="G147" s="245" t="s">
        <v>1401</v>
      </c>
      <c r="H147" s="243" t="s">
        <v>1411</v>
      </c>
      <c r="I147" s="245"/>
      <c r="J147" s="219">
        <v>2015</v>
      </c>
      <c r="K147" s="220">
        <v>10</v>
      </c>
      <c r="L147" s="220">
        <v>0</v>
      </c>
      <c r="M147" s="216" t="s">
        <v>439</v>
      </c>
      <c r="N147" s="216" t="s">
        <v>440</v>
      </c>
      <c r="O147" s="216" t="s">
        <v>425</v>
      </c>
      <c r="P147" s="216" t="s">
        <v>37</v>
      </c>
      <c r="Q147" s="220" t="s">
        <v>421</v>
      </c>
      <c r="R147" s="220" t="s">
        <v>38</v>
      </c>
      <c r="S147" s="221">
        <v>2025</v>
      </c>
      <c r="T147" s="216" t="s">
        <v>1315</v>
      </c>
      <c r="U147" s="240" t="s">
        <v>1328</v>
      </c>
      <c r="V147" s="245"/>
      <c r="W147" s="237">
        <v>140953.44827586206</v>
      </c>
      <c r="X147" s="247">
        <v>1</v>
      </c>
      <c r="Y147" s="248"/>
      <c r="Z147" s="248"/>
      <c r="AA147" s="248"/>
      <c r="AB147" s="248"/>
      <c r="AC147" s="248"/>
      <c r="AD147" s="248"/>
      <c r="AE147" s="248"/>
      <c r="AF147" s="244"/>
      <c r="AG147" s="248"/>
      <c r="AH147" s="248"/>
      <c r="AI147" s="248"/>
      <c r="AJ147" s="248" t="s">
        <v>422</v>
      </c>
    </row>
    <row r="148" spans="1:36" s="230" customFormat="1" ht="15" hidden="1" customHeight="1">
      <c r="A148" s="242" t="s">
        <v>752</v>
      </c>
      <c r="B148" s="240" t="s">
        <v>794</v>
      </c>
      <c r="C148" s="216" t="s">
        <v>1314</v>
      </c>
      <c r="D148" s="216" t="s">
        <v>28</v>
      </c>
      <c r="E148" s="240" t="s">
        <v>1004</v>
      </c>
      <c r="F148" s="240" t="s">
        <v>742</v>
      </c>
      <c r="G148" s="242" t="s">
        <v>1005</v>
      </c>
      <c r="H148" s="243" t="s">
        <v>1006</v>
      </c>
      <c r="I148" s="242">
        <v>75276</v>
      </c>
      <c r="J148" s="219">
        <v>2025</v>
      </c>
      <c r="K148" s="220">
        <v>10</v>
      </c>
      <c r="L148" s="220">
        <f>K148-($B$9-J148)</f>
        <v>9</v>
      </c>
      <c r="M148" s="216" t="s">
        <v>439</v>
      </c>
      <c r="N148" s="216" t="s">
        <v>440</v>
      </c>
      <c r="O148" s="240" t="s">
        <v>464</v>
      </c>
      <c r="P148" s="216" t="s">
        <v>38</v>
      </c>
      <c r="Q148" s="220">
        <v>2027</v>
      </c>
      <c r="R148" s="220" t="s">
        <v>38</v>
      </c>
      <c r="S148" s="221">
        <v>2025</v>
      </c>
      <c r="T148" s="216" t="s">
        <v>1315</v>
      </c>
      <c r="U148" s="240" t="s">
        <v>1277</v>
      </c>
      <c r="V148" s="242"/>
      <c r="W148" s="237"/>
      <c r="X148" s="241">
        <v>2</v>
      </c>
      <c r="Y148" s="244" t="s">
        <v>432</v>
      </c>
      <c r="Z148" s="244"/>
      <c r="AA148" s="244"/>
      <c r="AB148" s="244"/>
      <c r="AC148" s="244"/>
      <c r="AD148" s="244"/>
      <c r="AE148" s="244" t="s">
        <v>422</v>
      </c>
      <c r="AF148" s="244"/>
      <c r="AG148" s="244"/>
      <c r="AH148" s="244"/>
      <c r="AI148" s="244"/>
      <c r="AJ148" s="244"/>
    </row>
    <row r="149" spans="1:36" s="222" customFormat="1" hidden="1">
      <c r="A149" s="242" t="s">
        <v>1307</v>
      </c>
      <c r="B149" s="239" t="s">
        <v>794</v>
      </c>
      <c r="C149" s="216" t="s">
        <v>1314</v>
      </c>
      <c r="D149" s="216" t="s">
        <v>28</v>
      </c>
      <c r="E149" s="239" t="s">
        <v>1007</v>
      </c>
      <c r="F149" s="239" t="s">
        <v>742</v>
      </c>
      <c r="G149" s="252" t="s">
        <v>1008</v>
      </c>
      <c r="H149" s="243" t="s">
        <v>1009</v>
      </c>
      <c r="I149" s="252">
        <v>75279</v>
      </c>
      <c r="J149" s="219">
        <v>2025</v>
      </c>
      <c r="K149" s="220">
        <v>10</v>
      </c>
      <c r="L149" s="220">
        <f>K149-($B$9-J149)</f>
        <v>9</v>
      </c>
      <c r="M149" s="216" t="s">
        <v>439</v>
      </c>
      <c r="N149" s="216" t="s">
        <v>440</v>
      </c>
      <c r="O149" s="239" t="s">
        <v>464</v>
      </c>
      <c r="P149" s="216" t="s">
        <v>38</v>
      </c>
      <c r="Q149" s="220">
        <v>2027</v>
      </c>
      <c r="R149" s="220" t="s">
        <v>38</v>
      </c>
      <c r="S149" s="221">
        <v>2025</v>
      </c>
      <c r="T149" s="216" t="s">
        <v>1315</v>
      </c>
      <c r="U149" s="240" t="s">
        <v>1277</v>
      </c>
      <c r="V149" s="252"/>
      <c r="W149" s="237"/>
      <c r="X149" s="253">
        <v>2</v>
      </c>
      <c r="Y149" s="254" t="s">
        <v>432</v>
      </c>
      <c r="Z149" s="254"/>
      <c r="AA149" s="254"/>
      <c r="AB149" s="254"/>
      <c r="AC149" s="254"/>
      <c r="AD149" s="254"/>
      <c r="AE149" s="254" t="s">
        <v>422</v>
      </c>
      <c r="AF149" s="244"/>
      <c r="AG149" s="254"/>
      <c r="AH149" s="254"/>
      <c r="AI149" s="254"/>
      <c r="AJ149" s="254"/>
    </row>
    <row r="150" spans="1:36" s="222" customFormat="1" hidden="1">
      <c r="A150" s="216" t="s">
        <v>1478</v>
      </c>
      <c r="B150" s="216" t="s">
        <v>1479</v>
      </c>
      <c r="C150" s="216" t="s">
        <v>263</v>
      </c>
      <c r="D150" s="216" t="s">
        <v>317</v>
      </c>
      <c r="E150" s="240" t="s">
        <v>1010</v>
      </c>
      <c r="F150" s="246" t="s">
        <v>1387</v>
      </c>
      <c r="G150" s="245" t="s">
        <v>1388</v>
      </c>
      <c r="H150" s="243" t="s">
        <v>1389</v>
      </c>
      <c r="I150" s="245">
        <v>74196</v>
      </c>
      <c r="J150" s="219">
        <v>2015</v>
      </c>
      <c r="K150" s="220">
        <v>10</v>
      </c>
      <c r="L150" s="220">
        <v>0</v>
      </c>
      <c r="M150" s="216" t="s">
        <v>439</v>
      </c>
      <c r="N150" s="216" t="s">
        <v>440</v>
      </c>
      <c r="O150" s="216" t="s">
        <v>425</v>
      </c>
      <c r="P150" s="216" t="s">
        <v>37</v>
      </c>
      <c r="Q150" s="220" t="s">
        <v>421</v>
      </c>
      <c r="R150" s="220" t="s">
        <v>38</v>
      </c>
      <c r="S150" s="221">
        <v>2025</v>
      </c>
      <c r="T150" s="216" t="s">
        <v>1315</v>
      </c>
      <c r="U150" s="240" t="s">
        <v>1328</v>
      </c>
      <c r="V150" s="245"/>
      <c r="W150" s="237">
        <v>246971.63009404388</v>
      </c>
      <c r="X150" s="247">
        <v>1</v>
      </c>
      <c r="Y150" s="248"/>
      <c r="Z150" s="248"/>
      <c r="AA150" s="248"/>
      <c r="AB150" s="248"/>
      <c r="AC150" s="248"/>
      <c r="AD150" s="248"/>
      <c r="AE150" s="248"/>
      <c r="AF150" s="244"/>
      <c r="AG150" s="248"/>
      <c r="AH150" s="248"/>
      <c r="AI150" s="248"/>
      <c r="AJ150" s="248" t="s">
        <v>422</v>
      </c>
    </row>
    <row r="151" spans="1:36" hidden="1">
      <c r="A151" s="240" t="s">
        <v>764</v>
      </c>
      <c r="B151" s="240" t="s">
        <v>765</v>
      </c>
      <c r="C151" s="216" t="s">
        <v>263</v>
      </c>
      <c r="D151" s="216" t="s">
        <v>28</v>
      </c>
      <c r="E151" s="240" t="s">
        <v>1010</v>
      </c>
      <c r="F151" s="240" t="s">
        <v>1011</v>
      </c>
      <c r="G151" s="242" t="s">
        <v>1012</v>
      </c>
      <c r="H151" s="243" t="s">
        <v>1013</v>
      </c>
      <c r="I151" s="242">
        <v>75210</v>
      </c>
      <c r="J151" s="219">
        <v>2025</v>
      </c>
      <c r="K151" s="220">
        <v>10</v>
      </c>
      <c r="L151" s="220">
        <f>K151-($B$9-J151)</f>
        <v>9</v>
      </c>
      <c r="M151" s="216" t="s">
        <v>439</v>
      </c>
      <c r="N151" s="216" t="s">
        <v>440</v>
      </c>
      <c r="O151" s="240" t="s">
        <v>425</v>
      </c>
      <c r="P151" s="216" t="s">
        <v>38</v>
      </c>
      <c r="Q151" s="220">
        <v>2027</v>
      </c>
      <c r="R151" s="220" t="s">
        <v>38</v>
      </c>
      <c r="S151" s="221">
        <v>2026</v>
      </c>
      <c r="T151" s="216" t="s">
        <v>1315</v>
      </c>
      <c r="U151" s="240" t="s">
        <v>1269</v>
      </c>
      <c r="V151" s="242"/>
      <c r="W151" s="237"/>
      <c r="X151" s="241">
        <v>1</v>
      </c>
      <c r="Y151" s="244"/>
      <c r="Z151" s="244"/>
      <c r="AA151" s="244" t="s">
        <v>432</v>
      </c>
      <c r="AB151" s="244"/>
      <c r="AC151" s="244"/>
      <c r="AD151" s="244"/>
      <c r="AE151" s="244"/>
      <c r="AF151" s="244"/>
      <c r="AG151" s="244"/>
      <c r="AH151" s="244"/>
      <c r="AI151" s="244"/>
      <c r="AJ151" s="244"/>
    </row>
    <row r="152" spans="1:36" hidden="1">
      <c r="A152" s="216" t="s">
        <v>1478</v>
      </c>
      <c r="B152" s="216" t="s">
        <v>1479</v>
      </c>
      <c r="C152" s="216" t="s">
        <v>1312</v>
      </c>
      <c r="D152" s="216" t="s">
        <v>317</v>
      </c>
      <c r="E152" s="240" t="s">
        <v>1014</v>
      </c>
      <c r="F152" s="246" t="s">
        <v>1359</v>
      </c>
      <c r="G152" s="245" t="s">
        <v>1360</v>
      </c>
      <c r="H152" s="243">
        <v>23090500019</v>
      </c>
      <c r="I152" s="245">
        <v>74206</v>
      </c>
      <c r="J152" s="219">
        <v>2015</v>
      </c>
      <c r="K152" s="220">
        <v>10</v>
      </c>
      <c r="L152" s="220">
        <v>0</v>
      </c>
      <c r="M152" s="216" t="s">
        <v>439</v>
      </c>
      <c r="N152" s="216" t="s">
        <v>440</v>
      </c>
      <c r="O152" s="216" t="s">
        <v>425</v>
      </c>
      <c r="P152" s="216" t="s">
        <v>37</v>
      </c>
      <c r="Q152" s="220" t="s">
        <v>421</v>
      </c>
      <c r="R152" s="220" t="s">
        <v>38</v>
      </c>
      <c r="S152" s="221">
        <v>2025</v>
      </c>
      <c r="T152" s="216" t="s">
        <v>1315</v>
      </c>
      <c r="U152" s="240" t="s">
        <v>1328</v>
      </c>
      <c r="V152" s="245"/>
      <c r="W152" s="237">
        <v>246971.63009404388</v>
      </c>
      <c r="X152" s="247">
        <v>1</v>
      </c>
      <c r="Y152" s="248"/>
      <c r="Z152" s="248"/>
      <c r="AA152" s="248"/>
      <c r="AB152" s="248"/>
      <c r="AC152" s="248"/>
      <c r="AD152" s="248"/>
      <c r="AE152" s="248"/>
      <c r="AF152" s="244"/>
      <c r="AG152" s="248"/>
      <c r="AH152" s="248"/>
      <c r="AI152" s="248"/>
      <c r="AJ152" s="248" t="s">
        <v>422</v>
      </c>
    </row>
    <row r="153" spans="1:36" hidden="1">
      <c r="A153" s="216" t="s">
        <v>1478</v>
      </c>
      <c r="B153" s="216" t="s">
        <v>1479</v>
      </c>
      <c r="C153" s="216" t="s">
        <v>1312</v>
      </c>
      <c r="D153" s="216" t="s">
        <v>317</v>
      </c>
      <c r="E153" s="240" t="s">
        <v>1014</v>
      </c>
      <c r="F153" s="246" t="s">
        <v>1359</v>
      </c>
      <c r="G153" s="245" t="s">
        <v>1360</v>
      </c>
      <c r="H153" s="243" t="s">
        <v>1362</v>
      </c>
      <c r="I153" s="245">
        <v>74065</v>
      </c>
      <c r="J153" s="219">
        <v>2015</v>
      </c>
      <c r="K153" s="220">
        <v>10</v>
      </c>
      <c r="L153" s="220">
        <v>0</v>
      </c>
      <c r="M153" s="216" t="s">
        <v>439</v>
      </c>
      <c r="N153" s="216" t="s">
        <v>440</v>
      </c>
      <c r="O153" s="216" t="s">
        <v>425</v>
      </c>
      <c r="P153" s="216" t="s">
        <v>37</v>
      </c>
      <c r="Q153" s="220" t="s">
        <v>421</v>
      </c>
      <c r="R153" s="220" t="s">
        <v>38</v>
      </c>
      <c r="S153" s="221">
        <v>2025</v>
      </c>
      <c r="T153" s="216" t="s">
        <v>1315</v>
      </c>
      <c r="U153" s="240" t="s">
        <v>1328</v>
      </c>
      <c r="V153" s="245"/>
      <c r="W153" s="237">
        <v>140953.44827586206</v>
      </c>
      <c r="X153" s="247">
        <v>1</v>
      </c>
      <c r="Y153" s="248"/>
      <c r="Z153" s="248"/>
      <c r="AA153" s="248"/>
      <c r="AB153" s="248"/>
      <c r="AC153" s="248"/>
      <c r="AD153" s="248"/>
      <c r="AE153" s="248"/>
      <c r="AF153" s="244"/>
      <c r="AG153" s="248"/>
      <c r="AH153" s="248"/>
      <c r="AI153" s="248"/>
      <c r="AJ153" s="248" t="s">
        <v>422</v>
      </c>
    </row>
    <row r="154" spans="1:36" hidden="1">
      <c r="A154" s="216" t="s">
        <v>1478</v>
      </c>
      <c r="B154" s="216" t="s">
        <v>1479</v>
      </c>
      <c r="C154" s="216" t="s">
        <v>1312</v>
      </c>
      <c r="D154" s="216" t="s">
        <v>317</v>
      </c>
      <c r="E154" s="240" t="s">
        <v>1014</v>
      </c>
      <c r="F154" s="246" t="s">
        <v>1359</v>
      </c>
      <c r="G154" s="245" t="s">
        <v>1360</v>
      </c>
      <c r="H154" s="243" t="s">
        <v>1361</v>
      </c>
      <c r="I154" s="245"/>
      <c r="J154" s="219">
        <v>2015</v>
      </c>
      <c r="K154" s="220">
        <v>10</v>
      </c>
      <c r="L154" s="220">
        <v>0</v>
      </c>
      <c r="M154" s="216" t="s">
        <v>439</v>
      </c>
      <c r="N154" s="216" t="s">
        <v>440</v>
      </c>
      <c r="O154" s="216" t="s">
        <v>425</v>
      </c>
      <c r="P154" s="216" t="s">
        <v>37</v>
      </c>
      <c r="Q154" s="220" t="s">
        <v>421</v>
      </c>
      <c r="R154" s="220" t="s">
        <v>38</v>
      </c>
      <c r="S154" s="221">
        <v>2025</v>
      </c>
      <c r="T154" s="216" t="s">
        <v>1315</v>
      </c>
      <c r="U154" s="240" t="s">
        <v>1328</v>
      </c>
      <c r="V154" s="245"/>
      <c r="W154" s="237">
        <v>140953.44827586206</v>
      </c>
      <c r="X154" s="247">
        <v>1</v>
      </c>
      <c r="Y154" s="248"/>
      <c r="Z154" s="248"/>
      <c r="AA154" s="248"/>
      <c r="AB154" s="248"/>
      <c r="AC154" s="248"/>
      <c r="AD154" s="248"/>
      <c r="AE154" s="248"/>
      <c r="AF154" s="244"/>
      <c r="AG154" s="248"/>
      <c r="AH154" s="248"/>
      <c r="AI154" s="248"/>
      <c r="AJ154" s="248" t="s">
        <v>422</v>
      </c>
    </row>
    <row r="155" spans="1:36" hidden="1">
      <c r="A155" s="216" t="s">
        <v>1478</v>
      </c>
      <c r="B155" s="216" t="s">
        <v>1479</v>
      </c>
      <c r="C155" s="216" t="s">
        <v>1312</v>
      </c>
      <c r="D155" s="216" t="s">
        <v>317</v>
      </c>
      <c r="E155" s="240" t="s">
        <v>1014</v>
      </c>
      <c r="F155" s="246" t="s">
        <v>1359</v>
      </c>
      <c r="G155" s="245" t="s">
        <v>1360</v>
      </c>
      <c r="H155" s="243" t="s">
        <v>1363</v>
      </c>
      <c r="I155" s="245"/>
      <c r="J155" s="219">
        <v>2015</v>
      </c>
      <c r="K155" s="220">
        <v>10</v>
      </c>
      <c r="L155" s="220">
        <v>0</v>
      </c>
      <c r="M155" s="216" t="s">
        <v>439</v>
      </c>
      <c r="N155" s="216" t="s">
        <v>440</v>
      </c>
      <c r="O155" s="216" t="s">
        <v>425</v>
      </c>
      <c r="P155" s="216" t="s">
        <v>37</v>
      </c>
      <c r="Q155" s="220" t="s">
        <v>421</v>
      </c>
      <c r="R155" s="220" t="s">
        <v>38</v>
      </c>
      <c r="S155" s="221">
        <v>2025</v>
      </c>
      <c r="T155" s="216" t="s">
        <v>1315</v>
      </c>
      <c r="U155" s="240" t="s">
        <v>1328</v>
      </c>
      <c r="V155" s="245"/>
      <c r="W155" s="237">
        <v>140953.44827586206</v>
      </c>
      <c r="X155" s="247">
        <v>1</v>
      </c>
      <c r="Y155" s="248"/>
      <c r="Z155" s="248"/>
      <c r="AA155" s="248"/>
      <c r="AB155" s="248"/>
      <c r="AC155" s="248"/>
      <c r="AD155" s="248"/>
      <c r="AE155" s="248"/>
      <c r="AF155" s="244"/>
      <c r="AG155" s="248"/>
      <c r="AH155" s="248"/>
      <c r="AI155" s="248"/>
      <c r="AJ155" s="248" t="s">
        <v>422</v>
      </c>
    </row>
    <row r="156" spans="1:36" hidden="1">
      <c r="A156" s="242" t="s">
        <v>1307</v>
      </c>
      <c r="B156" s="240" t="s">
        <v>797</v>
      </c>
      <c r="C156" s="216" t="s">
        <v>1312</v>
      </c>
      <c r="D156" s="216" t="s">
        <v>317</v>
      </c>
      <c r="E156" s="240" t="s">
        <v>1014</v>
      </c>
      <c r="F156" s="240" t="s">
        <v>1015</v>
      </c>
      <c r="G156" s="242" t="s">
        <v>1016</v>
      </c>
      <c r="H156" s="243" t="s">
        <v>1017</v>
      </c>
      <c r="I156" s="242">
        <v>75099</v>
      </c>
      <c r="J156" s="219">
        <v>2025</v>
      </c>
      <c r="K156" s="220">
        <v>10</v>
      </c>
      <c r="L156" s="220">
        <f t="shared" ref="L156:L162" si="6">K156-($B$9-J156)</f>
        <v>9</v>
      </c>
      <c r="M156" s="216" t="s">
        <v>439</v>
      </c>
      <c r="N156" s="216" t="s">
        <v>440</v>
      </c>
      <c r="O156" s="240" t="s">
        <v>425</v>
      </c>
      <c r="P156" s="216" t="s">
        <v>38</v>
      </c>
      <c r="Q156" s="220">
        <v>2027</v>
      </c>
      <c r="R156" s="220" t="s">
        <v>38</v>
      </c>
      <c r="S156" s="221">
        <v>2026</v>
      </c>
      <c r="T156" s="216" t="s">
        <v>1315</v>
      </c>
      <c r="U156" s="240" t="s">
        <v>1271</v>
      </c>
      <c r="V156" s="242"/>
      <c r="W156" s="237"/>
      <c r="X156" s="241">
        <v>1</v>
      </c>
      <c r="Y156" s="244"/>
      <c r="Z156" s="244"/>
      <c r="AA156" s="244"/>
      <c r="AB156" s="244"/>
      <c r="AC156" s="244"/>
      <c r="AD156" s="244" t="s">
        <v>422</v>
      </c>
      <c r="AE156" s="244"/>
      <c r="AF156" s="244"/>
      <c r="AG156" s="244"/>
      <c r="AH156" s="244"/>
      <c r="AI156" s="244"/>
      <c r="AJ156" s="244"/>
    </row>
    <row r="157" spans="1:36" hidden="1">
      <c r="A157" s="216" t="s">
        <v>762</v>
      </c>
      <c r="B157" s="240" t="s">
        <v>814</v>
      </c>
      <c r="C157" s="216" t="s">
        <v>1312</v>
      </c>
      <c r="D157" s="216" t="s">
        <v>317</v>
      </c>
      <c r="E157" s="240" t="s">
        <v>1014</v>
      </c>
      <c r="F157" s="216" t="s">
        <v>1015</v>
      </c>
      <c r="G157" s="217" t="s">
        <v>1016</v>
      </c>
      <c r="H157" s="243" t="s">
        <v>1018</v>
      </c>
      <c r="I157" s="217">
        <v>75092</v>
      </c>
      <c r="J157" s="219">
        <v>2025</v>
      </c>
      <c r="K157" s="220">
        <v>10</v>
      </c>
      <c r="L157" s="220">
        <f t="shared" si="6"/>
        <v>9</v>
      </c>
      <c r="M157" s="216" t="s">
        <v>439</v>
      </c>
      <c r="N157" s="216" t="s">
        <v>440</v>
      </c>
      <c r="O157" s="216" t="s">
        <v>425</v>
      </c>
      <c r="P157" s="216" t="s">
        <v>38</v>
      </c>
      <c r="Q157" s="220">
        <v>2027</v>
      </c>
      <c r="R157" s="220" t="s">
        <v>38</v>
      </c>
      <c r="S157" s="221">
        <v>2026</v>
      </c>
      <c r="T157" s="216" t="s">
        <v>1315</v>
      </c>
      <c r="U157" s="240" t="s">
        <v>1271</v>
      </c>
      <c r="V157" s="217"/>
      <c r="W157" s="237"/>
      <c r="X157" s="220">
        <v>1</v>
      </c>
      <c r="Y157" s="221"/>
      <c r="Z157" s="221"/>
      <c r="AA157" s="221"/>
      <c r="AB157" s="221"/>
      <c r="AC157" s="221"/>
      <c r="AD157" s="221" t="s">
        <v>422</v>
      </c>
      <c r="AE157" s="221"/>
      <c r="AF157" s="244"/>
      <c r="AG157" s="221"/>
      <c r="AH157" s="221"/>
      <c r="AI157" s="221"/>
      <c r="AJ157" s="221"/>
    </row>
    <row r="158" spans="1:36" hidden="1">
      <c r="A158" s="242" t="s">
        <v>1307</v>
      </c>
      <c r="B158" s="216" t="s">
        <v>769</v>
      </c>
      <c r="C158" s="216" t="s">
        <v>1312</v>
      </c>
      <c r="D158" s="216" t="s">
        <v>317</v>
      </c>
      <c r="E158" s="240" t="s">
        <v>1014</v>
      </c>
      <c r="F158" s="216" t="s">
        <v>1015</v>
      </c>
      <c r="G158" s="217" t="s">
        <v>1016</v>
      </c>
      <c r="H158" s="243" t="s">
        <v>1019</v>
      </c>
      <c r="I158" s="217">
        <v>75100</v>
      </c>
      <c r="J158" s="219">
        <v>2025</v>
      </c>
      <c r="K158" s="220">
        <v>10</v>
      </c>
      <c r="L158" s="220">
        <f t="shared" si="6"/>
        <v>9</v>
      </c>
      <c r="M158" s="216" t="s">
        <v>439</v>
      </c>
      <c r="N158" s="216" t="s">
        <v>440</v>
      </c>
      <c r="O158" s="216" t="s">
        <v>425</v>
      </c>
      <c r="P158" s="216" t="s">
        <v>38</v>
      </c>
      <c r="Q158" s="220">
        <v>2027</v>
      </c>
      <c r="R158" s="220" t="s">
        <v>38</v>
      </c>
      <c r="S158" s="221">
        <v>2026</v>
      </c>
      <c r="T158" s="216" t="s">
        <v>1315</v>
      </c>
      <c r="U158" s="240" t="s">
        <v>1271</v>
      </c>
      <c r="V158" s="217"/>
      <c r="W158" s="237"/>
      <c r="X158" s="220">
        <v>1</v>
      </c>
      <c r="Y158" s="221"/>
      <c r="Z158" s="221"/>
      <c r="AA158" s="221"/>
      <c r="AB158" s="221"/>
      <c r="AC158" s="221"/>
      <c r="AD158" s="221" t="s">
        <v>422</v>
      </c>
      <c r="AE158" s="221"/>
      <c r="AF158" s="244"/>
      <c r="AG158" s="221"/>
      <c r="AH158" s="221"/>
      <c r="AI158" s="221"/>
      <c r="AJ158" s="221"/>
    </row>
    <row r="159" spans="1:36" hidden="1">
      <c r="A159" s="216" t="s">
        <v>760</v>
      </c>
      <c r="B159" s="240" t="s">
        <v>779</v>
      </c>
      <c r="C159" s="216" t="s">
        <v>1313</v>
      </c>
      <c r="D159" s="216" t="s">
        <v>317</v>
      </c>
      <c r="E159" s="239" t="s">
        <v>1020</v>
      </c>
      <c r="F159" s="216" t="s">
        <v>1021</v>
      </c>
      <c r="G159" s="217" t="s">
        <v>1022</v>
      </c>
      <c r="H159" s="243" t="s">
        <v>1023</v>
      </c>
      <c r="I159" s="217">
        <v>76482</v>
      </c>
      <c r="J159" s="219">
        <v>2025</v>
      </c>
      <c r="K159" s="220">
        <v>10</v>
      </c>
      <c r="L159" s="220">
        <f t="shared" si="6"/>
        <v>9</v>
      </c>
      <c r="M159" s="216" t="s">
        <v>439</v>
      </c>
      <c r="N159" s="216" t="s">
        <v>440</v>
      </c>
      <c r="O159" s="216" t="s">
        <v>425</v>
      </c>
      <c r="P159" s="216" t="s">
        <v>38</v>
      </c>
      <c r="Q159" s="220">
        <v>2027</v>
      </c>
      <c r="R159" s="220" t="s">
        <v>38</v>
      </c>
      <c r="S159" s="221">
        <v>2026</v>
      </c>
      <c r="T159" s="216" t="s">
        <v>1315</v>
      </c>
      <c r="U159" s="240" t="s">
        <v>1278</v>
      </c>
      <c r="V159" s="217"/>
      <c r="W159" s="237"/>
      <c r="X159" s="220">
        <v>1</v>
      </c>
      <c r="Y159" s="221"/>
      <c r="Z159" s="221"/>
      <c r="AA159" s="221"/>
      <c r="AB159" s="221"/>
      <c r="AC159" s="221" t="s">
        <v>422</v>
      </c>
      <c r="AD159" s="221"/>
      <c r="AE159" s="221"/>
      <c r="AF159" s="244"/>
      <c r="AG159" s="221"/>
      <c r="AH159" s="221"/>
      <c r="AI159" s="221"/>
      <c r="AJ159" s="244"/>
    </row>
    <row r="160" spans="1:36" hidden="1">
      <c r="A160" s="246" t="s">
        <v>760</v>
      </c>
      <c r="B160" s="246" t="s">
        <v>774</v>
      </c>
      <c r="C160" s="216" t="s">
        <v>1313</v>
      </c>
      <c r="D160" s="216" t="s">
        <v>317</v>
      </c>
      <c r="E160" s="246" t="s">
        <v>1020</v>
      </c>
      <c r="F160" s="246" t="s">
        <v>1024</v>
      </c>
      <c r="G160" s="245" t="s">
        <v>1022</v>
      </c>
      <c r="H160" s="243" t="s">
        <v>1025</v>
      </c>
      <c r="I160" s="245">
        <v>76486</v>
      </c>
      <c r="J160" s="219">
        <v>2025</v>
      </c>
      <c r="K160" s="220">
        <v>10</v>
      </c>
      <c r="L160" s="220">
        <f t="shared" si="6"/>
        <v>9</v>
      </c>
      <c r="M160" s="216" t="s">
        <v>439</v>
      </c>
      <c r="N160" s="216" t="s">
        <v>440</v>
      </c>
      <c r="O160" s="246" t="s">
        <v>425</v>
      </c>
      <c r="P160" s="216" t="s">
        <v>38</v>
      </c>
      <c r="Q160" s="220">
        <v>2027</v>
      </c>
      <c r="R160" s="220" t="s">
        <v>38</v>
      </c>
      <c r="S160" s="221">
        <v>2026</v>
      </c>
      <c r="T160" s="216" t="s">
        <v>1315</v>
      </c>
      <c r="U160" s="240" t="s">
        <v>1278</v>
      </c>
      <c r="V160" s="245"/>
      <c r="W160" s="237"/>
      <c r="X160" s="247">
        <v>1</v>
      </c>
      <c r="Y160" s="248"/>
      <c r="Z160" s="248"/>
      <c r="AA160" s="248"/>
      <c r="AB160" s="248"/>
      <c r="AC160" s="248" t="s">
        <v>422</v>
      </c>
      <c r="AD160" s="248"/>
      <c r="AE160" s="248"/>
      <c r="AF160" s="244"/>
      <c r="AG160" s="248"/>
      <c r="AH160" s="248"/>
      <c r="AI160" s="248"/>
      <c r="AJ160" s="248"/>
    </row>
    <row r="161" spans="1:36" hidden="1">
      <c r="A161" s="240" t="s">
        <v>507</v>
      </c>
      <c r="B161" s="240" t="s">
        <v>750</v>
      </c>
      <c r="C161" s="216" t="s">
        <v>1310</v>
      </c>
      <c r="D161" s="216" t="s">
        <v>28</v>
      </c>
      <c r="E161" s="240" t="s">
        <v>1026</v>
      </c>
      <c r="F161" s="240" t="s">
        <v>1027</v>
      </c>
      <c r="G161" s="242">
        <v>300</v>
      </c>
      <c r="H161" s="243">
        <v>445373</v>
      </c>
      <c r="I161" s="242">
        <v>75074</v>
      </c>
      <c r="J161" s="219">
        <v>2025</v>
      </c>
      <c r="K161" s="220">
        <v>10</v>
      </c>
      <c r="L161" s="220">
        <f t="shared" si="6"/>
        <v>9</v>
      </c>
      <c r="M161" s="216" t="s">
        <v>439</v>
      </c>
      <c r="N161" s="216" t="s">
        <v>440</v>
      </c>
      <c r="O161" s="216" t="s">
        <v>464</v>
      </c>
      <c r="P161" s="216" t="s">
        <v>38</v>
      </c>
      <c r="Q161" s="220">
        <v>2027</v>
      </c>
      <c r="R161" s="220" t="s">
        <v>38</v>
      </c>
      <c r="S161" s="221">
        <v>2025</v>
      </c>
      <c r="T161" s="216" t="s">
        <v>1315</v>
      </c>
      <c r="U161" s="240" t="s">
        <v>1279</v>
      </c>
      <c r="V161" s="242"/>
      <c r="W161" s="237"/>
      <c r="X161" s="241">
        <v>2</v>
      </c>
      <c r="Y161" s="244"/>
      <c r="Z161" s="244"/>
      <c r="AA161" s="244"/>
      <c r="AB161" s="244"/>
      <c r="AC161" s="244" t="s">
        <v>422</v>
      </c>
      <c r="AD161" s="244"/>
      <c r="AE161" s="244"/>
      <c r="AF161" s="244"/>
      <c r="AG161" s="244"/>
      <c r="AH161" s="244"/>
      <c r="AI161" s="244" t="s">
        <v>422</v>
      </c>
      <c r="AJ161" s="244"/>
    </row>
    <row r="162" spans="1:36" hidden="1">
      <c r="A162" s="240" t="s">
        <v>760</v>
      </c>
      <c r="B162" s="240" t="s">
        <v>779</v>
      </c>
      <c r="C162" s="216" t="s">
        <v>1313</v>
      </c>
      <c r="D162" s="216" t="s">
        <v>317</v>
      </c>
      <c r="E162" s="240" t="s">
        <v>1028</v>
      </c>
      <c r="F162" s="240" t="s">
        <v>1029</v>
      </c>
      <c r="G162" s="242" t="s">
        <v>1030</v>
      </c>
      <c r="H162" s="243" t="s">
        <v>1031</v>
      </c>
      <c r="I162" s="242">
        <v>75209</v>
      </c>
      <c r="J162" s="219">
        <v>2025</v>
      </c>
      <c r="K162" s="220">
        <v>10</v>
      </c>
      <c r="L162" s="220">
        <f t="shared" si="6"/>
        <v>9</v>
      </c>
      <c r="M162" s="216" t="s">
        <v>439</v>
      </c>
      <c r="N162" s="216" t="s">
        <v>440</v>
      </c>
      <c r="O162" s="240" t="s">
        <v>425</v>
      </c>
      <c r="P162" s="216" t="s">
        <v>38</v>
      </c>
      <c r="Q162" s="220">
        <v>2026</v>
      </c>
      <c r="R162" s="220" t="s">
        <v>37</v>
      </c>
      <c r="S162" s="221">
        <v>2027</v>
      </c>
      <c r="T162" s="245" t="s">
        <v>1315</v>
      </c>
      <c r="U162" s="240" t="s">
        <v>1269</v>
      </c>
      <c r="V162" s="245"/>
      <c r="W162" s="237"/>
      <c r="X162" s="241">
        <v>1</v>
      </c>
      <c r="Y162" s="244"/>
      <c r="Z162" s="244"/>
      <c r="AA162" s="244" t="s">
        <v>432</v>
      </c>
      <c r="AB162" s="244"/>
      <c r="AC162" s="244"/>
      <c r="AD162" s="244"/>
      <c r="AE162" s="244"/>
      <c r="AF162" s="244"/>
      <c r="AG162" s="244"/>
      <c r="AH162" s="244"/>
      <c r="AI162" s="244"/>
      <c r="AJ162" s="244"/>
    </row>
    <row r="163" spans="1:36" hidden="1">
      <c r="A163" s="216" t="s">
        <v>1478</v>
      </c>
      <c r="B163" s="216" t="s">
        <v>1479</v>
      </c>
      <c r="C163" s="216" t="s">
        <v>27</v>
      </c>
      <c r="D163" s="216" t="s">
        <v>1311</v>
      </c>
      <c r="E163" s="246" t="s">
        <v>1032</v>
      </c>
      <c r="F163" s="246" t="s">
        <v>1356</v>
      </c>
      <c r="G163" s="245" t="s">
        <v>1357</v>
      </c>
      <c r="H163" s="243" t="s">
        <v>1358</v>
      </c>
      <c r="I163" s="245">
        <v>74181</v>
      </c>
      <c r="J163" s="219">
        <v>2020</v>
      </c>
      <c r="K163" s="220">
        <v>10</v>
      </c>
      <c r="L163" s="220">
        <v>5</v>
      </c>
      <c r="M163" s="216" t="s">
        <v>439</v>
      </c>
      <c r="N163" s="216" t="s">
        <v>440</v>
      </c>
      <c r="O163" s="216" t="s">
        <v>425</v>
      </c>
      <c r="P163" s="216" t="s">
        <v>37</v>
      </c>
      <c r="Q163" s="220" t="s">
        <v>421</v>
      </c>
      <c r="R163" s="220" t="s">
        <v>38</v>
      </c>
      <c r="S163" s="221">
        <v>2025</v>
      </c>
      <c r="T163" s="216" t="s">
        <v>1315</v>
      </c>
      <c r="U163" s="240" t="s">
        <v>1328</v>
      </c>
      <c r="V163" s="245"/>
      <c r="W163" s="237">
        <v>246971.63009404388</v>
      </c>
      <c r="X163" s="247">
        <v>1</v>
      </c>
      <c r="Y163" s="248"/>
      <c r="Z163" s="248"/>
      <c r="AA163" s="248"/>
      <c r="AB163" s="248"/>
      <c r="AC163" s="248"/>
      <c r="AD163" s="248"/>
      <c r="AE163" s="248"/>
      <c r="AF163" s="244"/>
      <c r="AG163" s="248"/>
      <c r="AH163" s="248"/>
      <c r="AI163" s="248"/>
      <c r="AJ163" s="248" t="s">
        <v>422</v>
      </c>
    </row>
    <row r="164" spans="1:36" hidden="1">
      <c r="A164" s="216" t="s">
        <v>1478</v>
      </c>
      <c r="B164" s="216" t="s">
        <v>1479</v>
      </c>
      <c r="C164" s="216" t="s">
        <v>27</v>
      </c>
      <c r="D164" s="216" t="s">
        <v>1311</v>
      </c>
      <c r="E164" s="246" t="s">
        <v>1032</v>
      </c>
      <c r="F164" s="246" t="s">
        <v>1356</v>
      </c>
      <c r="G164" s="245" t="s">
        <v>1357</v>
      </c>
      <c r="H164" s="243" t="s">
        <v>1364</v>
      </c>
      <c r="I164" s="245"/>
      <c r="J164" s="219">
        <v>2020</v>
      </c>
      <c r="K164" s="220">
        <v>10</v>
      </c>
      <c r="L164" s="220">
        <v>5</v>
      </c>
      <c r="M164" s="216" t="s">
        <v>439</v>
      </c>
      <c r="N164" s="216" t="s">
        <v>440</v>
      </c>
      <c r="O164" s="216" t="s">
        <v>425</v>
      </c>
      <c r="P164" s="216" t="s">
        <v>37</v>
      </c>
      <c r="Q164" s="220" t="s">
        <v>421</v>
      </c>
      <c r="R164" s="220" t="s">
        <v>38</v>
      </c>
      <c r="S164" s="221">
        <v>2025</v>
      </c>
      <c r="T164" s="216" t="s">
        <v>1315</v>
      </c>
      <c r="U164" s="240" t="s">
        <v>1328</v>
      </c>
      <c r="V164" s="245"/>
      <c r="W164" s="237">
        <v>246971.63009404388</v>
      </c>
      <c r="X164" s="247">
        <v>1</v>
      </c>
      <c r="Y164" s="248"/>
      <c r="Z164" s="248"/>
      <c r="AA164" s="248"/>
      <c r="AB164" s="248"/>
      <c r="AC164" s="248"/>
      <c r="AD164" s="248"/>
      <c r="AE164" s="248"/>
      <c r="AF164" s="244"/>
      <c r="AG164" s="248"/>
      <c r="AH164" s="248"/>
      <c r="AI164" s="248"/>
      <c r="AJ164" s="248" t="s">
        <v>422</v>
      </c>
    </row>
    <row r="165" spans="1:36" hidden="1">
      <c r="A165" s="216" t="s">
        <v>1478</v>
      </c>
      <c r="B165" s="216" t="s">
        <v>1479</v>
      </c>
      <c r="C165" s="216" t="s">
        <v>27</v>
      </c>
      <c r="D165" s="216" t="s">
        <v>1311</v>
      </c>
      <c r="E165" s="246" t="s">
        <v>1032</v>
      </c>
      <c r="F165" s="246" t="s">
        <v>1341</v>
      </c>
      <c r="G165" s="245" t="s">
        <v>1365</v>
      </c>
      <c r="H165" s="243" t="s">
        <v>1366</v>
      </c>
      <c r="I165" s="245">
        <v>74182</v>
      </c>
      <c r="J165" s="219">
        <v>2015</v>
      </c>
      <c r="K165" s="220">
        <v>10</v>
      </c>
      <c r="L165" s="220">
        <v>0</v>
      </c>
      <c r="M165" s="216" t="s">
        <v>439</v>
      </c>
      <c r="N165" s="216" t="s">
        <v>440</v>
      </c>
      <c r="O165" s="216" t="s">
        <v>425</v>
      </c>
      <c r="P165" s="216" t="s">
        <v>37</v>
      </c>
      <c r="Q165" s="220" t="s">
        <v>421</v>
      </c>
      <c r="R165" s="220" t="s">
        <v>38</v>
      </c>
      <c r="S165" s="221">
        <v>2025</v>
      </c>
      <c r="T165" s="216" t="s">
        <v>1315</v>
      </c>
      <c r="U165" s="240" t="s">
        <v>1328</v>
      </c>
      <c r="V165" s="245"/>
      <c r="W165" s="237">
        <v>246971.63009404388</v>
      </c>
      <c r="X165" s="247">
        <v>1</v>
      </c>
      <c r="Y165" s="248"/>
      <c r="Z165" s="248"/>
      <c r="AA165" s="248"/>
      <c r="AB165" s="248"/>
      <c r="AC165" s="248"/>
      <c r="AD165" s="248"/>
      <c r="AE165" s="248"/>
      <c r="AF165" s="244"/>
      <c r="AG165" s="248"/>
      <c r="AH165" s="248"/>
      <c r="AI165" s="248"/>
      <c r="AJ165" s="248" t="s">
        <v>422</v>
      </c>
    </row>
    <row r="166" spans="1:36" hidden="1">
      <c r="A166" s="216" t="s">
        <v>1478</v>
      </c>
      <c r="B166" s="216" t="s">
        <v>1479</v>
      </c>
      <c r="C166" s="216" t="s">
        <v>27</v>
      </c>
      <c r="D166" s="216" t="s">
        <v>1311</v>
      </c>
      <c r="E166" s="246" t="s">
        <v>1032</v>
      </c>
      <c r="F166" s="246" t="s">
        <v>1367</v>
      </c>
      <c r="G166" s="245" t="s">
        <v>1368</v>
      </c>
      <c r="H166" s="243" t="s">
        <v>1369</v>
      </c>
      <c r="I166" s="245">
        <v>74183</v>
      </c>
      <c r="J166" s="219">
        <v>2015</v>
      </c>
      <c r="K166" s="220">
        <v>10</v>
      </c>
      <c r="L166" s="220">
        <v>0</v>
      </c>
      <c r="M166" s="216" t="s">
        <v>439</v>
      </c>
      <c r="N166" s="216" t="s">
        <v>440</v>
      </c>
      <c r="O166" s="216" t="s">
        <v>425</v>
      </c>
      <c r="P166" s="216" t="s">
        <v>37</v>
      </c>
      <c r="Q166" s="220" t="s">
        <v>421</v>
      </c>
      <c r="R166" s="220" t="s">
        <v>38</v>
      </c>
      <c r="S166" s="221">
        <v>2025</v>
      </c>
      <c r="T166" s="216" t="s">
        <v>1315</v>
      </c>
      <c r="U166" s="240" t="s">
        <v>1328</v>
      </c>
      <c r="V166" s="245"/>
      <c r="W166" s="237">
        <v>246971.63009404388</v>
      </c>
      <c r="X166" s="247">
        <v>1</v>
      </c>
      <c r="Y166" s="248"/>
      <c r="Z166" s="248"/>
      <c r="AA166" s="248"/>
      <c r="AB166" s="248"/>
      <c r="AC166" s="248"/>
      <c r="AD166" s="248"/>
      <c r="AE166" s="248"/>
      <c r="AF166" s="244"/>
      <c r="AG166" s="248"/>
      <c r="AH166" s="248"/>
      <c r="AI166" s="248"/>
      <c r="AJ166" s="248" t="s">
        <v>422</v>
      </c>
    </row>
    <row r="167" spans="1:36" hidden="1">
      <c r="A167" s="216" t="s">
        <v>1478</v>
      </c>
      <c r="B167" s="216" t="s">
        <v>1479</v>
      </c>
      <c r="C167" s="216" t="s">
        <v>27</v>
      </c>
      <c r="D167" s="216" t="s">
        <v>1311</v>
      </c>
      <c r="E167" s="246" t="s">
        <v>1032</v>
      </c>
      <c r="F167" s="246" t="s">
        <v>1370</v>
      </c>
      <c r="G167" s="245" t="s">
        <v>1371</v>
      </c>
      <c r="H167" s="243">
        <v>23493859</v>
      </c>
      <c r="I167" s="245">
        <v>74180</v>
      </c>
      <c r="J167" s="219">
        <v>2024</v>
      </c>
      <c r="K167" s="220">
        <v>10</v>
      </c>
      <c r="L167" s="220">
        <v>9</v>
      </c>
      <c r="M167" s="216" t="s">
        <v>439</v>
      </c>
      <c r="N167" s="216" t="s">
        <v>482</v>
      </c>
      <c r="O167" s="216" t="s">
        <v>425</v>
      </c>
      <c r="P167" s="216" t="s">
        <v>37</v>
      </c>
      <c r="Q167" s="220" t="s">
        <v>421</v>
      </c>
      <c r="R167" s="220" t="s">
        <v>37</v>
      </c>
      <c r="S167" s="221">
        <v>2025</v>
      </c>
      <c r="T167" s="216" t="s">
        <v>1315</v>
      </c>
      <c r="U167" s="240" t="s">
        <v>1328</v>
      </c>
      <c r="V167" s="245"/>
      <c r="W167" s="237">
        <v>140953.44827586206</v>
      </c>
      <c r="X167" s="247">
        <v>1</v>
      </c>
      <c r="Y167" s="248"/>
      <c r="Z167" s="248"/>
      <c r="AA167" s="248"/>
      <c r="AB167" s="248"/>
      <c r="AC167" s="248"/>
      <c r="AD167" s="248"/>
      <c r="AE167" s="248"/>
      <c r="AF167" s="244"/>
      <c r="AG167" s="248"/>
      <c r="AH167" s="248"/>
      <c r="AI167" s="248"/>
      <c r="AJ167" s="248" t="s">
        <v>422</v>
      </c>
    </row>
    <row r="168" spans="1:36" hidden="1">
      <c r="A168" s="217" t="s">
        <v>752</v>
      </c>
      <c r="B168" s="240" t="s">
        <v>788</v>
      </c>
      <c r="C168" s="216" t="s">
        <v>27</v>
      </c>
      <c r="D168" s="216" t="s">
        <v>1311</v>
      </c>
      <c r="E168" s="246" t="s">
        <v>1032</v>
      </c>
      <c r="F168" s="216" t="s">
        <v>1033</v>
      </c>
      <c r="G168" s="217" t="s">
        <v>1034</v>
      </c>
      <c r="H168" s="243" t="s">
        <v>1035</v>
      </c>
      <c r="I168" s="217">
        <v>76141</v>
      </c>
      <c r="J168" s="219">
        <v>2025</v>
      </c>
      <c r="K168" s="220">
        <v>10</v>
      </c>
      <c r="L168" s="220">
        <f t="shared" ref="L168:L174" si="7">K168-($B$9-J168)</f>
        <v>9</v>
      </c>
      <c r="M168" s="216" t="s">
        <v>439</v>
      </c>
      <c r="N168" s="216" t="s">
        <v>440</v>
      </c>
      <c r="O168" s="216" t="s">
        <v>425</v>
      </c>
      <c r="P168" s="216" t="s">
        <v>38</v>
      </c>
      <c r="Q168" s="220">
        <v>2027</v>
      </c>
      <c r="R168" s="220" t="s">
        <v>38</v>
      </c>
      <c r="S168" s="221">
        <v>2026</v>
      </c>
      <c r="T168" s="216" t="s">
        <v>1315</v>
      </c>
      <c r="U168" s="240" t="s">
        <v>1280</v>
      </c>
      <c r="V168" s="217"/>
      <c r="W168" s="237"/>
      <c r="X168" s="220">
        <v>1</v>
      </c>
      <c r="Y168" s="221"/>
      <c r="Z168" s="221"/>
      <c r="AA168" s="221"/>
      <c r="AB168" s="221"/>
      <c r="AC168" s="221"/>
      <c r="AD168" s="221" t="s">
        <v>422</v>
      </c>
      <c r="AE168" s="221"/>
      <c r="AF168" s="244"/>
      <c r="AG168" s="221"/>
      <c r="AH168" s="221"/>
      <c r="AI168" s="221"/>
      <c r="AJ168" s="244"/>
    </row>
    <row r="169" spans="1:36" hidden="1">
      <c r="A169" s="240" t="s">
        <v>762</v>
      </c>
      <c r="B169" s="240" t="s">
        <v>814</v>
      </c>
      <c r="C169" s="216" t="s">
        <v>27</v>
      </c>
      <c r="D169" s="216" t="s">
        <v>1311</v>
      </c>
      <c r="E169" s="240" t="s">
        <v>1032</v>
      </c>
      <c r="F169" s="240" t="s">
        <v>1033</v>
      </c>
      <c r="G169" s="242" t="s">
        <v>1034</v>
      </c>
      <c r="H169" s="243" t="s">
        <v>1036</v>
      </c>
      <c r="I169" s="242">
        <v>76142</v>
      </c>
      <c r="J169" s="219">
        <v>2025</v>
      </c>
      <c r="K169" s="220">
        <v>10</v>
      </c>
      <c r="L169" s="220">
        <f t="shared" si="7"/>
        <v>9</v>
      </c>
      <c r="M169" s="216" t="s">
        <v>439</v>
      </c>
      <c r="N169" s="216" t="s">
        <v>440</v>
      </c>
      <c r="O169" s="240" t="s">
        <v>425</v>
      </c>
      <c r="P169" s="216" t="s">
        <v>38</v>
      </c>
      <c r="Q169" s="220">
        <v>2027</v>
      </c>
      <c r="R169" s="220" t="s">
        <v>38</v>
      </c>
      <c r="S169" s="221">
        <v>2026</v>
      </c>
      <c r="T169" s="216" t="s">
        <v>1315</v>
      </c>
      <c r="U169" s="240" t="s">
        <v>1280</v>
      </c>
      <c r="V169" s="242"/>
      <c r="W169" s="237"/>
      <c r="X169" s="241">
        <v>1</v>
      </c>
      <c r="Y169" s="244"/>
      <c r="Z169" s="244"/>
      <c r="AA169" s="244"/>
      <c r="AB169" s="244"/>
      <c r="AC169" s="244"/>
      <c r="AD169" s="244" t="s">
        <v>422</v>
      </c>
      <c r="AE169" s="244"/>
      <c r="AF169" s="244"/>
      <c r="AG169" s="244"/>
      <c r="AH169" s="244"/>
      <c r="AI169" s="244"/>
      <c r="AJ169" s="244"/>
    </row>
    <row r="170" spans="1:36" hidden="1">
      <c r="A170" s="240" t="s">
        <v>762</v>
      </c>
      <c r="B170" s="240" t="s">
        <v>814</v>
      </c>
      <c r="C170" s="216" t="s">
        <v>27</v>
      </c>
      <c r="D170" s="216" t="s">
        <v>1311</v>
      </c>
      <c r="E170" s="240" t="s">
        <v>1032</v>
      </c>
      <c r="F170" s="240" t="s">
        <v>1033</v>
      </c>
      <c r="G170" s="242" t="s">
        <v>1034</v>
      </c>
      <c r="H170" s="243" t="s">
        <v>1037</v>
      </c>
      <c r="I170" s="242">
        <v>76143</v>
      </c>
      <c r="J170" s="219">
        <v>2025</v>
      </c>
      <c r="K170" s="220">
        <v>10</v>
      </c>
      <c r="L170" s="220">
        <f t="shared" si="7"/>
        <v>9</v>
      </c>
      <c r="M170" s="216" t="s">
        <v>439</v>
      </c>
      <c r="N170" s="216" t="s">
        <v>440</v>
      </c>
      <c r="O170" s="240" t="s">
        <v>425</v>
      </c>
      <c r="P170" s="216" t="s">
        <v>38</v>
      </c>
      <c r="Q170" s="220">
        <v>2027</v>
      </c>
      <c r="R170" s="220" t="s">
        <v>38</v>
      </c>
      <c r="S170" s="221">
        <v>2026</v>
      </c>
      <c r="T170" s="216" t="s">
        <v>1315</v>
      </c>
      <c r="U170" s="240" t="s">
        <v>1280</v>
      </c>
      <c r="V170" s="242"/>
      <c r="W170" s="237"/>
      <c r="X170" s="241">
        <v>1</v>
      </c>
      <c r="Y170" s="244"/>
      <c r="Z170" s="244"/>
      <c r="AA170" s="244"/>
      <c r="AB170" s="244"/>
      <c r="AC170" s="244"/>
      <c r="AD170" s="244" t="s">
        <v>422</v>
      </c>
      <c r="AE170" s="244"/>
      <c r="AF170" s="244"/>
      <c r="AG170" s="244"/>
      <c r="AH170" s="244"/>
      <c r="AI170" s="244"/>
      <c r="AJ170" s="244"/>
    </row>
    <row r="171" spans="1:36" hidden="1">
      <c r="A171" s="242" t="s">
        <v>1307</v>
      </c>
      <c r="B171" s="240" t="s">
        <v>768</v>
      </c>
      <c r="C171" s="216" t="s">
        <v>27</v>
      </c>
      <c r="D171" s="216" t="s">
        <v>1311</v>
      </c>
      <c r="E171" s="240" t="s">
        <v>1032</v>
      </c>
      <c r="F171" s="240" t="s">
        <v>1033</v>
      </c>
      <c r="G171" s="242" t="s">
        <v>1034</v>
      </c>
      <c r="H171" s="243" t="s">
        <v>1038</v>
      </c>
      <c r="I171" s="242">
        <v>76144</v>
      </c>
      <c r="J171" s="219">
        <v>2025</v>
      </c>
      <c r="K171" s="220">
        <v>10</v>
      </c>
      <c r="L171" s="220">
        <f t="shared" si="7"/>
        <v>9</v>
      </c>
      <c r="M171" s="216" t="s">
        <v>439</v>
      </c>
      <c r="N171" s="216" t="s">
        <v>440</v>
      </c>
      <c r="O171" s="240" t="s">
        <v>425</v>
      </c>
      <c r="P171" s="216" t="s">
        <v>38</v>
      </c>
      <c r="Q171" s="220">
        <v>2027</v>
      </c>
      <c r="R171" s="220" t="s">
        <v>38</v>
      </c>
      <c r="S171" s="221">
        <v>2026</v>
      </c>
      <c r="T171" s="216" t="s">
        <v>1315</v>
      </c>
      <c r="U171" s="240" t="s">
        <v>1280</v>
      </c>
      <c r="V171" s="242"/>
      <c r="W171" s="237"/>
      <c r="X171" s="241">
        <v>1</v>
      </c>
      <c r="Y171" s="244"/>
      <c r="Z171" s="244"/>
      <c r="AA171" s="244"/>
      <c r="AB171" s="244"/>
      <c r="AC171" s="244"/>
      <c r="AD171" s="244" t="s">
        <v>422</v>
      </c>
      <c r="AE171" s="244"/>
      <c r="AF171" s="244"/>
      <c r="AG171" s="244"/>
      <c r="AH171" s="244"/>
      <c r="AI171" s="244"/>
      <c r="AJ171" s="244"/>
    </row>
    <row r="172" spans="1:36" hidden="1">
      <c r="A172" s="242" t="s">
        <v>1307</v>
      </c>
      <c r="B172" s="240" t="s">
        <v>768</v>
      </c>
      <c r="C172" s="216" t="s">
        <v>27</v>
      </c>
      <c r="D172" s="216" t="s">
        <v>1311</v>
      </c>
      <c r="E172" s="240" t="s">
        <v>1032</v>
      </c>
      <c r="F172" s="240" t="s">
        <v>1033</v>
      </c>
      <c r="G172" s="242" t="s">
        <v>1034</v>
      </c>
      <c r="H172" s="243" t="s">
        <v>1039</v>
      </c>
      <c r="I172" s="242">
        <v>76145</v>
      </c>
      <c r="J172" s="219">
        <v>2025</v>
      </c>
      <c r="K172" s="220">
        <v>10</v>
      </c>
      <c r="L172" s="220">
        <f t="shared" si="7"/>
        <v>9</v>
      </c>
      <c r="M172" s="216" t="s">
        <v>439</v>
      </c>
      <c r="N172" s="216" t="s">
        <v>440</v>
      </c>
      <c r="O172" s="240" t="s">
        <v>425</v>
      </c>
      <c r="P172" s="216" t="s">
        <v>38</v>
      </c>
      <c r="Q172" s="220">
        <v>2027</v>
      </c>
      <c r="R172" s="220" t="s">
        <v>38</v>
      </c>
      <c r="S172" s="221">
        <v>2026</v>
      </c>
      <c r="T172" s="216" t="s">
        <v>1315</v>
      </c>
      <c r="U172" s="240" t="s">
        <v>1280</v>
      </c>
      <c r="V172" s="242"/>
      <c r="W172" s="237"/>
      <c r="X172" s="241">
        <v>1</v>
      </c>
      <c r="Y172" s="244"/>
      <c r="Z172" s="244"/>
      <c r="AA172" s="244"/>
      <c r="AB172" s="244"/>
      <c r="AC172" s="244"/>
      <c r="AD172" s="244" t="s">
        <v>422</v>
      </c>
      <c r="AE172" s="244"/>
      <c r="AF172" s="244"/>
      <c r="AG172" s="244"/>
      <c r="AH172" s="244"/>
      <c r="AI172" s="244"/>
      <c r="AJ172" s="244"/>
    </row>
    <row r="173" spans="1:36" hidden="1">
      <c r="A173" s="240" t="s">
        <v>764</v>
      </c>
      <c r="B173" s="240" t="s">
        <v>766</v>
      </c>
      <c r="C173" s="216" t="s">
        <v>27</v>
      </c>
      <c r="D173" s="216" t="s">
        <v>1311</v>
      </c>
      <c r="E173" s="240" t="s">
        <v>1032</v>
      </c>
      <c r="F173" s="240" t="s">
        <v>1033</v>
      </c>
      <c r="G173" s="242" t="s">
        <v>1034</v>
      </c>
      <c r="H173" s="243" t="s">
        <v>1040</v>
      </c>
      <c r="I173" s="242">
        <v>76146</v>
      </c>
      <c r="J173" s="219">
        <v>2025</v>
      </c>
      <c r="K173" s="220">
        <v>10</v>
      </c>
      <c r="L173" s="220">
        <f t="shared" si="7"/>
        <v>9</v>
      </c>
      <c r="M173" s="216" t="s">
        <v>439</v>
      </c>
      <c r="N173" s="216" t="s">
        <v>440</v>
      </c>
      <c r="O173" s="240" t="s">
        <v>425</v>
      </c>
      <c r="P173" s="216" t="s">
        <v>38</v>
      </c>
      <c r="Q173" s="220">
        <v>2027</v>
      </c>
      <c r="R173" s="220" t="s">
        <v>38</v>
      </c>
      <c r="S173" s="221">
        <v>2026</v>
      </c>
      <c r="T173" s="216" t="s">
        <v>1315</v>
      </c>
      <c r="U173" s="240" t="s">
        <v>1280</v>
      </c>
      <c r="V173" s="242"/>
      <c r="W173" s="237"/>
      <c r="X173" s="241">
        <v>1</v>
      </c>
      <c r="Y173" s="244"/>
      <c r="Z173" s="244"/>
      <c r="AA173" s="244"/>
      <c r="AB173" s="244"/>
      <c r="AC173" s="244"/>
      <c r="AD173" s="244" t="s">
        <v>422</v>
      </c>
      <c r="AE173" s="244"/>
      <c r="AF173" s="254"/>
      <c r="AG173" s="244"/>
      <c r="AH173" s="244"/>
      <c r="AI173" s="244"/>
      <c r="AJ173" s="244"/>
    </row>
    <row r="174" spans="1:36" hidden="1">
      <c r="A174" s="216" t="s">
        <v>752</v>
      </c>
      <c r="B174" s="240" t="s">
        <v>815</v>
      </c>
      <c r="C174" s="216" t="s">
        <v>442</v>
      </c>
      <c r="D174" s="216" t="s">
        <v>317</v>
      </c>
      <c r="E174" s="240" t="s">
        <v>1041</v>
      </c>
      <c r="F174" s="216" t="s">
        <v>1042</v>
      </c>
      <c r="G174" s="217" t="s">
        <v>1043</v>
      </c>
      <c r="H174" s="243" t="s">
        <v>1044</v>
      </c>
      <c r="I174" s="217">
        <v>75043</v>
      </c>
      <c r="J174" s="219">
        <v>2025</v>
      </c>
      <c r="K174" s="220">
        <v>10</v>
      </c>
      <c r="L174" s="220">
        <f t="shared" si="7"/>
        <v>9</v>
      </c>
      <c r="M174" s="216" t="s">
        <v>439</v>
      </c>
      <c r="N174" s="216" t="s">
        <v>440</v>
      </c>
      <c r="O174" s="216" t="s">
        <v>464</v>
      </c>
      <c r="P174" s="216" t="s">
        <v>38</v>
      </c>
      <c r="Q174" s="220">
        <v>2026</v>
      </c>
      <c r="R174" s="220" t="s">
        <v>38</v>
      </c>
      <c r="S174" s="221">
        <v>2026</v>
      </c>
      <c r="T174" s="216" t="s">
        <v>1315</v>
      </c>
      <c r="U174" s="216" t="s">
        <v>1281</v>
      </c>
      <c r="V174" s="217"/>
      <c r="W174" s="237"/>
      <c r="X174" s="220">
        <v>1</v>
      </c>
      <c r="Y174" s="221"/>
      <c r="Z174" s="221"/>
      <c r="AA174" s="221" t="s">
        <v>648</v>
      </c>
      <c r="AB174" s="221" t="s">
        <v>422</v>
      </c>
      <c r="AC174" s="221"/>
      <c r="AD174" s="221"/>
      <c r="AE174" s="221"/>
      <c r="AF174" s="221"/>
      <c r="AG174" s="221"/>
      <c r="AH174" s="221"/>
      <c r="AI174" s="221"/>
      <c r="AJ174" s="221"/>
    </row>
    <row r="175" spans="1:36" hidden="1">
      <c r="A175" s="216" t="s">
        <v>1478</v>
      </c>
      <c r="B175" s="216" t="s">
        <v>1479</v>
      </c>
      <c r="C175" s="216" t="s">
        <v>1313</v>
      </c>
      <c r="D175" s="216" t="s">
        <v>317</v>
      </c>
      <c r="E175" s="216" t="s">
        <v>1485</v>
      </c>
      <c r="F175" s="216" t="s">
        <v>1462</v>
      </c>
      <c r="G175" s="217" t="s">
        <v>1463</v>
      </c>
      <c r="H175" s="218">
        <v>33815</v>
      </c>
      <c r="I175" s="217">
        <v>74163</v>
      </c>
      <c r="J175" s="219">
        <v>2015</v>
      </c>
      <c r="K175" s="220">
        <v>10</v>
      </c>
      <c r="L175" s="220">
        <v>0</v>
      </c>
      <c r="M175" s="216" t="s">
        <v>439</v>
      </c>
      <c r="N175" s="216" t="s">
        <v>440</v>
      </c>
      <c r="O175" s="216" t="s">
        <v>425</v>
      </c>
      <c r="P175" s="216" t="s">
        <v>37</v>
      </c>
      <c r="Q175" s="220" t="s">
        <v>421</v>
      </c>
      <c r="R175" s="220" t="s">
        <v>38</v>
      </c>
      <c r="S175" s="221">
        <v>2025</v>
      </c>
      <c r="T175" s="216" t="s">
        <v>1315</v>
      </c>
      <c r="U175" s="216" t="s">
        <v>1328</v>
      </c>
      <c r="V175" s="217"/>
      <c r="W175" s="237">
        <v>246971.63009404388</v>
      </c>
      <c r="X175" s="220">
        <v>1</v>
      </c>
      <c r="Y175" s="248"/>
      <c r="Z175" s="248"/>
      <c r="AA175" s="248"/>
      <c r="AB175" s="248"/>
      <c r="AC175" s="248"/>
      <c r="AD175" s="248"/>
      <c r="AE175" s="248"/>
      <c r="AF175" s="244"/>
      <c r="AG175" s="248"/>
      <c r="AH175" s="248"/>
      <c r="AI175" s="248"/>
      <c r="AJ175" s="248" t="s">
        <v>422</v>
      </c>
    </row>
    <row r="176" spans="1:36" hidden="1">
      <c r="A176" s="216" t="s">
        <v>752</v>
      </c>
      <c r="B176" s="240" t="s">
        <v>788</v>
      </c>
      <c r="C176" s="216" t="s">
        <v>1312</v>
      </c>
      <c r="D176" s="216" t="s">
        <v>317</v>
      </c>
      <c r="E176" s="240" t="s">
        <v>1045</v>
      </c>
      <c r="F176" s="216" t="s">
        <v>746</v>
      </c>
      <c r="G176" s="217" t="s">
        <v>747</v>
      </c>
      <c r="H176" s="243" t="s">
        <v>1046</v>
      </c>
      <c r="I176" s="217">
        <v>76101</v>
      </c>
      <c r="J176" s="219">
        <v>2025</v>
      </c>
      <c r="K176" s="220">
        <v>10</v>
      </c>
      <c r="L176" s="220">
        <f>K176-($B$9-J176)</f>
        <v>9</v>
      </c>
      <c r="M176" s="216" t="s">
        <v>439</v>
      </c>
      <c r="N176" s="216" t="s">
        <v>440</v>
      </c>
      <c r="O176" s="216" t="s">
        <v>425</v>
      </c>
      <c r="P176" s="216" t="s">
        <v>38</v>
      </c>
      <c r="Q176" s="220">
        <v>2028</v>
      </c>
      <c r="R176" s="220" t="s">
        <v>38</v>
      </c>
      <c r="S176" s="221">
        <v>2026</v>
      </c>
      <c r="T176" s="216" t="s">
        <v>1315</v>
      </c>
      <c r="U176" s="216" t="s">
        <v>1282</v>
      </c>
      <c r="V176" s="217"/>
      <c r="W176" s="237"/>
      <c r="X176" s="220">
        <v>1</v>
      </c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 t="s">
        <v>422</v>
      </c>
      <c r="AI176" s="221"/>
      <c r="AJ176" s="221"/>
    </row>
    <row r="177" spans="1:36" hidden="1">
      <c r="A177" s="216" t="s">
        <v>1478</v>
      </c>
      <c r="B177" s="216" t="s">
        <v>1479</v>
      </c>
      <c r="C177" s="216" t="s">
        <v>1312</v>
      </c>
      <c r="D177" s="216" t="s">
        <v>317</v>
      </c>
      <c r="E177" s="240" t="s">
        <v>1045</v>
      </c>
      <c r="F177" s="246" t="s">
        <v>746</v>
      </c>
      <c r="G177" s="245" t="s">
        <v>747</v>
      </c>
      <c r="H177" s="243" t="s">
        <v>1390</v>
      </c>
      <c r="I177" s="245">
        <v>74192</v>
      </c>
      <c r="J177" s="219">
        <v>2010</v>
      </c>
      <c r="K177" s="220">
        <v>10</v>
      </c>
      <c r="L177" s="220">
        <v>-5</v>
      </c>
      <c r="M177" s="216" t="s">
        <v>439</v>
      </c>
      <c r="N177" s="216" t="s">
        <v>431</v>
      </c>
      <c r="O177" s="216" t="s">
        <v>425</v>
      </c>
      <c r="P177" s="216" t="s">
        <v>37</v>
      </c>
      <c r="Q177" s="220" t="s">
        <v>421</v>
      </c>
      <c r="R177" s="220" t="s">
        <v>37</v>
      </c>
      <c r="S177" s="221"/>
      <c r="T177" s="245" t="s">
        <v>1315</v>
      </c>
      <c r="U177" s="240"/>
      <c r="V177" s="245"/>
      <c r="W177" s="237"/>
      <c r="X177" s="247">
        <v>1</v>
      </c>
      <c r="Y177" s="248"/>
      <c r="Z177" s="248"/>
      <c r="AA177" s="248"/>
      <c r="AB177" s="248"/>
      <c r="AC177" s="248"/>
      <c r="AD177" s="248"/>
      <c r="AE177" s="248"/>
      <c r="AF177" s="244"/>
      <c r="AG177" s="248"/>
      <c r="AH177" s="248"/>
      <c r="AI177" s="248" t="s">
        <v>422</v>
      </c>
      <c r="AJ177" s="248"/>
    </row>
    <row r="178" spans="1:36" hidden="1">
      <c r="A178" s="216" t="s">
        <v>1478</v>
      </c>
      <c r="B178" s="216" t="s">
        <v>1479</v>
      </c>
      <c r="C178" s="216" t="s">
        <v>1312</v>
      </c>
      <c r="D178" s="216" t="s">
        <v>317</v>
      </c>
      <c r="E178" s="240" t="s">
        <v>1045</v>
      </c>
      <c r="F178" s="246" t="s">
        <v>746</v>
      </c>
      <c r="G178" s="245" t="s">
        <v>747</v>
      </c>
      <c r="H178" s="243" t="s">
        <v>1391</v>
      </c>
      <c r="I178" s="245">
        <v>74193</v>
      </c>
      <c r="J178" s="219">
        <v>2010</v>
      </c>
      <c r="K178" s="220">
        <v>10</v>
      </c>
      <c r="L178" s="220">
        <v>-5</v>
      </c>
      <c r="M178" s="216" t="s">
        <v>439</v>
      </c>
      <c r="N178" s="216" t="s">
        <v>440</v>
      </c>
      <c r="O178" s="216" t="s">
        <v>425</v>
      </c>
      <c r="P178" s="216" t="s">
        <v>37</v>
      </c>
      <c r="Q178" s="220" t="s">
        <v>421</v>
      </c>
      <c r="R178" s="220" t="s">
        <v>37</v>
      </c>
      <c r="S178" s="221"/>
      <c r="T178" s="245" t="s">
        <v>1315</v>
      </c>
      <c r="U178" s="240"/>
      <c r="V178" s="245"/>
      <c r="W178" s="237"/>
      <c r="X178" s="247">
        <v>1</v>
      </c>
      <c r="Y178" s="248"/>
      <c r="Z178" s="248"/>
      <c r="AA178" s="248"/>
      <c r="AB178" s="248"/>
      <c r="AC178" s="248"/>
      <c r="AD178" s="248"/>
      <c r="AE178" s="248"/>
      <c r="AF178" s="244"/>
      <c r="AG178" s="248"/>
      <c r="AH178" s="248" t="s">
        <v>422</v>
      </c>
      <c r="AI178" s="248"/>
      <c r="AJ178" s="248"/>
    </row>
    <row r="179" spans="1:36" hidden="1">
      <c r="A179" s="217" t="s">
        <v>752</v>
      </c>
      <c r="B179" s="240" t="s">
        <v>753</v>
      </c>
      <c r="C179" s="216" t="s">
        <v>442</v>
      </c>
      <c r="D179" s="216" t="s">
        <v>1311</v>
      </c>
      <c r="E179" s="239" t="s">
        <v>1047</v>
      </c>
      <c r="F179" s="216" t="s">
        <v>848</v>
      </c>
      <c r="G179" s="217">
        <v>2983</v>
      </c>
      <c r="H179" s="243" t="s">
        <v>1048</v>
      </c>
      <c r="I179" s="217">
        <v>76089</v>
      </c>
      <c r="J179" s="219">
        <v>2025</v>
      </c>
      <c r="K179" s="220">
        <v>10</v>
      </c>
      <c r="L179" s="220">
        <f t="shared" ref="L179:L218" si="8">K179-($B$9-J179)</f>
        <v>9</v>
      </c>
      <c r="M179" s="216" t="s">
        <v>439</v>
      </c>
      <c r="N179" s="216" t="s">
        <v>440</v>
      </c>
      <c r="O179" s="216" t="s">
        <v>425</v>
      </c>
      <c r="P179" s="216" t="s">
        <v>38</v>
      </c>
      <c r="Q179" s="220">
        <v>2026</v>
      </c>
      <c r="R179" s="220" t="s">
        <v>37</v>
      </c>
      <c r="S179" s="221">
        <v>2027</v>
      </c>
      <c r="T179" s="216"/>
      <c r="U179" s="216" t="s">
        <v>1259</v>
      </c>
      <c r="V179" s="217"/>
      <c r="W179" s="237"/>
      <c r="X179" s="220">
        <v>0</v>
      </c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</row>
    <row r="180" spans="1:36" hidden="1">
      <c r="A180" s="217" t="s">
        <v>507</v>
      </c>
      <c r="B180" s="240" t="s">
        <v>751</v>
      </c>
      <c r="C180" s="216" t="s">
        <v>1310</v>
      </c>
      <c r="D180" s="216" t="s">
        <v>317</v>
      </c>
      <c r="E180" s="239" t="s">
        <v>1302</v>
      </c>
      <c r="F180" s="216" t="s">
        <v>1049</v>
      </c>
      <c r="G180" s="217" t="s">
        <v>1050</v>
      </c>
      <c r="H180" s="243">
        <v>20230000021249</v>
      </c>
      <c r="I180" s="217">
        <v>75045</v>
      </c>
      <c r="J180" s="219">
        <v>2025</v>
      </c>
      <c r="K180" s="220">
        <v>10</v>
      </c>
      <c r="L180" s="220">
        <f t="shared" si="8"/>
        <v>9</v>
      </c>
      <c r="M180" s="216" t="s">
        <v>439</v>
      </c>
      <c r="N180" s="216" t="s">
        <v>440</v>
      </c>
      <c r="O180" s="216" t="s">
        <v>464</v>
      </c>
      <c r="P180" s="216" t="s">
        <v>37</v>
      </c>
      <c r="Q180" s="220">
        <v>2025</v>
      </c>
      <c r="R180" s="220" t="s">
        <v>38</v>
      </c>
      <c r="S180" s="221">
        <v>2026</v>
      </c>
      <c r="T180" s="216" t="s">
        <v>1315</v>
      </c>
      <c r="U180" s="216" t="s">
        <v>1257</v>
      </c>
      <c r="V180" s="217"/>
      <c r="W180" s="237"/>
      <c r="X180" s="220">
        <v>1</v>
      </c>
      <c r="Y180" s="221"/>
      <c r="Z180" s="221"/>
      <c r="AA180" s="221"/>
      <c r="AB180" s="221"/>
      <c r="AC180" s="221"/>
      <c r="AD180" s="221" t="s">
        <v>422</v>
      </c>
      <c r="AE180" s="221"/>
      <c r="AF180" s="221"/>
      <c r="AG180" s="221"/>
      <c r="AH180" s="221"/>
      <c r="AI180" s="221"/>
      <c r="AJ180" s="221"/>
    </row>
    <row r="181" spans="1:36" hidden="1">
      <c r="A181" s="216" t="s">
        <v>507</v>
      </c>
      <c r="B181" s="240" t="s">
        <v>816</v>
      </c>
      <c r="C181" s="216" t="s">
        <v>1310</v>
      </c>
      <c r="D181" s="216" t="s">
        <v>317</v>
      </c>
      <c r="E181" s="216" t="s">
        <v>1303</v>
      </c>
      <c r="F181" s="216" t="s">
        <v>1049</v>
      </c>
      <c r="G181" s="217" t="s">
        <v>1051</v>
      </c>
      <c r="H181" s="243">
        <v>20230000019521</v>
      </c>
      <c r="I181" s="217">
        <v>75044</v>
      </c>
      <c r="J181" s="219">
        <v>2025</v>
      </c>
      <c r="K181" s="220">
        <v>10</v>
      </c>
      <c r="L181" s="220">
        <f t="shared" si="8"/>
        <v>9</v>
      </c>
      <c r="M181" s="216" t="s">
        <v>439</v>
      </c>
      <c r="N181" s="216" t="s">
        <v>440</v>
      </c>
      <c r="O181" s="216" t="s">
        <v>464</v>
      </c>
      <c r="P181" s="216" t="s">
        <v>37</v>
      </c>
      <c r="Q181" s="220">
        <v>2025</v>
      </c>
      <c r="R181" s="220" t="s">
        <v>38</v>
      </c>
      <c r="S181" s="221">
        <v>2026</v>
      </c>
      <c r="T181" s="216" t="s">
        <v>1315</v>
      </c>
      <c r="U181" s="216" t="s">
        <v>1257</v>
      </c>
      <c r="V181" s="217"/>
      <c r="W181" s="237"/>
      <c r="X181" s="220">
        <v>1</v>
      </c>
      <c r="Y181" s="221"/>
      <c r="Z181" s="221"/>
      <c r="AA181" s="221"/>
      <c r="AB181" s="221"/>
      <c r="AC181" s="221"/>
      <c r="AD181" s="221" t="s">
        <v>422</v>
      </c>
      <c r="AE181" s="221"/>
      <c r="AF181" s="221"/>
      <c r="AG181" s="221"/>
      <c r="AH181" s="221"/>
      <c r="AI181" s="221"/>
      <c r="AJ181" s="221"/>
    </row>
    <row r="182" spans="1:36" hidden="1">
      <c r="A182" s="240" t="s">
        <v>752</v>
      </c>
      <c r="B182" s="240" t="s">
        <v>753</v>
      </c>
      <c r="C182" s="216" t="s">
        <v>442</v>
      </c>
      <c r="D182" s="216" t="s">
        <v>1311</v>
      </c>
      <c r="E182" s="240" t="s">
        <v>1052</v>
      </c>
      <c r="F182" s="240" t="s">
        <v>1053</v>
      </c>
      <c r="G182" s="242"/>
      <c r="H182" s="243" t="s">
        <v>844</v>
      </c>
      <c r="I182" s="242">
        <v>76575</v>
      </c>
      <c r="J182" s="219">
        <v>2025</v>
      </c>
      <c r="K182" s="241">
        <v>10</v>
      </c>
      <c r="L182" s="220">
        <f t="shared" si="8"/>
        <v>9</v>
      </c>
      <c r="M182" s="240" t="s">
        <v>439</v>
      </c>
      <c r="N182" s="216" t="s">
        <v>440</v>
      </c>
      <c r="O182" s="240" t="s">
        <v>425</v>
      </c>
      <c r="P182" s="216" t="s">
        <v>38</v>
      </c>
      <c r="Q182" s="220">
        <v>2026</v>
      </c>
      <c r="R182" s="220" t="s">
        <v>37</v>
      </c>
      <c r="S182" s="221">
        <v>2027</v>
      </c>
      <c r="T182" s="216"/>
      <c r="U182" s="240" t="s">
        <v>1259</v>
      </c>
      <c r="V182" s="242"/>
      <c r="W182" s="237"/>
      <c r="X182" s="241">
        <v>0</v>
      </c>
      <c r="Y182" s="244"/>
      <c r="Z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</row>
    <row r="183" spans="1:36" hidden="1">
      <c r="A183" s="216" t="s">
        <v>507</v>
      </c>
      <c r="B183" s="240" t="s">
        <v>818</v>
      </c>
      <c r="C183" s="216" t="s">
        <v>1310</v>
      </c>
      <c r="D183" s="216" t="s">
        <v>28</v>
      </c>
      <c r="E183" s="216" t="s">
        <v>1054</v>
      </c>
      <c r="F183" s="216" t="s">
        <v>1055</v>
      </c>
      <c r="G183" s="217" t="s">
        <v>1056</v>
      </c>
      <c r="H183" s="243" t="s">
        <v>1057</v>
      </c>
      <c r="I183" s="217">
        <v>75064</v>
      </c>
      <c r="J183" s="219">
        <v>2025</v>
      </c>
      <c r="K183" s="220">
        <v>10</v>
      </c>
      <c r="L183" s="220">
        <f t="shared" si="8"/>
        <v>9</v>
      </c>
      <c r="M183" s="216" t="s">
        <v>439</v>
      </c>
      <c r="N183" s="216" t="s">
        <v>440</v>
      </c>
      <c r="O183" s="216" t="s">
        <v>464</v>
      </c>
      <c r="P183" s="216" t="s">
        <v>38</v>
      </c>
      <c r="Q183" s="220">
        <v>2027</v>
      </c>
      <c r="R183" s="220" t="s">
        <v>38</v>
      </c>
      <c r="S183" s="221">
        <v>2026</v>
      </c>
      <c r="T183" s="216" t="s">
        <v>1315</v>
      </c>
      <c r="U183" s="216" t="s">
        <v>1262</v>
      </c>
      <c r="V183" s="217"/>
      <c r="W183" s="237"/>
      <c r="X183" s="220">
        <v>1</v>
      </c>
      <c r="Y183" s="221"/>
      <c r="Z183" s="221"/>
      <c r="AA183" s="221" t="s">
        <v>648</v>
      </c>
      <c r="AB183" s="221"/>
      <c r="AC183" s="221"/>
      <c r="AD183" s="221" t="s">
        <v>422</v>
      </c>
      <c r="AE183" s="221"/>
      <c r="AF183" s="221"/>
      <c r="AG183" s="221"/>
      <c r="AH183" s="221"/>
      <c r="AI183" s="221"/>
      <c r="AJ183" s="221"/>
    </row>
    <row r="184" spans="1:36" hidden="1">
      <c r="A184" s="216" t="s">
        <v>507</v>
      </c>
      <c r="B184" s="240" t="s">
        <v>819</v>
      </c>
      <c r="C184" s="216" t="s">
        <v>1310</v>
      </c>
      <c r="D184" s="216" t="s">
        <v>28</v>
      </c>
      <c r="E184" s="216" t="s">
        <v>1058</v>
      </c>
      <c r="F184" s="216" t="s">
        <v>1059</v>
      </c>
      <c r="G184" s="217" t="s">
        <v>1060</v>
      </c>
      <c r="H184" s="243" t="s">
        <v>1061</v>
      </c>
      <c r="I184" s="217">
        <v>75301</v>
      </c>
      <c r="J184" s="219">
        <v>2025</v>
      </c>
      <c r="K184" s="220">
        <v>10</v>
      </c>
      <c r="L184" s="220">
        <f t="shared" si="8"/>
        <v>9</v>
      </c>
      <c r="M184" s="216" t="s">
        <v>439</v>
      </c>
      <c r="N184" s="216" t="s">
        <v>440</v>
      </c>
      <c r="O184" s="216" t="s">
        <v>464</v>
      </c>
      <c r="P184" s="216" t="s">
        <v>38</v>
      </c>
      <c r="Q184" s="220">
        <v>2027</v>
      </c>
      <c r="R184" s="220" t="s">
        <v>38</v>
      </c>
      <c r="S184" s="221">
        <v>2026</v>
      </c>
      <c r="T184" s="216" t="s">
        <v>1315</v>
      </c>
      <c r="U184" s="216" t="s">
        <v>1275</v>
      </c>
      <c r="V184" s="217"/>
      <c r="W184" s="237"/>
      <c r="X184" s="220">
        <v>1</v>
      </c>
      <c r="Y184" s="221"/>
      <c r="Z184" s="221"/>
      <c r="AA184" s="221"/>
      <c r="AB184" s="221"/>
      <c r="AC184" s="221"/>
      <c r="AD184" s="221"/>
      <c r="AE184" s="221" t="s">
        <v>422</v>
      </c>
      <c r="AF184" s="221"/>
      <c r="AG184" s="221"/>
      <c r="AH184" s="221"/>
      <c r="AI184" s="221"/>
      <c r="AJ184" s="221"/>
    </row>
    <row r="185" spans="1:36" hidden="1">
      <c r="A185" s="216" t="s">
        <v>507</v>
      </c>
      <c r="B185" s="240" t="s">
        <v>751</v>
      </c>
      <c r="C185" s="216" t="s">
        <v>1310</v>
      </c>
      <c r="D185" s="216" t="s">
        <v>28</v>
      </c>
      <c r="E185" s="216" t="s">
        <v>1062</v>
      </c>
      <c r="F185" s="216" t="s">
        <v>1063</v>
      </c>
      <c r="G185" s="217" t="s">
        <v>1064</v>
      </c>
      <c r="H185" s="240" t="s">
        <v>1065</v>
      </c>
      <c r="I185" s="217">
        <v>75042</v>
      </c>
      <c r="J185" s="219">
        <v>2025</v>
      </c>
      <c r="K185" s="220">
        <v>10</v>
      </c>
      <c r="L185" s="220">
        <f t="shared" si="8"/>
        <v>9</v>
      </c>
      <c r="M185" s="216" t="s">
        <v>439</v>
      </c>
      <c r="N185" s="216" t="s">
        <v>440</v>
      </c>
      <c r="O185" s="216" t="s">
        <v>464</v>
      </c>
      <c r="P185" s="216" t="s">
        <v>38</v>
      </c>
      <c r="Q185" s="220">
        <v>2027</v>
      </c>
      <c r="R185" s="220" t="s">
        <v>38</v>
      </c>
      <c r="S185" s="221">
        <v>2026</v>
      </c>
      <c r="T185" s="216" t="s">
        <v>1315</v>
      </c>
      <c r="U185" s="216" t="s">
        <v>1257</v>
      </c>
      <c r="V185" s="217"/>
      <c r="W185" s="237"/>
      <c r="X185" s="220">
        <v>1</v>
      </c>
      <c r="Y185" s="221"/>
      <c r="Z185" s="221"/>
      <c r="AA185" s="221"/>
      <c r="AB185" s="221"/>
      <c r="AC185" s="221"/>
      <c r="AD185" s="221"/>
      <c r="AE185" s="221" t="s">
        <v>422</v>
      </c>
      <c r="AF185" s="221"/>
      <c r="AG185" s="221"/>
      <c r="AH185" s="221"/>
      <c r="AI185" s="221"/>
      <c r="AJ185" s="221"/>
    </row>
    <row r="186" spans="1:36" hidden="1">
      <c r="A186" s="216" t="s">
        <v>752</v>
      </c>
      <c r="B186" s="240" t="s">
        <v>753</v>
      </c>
      <c r="C186" s="216" t="s">
        <v>442</v>
      </c>
      <c r="D186" s="216" t="s">
        <v>1311</v>
      </c>
      <c r="E186" s="216" t="s">
        <v>1066</v>
      </c>
      <c r="F186" s="216" t="s">
        <v>1067</v>
      </c>
      <c r="G186" s="217" t="s">
        <v>1068</v>
      </c>
      <c r="H186" s="243" t="s">
        <v>1069</v>
      </c>
      <c r="I186" s="217">
        <v>76574</v>
      </c>
      <c r="J186" s="219">
        <v>2025</v>
      </c>
      <c r="K186" s="220">
        <v>10</v>
      </c>
      <c r="L186" s="220">
        <f t="shared" si="8"/>
        <v>9</v>
      </c>
      <c r="M186" s="216" t="s">
        <v>439</v>
      </c>
      <c r="N186" s="216" t="s">
        <v>440</v>
      </c>
      <c r="O186" s="216" t="s">
        <v>425</v>
      </c>
      <c r="P186" s="216" t="s">
        <v>38</v>
      </c>
      <c r="Q186" s="220">
        <v>2026</v>
      </c>
      <c r="R186" s="220" t="s">
        <v>37</v>
      </c>
      <c r="S186" s="221">
        <v>2027</v>
      </c>
      <c r="T186" s="216"/>
      <c r="U186" s="240" t="s">
        <v>1259</v>
      </c>
      <c r="V186" s="217"/>
      <c r="W186" s="237"/>
      <c r="X186" s="220">
        <v>0</v>
      </c>
      <c r="Y186" s="221"/>
      <c r="Z186" s="221"/>
      <c r="AA186" s="221"/>
      <c r="AB186" s="221"/>
      <c r="AC186" s="221"/>
      <c r="AD186" s="221"/>
      <c r="AE186" s="221"/>
      <c r="AF186" s="244"/>
      <c r="AG186" s="221"/>
      <c r="AH186" s="221"/>
      <c r="AI186" s="221"/>
      <c r="AJ186" s="221"/>
    </row>
    <row r="187" spans="1:36" hidden="1">
      <c r="A187" s="216" t="s">
        <v>752</v>
      </c>
      <c r="B187" s="240" t="s">
        <v>753</v>
      </c>
      <c r="C187" s="216" t="s">
        <v>442</v>
      </c>
      <c r="D187" s="216" t="s">
        <v>1311</v>
      </c>
      <c r="E187" s="246" t="s">
        <v>1070</v>
      </c>
      <c r="F187" s="216" t="s">
        <v>1071</v>
      </c>
      <c r="G187" s="217" t="s">
        <v>1072</v>
      </c>
      <c r="H187" s="243">
        <v>3120220656</v>
      </c>
      <c r="I187" s="217">
        <v>76573</v>
      </c>
      <c r="J187" s="219">
        <v>2025</v>
      </c>
      <c r="K187" s="220">
        <v>10</v>
      </c>
      <c r="L187" s="220">
        <f t="shared" si="8"/>
        <v>9</v>
      </c>
      <c r="M187" s="216" t="s">
        <v>439</v>
      </c>
      <c r="N187" s="216" t="s">
        <v>440</v>
      </c>
      <c r="O187" s="216" t="s">
        <v>425</v>
      </c>
      <c r="P187" s="216" t="s">
        <v>38</v>
      </c>
      <c r="Q187" s="220">
        <v>2026</v>
      </c>
      <c r="R187" s="220" t="s">
        <v>37</v>
      </c>
      <c r="S187" s="221">
        <v>2027</v>
      </c>
      <c r="T187" s="216"/>
      <c r="U187" s="216" t="s">
        <v>1259</v>
      </c>
      <c r="V187" s="217"/>
      <c r="W187" s="237"/>
      <c r="X187" s="220">
        <v>0</v>
      </c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</row>
    <row r="188" spans="1:36" hidden="1">
      <c r="A188" s="216" t="s">
        <v>507</v>
      </c>
      <c r="B188" s="240" t="s">
        <v>759</v>
      </c>
      <c r="C188" s="216" t="s">
        <v>1310</v>
      </c>
      <c r="D188" s="216" t="s">
        <v>317</v>
      </c>
      <c r="E188" s="246" t="s">
        <v>1073</v>
      </c>
      <c r="F188" s="216" t="s">
        <v>1055</v>
      </c>
      <c r="G188" s="217" t="s">
        <v>1074</v>
      </c>
      <c r="H188" s="243" t="s">
        <v>1075</v>
      </c>
      <c r="I188" s="217">
        <v>75063</v>
      </c>
      <c r="J188" s="219">
        <v>2025</v>
      </c>
      <c r="K188" s="220">
        <v>10</v>
      </c>
      <c r="L188" s="220">
        <f t="shared" si="8"/>
        <v>9</v>
      </c>
      <c r="M188" s="216" t="s">
        <v>439</v>
      </c>
      <c r="N188" s="216" t="s">
        <v>440</v>
      </c>
      <c r="O188" s="216" t="s">
        <v>464</v>
      </c>
      <c r="P188" s="216" t="s">
        <v>38</v>
      </c>
      <c r="Q188" s="220">
        <v>2027</v>
      </c>
      <c r="R188" s="220" t="s">
        <v>38</v>
      </c>
      <c r="S188" s="221">
        <v>2026</v>
      </c>
      <c r="T188" s="216" t="s">
        <v>1315</v>
      </c>
      <c r="U188" s="216" t="s">
        <v>1275</v>
      </c>
      <c r="V188" s="217"/>
      <c r="W188" s="237"/>
      <c r="X188" s="220">
        <v>1</v>
      </c>
      <c r="Y188" s="221"/>
      <c r="Z188" s="221"/>
      <c r="AA188" s="221"/>
      <c r="AB188" s="221" t="s">
        <v>422</v>
      </c>
      <c r="AC188" s="221"/>
      <c r="AD188" s="221"/>
      <c r="AE188" s="221"/>
      <c r="AF188" s="221"/>
      <c r="AG188" s="221"/>
      <c r="AH188" s="221"/>
      <c r="AI188" s="221"/>
      <c r="AJ188" s="221"/>
    </row>
    <row r="189" spans="1:36" hidden="1">
      <c r="A189" s="240" t="s">
        <v>764</v>
      </c>
      <c r="B189" s="240" t="s">
        <v>820</v>
      </c>
      <c r="C189" s="216" t="s">
        <v>27</v>
      </c>
      <c r="D189" s="216" t="s">
        <v>28</v>
      </c>
      <c r="E189" s="240" t="s">
        <v>1076</v>
      </c>
      <c r="F189" s="240" t="s">
        <v>1306</v>
      </c>
      <c r="G189" s="242"/>
      <c r="H189" s="243"/>
      <c r="I189" s="242"/>
      <c r="J189" s="219">
        <v>2025</v>
      </c>
      <c r="K189" s="220">
        <v>10</v>
      </c>
      <c r="L189" s="220">
        <f t="shared" si="8"/>
        <v>9</v>
      </c>
      <c r="M189" s="216" t="s">
        <v>439</v>
      </c>
      <c r="N189" s="216" t="s">
        <v>440</v>
      </c>
      <c r="O189" s="240" t="s">
        <v>36</v>
      </c>
      <c r="P189" s="216" t="s">
        <v>38</v>
      </c>
      <c r="Q189" s="220">
        <v>2027</v>
      </c>
      <c r="R189" s="220" t="s">
        <v>38</v>
      </c>
      <c r="S189" s="221">
        <v>2026</v>
      </c>
      <c r="T189" s="216" t="s">
        <v>1315</v>
      </c>
      <c r="U189" s="240" t="s">
        <v>1283</v>
      </c>
      <c r="V189" s="242"/>
      <c r="W189" s="237"/>
      <c r="X189" s="241">
        <v>2</v>
      </c>
      <c r="Y189" s="244"/>
      <c r="Z189" s="244"/>
      <c r="AA189" s="244"/>
      <c r="AB189" s="244" t="s">
        <v>422</v>
      </c>
      <c r="AC189" s="244"/>
      <c r="AD189" s="244"/>
      <c r="AE189" s="244"/>
      <c r="AF189" s="244"/>
      <c r="AG189" s="244"/>
      <c r="AH189" s="244" t="s">
        <v>422</v>
      </c>
      <c r="AI189" s="244"/>
      <c r="AJ189" s="244"/>
    </row>
    <row r="190" spans="1:36" hidden="1">
      <c r="A190" s="216" t="s">
        <v>821</v>
      </c>
      <c r="B190" s="240" t="s">
        <v>817</v>
      </c>
      <c r="C190" s="216" t="s">
        <v>1312</v>
      </c>
      <c r="D190" s="216" t="s">
        <v>1311</v>
      </c>
      <c r="E190" s="239" t="s">
        <v>1077</v>
      </c>
      <c r="F190" s="216" t="s">
        <v>1078</v>
      </c>
      <c r="G190" s="217" t="s">
        <v>1079</v>
      </c>
      <c r="H190" s="243" t="s">
        <v>1080</v>
      </c>
      <c r="I190" s="217">
        <v>75081</v>
      </c>
      <c r="J190" s="219">
        <v>2025</v>
      </c>
      <c r="K190" s="220">
        <v>10</v>
      </c>
      <c r="L190" s="220">
        <f t="shared" si="8"/>
        <v>9</v>
      </c>
      <c r="M190" s="216" t="s">
        <v>439</v>
      </c>
      <c r="N190" s="216" t="s">
        <v>440</v>
      </c>
      <c r="O190" s="216" t="s">
        <v>421</v>
      </c>
      <c r="P190" s="216" t="s">
        <v>38</v>
      </c>
      <c r="Q190" s="220">
        <v>2027</v>
      </c>
      <c r="R190" s="220" t="s">
        <v>38</v>
      </c>
      <c r="S190" s="221">
        <v>2026</v>
      </c>
      <c r="T190" s="216" t="s">
        <v>1315</v>
      </c>
      <c r="U190" s="216" t="s">
        <v>1271</v>
      </c>
      <c r="V190" s="217"/>
      <c r="W190" s="237"/>
      <c r="X190" s="220">
        <v>1</v>
      </c>
      <c r="Y190" s="221"/>
      <c r="Z190" s="221"/>
      <c r="AA190" s="221"/>
      <c r="AB190" s="221"/>
      <c r="AC190" s="221"/>
      <c r="AD190" s="221" t="s">
        <v>422</v>
      </c>
      <c r="AE190" s="221"/>
      <c r="AF190" s="221"/>
      <c r="AG190" s="221"/>
      <c r="AH190" s="221"/>
      <c r="AI190" s="221"/>
      <c r="AJ190" s="221"/>
    </row>
    <row r="191" spans="1:36" hidden="1">
      <c r="A191" s="216" t="s">
        <v>752</v>
      </c>
      <c r="B191" s="216" t="s">
        <v>781</v>
      </c>
      <c r="C191" s="216" t="s">
        <v>1312</v>
      </c>
      <c r="D191" s="216" t="s">
        <v>1311</v>
      </c>
      <c r="E191" s="216" t="s">
        <v>1077</v>
      </c>
      <c r="F191" s="216" t="s">
        <v>1078</v>
      </c>
      <c r="G191" s="217" t="s">
        <v>1079</v>
      </c>
      <c r="H191" s="243" t="s">
        <v>1081</v>
      </c>
      <c r="I191" s="217">
        <v>75080</v>
      </c>
      <c r="J191" s="219">
        <v>2025</v>
      </c>
      <c r="K191" s="220">
        <v>10</v>
      </c>
      <c r="L191" s="220">
        <f t="shared" si="8"/>
        <v>9</v>
      </c>
      <c r="M191" s="216" t="s">
        <v>439</v>
      </c>
      <c r="N191" s="216" t="s">
        <v>440</v>
      </c>
      <c r="O191" s="216" t="s">
        <v>421</v>
      </c>
      <c r="P191" s="216" t="s">
        <v>38</v>
      </c>
      <c r="Q191" s="220">
        <v>2027</v>
      </c>
      <c r="R191" s="220" t="s">
        <v>38</v>
      </c>
      <c r="S191" s="221">
        <v>2026</v>
      </c>
      <c r="T191" s="216" t="s">
        <v>1315</v>
      </c>
      <c r="U191" s="216" t="s">
        <v>1271</v>
      </c>
      <c r="V191" s="217"/>
      <c r="W191" s="237"/>
      <c r="X191" s="220">
        <v>1</v>
      </c>
      <c r="Y191" s="221"/>
      <c r="Z191" s="221"/>
      <c r="AA191" s="221"/>
      <c r="AB191" s="221"/>
      <c r="AC191" s="221"/>
      <c r="AD191" s="221" t="s">
        <v>422</v>
      </c>
      <c r="AE191" s="221"/>
      <c r="AF191" s="221"/>
      <c r="AG191" s="221"/>
      <c r="AH191" s="221"/>
      <c r="AI191" s="221"/>
      <c r="AJ191" s="221"/>
    </row>
    <row r="192" spans="1:36" hidden="1">
      <c r="A192" s="216" t="s">
        <v>752</v>
      </c>
      <c r="B192" s="216" t="s">
        <v>790</v>
      </c>
      <c r="C192" s="216" t="s">
        <v>1312</v>
      </c>
      <c r="D192" s="216" t="s">
        <v>1311</v>
      </c>
      <c r="E192" s="216" t="s">
        <v>1077</v>
      </c>
      <c r="F192" s="216" t="s">
        <v>1078</v>
      </c>
      <c r="G192" s="217" t="s">
        <v>1079</v>
      </c>
      <c r="H192" s="243" t="s">
        <v>1082</v>
      </c>
      <c r="I192" s="217">
        <v>75087</v>
      </c>
      <c r="J192" s="219">
        <v>2025</v>
      </c>
      <c r="K192" s="220">
        <v>10</v>
      </c>
      <c r="L192" s="220">
        <f t="shared" si="8"/>
        <v>9</v>
      </c>
      <c r="M192" s="216" t="s">
        <v>439</v>
      </c>
      <c r="N192" s="216" t="s">
        <v>440</v>
      </c>
      <c r="O192" s="216" t="s">
        <v>421</v>
      </c>
      <c r="P192" s="216" t="s">
        <v>38</v>
      </c>
      <c r="Q192" s="220">
        <v>2027</v>
      </c>
      <c r="R192" s="220" t="s">
        <v>38</v>
      </c>
      <c r="S192" s="221">
        <v>2026</v>
      </c>
      <c r="T192" s="216" t="s">
        <v>1315</v>
      </c>
      <c r="U192" s="216" t="s">
        <v>1271</v>
      </c>
      <c r="V192" s="217"/>
      <c r="W192" s="237"/>
      <c r="X192" s="220">
        <v>1</v>
      </c>
      <c r="Y192" s="221"/>
      <c r="Z192" s="221"/>
      <c r="AA192" s="221"/>
      <c r="AB192" s="221"/>
      <c r="AC192" s="221"/>
      <c r="AD192" s="221" t="s">
        <v>422</v>
      </c>
      <c r="AE192" s="221"/>
      <c r="AF192" s="221"/>
      <c r="AG192" s="221"/>
      <c r="AH192" s="221"/>
      <c r="AI192" s="221"/>
      <c r="AJ192" s="221"/>
    </row>
    <row r="193" spans="1:36" hidden="1">
      <c r="A193" s="246" t="s">
        <v>752</v>
      </c>
      <c r="B193" s="246" t="s">
        <v>794</v>
      </c>
      <c r="C193" s="216" t="s">
        <v>1312</v>
      </c>
      <c r="D193" s="216" t="s">
        <v>1311</v>
      </c>
      <c r="E193" s="240" t="s">
        <v>1077</v>
      </c>
      <c r="F193" s="246" t="s">
        <v>1078</v>
      </c>
      <c r="G193" s="245" t="s">
        <v>1079</v>
      </c>
      <c r="H193" s="243" t="s">
        <v>1083</v>
      </c>
      <c r="I193" s="245">
        <v>75082</v>
      </c>
      <c r="J193" s="219">
        <v>2025</v>
      </c>
      <c r="K193" s="220">
        <v>10</v>
      </c>
      <c r="L193" s="220">
        <f t="shared" si="8"/>
        <v>9</v>
      </c>
      <c r="M193" s="216" t="s">
        <v>439</v>
      </c>
      <c r="N193" s="216" t="s">
        <v>440</v>
      </c>
      <c r="O193" s="246" t="s">
        <v>421</v>
      </c>
      <c r="P193" s="216" t="s">
        <v>38</v>
      </c>
      <c r="Q193" s="220">
        <v>2027</v>
      </c>
      <c r="R193" s="220" t="s">
        <v>38</v>
      </c>
      <c r="S193" s="221">
        <v>2026</v>
      </c>
      <c r="T193" s="216" t="s">
        <v>1315</v>
      </c>
      <c r="U193" s="240" t="s">
        <v>1271</v>
      </c>
      <c r="V193" s="245"/>
      <c r="W193" s="237"/>
      <c r="X193" s="247">
        <v>1</v>
      </c>
      <c r="Y193" s="248"/>
      <c r="Z193" s="248"/>
      <c r="AA193" s="248"/>
      <c r="AB193" s="248"/>
      <c r="AC193" s="248"/>
      <c r="AD193" s="221" t="s">
        <v>422</v>
      </c>
      <c r="AE193" s="248"/>
      <c r="AF193" s="244"/>
      <c r="AG193" s="248"/>
      <c r="AH193" s="248"/>
      <c r="AI193" s="248"/>
      <c r="AJ193" s="221"/>
    </row>
    <row r="194" spans="1:36" hidden="1">
      <c r="A194" s="216" t="s">
        <v>752</v>
      </c>
      <c r="B194" s="216" t="s">
        <v>785</v>
      </c>
      <c r="C194" s="216" t="s">
        <v>1312</v>
      </c>
      <c r="D194" s="216" t="s">
        <v>1311</v>
      </c>
      <c r="E194" s="240" t="s">
        <v>1077</v>
      </c>
      <c r="F194" s="246" t="s">
        <v>1078</v>
      </c>
      <c r="G194" s="245" t="s">
        <v>1079</v>
      </c>
      <c r="H194" s="243" t="s">
        <v>1084</v>
      </c>
      <c r="I194" s="245">
        <v>75083</v>
      </c>
      <c r="J194" s="219">
        <v>2025</v>
      </c>
      <c r="K194" s="220">
        <v>10</v>
      </c>
      <c r="L194" s="220">
        <f t="shared" si="8"/>
        <v>9</v>
      </c>
      <c r="M194" s="216" t="s">
        <v>439</v>
      </c>
      <c r="N194" s="216" t="s">
        <v>440</v>
      </c>
      <c r="O194" s="246" t="s">
        <v>421</v>
      </c>
      <c r="P194" s="216" t="s">
        <v>38</v>
      </c>
      <c r="Q194" s="220">
        <v>2027</v>
      </c>
      <c r="R194" s="220" t="s">
        <v>38</v>
      </c>
      <c r="S194" s="221">
        <v>2026</v>
      </c>
      <c r="T194" s="216" t="s">
        <v>1315</v>
      </c>
      <c r="U194" s="240" t="s">
        <v>1271</v>
      </c>
      <c r="V194" s="245"/>
      <c r="W194" s="237"/>
      <c r="X194" s="247">
        <v>1</v>
      </c>
      <c r="Y194" s="248"/>
      <c r="Z194" s="248"/>
      <c r="AA194" s="248"/>
      <c r="AB194" s="248"/>
      <c r="AC194" s="248"/>
      <c r="AD194" s="221" t="s">
        <v>422</v>
      </c>
      <c r="AE194" s="248"/>
      <c r="AF194" s="244"/>
      <c r="AG194" s="248"/>
      <c r="AH194" s="248"/>
      <c r="AI194" s="248"/>
      <c r="AJ194" s="221"/>
    </row>
    <row r="195" spans="1:36" hidden="1">
      <c r="A195" s="216" t="s">
        <v>752</v>
      </c>
      <c r="B195" s="216" t="s">
        <v>786</v>
      </c>
      <c r="C195" s="216" t="s">
        <v>1312</v>
      </c>
      <c r="D195" s="216" t="s">
        <v>1311</v>
      </c>
      <c r="E195" s="240" t="s">
        <v>1077</v>
      </c>
      <c r="F195" s="246" t="s">
        <v>1078</v>
      </c>
      <c r="G195" s="245" t="s">
        <v>1079</v>
      </c>
      <c r="H195" s="243" t="s">
        <v>1085</v>
      </c>
      <c r="I195" s="245">
        <v>75084</v>
      </c>
      <c r="J195" s="219">
        <v>2025</v>
      </c>
      <c r="K195" s="220">
        <v>10</v>
      </c>
      <c r="L195" s="220">
        <f t="shared" si="8"/>
        <v>9</v>
      </c>
      <c r="M195" s="216" t="s">
        <v>439</v>
      </c>
      <c r="N195" s="216" t="s">
        <v>440</v>
      </c>
      <c r="O195" s="246" t="s">
        <v>421</v>
      </c>
      <c r="P195" s="216" t="s">
        <v>38</v>
      </c>
      <c r="Q195" s="220">
        <v>2027</v>
      </c>
      <c r="R195" s="220" t="s">
        <v>38</v>
      </c>
      <c r="S195" s="221">
        <v>2026</v>
      </c>
      <c r="T195" s="216" t="s">
        <v>1315</v>
      </c>
      <c r="U195" s="240" t="s">
        <v>1271</v>
      </c>
      <c r="V195" s="245"/>
      <c r="W195" s="237"/>
      <c r="X195" s="247">
        <v>1</v>
      </c>
      <c r="Y195" s="248"/>
      <c r="Z195" s="248"/>
      <c r="AA195" s="248"/>
      <c r="AB195" s="248"/>
      <c r="AC195" s="248"/>
      <c r="AD195" s="221" t="s">
        <v>422</v>
      </c>
      <c r="AE195" s="248"/>
      <c r="AF195" s="244"/>
      <c r="AG195" s="248"/>
      <c r="AH195" s="248"/>
      <c r="AI195" s="248"/>
      <c r="AJ195" s="221"/>
    </row>
    <row r="196" spans="1:36" hidden="1">
      <c r="A196" s="216" t="s">
        <v>752</v>
      </c>
      <c r="B196" s="216" t="s">
        <v>787</v>
      </c>
      <c r="C196" s="216" t="s">
        <v>1312</v>
      </c>
      <c r="D196" s="216" t="s">
        <v>1311</v>
      </c>
      <c r="E196" s="240" t="s">
        <v>1077</v>
      </c>
      <c r="F196" s="246" t="s">
        <v>1078</v>
      </c>
      <c r="G196" s="245" t="s">
        <v>1079</v>
      </c>
      <c r="H196" s="243" t="s">
        <v>1086</v>
      </c>
      <c r="I196" s="245">
        <v>75085</v>
      </c>
      <c r="J196" s="219">
        <v>2025</v>
      </c>
      <c r="K196" s="220">
        <v>10</v>
      </c>
      <c r="L196" s="220">
        <f t="shared" si="8"/>
        <v>9</v>
      </c>
      <c r="M196" s="216" t="s">
        <v>439</v>
      </c>
      <c r="N196" s="216" t="s">
        <v>440</v>
      </c>
      <c r="O196" s="246" t="s">
        <v>421</v>
      </c>
      <c r="P196" s="216" t="s">
        <v>38</v>
      </c>
      <c r="Q196" s="220">
        <v>2027</v>
      </c>
      <c r="R196" s="220" t="s">
        <v>38</v>
      </c>
      <c r="S196" s="221">
        <v>2026</v>
      </c>
      <c r="T196" s="216" t="s">
        <v>1315</v>
      </c>
      <c r="U196" s="240" t="s">
        <v>1271</v>
      </c>
      <c r="V196" s="245"/>
      <c r="W196" s="237"/>
      <c r="X196" s="247">
        <v>1</v>
      </c>
      <c r="Y196" s="248"/>
      <c r="Z196" s="248"/>
      <c r="AA196" s="248"/>
      <c r="AB196" s="248"/>
      <c r="AC196" s="248"/>
      <c r="AD196" s="221" t="s">
        <v>422</v>
      </c>
      <c r="AE196" s="248"/>
      <c r="AF196" s="244"/>
      <c r="AG196" s="248"/>
      <c r="AH196" s="248"/>
      <c r="AI196" s="248"/>
      <c r="AJ196" s="221"/>
    </row>
    <row r="197" spans="1:36" hidden="1">
      <c r="A197" s="242" t="s">
        <v>1307</v>
      </c>
      <c r="B197" s="216" t="s">
        <v>814</v>
      </c>
      <c r="C197" s="216" t="s">
        <v>1312</v>
      </c>
      <c r="D197" s="216" t="s">
        <v>1311</v>
      </c>
      <c r="E197" s="240" t="s">
        <v>1077</v>
      </c>
      <c r="F197" s="246" t="s">
        <v>1078</v>
      </c>
      <c r="G197" s="245" t="s">
        <v>1079</v>
      </c>
      <c r="H197" s="243" t="s">
        <v>1087</v>
      </c>
      <c r="I197" s="245">
        <v>75098</v>
      </c>
      <c r="J197" s="219">
        <v>2025</v>
      </c>
      <c r="K197" s="220">
        <v>10</v>
      </c>
      <c r="L197" s="220">
        <f t="shared" si="8"/>
        <v>9</v>
      </c>
      <c r="M197" s="216" t="s">
        <v>439</v>
      </c>
      <c r="N197" s="216" t="s">
        <v>440</v>
      </c>
      <c r="O197" s="246" t="s">
        <v>421</v>
      </c>
      <c r="P197" s="216" t="s">
        <v>38</v>
      </c>
      <c r="Q197" s="220">
        <v>2027</v>
      </c>
      <c r="R197" s="220" t="s">
        <v>38</v>
      </c>
      <c r="S197" s="221">
        <v>2026</v>
      </c>
      <c r="T197" s="216" t="s">
        <v>1315</v>
      </c>
      <c r="U197" s="240" t="s">
        <v>1271</v>
      </c>
      <c r="V197" s="245"/>
      <c r="W197" s="237"/>
      <c r="X197" s="247">
        <v>1</v>
      </c>
      <c r="Y197" s="248"/>
      <c r="Z197" s="248"/>
      <c r="AA197" s="248"/>
      <c r="AB197" s="248"/>
      <c r="AC197" s="248"/>
      <c r="AD197" s="221" t="s">
        <v>422</v>
      </c>
      <c r="AE197" s="248"/>
      <c r="AF197" s="244"/>
      <c r="AG197" s="248"/>
      <c r="AH197" s="248"/>
      <c r="AI197" s="248"/>
      <c r="AJ197" s="221"/>
    </row>
    <row r="198" spans="1:36" hidden="1">
      <c r="A198" s="216" t="s">
        <v>752</v>
      </c>
      <c r="B198" s="216" t="s">
        <v>822</v>
      </c>
      <c r="C198" s="216" t="s">
        <v>1312</v>
      </c>
      <c r="D198" s="216" t="s">
        <v>1311</v>
      </c>
      <c r="E198" s="240" t="s">
        <v>1077</v>
      </c>
      <c r="F198" s="246" t="s">
        <v>1078</v>
      </c>
      <c r="G198" s="245" t="s">
        <v>1079</v>
      </c>
      <c r="H198" s="243" t="s">
        <v>1088</v>
      </c>
      <c r="I198" s="245">
        <v>75086</v>
      </c>
      <c r="J198" s="219">
        <v>2025</v>
      </c>
      <c r="K198" s="220">
        <v>10</v>
      </c>
      <c r="L198" s="220">
        <f t="shared" si="8"/>
        <v>9</v>
      </c>
      <c r="M198" s="216" t="s">
        <v>439</v>
      </c>
      <c r="N198" s="216" t="s">
        <v>440</v>
      </c>
      <c r="O198" s="246" t="s">
        <v>421</v>
      </c>
      <c r="P198" s="216" t="s">
        <v>38</v>
      </c>
      <c r="Q198" s="220">
        <v>2027</v>
      </c>
      <c r="R198" s="220" t="s">
        <v>38</v>
      </c>
      <c r="S198" s="221">
        <v>2026</v>
      </c>
      <c r="T198" s="216" t="s">
        <v>1315</v>
      </c>
      <c r="U198" s="240" t="s">
        <v>1271</v>
      </c>
      <c r="V198" s="245"/>
      <c r="W198" s="237"/>
      <c r="X198" s="247">
        <v>1</v>
      </c>
      <c r="Y198" s="248"/>
      <c r="Z198" s="248"/>
      <c r="AA198" s="248"/>
      <c r="AB198" s="248"/>
      <c r="AC198" s="248"/>
      <c r="AD198" s="221" t="s">
        <v>422</v>
      </c>
      <c r="AE198" s="248"/>
      <c r="AF198" s="244"/>
      <c r="AG198" s="248"/>
      <c r="AH198" s="248"/>
      <c r="AI198" s="248"/>
      <c r="AJ198" s="221"/>
    </row>
    <row r="199" spans="1:36" hidden="1">
      <c r="A199" s="216" t="s">
        <v>762</v>
      </c>
      <c r="B199" s="216" t="s">
        <v>814</v>
      </c>
      <c r="C199" s="216" t="s">
        <v>1312</v>
      </c>
      <c r="D199" s="216" t="s">
        <v>1311</v>
      </c>
      <c r="E199" s="240" t="s">
        <v>1077</v>
      </c>
      <c r="F199" s="246" t="s">
        <v>1078</v>
      </c>
      <c r="G199" s="245" t="s">
        <v>1079</v>
      </c>
      <c r="H199" s="243" t="s">
        <v>1089</v>
      </c>
      <c r="I199" s="245">
        <v>75090</v>
      </c>
      <c r="J199" s="219">
        <v>2025</v>
      </c>
      <c r="K199" s="220">
        <v>10</v>
      </c>
      <c r="L199" s="220">
        <f t="shared" si="8"/>
        <v>9</v>
      </c>
      <c r="M199" s="216" t="s">
        <v>439</v>
      </c>
      <c r="N199" s="216" t="s">
        <v>440</v>
      </c>
      <c r="O199" s="246" t="s">
        <v>421</v>
      </c>
      <c r="P199" s="216" t="s">
        <v>38</v>
      </c>
      <c r="Q199" s="220">
        <v>2027</v>
      </c>
      <c r="R199" s="220" t="s">
        <v>38</v>
      </c>
      <c r="S199" s="221">
        <v>2026</v>
      </c>
      <c r="T199" s="216" t="s">
        <v>1315</v>
      </c>
      <c r="U199" s="240" t="s">
        <v>1271</v>
      </c>
      <c r="V199" s="245"/>
      <c r="W199" s="237"/>
      <c r="X199" s="247">
        <v>1</v>
      </c>
      <c r="Y199" s="248"/>
      <c r="Z199" s="248"/>
      <c r="AA199" s="248"/>
      <c r="AB199" s="248"/>
      <c r="AC199" s="248"/>
      <c r="AD199" s="221" t="s">
        <v>422</v>
      </c>
      <c r="AE199" s="248"/>
      <c r="AF199" s="244"/>
      <c r="AG199" s="248"/>
      <c r="AH199" s="248"/>
      <c r="AI199" s="248"/>
      <c r="AJ199" s="221"/>
    </row>
    <row r="200" spans="1:36" hidden="1">
      <c r="A200" s="216" t="s">
        <v>762</v>
      </c>
      <c r="B200" s="216" t="s">
        <v>814</v>
      </c>
      <c r="C200" s="216" t="s">
        <v>1312</v>
      </c>
      <c r="D200" s="216" t="s">
        <v>1311</v>
      </c>
      <c r="E200" s="240" t="s">
        <v>1077</v>
      </c>
      <c r="F200" s="246" t="s">
        <v>1078</v>
      </c>
      <c r="G200" s="245" t="s">
        <v>1079</v>
      </c>
      <c r="H200" s="243" t="s">
        <v>1090</v>
      </c>
      <c r="I200" s="245">
        <v>75091</v>
      </c>
      <c r="J200" s="219">
        <v>2025</v>
      </c>
      <c r="K200" s="220">
        <v>10</v>
      </c>
      <c r="L200" s="220">
        <f t="shared" si="8"/>
        <v>9</v>
      </c>
      <c r="M200" s="216" t="s">
        <v>439</v>
      </c>
      <c r="N200" s="216" t="s">
        <v>440</v>
      </c>
      <c r="O200" s="246" t="s">
        <v>421</v>
      </c>
      <c r="P200" s="216" t="s">
        <v>38</v>
      </c>
      <c r="Q200" s="220">
        <v>2027</v>
      </c>
      <c r="R200" s="220" t="s">
        <v>38</v>
      </c>
      <c r="S200" s="221">
        <v>2026</v>
      </c>
      <c r="T200" s="216" t="s">
        <v>1315</v>
      </c>
      <c r="U200" s="240" t="s">
        <v>1271</v>
      </c>
      <c r="V200" s="245"/>
      <c r="W200" s="237"/>
      <c r="X200" s="247">
        <v>1</v>
      </c>
      <c r="Y200" s="248"/>
      <c r="Z200" s="248"/>
      <c r="AA200" s="248"/>
      <c r="AB200" s="248"/>
      <c r="AC200" s="248"/>
      <c r="AD200" s="221" t="s">
        <v>422</v>
      </c>
      <c r="AE200" s="248"/>
      <c r="AF200" s="244"/>
      <c r="AG200" s="248"/>
      <c r="AH200" s="248"/>
      <c r="AI200" s="248"/>
      <c r="AJ200" s="221"/>
    </row>
    <row r="201" spans="1:36" hidden="1">
      <c r="A201" s="242" t="s">
        <v>1307</v>
      </c>
      <c r="B201" s="216" t="s">
        <v>791</v>
      </c>
      <c r="C201" s="216" t="s">
        <v>1312</v>
      </c>
      <c r="D201" s="216" t="s">
        <v>1311</v>
      </c>
      <c r="E201" s="240" t="s">
        <v>1077</v>
      </c>
      <c r="F201" s="246" t="s">
        <v>1078</v>
      </c>
      <c r="G201" s="245" t="s">
        <v>1079</v>
      </c>
      <c r="H201" s="243" t="s">
        <v>1091</v>
      </c>
      <c r="I201" s="245">
        <v>75097</v>
      </c>
      <c r="J201" s="219">
        <v>2025</v>
      </c>
      <c r="K201" s="220">
        <v>10</v>
      </c>
      <c r="L201" s="220">
        <f t="shared" si="8"/>
        <v>9</v>
      </c>
      <c r="M201" s="216" t="s">
        <v>439</v>
      </c>
      <c r="N201" s="216" t="s">
        <v>440</v>
      </c>
      <c r="O201" s="246" t="s">
        <v>421</v>
      </c>
      <c r="P201" s="216" t="s">
        <v>38</v>
      </c>
      <c r="Q201" s="220">
        <v>2027</v>
      </c>
      <c r="R201" s="220" t="s">
        <v>38</v>
      </c>
      <c r="S201" s="221">
        <v>2026</v>
      </c>
      <c r="T201" s="216" t="s">
        <v>1315</v>
      </c>
      <c r="U201" s="240" t="s">
        <v>1271</v>
      </c>
      <c r="V201" s="245"/>
      <c r="W201" s="237"/>
      <c r="X201" s="247">
        <v>1</v>
      </c>
      <c r="Y201" s="248"/>
      <c r="Z201" s="248"/>
      <c r="AA201" s="248"/>
      <c r="AB201" s="248"/>
      <c r="AC201" s="248"/>
      <c r="AD201" s="221" t="s">
        <v>422</v>
      </c>
      <c r="AE201" s="248"/>
      <c r="AF201" s="244"/>
      <c r="AG201" s="248"/>
      <c r="AH201" s="248"/>
      <c r="AI201" s="248"/>
      <c r="AJ201" s="221"/>
    </row>
    <row r="202" spans="1:36" hidden="1">
      <c r="A202" s="216" t="s">
        <v>764</v>
      </c>
      <c r="B202" s="216" t="s">
        <v>820</v>
      </c>
      <c r="C202" s="216" t="s">
        <v>27</v>
      </c>
      <c r="D202" s="216" t="s">
        <v>317</v>
      </c>
      <c r="E202" s="240" t="s">
        <v>1092</v>
      </c>
      <c r="F202" s="246" t="s">
        <v>1093</v>
      </c>
      <c r="G202" s="245" t="s">
        <v>1094</v>
      </c>
      <c r="H202" s="243" t="s">
        <v>1095</v>
      </c>
      <c r="I202" s="245">
        <v>75297</v>
      </c>
      <c r="J202" s="219">
        <v>2025</v>
      </c>
      <c r="K202" s="220">
        <v>10</v>
      </c>
      <c r="L202" s="220">
        <f t="shared" si="8"/>
        <v>9</v>
      </c>
      <c r="M202" s="216" t="s">
        <v>439</v>
      </c>
      <c r="N202" s="216" t="s">
        <v>440</v>
      </c>
      <c r="O202" s="246" t="s">
        <v>421</v>
      </c>
      <c r="P202" s="216" t="s">
        <v>38</v>
      </c>
      <c r="Q202" s="220">
        <v>2026</v>
      </c>
      <c r="R202" s="220" t="s">
        <v>38</v>
      </c>
      <c r="S202" s="221">
        <v>2026</v>
      </c>
      <c r="T202" s="216" t="s">
        <v>1315</v>
      </c>
      <c r="U202" s="240" t="s">
        <v>1276</v>
      </c>
      <c r="V202" s="245"/>
      <c r="W202" s="237"/>
      <c r="X202" s="247">
        <v>1</v>
      </c>
      <c r="Y202" s="248"/>
      <c r="Z202" s="248"/>
      <c r="AA202" s="248"/>
      <c r="AB202" s="248"/>
      <c r="AC202" s="248"/>
      <c r="AD202" s="248"/>
      <c r="AE202" s="248"/>
      <c r="AF202" s="244"/>
      <c r="AG202" s="248"/>
      <c r="AH202" s="248" t="s">
        <v>422</v>
      </c>
      <c r="AI202" s="248"/>
      <c r="AJ202" s="221"/>
    </row>
    <row r="203" spans="1:36" hidden="1">
      <c r="A203" s="216" t="s">
        <v>762</v>
      </c>
      <c r="B203" s="216" t="s">
        <v>809</v>
      </c>
      <c r="C203" s="216" t="s">
        <v>27</v>
      </c>
      <c r="D203" s="216" t="s">
        <v>317</v>
      </c>
      <c r="E203" s="240" t="s">
        <v>1092</v>
      </c>
      <c r="F203" s="246" t="s">
        <v>1093</v>
      </c>
      <c r="G203" s="245" t="s">
        <v>1094</v>
      </c>
      <c r="H203" s="243" t="s">
        <v>1096</v>
      </c>
      <c r="I203" s="245">
        <v>75294</v>
      </c>
      <c r="J203" s="219">
        <v>2025</v>
      </c>
      <c r="K203" s="220">
        <v>10</v>
      </c>
      <c r="L203" s="220">
        <f t="shared" si="8"/>
        <v>9</v>
      </c>
      <c r="M203" s="216" t="s">
        <v>439</v>
      </c>
      <c r="N203" s="216" t="s">
        <v>440</v>
      </c>
      <c r="O203" s="246" t="s">
        <v>421</v>
      </c>
      <c r="P203" s="216" t="s">
        <v>38</v>
      </c>
      <c r="Q203" s="220">
        <v>2026</v>
      </c>
      <c r="R203" s="220" t="s">
        <v>38</v>
      </c>
      <c r="S203" s="221">
        <v>2026</v>
      </c>
      <c r="T203" s="216" t="s">
        <v>1315</v>
      </c>
      <c r="U203" s="240" t="s">
        <v>1276</v>
      </c>
      <c r="V203" s="245"/>
      <c r="W203" s="237"/>
      <c r="X203" s="247">
        <v>1</v>
      </c>
      <c r="Y203" s="248"/>
      <c r="Z203" s="248"/>
      <c r="AA203" s="248"/>
      <c r="AB203" s="248"/>
      <c r="AC203" s="248"/>
      <c r="AD203" s="248"/>
      <c r="AE203" s="248"/>
      <c r="AF203" s="244"/>
      <c r="AG203" s="248"/>
      <c r="AH203" s="248" t="s">
        <v>422</v>
      </c>
      <c r="AI203" s="248"/>
      <c r="AJ203" s="221"/>
    </row>
    <row r="204" spans="1:36" hidden="1">
      <c r="A204" s="216" t="s">
        <v>752</v>
      </c>
      <c r="B204" s="216" t="s">
        <v>782</v>
      </c>
      <c r="C204" s="216" t="s">
        <v>1312</v>
      </c>
      <c r="D204" s="216" t="s">
        <v>28</v>
      </c>
      <c r="E204" s="240" t="s">
        <v>1097</v>
      </c>
      <c r="F204" s="246" t="s">
        <v>1098</v>
      </c>
      <c r="G204" s="245" t="s">
        <v>1099</v>
      </c>
      <c r="H204" s="243">
        <v>66519412</v>
      </c>
      <c r="I204" s="245">
        <v>75070</v>
      </c>
      <c r="J204" s="219">
        <v>2025</v>
      </c>
      <c r="K204" s="220">
        <v>10</v>
      </c>
      <c r="L204" s="220">
        <f t="shared" si="8"/>
        <v>9</v>
      </c>
      <c r="M204" s="216" t="s">
        <v>439</v>
      </c>
      <c r="N204" s="216" t="s">
        <v>440</v>
      </c>
      <c r="O204" s="246" t="s">
        <v>421</v>
      </c>
      <c r="P204" s="216" t="s">
        <v>38</v>
      </c>
      <c r="Q204" s="220">
        <v>2027</v>
      </c>
      <c r="R204" s="220" t="s">
        <v>38</v>
      </c>
      <c r="S204" s="221">
        <v>2026</v>
      </c>
      <c r="T204" s="216" t="s">
        <v>1315</v>
      </c>
      <c r="U204" s="240" t="s">
        <v>1261</v>
      </c>
      <c r="V204" s="245"/>
      <c r="W204" s="237"/>
      <c r="X204" s="247">
        <v>1</v>
      </c>
      <c r="Y204" s="248"/>
      <c r="Z204" s="248"/>
      <c r="AA204" s="248"/>
      <c r="AB204" s="248"/>
      <c r="AC204" s="248"/>
      <c r="AD204" s="248" t="s">
        <v>422</v>
      </c>
      <c r="AE204" s="248"/>
      <c r="AF204" s="244"/>
      <c r="AG204" s="248"/>
      <c r="AH204" s="248"/>
      <c r="AI204" s="248"/>
      <c r="AJ204" s="221"/>
    </row>
    <row r="205" spans="1:36" hidden="1">
      <c r="A205" s="216" t="s">
        <v>752</v>
      </c>
      <c r="B205" s="216" t="s">
        <v>823</v>
      </c>
      <c r="C205" s="216" t="s">
        <v>442</v>
      </c>
      <c r="D205" s="216" t="s">
        <v>1311</v>
      </c>
      <c r="E205" s="240" t="s">
        <v>1100</v>
      </c>
      <c r="F205" s="246" t="s">
        <v>1101</v>
      </c>
      <c r="G205" s="245" t="s">
        <v>1102</v>
      </c>
      <c r="H205" s="243" t="s">
        <v>1103</v>
      </c>
      <c r="I205" s="245">
        <v>76257</v>
      </c>
      <c r="J205" s="219">
        <v>2025</v>
      </c>
      <c r="K205" s="220">
        <v>10</v>
      </c>
      <c r="L205" s="220">
        <f t="shared" si="8"/>
        <v>9</v>
      </c>
      <c r="M205" s="216" t="s">
        <v>439</v>
      </c>
      <c r="N205" s="216" t="s">
        <v>440</v>
      </c>
      <c r="O205" s="246" t="s">
        <v>421</v>
      </c>
      <c r="P205" s="216" t="s">
        <v>38</v>
      </c>
      <c r="Q205" s="220">
        <v>2027</v>
      </c>
      <c r="R205" s="220" t="s">
        <v>38</v>
      </c>
      <c r="S205" s="221">
        <v>2025</v>
      </c>
      <c r="T205" s="216" t="s">
        <v>1315</v>
      </c>
      <c r="U205" s="240" t="s">
        <v>1284</v>
      </c>
      <c r="V205" s="245"/>
      <c r="W205" s="237"/>
      <c r="X205" s="247">
        <v>2</v>
      </c>
      <c r="Y205" s="248"/>
      <c r="Z205" s="248"/>
      <c r="AA205" s="248" t="s">
        <v>648</v>
      </c>
      <c r="AB205" s="248" t="s">
        <v>422</v>
      </c>
      <c r="AC205" s="248"/>
      <c r="AD205" s="248"/>
      <c r="AE205" s="248"/>
      <c r="AF205" s="244"/>
      <c r="AG205" s="248" t="s">
        <v>422</v>
      </c>
      <c r="AH205" s="248"/>
      <c r="AI205" s="248"/>
      <c r="AJ205" s="221"/>
    </row>
    <row r="206" spans="1:36" hidden="1">
      <c r="A206" s="216" t="s">
        <v>752</v>
      </c>
      <c r="B206" s="216" t="s">
        <v>824</v>
      </c>
      <c r="C206" s="216" t="s">
        <v>442</v>
      </c>
      <c r="D206" s="216" t="s">
        <v>1311</v>
      </c>
      <c r="E206" s="240" t="s">
        <v>1100</v>
      </c>
      <c r="F206" s="246" t="s">
        <v>1101</v>
      </c>
      <c r="G206" s="245" t="s">
        <v>1102</v>
      </c>
      <c r="H206" s="243" t="s">
        <v>1104</v>
      </c>
      <c r="I206" s="245">
        <v>76286</v>
      </c>
      <c r="J206" s="219">
        <v>2025</v>
      </c>
      <c r="K206" s="220">
        <v>10</v>
      </c>
      <c r="L206" s="220">
        <f t="shared" si="8"/>
        <v>9</v>
      </c>
      <c r="M206" s="216" t="s">
        <v>439</v>
      </c>
      <c r="N206" s="216" t="s">
        <v>440</v>
      </c>
      <c r="O206" s="246" t="s">
        <v>421</v>
      </c>
      <c r="P206" s="216" t="s">
        <v>38</v>
      </c>
      <c r="Q206" s="220">
        <v>2027</v>
      </c>
      <c r="R206" s="220" t="s">
        <v>38</v>
      </c>
      <c r="S206" s="221">
        <v>2025</v>
      </c>
      <c r="T206" s="216" t="s">
        <v>1315</v>
      </c>
      <c r="U206" s="240" t="s">
        <v>1284</v>
      </c>
      <c r="V206" s="245"/>
      <c r="W206" s="237"/>
      <c r="X206" s="247">
        <v>2</v>
      </c>
      <c r="Y206" s="248"/>
      <c r="Z206" s="248"/>
      <c r="AA206" s="248" t="s">
        <v>648</v>
      </c>
      <c r="AB206" s="248" t="s">
        <v>422</v>
      </c>
      <c r="AC206" s="248"/>
      <c r="AD206" s="248"/>
      <c r="AE206" s="248"/>
      <c r="AF206" s="244"/>
      <c r="AG206" s="248" t="s">
        <v>422</v>
      </c>
      <c r="AH206" s="248"/>
      <c r="AI206" s="248"/>
      <c r="AJ206" s="221"/>
    </row>
    <row r="207" spans="1:36" hidden="1">
      <c r="A207" s="216" t="s">
        <v>752</v>
      </c>
      <c r="B207" s="216" t="s">
        <v>825</v>
      </c>
      <c r="C207" s="216" t="s">
        <v>442</v>
      </c>
      <c r="D207" s="216" t="s">
        <v>1311</v>
      </c>
      <c r="E207" s="240" t="s">
        <v>1100</v>
      </c>
      <c r="F207" s="246" t="s">
        <v>1101</v>
      </c>
      <c r="G207" s="245" t="s">
        <v>1102</v>
      </c>
      <c r="H207" s="243" t="s">
        <v>1105</v>
      </c>
      <c r="I207" s="245">
        <v>76315</v>
      </c>
      <c r="J207" s="219">
        <v>2025</v>
      </c>
      <c r="K207" s="220">
        <v>10</v>
      </c>
      <c r="L207" s="220">
        <f t="shared" si="8"/>
        <v>9</v>
      </c>
      <c r="M207" s="216" t="s">
        <v>439</v>
      </c>
      <c r="N207" s="216" t="s">
        <v>440</v>
      </c>
      <c r="O207" s="246" t="s">
        <v>421</v>
      </c>
      <c r="P207" s="216" t="s">
        <v>38</v>
      </c>
      <c r="Q207" s="220">
        <v>2027</v>
      </c>
      <c r="R207" s="220" t="s">
        <v>38</v>
      </c>
      <c r="S207" s="221">
        <v>2025</v>
      </c>
      <c r="T207" s="216" t="s">
        <v>1315</v>
      </c>
      <c r="U207" s="240" t="s">
        <v>1284</v>
      </c>
      <c r="V207" s="245"/>
      <c r="W207" s="237"/>
      <c r="X207" s="247">
        <v>2</v>
      </c>
      <c r="Y207" s="248"/>
      <c r="Z207" s="248"/>
      <c r="AA207" s="248" t="s">
        <v>648</v>
      </c>
      <c r="AB207" s="248" t="s">
        <v>422</v>
      </c>
      <c r="AC207" s="248"/>
      <c r="AD207" s="248"/>
      <c r="AE207" s="248"/>
      <c r="AF207" s="244"/>
      <c r="AG207" s="248" t="s">
        <v>422</v>
      </c>
      <c r="AH207" s="248"/>
      <c r="AI207" s="248"/>
      <c r="AJ207" s="221"/>
    </row>
    <row r="208" spans="1:36" hidden="1">
      <c r="A208" s="216" t="s">
        <v>760</v>
      </c>
      <c r="B208" s="216" t="s">
        <v>779</v>
      </c>
      <c r="C208" s="216" t="s">
        <v>1313</v>
      </c>
      <c r="D208" s="216" t="s">
        <v>1311</v>
      </c>
      <c r="E208" s="240" t="s">
        <v>1106</v>
      </c>
      <c r="F208" s="246" t="s">
        <v>898</v>
      </c>
      <c r="G208" s="245" t="s">
        <v>1107</v>
      </c>
      <c r="H208" s="243" t="s">
        <v>844</v>
      </c>
      <c r="I208" s="245">
        <v>76080</v>
      </c>
      <c r="J208" s="219">
        <v>2025</v>
      </c>
      <c r="K208" s="220">
        <v>10</v>
      </c>
      <c r="L208" s="220">
        <f t="shared" si="8"/>
        <v>9</v>
      </c>
      <c r="M208" s="216" t="s">
        <v>439</v>
      </c>
      <c r="N208" s="216" t="s">
        <v>440</v>
      </c>
      <c r="O208" s="246" t="s">
        <v>421</v>
      </c>
      <c r="P208" s="216" t="s">
        <v>38</v>
      </c>
      <c r="Q208" s="220">
        <v>2026</v>
      </c>
      <c r="R208" s="220" t="s">
        <v>37</v>
      </c>
      <c r="S208" s="221">
        <v>2027</v>
      </c>
      <c r="T208" s="216"/>
      <c r="U208" s="240" t="s">
        <v>1285</v>
      </c>
      <c r="V208" s="245"/>
      <c r="W208" s="237"/>
      <c r="X208" s="247">
        <v>0</v>
      </c>
      <c r="Y208" s="248"/>
      <c r="Z208" s="248"/>
      <c r="AA208" s="248"/>
      <c r="AB208" s="248"/>
      <c r="AC208" s="248"/>
      <c r="AD208" s="248"/>
      <c r="AE208" s="248"/>
      <c r="AF208" s="244"/>
      <c r="AG208" s="248"/>
      <c r="AH208" s="248"/>
      <c r="AI208" s="248"/>
      <c r="AJ208" s="221"/>
    </row>
    <row r="209" spans="1:36" hidden="1">
      <c r="A209" s="216" t="s">
        <v>760</v>
      </c>
      <c r="B209" s="216" t="s">
        <v>774</v>
      </c>
      <c r="C209" s="216" t="s">
        <v>1313</v>
      </c>
      <c r="D209" s="216" t="s">
        <v>1311</v>
      </c>
      <c r="E209" s="240" t="s">
        <v>1106</v>
      </c>
      <c r="F209" s="246" t="s">
        <v>898</v>
      </c>
      <c r="G209" s="245" t="s">
        <v>1107</v>
      </c>
      <c r="H209" s="243" t="s">
        <v>844</v>
      </c>
      <c r="I209" s="245">
        <v>76081</v>
      </c>
      <c r="J209" s="219">
        <v>2025</v>
      </c>
      <c r="K209" s="220">
        <v>10</v>
      </c>
      <c r="L209" s="220">
        <f t="shared" si="8"/>
        <v>9</v>
      </c>
      <c r="M209" s="216" t="s">
        <v>439</v>
      </c>
      <c r="N209" s="216" t="s">
        <v>440</v>
      </c>
      <c r="O209" s="246" t="s">
        <v>421</v>
      </c>
      <c r="P209" s="216" t="s">
        <v>38</v>
      </c>
      <c r="Q209" s="220">
        <v>2026</v>
      </c>
      <c r="R209" s="220" t="s">
        <v>37</v>
      </c>
      <c r="S209" s="221">
        <v>2027</v>
      </c>
      <c r="T209" s="216"/>
      <c r="U209" s="240" t="s">
        <v>1285</v>
      </c>
      <c r="V209" s="245"/>
      <c r="W209" s="237"/>
      <c r="X209" s="247">
        <v>0</v>
      </c>
      <c r="Y209" s="248"/>
      <c r="Z209" s="248"/>
      <c r="AA209" s="248"/>
      <c r="AB209" s="248"/>
      <c r="AC209" s="248"/>
      <c r="AD209" s="248"/>
      <c r="AE209" s="248"/>
      <c r="AF209" s="244"/>
      <c r="AG209" s="248"/>
      <c r="AH209" s="248"/>
      <c r="AI209" s="248"/>
      <c r="AJ209" s="221"/>
    </row>
    <row r="210" spans="1:36" hidden="1">
      <c r="A210" s="242" t="s">
        <v>1307</v>
      </c>
      <c r="B210" s="216" t="s">
        <v>769</v>
      </c>
      <c r="C210" s="216" t="s">
        <v>263</v>
      </c>
      <c r="D210" s="216" t="s">
        <v>317</v>
      </c>
      <c r="E210" s="240" t="s">
        <v>1304</v>
      </c>
      <c r="F210" s="246" t="s">
        <v>1108</v>
      </c>
      <c r="G210" s="245" t="s">
        <v>1109</v>
      </c>
      <c r="H210" s="243" t="s">
        <v>1110</v>
      </c>
      <c r="I210" s="245">
        <v>76766</v>
      </c>
      <c r="J210" s="219">
        <v>2025</v>
      </c>
      <c r="K210" s="220">
        <v>10</v>
      </c>
      <c r="L210" s="220">
        <f t="shared" si="8"/>
        <v>9</v>
      </c>
      <c r="M210" s="216" t="s">
        <v>439</v>
      </c>
      <c r="N210" s="216" t="s">
        <v>440</v>
      </c>
      <c r="O210" s="246" t="s">
        <v>421</v>
      </c>
      <c r="P210" s="216" t="s">
        <v>38</v>
      </c>
      <c r="Q210" s="220">
        <v>2027</v>
      </c>
      <c r="R210" s="220" t="s">
        <v>38</v>
      </c>
      <c r="S210" s="221">
        <v>2026</v>
      </c>
      <c r="T210" s="216" t="s">
        <v>1315</v>
      </c>
      <c r="U210" s="240" t="s">
        <v>1286</v>
      </c>
      <c r="V210" s="245"/>
      <c r="W210" s="237"/>
      <c r="X210" s="247">
        <v>1</v>
      </c>
      <c r="Y210" s="248"/>
      <c r="Z210" s="248"/>
      <c r="AA210" s="248"/>
      <c r="AB210" s="248"/>
      <c r="AC210" s="248"/>
      <c r="AD210" s="248" t="s">
        <v>422</v>
      </c>
      <c r="AE210" s="248"/>
      <c r="AF210" s="244"/>
      <c r="AG210" s="248"/>
      <c r="AH210" s="248"/>
      <c r="AI210" s="248"/>
      <c r="AJ210" s="221"/>
    </row>
    <row r="211" spans="1:36" hidden="1">
      <c r="A211" s="242" t="s">
        <v>1307</v>
      </c>
      <c r="B211" s="216" t="s">
        <v>797</v>
      </c>
      <c r="C211" s="216" t="s">
        <v>263</v>
      </c>
      <c r="D211" s="216" t="s">
        <v>317</v>
      </c>
      <c r="E211" s="240" t="s">
        <v>1111</v>
      </c>
      <c r="F211" s="246" t="s">
        <v>1112</v>
      </c>
      <c r="G211" s="245" t="s">
        <v>1113</v>
      </c>
      <c r="H211" s="243">
        <v>13485</v>
      </c>
      <c r="I211" s="245">
        <v>75105</v>
      </c>
      <c r="J211" s="219">
        <v>2025</v>
      </c>
      <c r="K211" s="220">
        <v>10</v>
      </c>
      <c r="L211" s="220">
        <f t="shared" si="8"/>
        <v>9</v>
      </c>
      <c r="M211" s="216" t="s">
        <v>439</v>
      </c>
      <c r="N211" s="216" t="s">
        <v>440</v>
      </c>
      <c r="O211" s="246" t="s">
        <v>421</v>
      </c>
      <c r="P211" s="216" t="s">
        <v>38</v>
      </c>
      <c r="Q211" s="220">
        <v>2027</v>
      </c>
      <c r="R211" s="220" t="s">
        <v>38</v>
      </c>
      <c r="S211" s="221">
        <v>2026</v>
      </c>
      <c r="T211" s="216" t="s">
        <v>1315</v>
      </c>
      <c r="U211" s="240" t="s">
        <v>1287</v>
      </c>
      <c r="V211" s="245"/>
      <c r="W211" s="237"/>
      <c r="X211" s="247">
        <v>1</v>
      </c>
      <c r="Y211" s="248"/>
      <c r="Z211" s="248"/>
      <c r="AA211" s="248"/>
      <c r="AB211" s="248"/>
      <c r="AC211" s="248"/>
      <c r="AD211" s="248" t="s">
        <v>422</v>
      </c>
      <c r="AE211" s="248"/>
      <c r="AF211" s="244"/>
      <c r="AG211" s="248"/>
      <c r="AH211" s="248"/>
      <c r="AI211" s="248"/>
      <c r="AJ211" s="221"/>
    </row>
    <row r="212" spans="1:36" hidden="1">
      <c r="A212" s="216" t="s">
        <v>764</v>
      </c>
      <c r="B212" s="216" t="s">
        <v>766</v>
      </c>
      <c r="C212" s="216" t="s">
        <v>263</v>
      </c>
      <c r="D212" s="216" t="s">
        <v>317</v>
      </c>
      <c r="E212" s="240" t="s">
        <v>1111</v>
      </c>
      <c r="F212" s="246" t="s">
        <v>1112</v>
      </c>
      <c r="G212" s="245">
        <v>13485</v>
      </c>
      <c r="H212" s="243" t="s">
        <v>1114</v>
      </c>
      <c r="I212" s="245">
        <v>75106</v>
      </c>
      <c r="J212" s="219">
        <v>2025</v>
      </c>
      <c r="K212" s="220">
        <v>10</v>
      </c>
      <c r="L212" s="220">
        <f t="shared" si="8"/>
        <v>9</v>
      </c>
      <c r="M212" s="216" t="s">
        <v>439</v>
      </c>
      <c r="N212" s="216" t="s">
        <v>440</v>
      </c>
      <c r="O212" s="246" t="s">
        <v>421</v>
      </c>
      <c r="P212" s="216" t="s">
        <v>38</v>
      </c>
      <c r="Q212" s="220">
        <v>2027</v>
      </c>
      <c r="R212" s="220" t="s">
        <v>38</v>
      </c>
      <c r="S212" s="221">
        <v>2026</v>
      </c>
      <c r="T212" s="216" t="s">
        <v>1315</v>
      </c>
      <c r="U212" s="240" t="s">
        <v>1287</v>
      </c>
      <c r="V212" s="245"/>
      <c r="W212" s="237"/>
      <c r="X212" s="247">
        <v>1</v>
      </c>
      <c r="Y212" s="248"/>
      <c r="Z212" s="248"/>
      <c r="AA212" s="248"/>
      <c r="AB212" s="248"/>
      <c r="AC212" s="248"/>
      <c r="AD212" s="248" t="s">
        <v>422</v>
      </c>
      <c r="AE212" s="248"/>
      <c r="AF212" s="244"/>
      <c r="AG212" s="248"/>
      <c r="AH212" s="248"/>
      <c r="AI212" s="248"/>
      <c r="AJ212" s="221"/>
    </row>
    <row r="213" spans="1:36" hidden="1">
      <c r="A213" s="216" t="s">
        <v>762</v>
      </c>
      <c r="B213" s="216" t="s">
        <v>801</v>
      </c>
      <c r="C213" s="216" t="s">
        <v>263</v>
      </c>
      <c r="D213" s="216" t="s">
        <v>317</v>
      </c>
      <c r="E213" s="240" t="s">
        <v>1111</v>
      </c>
      <c r="F213" s="246" t="s">
        <v>1112</v>
      </c>
      <c r="G213" s="245">
        <v>13485</v>
      </c>
      <c r="H213" s="243" t="s">
        <v>1115</v>
      </c>
      <c r="I213" s="245">
        <v>75104</v>
      </c>
      <c r="J213" s="219">
        <v>2025</v>
      </c>
      <c r="K213" s="220">
        <v>10</v>
      </c>
      <c r="L213" s="220">
        <f t="shared" si="8"/>
        <v>9</v>
      </c>
      <c r="M213" s="216" t="s">
        <v>439</v>
      </c>
      <c r="N213" s="216" t="s">
        <v>440</v>
      </c>
      <c r="O213" s="246" t="s">
        <v>421</v>
      </c>
      <c r="P213" s="216" t="s">
        <v>38</v>
      </c>
      <c r="Q213" s="220">
        <v>2026</v>
      </c>
      <c r="R213" s="220" t="s">
        <v>37</v>
      </c>
      <c r="S213" s="221">
        <v>2027</v>
      </c>
      <c r="T213" s="245" t="s">
        <v>1315</v>
      </c>
      <c r="U213" s="240" t="s">
        <v>1287</v>
      </c>
      <c r="V213" s="245"/>
      <c r="W213" s="237"/>
      <c r="X213" s="247">
        <v>1</v>
      </c>
      <c r="Y213" s="248"/>
      <c r="Z213" s="248"/>
      <c r="AA213" s="248"/>
      <c r="AB213" s="248"/>
      <c r="AC213" s="248"/>
      <c r="AD213" s="248" t="s">
        <v>422</v>
      </c>
      <c r="AE213" s="248"/>
      <c r="AF213" s="244"/>
      <c r="AG213" s="248"/>
      <c r="AH213" s="248"/>
      <c r="AI213" s="248"/>
      <c r="AJ213" s="221"/>
    </row>
    <row r="214" spans="1:36" hidden="1">
      <c r="A214" s="216" t="s">
        <v>764</v>
      </c>
      <c r="B214" s="216" t="s">
        <v>765</v>
      </c>
      <c r="C214" s="216" t="s">
        <v>263</v>
      </c>
      <c r="D214" s="216" t="s">
        <v>28</v>
      </c>
      <c r="E214" s="240" t="s">
        <v>1116</v>
      </c>
      <c r="F214" s="246" t="s">
        <v>1117</v>
      </c>
      <c r="G214" s="245" t="s">
        <v>1118</v>
      </c>
      <c r="H214" s="243">
        <v>926860</v>
      </c>
      <c r="I214" s="245">
        <v>75051</v>
      </c>
      <c r="J214" s="219">
        <v>2025</v>
      </c>
      <c r="K214" s="220">
        <v>10</v>
      </c>
      <c r="L214" s="220">
        <f t="shared" si="8"/>
        <v>9</v>
      </c>
      <c r="M214" s="216" t="s">
        <v>439</v>
      </c>
      <c r="N214" s="216" t="s">
        <v>440</v>
      </c>
      <c r="O214" s="246" t="s">
        <v>425</v>
      </c>
      <c r="P214" s="216" t="s">
        <v>38</v>
      </c>
      <c r="Q214" s="220">
        <v>2026</v>
      </c>
      <c r="R214" s="220" t="s">
        <v>38</v>
      </c>
      <c r="S214" s="221">
        <v>2025</v>
      </c>
      <c r="T214" s="216" t="s">
        <v>1315</v>
      </c>
      <c r="U214" s="240" t="s">
        <v>1277</v>
      </c>
      <c r="V214" s="245"/>
      <c r="W214" s="237"/>
      <c r="X214" s="247">
        <v>1</v>
      </c>
      <c r="Y214" s="248"/>
      <c r="Z214" s="248"/>
      <c r="AA214" s="248"/>
      <c r="AB214" s="248"/>
      <c r="AC214" s="248"/>
      <c r="AD214" s="248"/>
      <c r="AE214" s="248"/>
      <c r="AF214" s="244"/>
      <c r="AG214" s="248"/>
      <c r="AH214" s="248" t="s">
        <v>422</v>
      </c>
      <c r="AI214" s="248"/>
      <c r="AJ214" s="221"/>
    </row>
    <row r="215" spans="1:36">
      <c r="A215" s="216" t="s">
        <v>821</v>
      </c>
      <c r="B215" s="216" t="s">
        <v>826</v>
      </c>
      <c r="C215" s="216" t="s">
        <v>754</v>
      </c>
      <c r="D215" s="216" t="s">
        <v>28</v>
      </c>
      <c r="E215" s="240" t="s">
        <v>1119</v>
      </c>
      <c r="F215" s="246" t="s">
        <v>852</v>
      </c>
      <c r="G215" s="245" t="s">
        <v>1120</v>
      </c>
      <c r="H215" s="243">
        <v>2.8500494041200001E+19</v>
      </c>
      <c r="I215" s="245">
        <v>75040</v>
      </c>
      <c r="J215" s="219">
        <v>2025</v>
      </c>
      <c r="K215" s="220">
        <v>10</v>
      </c>
      <c r="L215" s="220">
        <f t="shared" si="8"/>
        <v>9</v>
      </c>
      <c r="M215" s="216" t="s">
        <v>439</v>
      </c>
      <c r="N215" s="216" t="s">
        <v>440</v>
      </c>
      <c r="O215" s="246" t="s">
        <v>425</v>
      </c>
      <c r="P215" s="216" t="s">
        <v>38</v>
      </c>
      <c r="Q215" s="220">
        <v>2027</v>
      </c>
      <c r="R215" s="220" t="s">
        <v>38</v>
      </c>
      <c r="S215" s="221">
        <v>2025</v>
      </c>
      <c r="T215" s="216" t="s">
        <v>1315</v>
      </c>
      <c r="U215" s="240" t="s">
        <v>1260</v>
      </c>
      <c r="V215" s="245"/>
      <c r="W215" s="237"/>
      <c r="X215" s="247">
        <v>1</v>
      </c>
      <c r="Y215" s="248"/>
      <c r="Z215" s="248"/>
      <c r="AA215" s="248"/>
      <c r="AB215" s="248"/>
      <c r="AC215" s="248"/>
      <c r="AD215" s="248"/>
      <c r="AE215" s="248"/>
      <c r="AF215" s="244"/>
      <c r="AG215" s="248"/>
      <c r="AH215" s="248"/>
      <c r="AI215" s="248" t="s">
        <v>422</v>
      </c>
      <c r="AJ215" s="221"/>
    </row>
    <row r="216" spans="1:36" hidden="1">
      <c r="A216" s="216" t="s">
        <v>821</v>
      </c>
      <c r="B216" s="216" t="s">
        <v>826</v>
      </c>
      <c r="C216" s="216" t="s">
        <v>754</v>
      </c>
      <c r="D216" s="216" t="s">
        <v>317</v>
      </c>
      <c r="E216" s="240" t="s">
        <v>1121</v>
      </c>
      <c r="F216" s="246" t="s">
        <v>1122</v>
      </c>
      <c r="G216" s="245" t="s">
        <v>1123</v>
      </c>
      <c r="H216" s="243">
        <v>63061054031223</v>
      </c>
      <c r="I216" s="245">
        <v>76147</v>
      </c>
      <c r="J216" s="219">
        <v>2025</v>
      </c>
      <c r="K216" s="220">
        <v>10</v>
      </c>
      <c r="L216" s="220">
        <f t="shared" si="8"/>
        <v>9</v>
      </c>
      <c r="M216" s="216" t="s">
        <v>439</v>
      </c>
      <c r="N216" s="216" t="s">
        <v>440</v>
      </c>
      <c r="O216" s="246" t="s">
        <v>425</v>
      </c>
      <c r="P216" s="216" t="s">
        <v>38</v>
      </c>
      <c r="Q216" s="220">
        <v>2027</v>
      </c>
      <c r="R216" s="220" t="s">
        <v>38</v>
      </c>
      <c r="S216" s="221">
        <v>2026</v>
      </c>
      <c r="T216" s="216" t="s">
        <v>1315</v>
      </c>
      <c r="U216" s="240" t="s">
        <v>1288</v>
      </c>
      <c r="V216" s="245"/>
      <c r="W216" s="237"/>
      <c r="X216" s="247">
        <v>1</v>
      </c>
      <c r="Y216" s="248"/>
      <c r="Z216" s="248"/>
      <c r="AA216" s="248"/>
      <c r="AB216" s="248"/>
      <c r="AC216" s="248"/>
      <c r="AD216" s="248"/>
      <c r="AE216" s="248"/>
      <c r="AF216" s="244"/>
      <c r="AG216" s="248"/>
      <c r="AH216" s="248" t="s">
        <v>422</v>
      </c>
      <c r="AI216" s="248"/>
      <c r="AJ216" s="221"/>
    </row>
    <row r="217" spans="1:36" hidden="1">
      <c r="A217" s="216" t="s">
        <v>821</v>
      </c>
      <c r="B217" s="216" t="s">
        <v>817</v>
      </c>
      <c r="C217" s="216" t="s">
        <v>1312</v>
      </c>
      <c r="D217" s="216" t="s">
        <v>1311</v>
      </c>
      <c r="E217" s="240" t="s">
        <v>1124</v>
      </c>
      <c r="F217" s="246" t="s">
        <v>1078</v>
      </c>
      <c r="G217" s="245" t="s">
        <v>1125</v>
      </c>
      <c r="H217" s="243">
        <v>1149</v>
      </c>
      <c r="I217" s="245">
        <v>76195</v>
      </c>
      <c r="J217" s="219">
        <v>2025</v>
      </c>
      <c r="K217" s="220">
        <v>10</v>
      </c>
      <c r="L217" s="220">
        <f t="shared" si="8"/>
        <v>9</v>
      </c>
      <c r="M217" s="216" t="s">
        <v>439</v>
      </c>
      <c r="N217" s="216" t="s">
        <v>440</v>
      </c>
      <c r="O217" s="246" t="s">
        <v>421</v>
      </c>
      <c r="P217" s="216" t="s">
        <v>38</v>
      </c>
      <c r="Q217" s="220">
        <v>2026</v>
      </c>
      <c r="R217" s="220" t="s">
        <v>38</v>
      </c>
      <c r="S217" s="221">
        <v>2026</v>
      </c>
      <c r="T217" s="216" t="s">
        <v>1315</v>
      </c>
      <c r="U217" s="240" t="s">
        <v>1271</v>
      </c>
      <c r="V217" s="245"/>
      <c r="W217" s="237"/>
      <c r="X217" s="247">
        <v>1</v>
      </c>
      <c r="Y217" s="248"/>
      <c r="Z217" s="248"/>
      <c r="AA217" s="248"/>
      <c r="AB217" s="248"/>
      <c r="AC217" s="248"/>
      <c r="AD217" s="248" t="s">
        <v>422</v>
      </c>
      <c r="AE217" s="248"/>
      <c r="AF217" s="244"/>
      <c r="AG217" s="248"/>
      <c r="AH217" s="248"/>
      <c r="AI217" s="248"/>
      <c r="AJ217" s="221"/>
    </row>
    <row r="218" spans="1:36" hidden="1">
      <c r="A218" s="216" t="s">
        <v>764</v>
      </c>
      <c r="B218" s="216" t="s">
        <v>765</v>
      </c>
      <c r="C218" s="216" t="s">
        <v>263</v>
      </c>
      <c r="D218" s="216" t="s">
        <v>317</v>
      </c>
      <c r="E218" s="240" t="s">
        <v>1126</v>
      </c>
      <c r="F218" s="246" t="s">
        <v>1127</v>
      </c>
      <c r="G218" s="245" t="s">
        <v>1128</v>
      </c>
      <c r="H218" s="243" t="s">
        <v>1129</v>
      </c>
      <c r="I218" s="245">
        <v>75298</v>
      </c>
      <c r="J218" s="219">
        <v>2025</v>
      </c>
      <c r="K218" s="220">
        <v>10</v>
      </c>
      <c r="L218" s="220">
        <f t="shared" si="8"/>
        <v>9</v>
      </c>
      <c r="M218" s="216" t="s">
        <v>439</v>
      </c>
      <c r="N218" s="216" t="s">
        <v>440</v>
      </c>
      <c r="O218" s="246" t="s">
        <v>36</v>
      </c>
      <c r="P218" s="216" t="s">
        <v>38</v>
      </c>
      <c r="Q218" s="220">
        <v>2027</v>
      </c>
      <c r="R218" s="220" t="s">
        <v>38</v>
      </c>
      <c r="S218" s="221">
        <v>2026</v>
      </c>
      <c r="T218" s="216" t="s">
        <v>1315</v>
      </c>
      <c r="U218" s="240" t="s">
        <v>1276</v>
      </c>
      <c r="V218" s="245"/>
      <c r="W218" s="237"/>
      <c r="X218" s="247">
        <v>2</v>
      </c>
      <c r="Y218" s="248"/>
      <c r="Z218" s="248"/>
      <c r="AA218" s="248"/>
      <c r="AB218" s="248" t="s">
        <v>422</v>
      </c>
      <c r="AC218" s="248"/>
      <c r="AD218" s="248"/>
      <c r="AE218" s="248"/>
      <c r="AF218" s="244"/>
      <c r="AG218" s="248"/>
      <c r="AH218" s="248" t="s">
        <v>422</v>
      </c>
      <c r="AI218" s="248"/>
      <c r="AJ218" s="221"/>
    </row>
    <row r="219" spans="1:36" hidden="1">
      <c r="A219" s="216" t="s">
        <v>1478</v>
      </c>
      <c r="B219" s="216" t="s">
        <v>1479</v>
      </c>
      <c r="C219" s="216" t="s">
        <v>263</v>
      </c>
      <c r="D219" s="216" t="s">
        <v>317</v>
      </c>
      <c r="E219" s="240" t="s">
        <v>1126</v>
      </c>
      <c r="F219" s="246" t="s">
        <v>1392</v>
      </c>
      <c r="G219" s="245" t="s">
        <v>1393</v>
      </c>
      <c r="H219" s="243" t="s">
        <v>1394</v>
      </c>
      <c r="I219" s="245">
        <v>74158</v>
      </c>
      <c r="J219" s="219">
        <v>2015</v>
      </c>
      <c r="K219" s="220">
        <v>10</v>
      </c>
      <c r="L219" s="220">
        <v>0</v>
      </c>
      <c r="M219" s="216" t="s">
        <v>439</v>
      </c>
      <c r="N219" s="216" t="s">
        <v>440</v>
      </c>
      <c r="O219" s="216" t="s">
        <v>36</v>
      </c>
      <c r="P219" s="216" t="s">
        <v>37</v>
      </c>
      <c r="Q219" s="220" t="s">
        <v>421</v>
      </c>
      <c r="R219" s="220" t="s">
        <v>38</v>
      </c>
      <c r="S219" s="221">
        <v>2025</v>
      </c>
      <c r="T219" s="216" t="s">
        <v>1315</v>
      </c>
      <c r="U219" s="240" t="s">
        <v>1328</v>
      </c>
      <c r="V219" s="245"/>
      <c r="W219" s="237">
        <v>246971.63009404388</v>
      </c>
      <c r="X219" s="247">
        <v>2</v>
      </c>
      <c r="Y219" s="248"/>
      <c r="Z219" s="248"/>
      <c r="AA219" s="248"/>
      <c r="AB219" s="248"/>
      <c r="AC219" s="248"/>
      <c r="AD219" s="248" t="s">
        <v>422</v>
      </c>
      <c r="AE219" s="248"/>
      <c r="AF219" s="244"/>
      <c r="AG219" s="248"/>
      <c r="AH219" s="248"/>
      <c r="AI219" s="248"/>
      <c r="AJ219" s="248" t="s">
        <v>422</v>
      </c>
    </row>
    <row r="220" spans="1:36" hidden="1">
      <c r="A220" s="216" t="s">
        <v>764</v>
      </c>
      <c r="B220" s="216" t="s">
        <v>765</v>
      </c>
      <c r="C220" s="216" t="s">
        <v>263</v>
      </c>
      <c r="D220" s="216" t="s">
        <v>28</v>
      </c>
      <c r="E220" s="240" t="s">
        <v>1130</v>
      </c>
      <c r="F220" s="246" t="s">
        <v>1131</v>
      </c>
      <c r="G220" s="245" t="s">
        <v>1132</v>
      </c>
      <c r="H220" s="243">
        <v>12580</v>
      </c>
      <c r="I220" s="245">
        <v>75296</v>
      </c>
      <c r="J220" s="219">
        <v>2025</v>
      </c>
      <c r="K220" s="220">
        <v>10</v>
      </c>
      <c r="L220" s="220">
        <f t="shared" ref="L220:L231" si="9">K220-($B$9-J220)</f>
        <v>9</v>
      </c>
      <c r="M220" s="216" t="s">
        <v>439</v>
      </c>
      <c r="N220" s="216" t="s">
        <v>440</v>
      </c>
      <c r="O220" s="246" t="s">
        <v>425</v>
      </c>
      <c r="P220" s="216" t="s">
        <v>38</v>
      </c>
      <c r="Q220" s="220">
        <v>2027</v>
      </c>
      <c r="R220" s="220" t="s">
        <v>38</v>
      </c>
      <c r="S220" s="221">
        <v>2026</v>
      </c>
      <c r="T220" s="216" t="s">
        <v>1315</v>
      </c>
      <c r="U220" s="240" t="s">
        <v>1276</v>
      </c>
      <c r="V220" s="245"/>
      <c r="W220" s="237"/>
      <c r="X220" s="247">
        <v>2</v>
      </c>
      <c r="Y220" s="248"/>
      <c r="Z220" s="248"/>
      <c r="AA220" s="248"/>
      <c r="AB220" s="248" t="s">
        <v>422</v>
      </c>
      <c r="AC220" s="248"/>
      <c r="AD220" s="248"/>
      <c r="AE220" s="248"/>
      <c r="AF220" s="244"/>
      <c r="AG220" s="248"/>
      <c r="AH220" s="248" t="s">
        <v>422</v>
      </c>
      <c r="AI220" s="248"/>
      <c r="AJ220" s="221"/>
    </row>
    <row r="221" spans="1:36" hidden="1">
      <c r="A221" s="216" t="s">
        <v>507</v>
      </c>
      <c r="B221" s="216" t="s">
        <v>751</v>
      </c>
      <c r="C221" s="216" t="s">
        <v>1310</v>
      </c>
      <c r="D221" s="216" t="s">
        <v>317</v>
      </c>
      <c r="E221" s="240" t="s">
        <v>1135</v>
      </c>
      <c r="F221" s="246" t="s">
        <v>1136</v>
      </c>
      <c r="G221" s="245" t="s">
        <v>1137</v>
      </c>
      <c r="H221" s="243" t="s">
        <v>1138</v>
      </c>
      <c r="I221" s="245">
        <v>75060</v>
      </c>
      <c r="J221" s="219">
        <v>2025</v>
      </c>
      <c r="K221" s="220">
        <v>10</v>
      </c>
      <c r="L221" s="220">
        <f t="shared" si="9"/>
        <v>9</v>
      </c>
      <c r="M221" s="216" t="s">
        <v>439</v>
      </c>
      <c r="N221" s="216" t="s">
        <v>440</v>
      </c>
      <c r="O221" s="216" t="s">
        <v>464</v>
      </c>
      <c r="P221" s="216" t="s">
        <v>38</v>
      </c>
      <c r="Q221" s="220">
        <v>2027</v>
      </c>
      <c r="R221" s="220" t="s">
        <v>38</v>
      </c>
      <c r="S221" s="221">
        <v>2026</v>
      </c>
      <c r="T221" s="216" t="s">
        <v>1315</v>
      </c>
      <c r="U221" s="240" t="s">
        <v>1275</v>
      </c>
      <c r="V221" s="245"/>
      <c r="W221" s="237"/>
      <c r="X221" s="247">
        <v>1</v>
      </c>
      <c r="Y221" s="248"/>
      <c r="Z221" s="248"/>
      <c r="AA221" s="248"/>
      <c r="AB221" s="248" t="s">
        <v>422</v>
      </c>
      <c r="AC221" s="248"/>
      <c r="AD221" s="248"/>
      <c r="AE221" s="248"/>
      <c r="AF221" s="244"/>
      <c r="AG221" s="248"/>
      <c r="AH221" s="248"/>
      <c r="AI221" s="248"/>
      <c r="AJ221" s="221"/>
    </row>
    <row r="222" spans="1:36" hidden="1">
      <c r="A222" s="216" t="s">
        <v>507</v>
      </c>
      <c r="B222" s="216" t="s">
        <v>751</v>
      </c>
      <c r="C222" s="216" t="s">
        <v>1310</v>
      </c>
      <c r="D222" s="216" t="s">
        <v>317</v>
      </c>
      <c r="E222" s="240" t="s">
        <v>1135</v>
      </c>
      <c r="F222" s="246" t="s">
        <v>1136</v>
      </c>
      <c r="G222" s="245" t="s">
        <v>1137</v>
      </c>
      <c r="H222" s="243" t="s">
        <v>1139</v>
      </c>
      <c r="I222" s="245">
        <v>75061</v>
      </c>
      <c r="J222" s="219">
        <v>2025</v>
      </c>
      <c r="K222" s="220">
        <v>10</v>
      </c>
      <c r="L222" s="220">
        <f t="shared" si="9"/>
        <v>9</v>
      </c>
      <c r="M222" s="216" t="s">
        <v>439</v>
      </c>
      <c r="N222" s="216" t="s">
        <v>440</v>
      </c>
      <c r="O222" s="216" t="s">
        <v>464</v>
      </c>
      <c r="P222" s="216" t="s">
        <v>38</v>
      </c>
      <c r="Q222" s="220">
        <v>2027</v>
      </c>
      <c r="R222" s="220" t="s">
        <v>38</v>
      </c>
      <c r="S222" s="221">
        <v>2026</v>
      </c>
      <c r="T222" s="216" t="s">
        <v>1315</v>
      </c>
      <c r="U222" s="240" t="s">
        <v>1275</v>
      </c>
      <c r="V222" s="245"/>
      <c r="W222" s="237"/>
      <c r="X222" s="247">
        <v>1</v>
      </c>
      <c r="Y222" s="248"/>
      <c r="Z222" s="248"/>
      <c r="AA222" s="248"/>
      <c r="AB222" s="248" t="s">
        <v>422</v>
      </c>
      <c r="AC222" s="248"/>
      <c r="AD222" s="248"/>
      <c r="AE222" s="248"/>
      <c r="AF222" s="244"/>
      <c r="AG222" s="248"/>
      <c r="AH222" s="248"/>
      <c r="AI222" s="248"/>
      <c r="AJ222" s="221"/>
    </row>
    <row r="223" spans="1:36" hidden="1">
      <c r="A223" s="216" t="s">
        <v>507</v>
      </c>
      <c r="B223" s="216" t="s">
        <v>750</v>
      </c>
      <c r="C223" s="216" t="s">
        <v>1310</v>
      </c>
      <c r="D223" s="216" t="s">
        <v>317</v>
      </c>
      <c r="E223" s="240" t="s">
        <v>1135</v>
      </c>
      <c r="F223" s="246" t="s">
        <v>1136</v>
      </c>
      <c r="G223" s="245" t="s">
        <v>1137</v>
      </c>
      <c r="H223" s="243" t="s">
        <v>1139</v>
      </c>
      <c r="I223" s="245">
        <v>75062</v>
      </c>
      <c r="J223" s="219">
        <v>2025</v>
      </c>
      <c r="K223" s="220">
        <v>10</v>
      </c>
      <c r="L223" s="220">
        <f t="shared" si="9"/>
        <v>9</v>
      </c>
      <c r="M223" s="216" t="s">
        <v>439</v>
      </c>
      <c r="N223" s="216" t="s">
        <v>440</v>
      </c>
      <c r="O223" s="216" t="s">
        <v>464</v>
      </c>
      <c r="P223" s="216" t="s">
        <v>38</v>
      </c>
      <c r="Q223" s="220">
        <v>2027</v>
      </c>
      <c r="R223" s="220" t="s">
        <v>38</v>
      </c>
      <c r="S223" s="221">
        <v>2026</v>
      </c>
      <c r="T223" s="216" t="s">
        <v>1315</v>
      </c>
      <c r="U223" s="240" t="s">
        <v>1275</v>
      </c>
      <c r="V223" s="245"/>
      <c r="W223" s="237"/>
      <c r="X223" s="247">
        <v>1</v>
      </c>
      <c r="Y223" s="248"/>
      <c r="Z223" s="248"/>
      <c r="AA223" s="248"/>
      <c r="AB223" s="248" t="s">
        <v>422</v>
      </c>
      <c r="AC223" s="248"/>
      <c r="AD223" s="248"/>
      <c r="AE223" s="248"/>
      <c r="AF223" s="244"/>
      <c r="AG223" s="248"/>
      <c r="AH223" s="248"/>
      <c r="AI223" s="248"/>
      <c r="AJ223" s="221"/>
    </row>
    <row r="224" spans="1:36" hidden="1">
      <c r="A224" s="216" t="s">
        <v>507</v>
      </c>
      <c r="B224" s="216" t="s">
        <v>818</v>
      </c>
      <c r="C224" s="216" t="s">
        <v>1310</v>
      </c>
      <c r="D224" s="216" t="s">
        <v>317</v>
      </c>
      <c r="E224" s="240" t="s">
        <v>1135</v>
      </c>
      <c r="F224" s="246" t="s">
        <v>1136</v>
      </c>
      <c r="G224" s="245" t="s">
        <v>1137</v>
      </c>
      <c r="H224" s="243" t="s">
        <v>1140</v>
      </c>
      <c r="I224" s="245">
        <v>75059</v>
      </c>
      <c r="J224" s="219">
        <v>2025</v>
      </c>
      <c r="K224" s="220">
        <v>10</v>
      </c>
      <c r="L224" s="220">
        <f t="shared" si="9"/>
        <v>9</v>
      </c>
      <c r="M224" s="216" t="s">
        <v>439</v>
      </c>
      <c r="N224" s="216" t="s">
        <v>440</v>
      </c>
      <c r="O224" s="216" t="s">
        <v>464</v>
      </c>
      <c r="P224" s="216" t="s">
        <v>38</v>
      </c>
      <c r="Q224" s="220">
        <v>2027</v>
      </c>
      <c r="R224" s="220" t="s">
        <v>38</v>
      </c>
      <c r="S224" s="221">
        <v>2026</v>
      </c>
      <c r="T224" s="216" t="s">
        <v>1315</v>
      </c>
      <c r="U224" s="240" t="s">
        <v>1275</v>
      </c>
      <c r="V224" s="245"/>
      <c r="W224" s="237"/>
      <c r="X224" s="247">
        <v>1</v>
      </c>
      <c r="Y224" s="248"/>
      <c r="Z224" s="248"/>
      <c r="AA224" s="248"/>
      <c r="AB224" s="248" t="s">
        <v>422</v>
      </c>
      <c r="AC224" s="248"/>
      <c r="AD224" s="248"/>
      <c r="AE224" s="248"/>
      <c r="AF224" s="244"/>
      <c r="AG224" s="248"/>
      <c r="AH224" s="248"/>
      <c r="AI224" s="248"/>
      <c r="AJ224" s="221"/>
    </row>
    <row r="225" spans="1:36" hidden="1">
      <c r="A225" s="242" t="s">
        <v>1307</v>
      </c>
      <c r="B225" s="216" t="s">
        <v>794</v>
      </c>
      <c r="C225" s="216" t="s">
        <v>55</v>
      </c>
      <c r="D225" s="216" t="s">
        <v>28</v>
      </c>
      <c r="E225" s="240" t="s">
        <v>1141</v>
      </c>
      <c r="F225" s="246" t="s">
        <v>742</v>
      </c>
      <c r="G225" s="245" t="s">
        <v>1142</v>
      </c>
      <c r="H225" s="243" t="s">
        <v>1143</v>
      </c>
      <c r="I225" s="245">
        <v>75102</v>
      </c>
      <c r="J225" s="219">
        <v>2025</v>
      </c>
      <c r="K225" s="220">
        <v>10</v>
      </c>
      <c r="L225" s="220">
        <f t="shared" si="9"/>
        <v>9</v>
      </c>
      <c r="M225" s="216" t="s">
        <v>439</v>
      </c>
      <c r="N225" s="216" t="s">
        <v>440</v>
      </c>
      <c r="O225" s="246" t="s">
        <v>425</v>
      </c>
      <c r="P225" s="216" t="s">
        <v>38</v>
      </c>
      <c r="Q225" s="220">
        <v>2027</v>
      </c>
      <c r="R225" s="220" t="s">
        <v>38</v>
      </c>
      <c r="S225" s="221">
        <v>2026</v>
      </c>
      <c r="T225" s="216" t="s">
        <v>1315</v>
      </c>
      <c r="U225" s="240" t="s">
        <v>1277</v>
      </c>
      <c r="V225" s="245"/>
      <c r="W225" s="237"/>
      <c r="X225" s="247">
        <v>1</v>
      </c>
      <c r="Y225" s="248"/>
      <c r="Z225" s="248"/>
      <c r="AA225" s="248"/>
      <c r="AB225" s="248"/>
      <c r="AC225" s="248"/>
      <c r="AD225" s="248"/>
      <c r="AE225" s="248" t="s">
        <v>422</v>
      </c>
      <c r="AF225" s="244"/>
      <c r="AG225" s="248"/>
      <c r="AH225" s="248"/>
      <c r="AI225" s="248"/>
      <c r="AJ225" s="221"/>
    </row>
    <row r="226" spans="1:36" hidden="1">
      <c r="A226" s="216" t="s">
        <v>764</v>
      </c>
      <c r="B226" s="216" t="s">
        <v>766</v>
      </c>
      <c r="C226" s="216" t="s">
        <v>55</v>
      </c>
      <c r="D226" s="216" t="s">
        <v>28</v>
      </c>
      <c r="E226" s="240" t="s">
        <v>1144</v>
      </c>
      <c r="F226" s="246" t="s">
        <v>742</v>
      </c>
      <c r="G226" s="245" t="s">
        <v>1142</v>
      </c>
      <c r="H226" s="243" t="s">
        <v>1145</v>
      </c>
      <c r="I226" s="245">
        <v>75103</v>
      </c>
      <c r="J226" s="219">
        <v>2025</v>
      </c>
      <c r="K226" s="220">
        <v>10</v>
      </c>
      <c r="L226" s="220">
        <f t="shared" si="9"/>
        <v>9</v>
      </c>
      <c r="M226" s="216" t="s">
        <v>439</v>
      </c>
      <c r="N226" s="216" t="s">
        <v>440</v>
      </c>
      <c r="O226" s="246" t="s">
        <v>425</v>
      </c>
      <c r="P226" s="216" t="s">
        <v>38</v>
      </c>
      <c r="Q226" s="220">
        <v>2027</v>
      </c>
      <c r="R226" s="220" t="s">
        <v>38</v>
      </c>
      <c r="S226" s="221">
        <v>2026</v>
      </c>
      <c r="T226" s="216" t="s">
        <v>1315</v>
      </c>
      <c r="U226" s="240" t="s">
        <v>1277</v>
      </c>
      <c r="V226" s="245"/>
      <c r="W226" s="237"/>
      <c r="X226" s="247">
        <v>1</v>
      </c>
      <c r="Y226" s="248"/>
      <c r="Z226" s="248"/>
      <c r="AA226" s="248"/>
      <c r="AB226" s="248"/>
      <c r="AC226" s="248"/>
      <c r="AD226" s="248"/>
      <c r="AE226" s="248" t="s">
        <v>422</v>
      </c>
      <c r="AF226" s="244"/>
      <c r="AG226" s="248"/>
      <c r="AH226" s="248"/>
      <c r="AI226" s="248"/>
      <c r="AJ226" s="221"/>
    </row>
    <row r="227" spans="1:36" hidden="1">
      <c r="A227" s="216" t="s">
        <v>762</v>
      </c>
      <c r="B227" s="216" t="s">
        <v>768</v>
      </c>
      <c r="C227" s="216" t="s">
        <v>55</v>
      </c>
      <c r="D227" s="216" t="s">
        <v>28</v>
      </c>
      <c r="E227" s="240" t="s">
        <v>1146</v>
      </c>
      <c r="F227" s="246" t="s">
        <v>1147</v>
      </c>
      <c r="G227" s="245" t="s">
        <v>743</v>
      </c>
      <c r="H227" s="243" t="s">
        <v>1148</v>
      </c>
      <c r="I227" s="245">
        <v>75176</v>
      </c>
      <c r="J227" s="219">
        <v>2025</v>
      </c>
      <c r="K227" s="220">
        <v>10</v>
      </c>
      <c r="L227" s="220">
        <f t="shared" si="9"/>
        <v>9</v>
      </c>
      <c r="M227" s="216" t="s">
        <v>439</v>
      </c>
      <c r="N227" s="216" t="s">
        <v>440</v>
      </c>
      <c r="O227" s="246" t="s">
        <v>36</v>
      </c>
      <c r="P227" s="216" t="s">
        <v>38</v>
      </c>
      <c r="Q227" s="220">
        <v>2027</v>
      </c>
      <c r="R227" s="220" t="s">
        <v>38</v>
      </c>
      <c r="S227" s="221">
        <v>2026</v>
      </c>
      <c r="T227" s="216" t="s">
        <v>1315</v>
      </c>
      <c r="U227" s="240" t="s">
        <v>1257</v>
      </c>
      <c r="V227" s="245"/>
      <c r="W227" s="237"/>
      <c r="X227" s="247">
        <v>2</v>
      </c>
      <c r="Y227" s="248"/>
      <c r="Z227" s="248"/>
      <c r="AA227" s="248" t="s">
        <v>432</v>
      </c>
      <c r="AB227" s="248"/>
      <c r="AC227" s="248"/>
      <c r="AD227" s="248"/>
      <c r="AE227" s="248"/>
      <c r="AF227" s="244"/>
      <c r="AG227" s="248" t="s">
        <v>422</v>
      </c>
      <c r="AH227" s="248"/>
      <c r="AI227" s="248"/>
      <c r="AJ227" s="221"/>
    </row>
    <row r="228" spans="1:36" hidden="1">
      <c r="A228" s="242" t="s">
        <v>1307</v>
      </c>
      <c r="B228" s="216" t="s">
        <v>768</v>
      </c>
      <c r="C228" s="216" t="s">
        <v>55</v>
      </c>
      <c r="D228" s="216" t="s">
        <v>28</v>
      </c>
      <c r="E228" s="240" t="s">
        <v>1146</v>
      </c>
      <c r="F228" s="246" t="s">
        <v>1147</v>
      </c>
      <c r="G228" s="245" t="s">
        <v>743</v>
      </c>
      <c r="H228" s="243" t="s">
        <v>1149</v>
      </c>
      <c r="I228" s="245">
        <v>75191</v>
      </c>
      <c r="J228" s="219">
        <v>2025</v>
      </c>
      <c r="K228" s="220">
        <v>10</v>
      </c>
      <c r="L228" s="220">
        <f t="shared" si="9"/>
        <v>9</v>
      </c>
      <c r="M228" s="216" t="s">
        <v>439</v>
      </c>
      <c r="N228" s="216" t="s">
        <v>440</v>
      </c>
      <c r="O228" s="246" t="s">
        <v>36</v>
      </c>
      <c r="P228" s="216" t="s">
        <v>38</v>
      </c>
      <c r="Q228" s="220">
        <v>2027</v>
      </c>
      <c r="R228" s="220" t="s">
        <v>38</v>
      </c>
      <c r="S228" s="221">
        <v>2026</v>
      </c>
      <c r="T228" s="216" t="s">
        <v>1315</v>
      </c>
      <c r="U228" s="240" t="s">
        <v>1257</v>
      </c>
      <c r="V228" s="245"/>
      <c r="W228" s="237"/>
      <c r="X228" s="247">
        <v>2</v>
      </c>
      <c r="Y228" s="248"/>
      <c r="Z228" s="248"/>
      <c r="AA228" s="248" t="s">
        <v>432</v>
      </c>
      <c r="AB228" s="248"/>
      <c r="AC228" s="248"/>
      <c r="AD228" s="248"/>
      <c r="AE228" s="248"/>
      <c r="AF228" s="244"/>
      <c r="AG228" s="248" t="s">
        <v>422</v>
      </c>
      <c r="AH228" s="248"/>
      <c r="AI228" s="248"/>
      <c r="AJ228" s="221"/>
    </row>
    <row r="229" spans="1:36" hidden="1">
      <c r="A229" s="216" t="s">
        <v>764</v>
      </c>
      <c r="B229" s="216" t="s">
        <v>765</v>
      </c>
      <c r="C229" s="216" t="s">
        <v>55</v>
      </c>
      <c r="D229" s="216" t="s">
        <v>28</v>
      </c>
      <c r="E229" s="240" t="s">
        <v>1146</v>
      </c>
      <c r="F229" s="246" t="s">
        <v>1147</v>
      </c>
      <c r="G229" s="245" t="s">
        <v>743</v>
      </c>
      <c r="H229" s="243" t="s">
        <v>1150</v>
      </c>
      <c r="I229" s="245">
        <v>75194</v>
      </c>
      <c r="J229" s="219">
        <v>2025</v>
      </c>
      <c r="K229" s="220">
        <v>10</v>
      </c>
      <c r="L229" s="220">
        <f t="shared" si="9"/>
        <v>9</v>
      </c>
      <c r="M229" s="216" t="s">
        <v>439</v>
      </c>
      <c r="N229" s="216" t="s">
        <v>440</v>
      </c>
      <c r="O229" s="246" t="s">
        <v>36</v>
      </c>
      <c r="P229" s="216" t="s">
        <v>38</v>
      </c>
      <c r="Q229" s="220">
        <v>2027</v>
      </c>
      <c r="R229" s="220" t="s">
        <v>38</v>
      </c>
      <c r="S229" s="221">
        <v>2026</v>
      </c>
      <c r="T229" s="216" t="s">
        <v>1315</v>
      </c>
      <c r="U229" s="240" t="s">
        <v>1257</v>
      </c>
      <c r="V229" s="245"/>
      <c r="W229" s="237"/>
      <c r="X229" s="247">
        <v>2</v>
      </c>
      <c r="Y229" s="248"/>
      <c r="Z229" s="248"/>
      <c r="AA229" s="248" t="s">
        <v>432</v>
      </c>
      <c r="AB229" s="248"/>
      <c r="AC229" s="248"/>
      <c r="AD229" s="248"/>
      <c r="AE229" s="248"/>
      <c r="AF229" s="244"/>
      <c r="AG229" s="248" t="s">
        <v>422</v>
      </c>
      <c r="AH229" s="248"/>
      <c r="AI229" s="248"/>
      <c r="AJ229" s="221"/>
    </row>
    <row r="230" spans="1:36" hidden="1">
      <c r="A230" s="216" t="s">
        <v>764</v>
      </c>
      <c r="B230" s="216" t="s">
        <v>766</v>
      </c>
      <c r="C230" s="216" t="s">
        <v>55</v>
      </c>
      <c r="D230" s="216" t="s">
        <v>28</v>
      </c>
      <c r="E230" s="240" t="s">
        <v>1146</v>
      </c>
      <c r="F230" s="246" t="s">
        <v>1147</v>
      </c>
      <c r="G230" s="245" t="s">
        <v>743</v>
      </c>
      <c r="H230" s="243" t="s">
        <v>1151</v>
      </c>
      <c r="I230" s="245">
        <v>75195</v>
      </c>
      <c r="J230" s="219">
        <v>2025</v>
      </c>
      <c r="K230" s="220">
        <v>10</v>
      </c>
      <c r="L230" s="220">
        <f t="shared" si="9"/>
        <v>9</v>
      </c>
      <c r="M230" s="216" t="s">
        <v>439</v>
      </c>
      <c r="N230" s="216" t="s">
        <v>440</v>
      </c>
      <c r="O230" s="246" t="s">
        <v>36</v>
      </c>
      <c r="P230" s="216" t="s">
        <v>38</v>
      </c>
      <c r="Q230" s="220">
        <v>2027</v>
      </c>
      <c r="R230" s="220" t="s">
        <v>38</v>
      </c>
      <c r="S230" s="221">
        <v>2026</v>
      </c>
      <c r="T230" s="216" t="s">
        <v>1315</v>
      </c>
      <c r="U230" s="240" t="s">
        <v>1257</v>
      </c>
      <c r="V230" s="245"/>
      <c r="W230" s="237"/>
      <c r="X230" s="247">
        <v>2</v>
      </c>
      <c r="Y230" s="248"/>
      <c r="Z230" s="248"/>
      <c r="AA230" s="248" t="s">
        <v>432</v>
      </c>
      <c r="AB230" s="248"/>
      <c r="AC230" s="248"/>
      <c r="AD230" s="248"/>
      <c r="AE230" s="248"/>
      <c r="AF230" s="244"/>
      <c r="AG230" s="248" t="s">
        <v>422</v>
      </c>
      <c r="AH230" s="248"/>
      <c r="AI230" s="248"/>
      <c r="AJ230" s="221"/>
    </row>
    <row r="231" spans="1:36" hidden="1">
      <c r="A231" s="242" t="s">
        <v>1307</v>
      </c>
      <c r="B231" s="216" t="s">
        <v>769</v>
      </c>
      <c r="C231" s="216" t="s">
        <v>55</v>
      </c>
      <c r="D231" s="216" t="s">
        <v>28</v>
      </c>
      <c r="E231" s="240" t="s">
        <v>1146</v>
      </c>
      <c r="F231" s="246" t="s">
        <v>1147</v>
      </c>
      <c r="G231" s="245" t="s">
        <v>743</v>
      </c>
      <c r="H231" s="243" t="s">
        <v>1152</v>
      </c>
      <c r="I231" s="245">
        <v>75192</v>
      </c>
      <c r="J231" s="219">
        <v>2025</v>
      </c>
      <c r="K231" s="220">
        <v>10</v>
      </c>
      <c r="L231" s="220">
        <f t="shared" si="9"/>
        <v>9</v>
      </c>
      <c r="M231" s="216" t="s">
        <v>439</v>
      </c>
      <c r="N231" s="216" t="s">
        <v>440</v>
      </c>
      <c r="O231" s="246" t="s">
        <v>36</v>
      </c>
      <c r="P231" s="216" t="s">
        <v>38</v>
      </c>
      <c r="Q231" s="220">
        <v>2027</v>
      </c>
      <c r="R231" s="220" t="s">
        <v>38</v>
      </c>
      <c r="S231" s="221">
        <v>2026</v>
      </c>
      <c r="T231" s="216" t="s">
        <v>1315</v>
      </c>
      <c r="U231" s="240" t="s">
        <v>1257</v>
      </c>
      <c r="V231" s="245"/>
      <c r="W231" s="237"/>
      <c r="X231" s="247">
        <v>2</v>
      </c>
      <c r="Y231" s="248"/>
      <c r="Z231" s="248"/>
      <c r="AA231" s="248" t="s">
        <v>432</v>
      </c>
      <c r="AB231" s="248"/>
      <c r="AC231" s="248"/>
      <c r="AD231" s="248"/>
      <c r="AE231" s="248"/>
      <c r="AF231" s="244"/>
      <c r="AG231" s="248" t="s">
        <v>422</v>
      </c>
      <c r="AH231" s="248"/>
      <c r="AI231" s="248"/>
      <c r="AJ231" s="221"/>
    </row>
    <row r="232" spans="1:36" hidden="1">
      <c r="A232" s="216" t="s">
        <v>1478</v>
      </c>
      <c r="B232" s="216" t="s">
        <v>1479</v>
      </c>
      <c r="C232" s="216" t="s">
        <v>55</v>
      </c>
      <c r="D232" s="216" t="s">
        <v>28</v>
      </c>
      <c r="E232" s="240" t="s">
        <v>1146</v>
      </c>
      <c r="F232" s="246" t="s">
        <v>743</v>
      </c>
      <c r="G232" s="245" t="s">
        <v>1412</v>
      </c>
      <c r="H232" s="243" t="s">
        <v>1413</v>
      </c>
      <c r="I232" s="245">
        <v>74136</v>
      </c>
      <c r="J232" s="219">
        <v>2015</v>
      </c>
      <c r="K232" s="220">
        <v>10</v>
      </c>
      <c r="L232" s="220">
        <v>0</v>
      </c>
      <c r="M232" s="216" t="s">
        <v>439</v>
      </c>
      <c r="N232" s="216" t="s">
        <v>440</v>
      </c>
      <c r="O232" s="216" t="s">
        <v>36</v>
      </c>
      <c r="P232" s="216" t="s">
        <v>37</v>
      </c>
      <c r="Q232" s="220" t="s">
        <v>421</v>
      </c>
      <c r="R232" s="220" t="s">
        <v>38</v>
      </c>
      <c r="S232" s="221">
        <v>2025</v>
      </c>
      <c r="T232" s="216" t="s">
        <v>1315</v>
      </c>
      <c r="U232" s="240" t="s">
        <v>1328</v>
      </c>
      <c r="V232" s="245"/>
      <c r="W232" s="237">
        <v>246971.63009404388</v>
      </c>
      <c r="X232" s="247">
        <v>2</v>
      </c>
      <c r="Y232" s="248"/>
      <c r="Z232" s="248"/>
      <c r="AA232" s="248"/>
      <c r="AB232" s="248"/>
      <c r="AC232" s="248"/>
      <c r="AD232" s="248" t="s">
        <v>422</v>
      </c>
      <c r="AE232" s="248"/>
      <c r="AF232" s="244"/>
      <c r="AG232" s="248"/>
      <c r="AH232" s="248"/>
      <c r="AI232" s="248"/>
      <c r="AJ232" s="248" t="s">
        <v>422</v>
      </c>
    </row>
    <row r="233" spans="1:36" hidden="1">
      <c r="A233" s="216" t="s">
        <v>1478</v>
      </c>
      <c r="B233" s="216" t="s">
        <v>1479</v>
      </c>
      <c r="C233" s="216" t="s">
        <v>55</v>
      </c>
      <c r="D233" s="216" t="s">
        <v>28</v>
      </c>
      <c r="E233" s="240" t="s">
        <v>1146</v>
      </c>
      <c r="F233" s="246" t="s">
        <v>1375</v>
      </c>
      <c r="G233" s="245" t="s">
        <v>1414</v>
      </c>
      <c r="H233" s="243" t="s">
        <v>1415</v>
      </c>
      <c r="I233" s="245">
        <v>74200</v>
      </c>
      <c r="J233" s="219">
        <v>2015</v>
      </c>
      <c r="K233" s="220">
        <v>10</v>
      </c>
      <c r="L233" s="220">
        <v>0</v>
      </c>
      <c r="M233" s="216" t="s">
        <v>439</v>
      </c>
      <c r="N233" s="216" t="s">
        <v>440</v>
      </c>
      <c r="O233" s="216" t="s">
        <v>36</v>
      </c>
      <c r="P233" s="216" t="s">
        <v>37</v>
      </c>
      <c r="Q233" s="220" t="s">
        <v>421</v>
      </c>
      <c r="R233" s="220" t="s">
        <v>38</v>
      </c>
      <c r="S233" s="221">
        <v>2025</v>
      </c>
      <c r="T233" s="216" t="s">
        <v>1315</v>
      </c>
      <c r="U233" s="240" t="s">
        <v>1328</v>
      </c>
      <c r="V233" s="245"/>
      <c r="W233" s="237">
        <v>246971.63009404388</v>
      </c>
      <c r="X233" s="247">
        <v>2</v>
      </c>
      <c r="Y233" s="248"/>
      <c r="Z233" s="248"/>
      <c r="AA233" s="248"/>
      <c r="AB233" s="248"/>
      <c r="AC233" s="248"/>
      <c r="AD233" s="248" t="s">
        <v>422</v>
      </c>
      <c r="AE233" s="248"/>
      <c r="AF233" s="244"/>
      <c r="AG233" s="248"/>
      <c r="AH233" s="248"/>
      <c r="AI233" s="248"/>
      <c r="AJ233" s="248" t="s">
        <v>422</v>
      </c>
    </row>
    <row r="234" spans="1:36" hidden="1">
      <c r="A234" s="216" t="s">
        <v>1478</v>
      </c>
      <c r="B234" s="216" t="s">
        <v>1479</v>
      </c>
      <c r="C234" s="216" t="s">
        <v>55</v>
      </c>
      <c r="D234" s="216" t="s">
        <v>28</v>
      </c>
      <c r="E234" s="240" t="s">
        <v>1146</v>
      </c>
      <c r="F234" s="246" t="s">
        <v>1375</v>
      </c>
      <c r="G234" s="245" t="s">
        <v>1416</v>
      </c>
      <c r="H234" s="243" t="s">
        <v>1417</v>
      </c>
      <c r="I234" s="245">
        <v>74162</v>
      </c>
      <c r="J234" s="219">
        <v>2015</v>
      </c>
      <c r="K234" s="220">
        <v>10</v>
      </c>
      <c r="L234" s="220">
        <v>0</v>
      </c>
      <c r="M234" s="216" t="s">
        <v>439</v>
      </c>
      <c r="N234" s="216" t="s">
        <v>440</v>
      </c>
      <c r="O234" s="216" t="s">
        <v>36</v>
      </c>
      <c r="P234" s="216" t="s">
        <v>37</v>
      </c>
      <c r="Q234" s="220" t="s">
        <v>421</v>
      </c>
      <c r="R234" s="220" t="s">
        <v>38</v>
      </c>
      <c r="S234" s="221">
        <v>2025</v>
      </c>
      <c r="T234" s="216" t="s">
        <v>1315</v>
      </c>
      <c r="U234" s="240" t="s">
        <v>1328</v>
      </c>
      <c r="V234" s="245"/>
      <c r="W234" s="237">
        <v>246971.63009404388</v>
      </c>
      <c r="X234" s="247">
        <v>2</v>
      </c>
      <c r="Y234" s="248"/>
      <c r="Z234" s="248"/>
      <c r="AA234" s="248"/>
      <c r="AB234" s="248"/>
      <c r="AC234" s="248"/>
      <c r="AD234" s="248" t="s">
        <v>422</v>
      </c>
      <c r="AE234" s="248"/>
      <c r="AF234" s="244"/>
      <c r="AG234" s="248"/>
      <c r="AH234" s="248"/>
      <c r="AI234" s="248"/>
      <c r="AJ234" s="248" t="s">
        <v>422</v>
      </c>
    </row>
    <row r="235" spans="1:36" hidden="1">
      <c r="A235" s="216" t="s">
        <v>1478</v>
      </c>
      <c r="B235" s="216" t="s">
        <v>1479</v>
      </c>
      <c r="C235" s="216" t="s">
        <v>55</v>
      </c>
      <c r="D235" s="216" t="s">
        <v>28</v>
      </c>
      <c r="E235" s="240" t="s">
        <v>1146</v>
      </c>
      <c r="F235" s="246" t="s">
        <v>1375</v>
      </c>
      <c r="G235" s="245" t="s">
        <v>1414</v>
      </c>
      <c r="H235" s="243" t="s">
        <v>1418</v>
      </c>
      <c r="I235" s="245">
        <v>74211</v>
      </c>
      <c r="J235" s="219">
        <v>2015</v>
      </c>
      <c r="K235" s="220">
        <v>10</v>
      </c>
      <c r="L235" s="220">
        <v>0</v>
      </c>
      <c r="M235" s="216" t="s">
        <v>439</v>
      </c>
      <c r="N235" s="216" t="s">
        <v>440</v>
      </c>
      <c r="O235" s="216" t="s">
        <v>36</v>
      </c>
      <c r="P235" s="216" t="s">
        <v>37</v>
      </c>
      <c r="Q235" s="220" t="s">
        <v>421</v>
      </c>
      <c r="R235" s="220" t="s">
        <v>38</v>
      </c>
      <c r="S235" s="221">
        <v>2025</v>
      </c>
      <c r="T235" s="216" t="s">
        <v>1315</v>
      </c>
      <c r="U235" s="240" t="s">
        <v>1328</v>
      </c>
      <c r="V235" s="245"/>
      <c r="W235" s="237">
        <v>246971.63009404388</v>
      </c>
      <c r="X235" s="247">
        <v>2</v>
      </c>
      <c r="Y235" s="248"/>
      <c r="Z235" s="248"/>
      <c r="AA235" s="248"/>
      <c r="AB235" s="248"/>
      <c r="AC235" s="248"/>
      <c r="AD235" s="248" t="s">
        <v>422</v>
      </c>
      <c r="AE235" s="248"/>
      <c r="AF235" s="244"/>
      <c r="AG235" s="248"/>
      <c r="AH235" s="248"/>
      <c r="AI235" s="248"/>
      <c r="AJ235" s="248" t="s">
        <v>422</v>
      </c>
    </row>
    <row r="236" spans="1:36" hidden="1">
      <c r="A236" s="216" t="s">
        <v>762</v>
      </c>
      <c r="B236" s="216" t="s">
        <v>763</v>
      </c>
      <c r="C236" s="216" t="s">
        <v>55</v>
      </c>
      <c r="D236" s="216" t="s">
        <v>28</v>
      </c>
      <c r="E236" s="240" t="s">
        <v>1153</v>
      </c>
      <c r="F236" s="246" t="s">
        <v>1154</v>
      </c>
      <c r="G236" s="245" t="s">
        <v>1155</v>
      </c>
      <c r="H236" s="243" t="s">
        <v>1156</v>
      </c>
      <c r="I236" s="245">
        <v>75144</v>
      </c>
      <c r="J236" s="219">
        <v>2025</v>
      </c>
      <c r="K236" s="220">
        <v>10</v>
      </c>
      <c r="L236" s="220">
        <f t="shared" ref="L236:L241" si="10">K236-($B$9-J236)</f>
        <v>9</v>
      </c>
      <c r="M236" s="216" t="s">
        <v>439</v>
      </c>
      <c r="N236" s="216" t="s">
        <v>440</v>
      </c>
      <c r="O236" s="246" t="s">
        <v>36</v>
      </c>
      <c r="P236" s="216" t="s">
        <v>38</v>
      </c>
      <c r="Q236" s="220">
        <v>2027</v>
      </c>
      <c r="R236" s="220" t="s">
        <v>38</v>
      </c>
      <c r="S236" s="221">
        <v>2026</v>
      </c>
      <c r="T236" s="216" t="s">
        <v>1315</v>
      </c>
      <c r="U236" s="240" t="s">
        <v>1289</v>
      </c>
      <c r="V236" s="245"/>
      <c r="W236" s="237"/>
      <c r="X236" s="247">
        <v>2</v>
      </c>
      <c r="Y236" s="248"/>
      <c r="Z236" s="248"/>
      <c r="AA236" s="248"/>
      <c r="AB236" s="248" t="s">
        <v>422</v>
      </c>
      <c r="AC236" s="248"/>
      <c r="AD236" s="248"/>
      <c r="AE236" s="248"/>
      <c r="AF236" s="244"/>
      <c r="AG236" s="248"/>
      <c r="AH236" s="248" t="s">
        <v>422</v>
      </c>
      <c r="AI236" s="248"/>
      <c r="AJ236" s="221"/>
    </row>
    <row r="237" spans="1:36" hidden="1">
      <c r="A237" s="216" t="s">
        <v>760</v>
      </c>
      <c r="B237" s="216" t="s">
        <v>774</v>
      </c>
      <c r="C237" s="216" t="s">
        <v>55</v>
      </c>
      <c r="D237" s="216" t="s">
        <v>28</v>
      </c>
      <c r="E237" s="240" t="s">
        <v>1153</v>
      </c>
      <c r="F237" s="246" t="s">
        <v>1154</v>
      </c>
      <c r="G237" s="245" t="s">
        <v>1155</v>
      </c>
      <c r="H237" s="243" t="s">
        <v>1157</v>
      </c>
      <c r="I237" s="245">
        <v>75145</v>
      </c>
      <c r="J237" s="219">
        <v>2025</v>
      </c>
      <c r="K237" s="220">
        <v>10</v>
      </c>
      <c r="L237" s="220">
        <f t="shared" si="10"/>
        <v>9</v>
      </c>
      <c r="M237" s="216" t="s">
        <v>439</v>
      </c>
      <c r="N237" s="216" t="s">
        <v>440</v>
      </c>
      <c r="O237" s="246" t="s">
        <v>36</v>
      </c>
      <c r="P237" s="216" t="s">
        <v>38</v>
      </c>
      <c r="Q237" s="220">
        <v>2027</v>
      </c>
      <c r="R237" s="220" t="s">
        <v>38</v>
      </c>
      <c r="S237" s="221">
        <v>2026</v>
      </c>
      <c r="T237" s="216" t="s">
        <v>1315</v>
      </c>
      <c r="U237" s="240" t="s">
        <v>1289</v>
      </c>
      <c r="V237" s="245"/>
      <c r="W237" s="237"/>
      <c r="X237" s="247">
        <v>2</v>
      </c>
      <c r="Y237" s="248"/>
      <c r="Z237" s="248"/>
      <c r="AA237" s="248"/>
      <c r="AB237" s="248" t="s">
        <v>422</v>
      </c>
      <c r="AC237" s="248"/>
      <c r="AD237" s="248"/>
      <c r="AE237" s="248"/>
      <c r="AF237" s="244"/>
      <c r="AG237" s="248"/>
      <c r="AH237" s="248" t="s">
        <v>422</v>
      </c>
      <c r="AI237" s="248"/>
      <c r="AJ237" s="221"/>
    </row>
    <row r="238" spans="1:36" hidden="1">
      <c r="A238" s="242" t="s">
        <v>1307</v>
      </c>
      <c r="B238" s="216" t="s">
        <v>772</v>
      </c>
      <c r="C238" s="216" t="s">
        <v>55</v>
      </c>
      <c r="D238" s="216" t="s">
        <v>28</v>
      </c>
      <c r="E238" s="240" t="s">
        <v>1158</v>
      </c>
      <c r="F238" s="246" t="s">
        <v>989</v>
      </c>
      <c r="G238" s="245" t="s">
        <v>741</v>
      </c>
      <c r="H238" s="243" t="s">
        <v>1159</v>
      </c>
      <c r="I238" s="245">
        <v>75052</v>
      </c>
      <c r="J238" s="219">
        <v>2025</v>
      </c>
      <c r="K238" s="220">
        <v>10</v>
      </c>
      <c r="L238" s="220">
        <f t="shared" si="10"/>
        <v>9</v>
      </c>
      <c r="M238" s="216" t="s">
        <v>439</v>
      </c>
      <c r="N238" s="216" t="s">
        <v>440</v>
      </c>
      <c r="O238" s="246" t="s">
        <v>36</v>
      </c>
      <c r="P238" s="216" t="s">
        <v>38</v>
      </c>
      <c r="Q238" s="220">
        <v>2027</v>
      </c>
      <c r="R238" s="220" t="s">
        <v>38</v>
      </c>
      <c r="S238" s="221">
        <v>2026</v>
      </c>
      <c r="T238" s="216" t="s">
        <v>1315</v>
      </c>
      <c r="U238" s="240" t="s">
        <v>1290</v>
      </c>
      <c r="V238" s="245"/>
      <c r="W238" s="237"/>
      <c r="X238" s="247">
        <v>2</v>
      </c>
      <c r="Y238" s="248"/>
      <c r="Z238" s="248"/>
      <c r="AA238" s="248"/>
      <c r="AB238" s="248" t="s">
        <v>422</v>
      </c>
      <c r="AC238" s="248"/>
      <c r="AD238" s="248"/>
      <c r="AE238" s="248"/>
      <c r="AF238" s="244"/>
      <c r="AG238" s="248"/>
      <c r="AH238" s="248" t="s">
        <v>422</v>
      </c>
      <c r="AI238" s="248"/>
      <c r="AJ238" s="221"/>
    </row>
    <row r="239" spans="1:36" hidden="1">
      <c r="A239" s="216" t="s">
        <v>764</v>
      </c>
      <c r="B239" s="216" t="s">
        <v>765</v>
      </c>
      <c r="C239" s="216" t="s">
        <v>55</v>
      </c>
      <c r="D239" s="216" t="s">
        <v>28</v>
      </c>
      <c r="E239" s="240" t="s">
        <v>1158</v>
      </c>
      <c r="F239" s="246" t="s">
        <v>989</v>
      </c>
      <c r="G239" s="245" t="s">
        <v>741</v>
      </c>
      <c r="H239" s="243" t="s">
        <v>1160</v>
      </c>
      <c r="I239" s="245">
        <v>75055</v>
      </c>
      <c r="J239" s="219">
        <v>2025</v>
      </c>
      <c r="K239" s="220">
        <v>10</v>
      </c>
      <c r="L239" s="220">
        <f t="shared" si="10"/>
        <v>9</v>
      </c>
      <c r="M239" s="216" t="s">
        <v>439</v>
      </c>
      <c r="N239" s="216" t="s">
        <v>440</v>
      </c>
      <c r="O239" s="246" t="s">
        <v>36</v>
      </c>
      <c r="P239" s="216" t="s">
        <v>38</v>
      </c>
      <c r="Q239" s="220">
        <v>2027</v>
      </c>
      <c r="R239" s="220" t="s">
        <v>38</v>
      </c>
      <c r="S239" s="221">
        <v>2026</v>
      </c>
      <c r="T239" s="216" t="s">
        <v>1315</v>
      </c>
      <c r="U239" s="240" t="s">
        <v>1290</v>
      </c>
      <c r="V239" s="245"/>
      <c r="W239" s="237"/>
      <c r="X239" s="247">
        <v>2</v>
      </c>
      <c r="Y239" s="248"/>
      <c r="Z239" s="248"/>
      <c r="AA239" s="248"/>
      <c r="AB239" s="248" t="s">
        <v>422</v>
      </c>
      <c r="AC239" s="248"/>
      <c r="AD239" s="248"/>
      <c r="AE239" s="248"/>
      <c r="AF239" s="244"/>
      <c r="AG239" s="248"/>
      <c r="AH239" s="248" t="s">
        <v>422</v>
      </c>
      <c r="AI239" s="248"/>
      <c r="AJ239" s="221"/>
    </row>
    <row r="240" spans="1:36" hidden="1">
      <c r="A240" s="242" t="s">
        <v>1307</v>
      </c>
      <c r="B240" s="216" t="s">
        <v>769</v>
      </c>
      <c r="C240" s="216" t="s">
        <v>55</v>
      </c>
      <c r="D240" s="216" t="s">
        <v>28</v>
      </c>
      <c r="E240" s="240" t="s">
        <v>1158</v>
      </c>
      <c r="F240" s="246" t="s">
        <v>989</v>
      </c>
      <c r="G240" s="245" t="s">
        <v>741</v>
      </c>
      <c r="H240" s="243" t="s">
        <v>1161</v>
      </c>
      <c r="I240" s="245">
        <v>75053</v>
      </c>
      <c r="J240" s="219">
        <v>2025</v>
      </c>
      <c r="K240" s="220">
        <v>10</v>
      </c>
      <c r="L240" s="220">
        <f t="shared" si="10"/>
        <v>9</v>
      </c>
      <c r="M240" s="216" t="s">
        <v>439</v>
      </c>
      <c r="N240" s="216" t="s">
        <v>440</v>
      </c>
      <c r="O240" s="246" t="s">
        <v>36</v>
      </c>
      <c r="P240" s="216" t="s">
        <v>38</v>
      </c>
      <c r="Q240" s="220">
        <v>2027</v>
      </c>
      <c r="R240" s="220" t="s">
        <v>38</v>
      </c>
      <c r="S240" s="221">
        <v>2026</v>
      </c>
      <c r="T240" s="216" t="s">
        <v>1315</v>
      </c>
      <c r="U240" s="240" t="s">
        <v>1290</v>
      </c>
      <c r="V240" s="245"/>
      <c r="W240" s="237"/>
      <c r="X240" s="247">
        <v>2</v>
      </c>
      <c r="Y240" s="248"/>
      <c r="Z240" s="248"/>
      <c r="AA240" s="248"/>
      <c r="AB240" s="248" t="s">
        <v>422</v>
      </c>
      <c r="AC240" s="248"/>
      <c r="AD240" s="248"/>
      <c r="AE240" s="248"/>
      <c r="AF240" s="244"/>
      <c r="AG240" s="248"/>
      <c r="AH240" s="248" t="s">
        <v>422</v>
      </c>
      <c r="AI240" s="248"/>
      <c r="AJ240" s="221"/>
    </row>
    <row r="241" spans="1:36" hidden="1">
      <c r="A241" s="216" t="s">
        <v>764</v>
      </c>
      <c r="B241" s="216" t="s">
        <v>773</v>
      </c>
      <c r="C241" s="216" t="s">
        <v>55</v>
      </c>
      <c r="D241" s="216" t="s">
        <v>28</v>
      </c>
      <c r="E241" s="240" t="s">
        <v>1162</v>
      </c>
      <c r="F241" s="246" t="s">
        <v>989</v>
      </c>
      <c r="G241" s="245" t="s">
        <v>741</v>
      </c>
      <c r="H241" s="243" t="s">
        <v>1163</v>
      </c>
      <c r="I241" s="245">
        <v>75054</v>
      </c>
      <c r="J241" s="219">
        <v>2025</v>
      </c>
      <c r="K241" s="220">
        <v>10</v>
      </c>
      <c r="L241" s="220">
        <f t="shared" si="10"/>
        <v>9</v>
      </c>
      <c r="M241" s="216" t="s">
        <v>439</v>
      </c>
      <c r="N241" s="216" t="s">
        <v>440</v>
      </c>
      <c r="O241" s="246" t="s">
        <v>36</v>
      </c>
      <c r="P241" s="216" t="s">
        <v>38</v>
      </c>
      <c r="Q241" s="220">
        <v>2027</v>
      </c>
      <c r="R241" s="220" t="s">
        <v>38</v>
      </c>
      <c r="S241" s="221">
        <v>2026</v>
      </c>
      <c r="T241" s="216" t="s">
        <v>1315</v>
      </c>
      <c r="U241" s="240" t="s">
        <v>1290</v>
      </c>
      <c r="V241" s="245"/>
      <c r="W241" s="237"/>
      <c r="X241" s="247">
        <v>2</v>
      </c>
      <c r="Y241" s="248"/>
      <c r="Z241" s="248"/>
      <c r="AA241" s="248"/>
      <c r="AB241" s="248" t="s">
        <v>422</v>
      </c>
      <c r="AC241" s="248"/>
      <c r="AD241" s="248"/>
      <c r="AE241" s="248"/>
      <c r="AF241" s="244"/>
      <c r="AG241" s="248"/>
      <c r="AH241" s="248" t="s">
        <v>422</v>
      </c>
      <c r="AI241" s="248"/>
      <c r="AJ241" s="221"/>
    </row>
    <row r="242" spans="1:36" hidden="1">
      <c r="A242" s="216" t="s">
        <v>1478</v>
      </c>
      <c r="B242" s="216" t="s">
        <v>1479</v>
      </c>
      <c r="C242" s="216" t="s">
        <v>55</v>
      </c>
      <c r="D242" s="216" t="s">
        <v>28</v>
      </c>
      <c r="E242" s="240" t="s">
        <v>1483</v>
      </c>
      <c r="F242" s="246" t="s">
        <v>1386</v>
      </c>
      <c r="G242" s="245" t="s">
        <v>172</v>
      </c>
      <c r="H242" s="243" t="s">
        <v>1419</v>
      </c>
      <c r="I242" s="245">
        <v>74151</v>
      </c>
      <c r="J242" s="219">
        <v>2015</v>
      </c>
      <c r="K242" s="220">
        <v>10</v>
      </c>
      <c r="L242" s="220">
        <v>0</v>
      </c>
      <c r="M242" s="216" t="s">
        <v>439</v>
      </c>
      <c r="N242" s="216" t="s">
        <v>440</v>
      </c>
      <c r="O242" s="216" t="s">
        <v>36</v>
      </c>
      <c r="P242" s="216" t="s">
        <v>37</v>
      </c>
      <c r="Q242" s="220" t="s">
        <v>421</v>
      </c>
      <c r="R242" s="220" t="s">
        <v>38</v>
      </c>
      <c r="S242" s="221">
        <v>2025</v>
      </c>
      <c r="T242" s="216" t="s">
        <v>1315</v>
      </c>
      <c r="U242" s="240" t="s">
        <v>1328</v>
      </c>
      <c r="V242" s="245"/>
      <c r="W242" s="237">
        <v>246971.63009404388</v>
      </c>
      <c r="X242" s="247">
        <v>2</v>
      </c>
      <c r="Y242" s="248"/>
      <c r="Z242" s="248"/>
      <c r="AA242" s="248"/>
      <c r="AB242" s="248"/>
      <c r="AC242" s="248"/>
      <c r="AD242" s="248" t="s">
        <v>422</v>
      </c>
      <c r="AE242" s="248"/>
      <c r="AF242" s="244"/>
      <c r="AG242" s="248"/>
      <c r="AH242" s="248"/>
      <c r="AI242" s="248"/>
      <c r="AJ242" s="248" t="s">
        <v>422</v>
      </c>
    </row>
    <row r="243" spans="1:36" hidden="1">
      <c r="A243" s="216" t="s">
        <v>1478</v>
      </c>
      <c r="B243" s="216" t="s">
        <v>1479</v>
      </c>
      <c r="C243" s="216" t="s">
        <v>55</v>
      </c>
      <c r="D243" s="216" t="s">
        <v>28</v>
      </c>
      <c r="E243" s="240" t="s">
        <v>1483</v>
      </c>
      <c r="F243" s="246" t="s">
        <v>1420</v>
      </c>
      <c r="G243" s="245" t="s">
        <v>1421</v>
      </c>
      <c r="H243" s="243">
        <v>5021771200020</v>
      </c>
      <c r="I243" s="245">
        <v>74056</v>
      </c>
      <c r="J243" s="219">
        <v>2015</v>
      </c>
      <c r="K243" s="220">
        <v>10</v>
      </c>
      <c r="L243" s="220">
        <v>0</v>
      </c>
      <c r="M243" s="216" t="s">
        <v>439</v>
      </c>
      <c r="N243" s="216" t="s">
        <v>482</v>
      </c>
      <c r="O243" s="216" t="s">
        <v>36</v>
      </c>
      <c r="P243" s="216" t="s">
        <v>37</v>
      </c>
      <c r="Q243" s="220" t="s">
        <v>421</v>
      </c>
      <c r="R243" s="220" t="s">
        <v>38</v>
      </c>
      <c r="S243" s="221">
        <v>2025</v>
      </c>
      <c r="T243" s="216" t="s">
        <v>1315</v>
      </c>
      <c r="U243" s="240" t="s">
        <v>1328</v>
      </c>
      <c r="V243" s="245"/>
      <c r="W243" s="237">
        <v>246971.63009404388</v>
      </c>
      <c r="X243" s="247">
        <v>2</v>
      </c>
      <c r="Y243" s="248"/>
      <c r="Z243" s="248"/>
      <c r="AA243" s="248"/>
      <c r="AB243" s="248"/>
      <c r="AC243" s="248"/>
      <c r="AD243" s="248" t="s">
        <v>422</v>
      </c>
      <c r="AE243" s="248"/>
      <c r="AF243" s="244"/>
      <c r="AG243" s="248"/>
      <c r="AH243" s="248"/>
      <c r="AI243" s="248"/>
      <c r="AJ243" s="248" t="s">
        <v>422</v>
      </c>
    </row>
    <row r="244" spans="1:36" hidden="1">
      <c r="A244" s="216" t="s">
        <v>1478</v>
      </c>
      <c r="B244" s="216" t="s">
        <v>1479</v>
      </c>
      <c r="C244" s="216" t="s">
        <v>55</v>
      </c>
      <c r="D244" s="216" t="s">
        <v>28</v>
      </c>
      <c r="E244" s="240" t="s">
        <v>1483</v>
      </c>
      <c r="F244" s="246" t="s">
        <v>1359</v>
      </c>
      <c r="G244" s="245" t="s">
        <v>1422</v>
      </c>
      <c r="H244" s="243" t="s">
        <v>1423</v>
      </c>
      <c r="I244" s="245">
        <v>74058</v>
      </c>
      <c r="J244" s="219">
        <v>2015</v>
      </c>
      <c r="K244" s="220">
        <v>10</v>
      </c>
      <c r="L244" s="220">
        <v>0</v>
      </c>
      <c r="M244" s="216" t="s">
        <v>439</v>
      </c>
      <c r="N244" s="216" t="s">
        <v>482</v>
      </c>
      <c r="O244" s="216" t="s">
        <v>36</v>
      </c>
      <c r="P244" s="216" t="s">
        <v>37</v>
      </c>
      <c r="Q244" s="220" t="s">
        <v>421</v>
      </c>
      <c r="R244" s="220" t="s">
        <v>38</v>
      </c>
      <c r="S244" s="221">
        <v>2025</v>
      </c>
      <c r="T244" s="216" t="s">
        <v>1315</v>
      </c>
      <c r="U244" s="240" t="s">
        <v>1328</v>
      </c>
      <c r="V244" s="245"/>
      <c r="W244" s="237">
        <v>246971.63009404388</v>
      </c>
      <c r="X244" s="247">
        <v>2</v>
      </c>
      <c r="Y244" s="248"/>
      <c r="Z244" s="248"/>
      <c r="AA244" s="248"/>
      <c r="AB244" s="248"/>
      <c r="AC244" s="248"/>
      <c r="AD244" s="248" t="s">
        <v>422</v>
      </c>
      <c r="AE244" s="248"/>
      <c r="AF244" s="244"/>
      <c r="AG244" s="248"/>
      <c r="AH244" s="248"/>
      <c r="AI244" s="248"/>
      <c r="AJ244" s="248" t="s">
        <v>422</v>
      </c>
    </row>
    <row r="245" spans="1:36" hidden="1">
      <c r="A245" s="216" t="s">
        <v>1478</v>
      </c>
      <c r="B245" s="216" t="s">
        <v>1479</v>
      </c>
      <c r="C245" s="216" t="s">
        <v>55</v>
      </c>
      <c r="D245" s="216" t="s">
        <v>28</v>
      </c>
      <c r="E245" s="240" t="s">
        <v>1483</v>
      </c>
      <c r="F245" s="246" t="s">
        <v>1359</v>
      </c>
      <c r="G245" s="245" t="s">
        <v>1422</v>
      </c>
      <c r="H245" s="243" t="s">
        <v>1424</v>
      </c>
      <c r="I245" s="245">
        <v>74059</v>
      </c>
      <c r="J245" s="219">
        <v>2015</v>
      </c>
      <c r="K245" s="220">
        <v>10</v>
      </c>
      <c r="L245" s="220">
        <v>0</v>
      </c>
      <c r="M245" s="216" t="s">
        <v>439</v>
      </c>
      <c r="N245" s="216" t="s">
        <v>482</v>
      </c>
      <c r="O245" s="216" t="s">
        <v>36</v>
      </c>
      <c r="P245" s="216" t="s">
        <v>37</v>
      </c>
      <c r="Q245" s="220" t="s">
        <v>421</v>
      </c>
      <c r="R245" s="220" t="s">
        <v>38</v>
      </c>
      <c r="S245" s="221">
        <v>2025</v>
      </c>
      <c r="T245" s="216" t="s">
        <v>1315</v>
      </c>
      <c r="U245" s="240" t="s">
        <v>1328</v>
      </c>
      <c r="V245" s="245"/>
      <c r="W245" s="237">
        <v>246971.63009404388</v>
      </c>
      <c r="X245" s="247">
        <v>2</v>
      </c>
      <c r="Y245" s="248"/>
      <c r="Z245" s="248"/>
      <c r="AA245" s="248"/>
      <c r="AB245" s="248"/>
      <c r="AC245" s="248"/>
      <c r="AD245" s="248" t="s">
        <v>422</v>
      </c>
      <c r="AE245" s="248"/>
      <c r="AF245" s="244"/>
      <c r="AG245" s="248"/>
      <c r="AH245" s="248"/>
      <c r="AI245" s="248"/>
      <c r="AJ245" s="248" t="s">
        <v>422</v>
      </c>
    </row>
    <row r="246" spans="1:36" hidden="1">
      <c r="A246" s="216" t="s">
        <v>1478</v>
      </c>
      <c r="B246" s="216" t="s">
        <v>1479</v>
      </c>
      <c r="C246" s="216" t="s">
        <v>55</v>
      </c>
      <c r="D246" s="216" t="s">
        <v>28</v>
      </c>
      <c r="E246" s="240" t="s">
        <v>1483</v>
      </c>
      <c r="F246" s="246" t="s">
        <v>1392</v>
      </c>
      <c r="G246" s="245" t="s">
        <v>1395</v>
      </c>
      <c r="H246" s="243" t="s">
        <v>1425</v>
      </c>
      <c r="I246" s="245">
        <v>74160</v>
      </c>
      <c r="J246" s="219">
        <v>2015</v>
      </c>
      <c r="K246" s="220">
        <v>10</v>
      </c>
      <c r="L246" s="220">
        <v>0</v>
      </c>
      <c r="M246" s="216" t="s">
        <v>439</v>
      </c>
      <c r="N246" s="216" t="s">
        <v>440</v>
      </c>
      <c r="O246" s="216" t="s">
        <v>36</v>
      </c>
      <c r="P246" s="216" t="s">
        <v>37</v>
      </c>
      <c r="Q246" s="220" t="s">
        <v>421</v>
      </c>
      <c r="R246" s="220" t="s">
        <v>38</v>
      </c>
      <c r="S246" s="221">
        <v>2025</v>
      </c>
      <c r="T246" s="216" t="s">
        <v>1315</v>
      </c>
      <c r="U246" s="240" t="s">
        <v>1328</v>
      </c>
      <c r="V246" s="245"/>
      <c r="W246" s="237">
        <v>246971.63009404388</v>
      </c>
      <c r="X246" s="247">
        <v>2</v>
      </c>
      <c r="Y246" s="248"/>
      <c r="Z246" s="248"/>
      <c r="AA246" s="248"/>
      <c r="AB246" s="248"/>
      <c r="AC246" s="248"/>
      <c r="AD246" s="248" t="s">
        <v>422</v>
      </c>
      <c r="AE246" s="248"/>
      <c r="AF246" s="244"/>
      <c r="AG246" s="248"/>
      <c r="AH246" s="248"/>
      <c r="AI246" s="248"/>
      <c r="AJ246" s="248" t="s">
        <v>422</v>
      </c>
    </row>
    <row r="247" spans="1:36" hidden="1">
      <c r="A247" s="216" t="s">
        <v>1478</v>
      </c>
      <c r="B247" s="216" t="s">
        <v>1479</v>
      </c>
      <c r="C247" s="216" t="s">
        <v>55</v>
      </c>
      <c r="D247" s="216" t="s">
        <v>28</v>
      </c>
      <c r="E247" s="240" t="s">
        <v>1483</v>
      </c>
      <c r="F247" s="246" t="s">
        <v>742</v>
      </c>
      <c r="G247" s="245" t="s">
        <v>1426</v>
      </c>
      <c r="H247" s="243" t="s">
        <v>1427</v>
      </c>
      <c r="I247" s="245">
        <v>74203</v>
      </c>
      <c r="J247" s="219">
        <v>2015</v>
      </c>
      <c r="K247" s="220">
        <v>10</v>
      </c>
      <c r="L247" s="220">
        <v>0</v>
      </c>
      <c r="M247" s="216" t="s">
        <v>439</v>
      </c>
      <c r="N247" s="216" t="s">
        <v>440</v>
      </c>
      <c r="O247" s="216" t="s">
        <v>36</v>
      </c>
      <c r="P247" s="216" t="s">
        <v>37</v>
      </c>
      <c r="Q247" s="220" t="s">
        <v>421</v>
      </c>
      <c r="R247" s="220" t="s">
        <v>38</v>
      </c>
      <c r="S247" s="221">
        <v>2025</v>
      </c>
      <c r="T247" s="216" t="s">
        <v>1315</v>
      </c>
      <c r="U247" s="240" t="s">
        <v>1328</v>
      </c>
      <c r="V247" s="245"/>
      <c r="W247" s="237">
        <v>246971.63009404388</v>
      </c>
      <c r="X247" s="247">
        <v>2</v>
      </c>
      <c r="Y247" s="248"/>
      <c r="Z247" s="248"/>
      <c r="AA247" s="248"/>
      <c r="AB247" s="248"/>
      <c r="AC247" s="248"/>
      <c r="AD247" s="248" t="s">
        <v>422</v>
      </c>
      <c r="AE247" s="248"/>
      <c r="AF247" s="244"/>
      <c r="AG247" s="248"/>
      <c r="AH247" s="248"/>
      <c r="AI247" s="248"/>
      <c r="AJ247" s="248" t="s">
        <v>422</v>
      </c>
    </row>
    <row r="248" spans="1:36" hidden="1">
      <c r="A248" s="216" t="s">
        <v>1478</v>
      </c>
      <c r="B248" s="216" t="s">
        <v>1479</v>
      </c>
      <c r="C248" s="216" t="s">
        <v>55</v>
      </c>
      <c r="D248" s="216" t="s">
        <v>28</v>
      </c>
      <c r="E248" s="240" t="s">
        <v>1483</v>
      </c>
      <c r="F248" s="246" t="s">
        <v>742</v>
      </c>
      <c r="G248" s="245" t="s">
        <v>1426</v>
      </c>
      <c r="H248" s="243" t="s">
        <v>1428</v>
      </c>
      <c r="I248" s="245">
        <v>74204</v>
      </c>
      <c r="J248" s="219">
        <v>2015</v>
      </c>
      <c r="K248" s="220">
        <v>10</v>
      </c>
      <c r="L248" s="220">
        <v>0</v>
      </c>
      <c r="M248" s="216" t="s">
        <v>439</v>
      </c>
      <c r="N248" s="216" t="s">
        <v>440</v>
      </c>
      <c r="O248" s="246" t="s">
        <v>36</v>
      </c>
      <c r="P248" s="216" t="s">
        <v>37</v>
      </c>
      <c r="Q248" s="220" t="s">
        <v>421</v>
      </c>
      <c r="R248" s="220" t="s">
        <v>38</v>
      </c>
      <c r="S248" s="221">
        <v>2025</v>
      </c>
      <c r="T248" s="216" t="s">
        <v>1315</v>
      </c>
      <c r="U248" s="240" t="s">
        <v>1328</v>
      </c>
      <c r="V248" s="245"/>
      <c r="W248" s="237">
        <v>246971.63009404388</v>
      </c>
      <c r="X248" s="247">
        <v>2</v>
      </c>
      <c r="Y248" s="248"/>
      <c r="Z248" s="248"/>
      <c r="AA248" s="248"/>
      <c r="AB248" s="248"/>
      <c r="AC248" s="248"/>
      <c r="AD248" s="248" t="s">
        <v>422</v>
      </c>
      <c r="AE248" s="248"/>
      <c r="AF248" s="244"/>
      <c r="AG248" s="248"/>
      <c r="AH248" s="248"/>
      <c r="AI248" s="248"/>
      <c r="AJ248" s="248" t="s">
        <v>422</v>
      </c>
    </row>
    <row r="249" spans="1:36" hidden="1">
      <c r="A249" s="216" t="s">
        <v>1478</v>
      </c>
      <c r="B249" s="216" t="s">
        <v>1479</v>
      </c>
      <c r="C249" s="216" t="s">
        <v>55</v>
      </c>
      <c r="D249" s="216" t="s">
        <v>28</v>
      </c>
      <c r="E249" s="240" t="s">
        <v>1483</v>
      </c>
      <c r="F249" s="246" t="s">
        <v>742</v>
      </c>
      <c r="G249" s="245" t="s">
        <v>1426</v>
      </c>
      <c r="H249" s="243" t="s">
        <v>1429</v>
      </c>
      <c r="I249" s="245">
        <v>74212</v>
      </c>
      <c r="J249" s="219">
        <v>2015</v>
      </c>
      <c r="K249" s="220">
        <v>10</v>
      </c>
      <c r="L249" s="220">
        <v>0</v>
      </c>
      <c r="M249" s="216" t="s">
        <v>439</v>
      </c>
      <c r="N249" s="216" t="s">
        <v>440</v>
      </c>
      <c r="O249" s="246" t="s">
        <v>36</v>
      </c>
      <c r="P249" s="216" t="s">
        <v>37</v>
      </c>
      <c r="Q249" s="220" t="s">
        <v>421</v>
      </c>
      <c r="R249" s="220" t="s">
        <v>38</v>
      </c>
      <c r="S249" s="221">
        <v>2025</v>
      </c>
      <c r="T249" s="216" t="s">
        <v>1315</v>
      </c>
      <c r="U249" s="240" t="s">
        <v>1328</v>
      </c>
      <c r="V249" s="245"/>
      <c r="W249" s="237">
        <v>246971.63009404388</v>
      </c>
      <c r="X249" s="247">
        <v>2</v>
      </c>
      <c r="Y249" s="248"/>
      <c r="Z249" s="248"/>
      <c r="AA249" s="248"/>
      <c r="AB249" s="248"/>
      <c r="AC249" s="248"/>
      <c r="AD249" s="248" t="s">
        <v>422</v>
      </c>
      <c r="AE249" s="248"/>
      <c r="AF249" s="244"/>
      <c r="AG249" s="248"/>
      <c r="AH249" s="248"/>
      <c r="AI249" s="248"/>
      <c r="AJ249" s="248" t="s">
        <v>422</v>
      </c>
    </row>
    <row r="250" spans="1:36" hidden="1">
      <c r="A250" s="216" t="s">
        <v>1478</v>
      </c>
      <c r="B250" s="216" t="s">
        <v>1479</v>
      </c>
      <c r="C250" s="216" t="s">
        <v>55</v>
      </c>
      <c r="D250" s="216" t="s">
        <v>28</v>
      </c>
      <c r="E250" s="240" t="s">
        <v>1483</v>
      </c>
      <c r="F250" s="246" t="s">
        <v>1386</v>
      </c>
      <c r="G250" s="245" t="s">
        <v>297</v>
      </c>
      <c r="H250" s="243" t="s">
        <v>1430</v>
      </c>
      <c r="I250" s="245"/>
      <c r="J250" s="219">
        <v>2015</v>
      </c>
      <c r="K250" s="220">
        <v>10</v>
      </c>
      <c r="L250" s="220">
        <v>0</v>
      </c>
      <c r="M250" s="216" t="s">
        <v>439</v>
      </c>
      <c r="N250" s="216" t="s">
        <v>440</v>
      </c>
      <c r="O250" s="246" t="s">
        <v>36</v>
      </c>
      <c r="P250" s="216" t="s">
        <v>37</v>
      </c>
      <c r="Q250" s="220" t="s">
        <v>421</v>
      </c>
      <c r="R250" s="220" t="s">
        <v>38</v>
      </c>
      <c r="S250" s="221">
        <v>2025</v>
      </c>
      <c r="T250" s="216" t="s">
        <v>1315</v>
      </c>
      <c r="U250" s="240" t="s">
        <v>1328</v>
      </c>
      <c r="V250" s="245"/>
      <c r="W250" s="237">
        <v>246971.63009404388</v>
      </c>
      <c r="X250" s="247">
        <v>2</v>
      </c>
      <c r="Y250" s="248"/>
      <c r="Z250" s="248"/>
      <c r="AA250" s="248"/>
      <c r="AB250" s="248"/>
      <c r="AC250" s="248"/>
      <c r="AD250" s="248" t="s">
        <v>422</v>
      </c>
      <c r="AE250" s="248"/>
      <c r="AF250" s="244"/>
      <c r="AG250" s="248"/>
      <c r="AH250" s="248"/>
      <c r="AI250" s="248"/>
      <c r="AJ250" s="248" t="s">
        <v>422</v>
      </c>
    </row>
    <row r="251" spans="1:36" hidden="1">
      <c r="A251" s="216" t="s">
        <v>1478</v>
      </c>
      <c r="B251" s="216" t="s">
        <v>1479</v>
      </c>
      <c r="C251" s="216" t="s">
        <v>55</v>
      </c>
      <c r="D251" s="216" t="s">
        <v>28</v>
      </c>
      <c r="E251" s="240" t="s">
        <v>1483</v>
      </c>
      <c r="F251" s="246" t="s">
        <v>1386</v>
      </c>
      <c r="G251" s="245" t="s">
        <v>741</v>
      </c>
      <c r="H251" s="243" t="s">
        <v>1431</v>
      </c>
      <c r="I251" s="245">
        <v>74060</v>
      </c>
      <c r="J251" s="219">
        <v>2015</v>
      </c>
      <c r="K251" s="220">
        <v>10</v>
      </c>
      <c r="L251" s="220">
        <v>0</v>
      </c>
      <c r="M251" s="216" t="s">
        <v>439</v>
      </c>
      <c r="N251" s="216" t="s">
        <v>440</v>
      </c>
      <c r="O251" s="246" t="s">
        <v>36</v>
      </c>
      <c r="P251" s="216" t="s">
        <v>37</v>
      </c>
      <c r="Q251" s="220" t="s">
        <v>421</v>
      </c>
      <c r="R251" s="220" t="s">
        <v>38</v>
      </c>
      <c r="S251" s="221">
        <v>2025</v>
      </c>
      <c r="T251" s="216" t="s">
        <v>1315</v>
      </c>
      <c r="U251" s="240" t="s">
        <v>1328</v>
      </c>
      <c r="V251" s="245"/>
      <c r="W251" s="237">
        <v>140953.44827586206</v>
      </c>
      <c r="X251" s="247">
        <v>2</v>
      </c>
      <c r="Y251" s="248"/>
      <c r="Z251" s="248"/>
      <c r="AA251" s="248"/>
      <c r="AB251" s="248"/>
      <c r="AC251" s="248"/>
      <c r="AD251" s="248" t="s">
        <v>422</v>
      </c>
      <c r="AE251" s="248"/>
      <c r="AF251" s="244"/>
      <c r="AG251" s="248"/>
      <c r="AH251" s="248"/>
      <c r="AI251" s="248"/>
      <c r="AJ251" s="248" t="s">
        <v>422</v>
      </c>
    </row>
    <row r="252" spans="1:36" hidden="1">
      <c r="A252" s="216" t="s">
        <v>762</v>
      </c>
      <c r="B252" s="216" t="s">
        <v>763</v>
      </c>
      <c r="C252" s="216" t="s">
        <v>55</v>
      </c>
      <c r="D252" s="216" t="s">
        <v>28</v>
      </c>
      <c r="E252" s="240" t="s">
        <v>1164</v>
      </c>
      <c r="F252" s="246" t="s">
        <v>1154</v>
      </c>
      <c r="G252" s="245" t="s">
        <v>1155</v>
      </c>
      <c r="H252" s="243" t="s">
        <v>1165</v>
      </c>
      <c r="I252" s="245">
        <v>75143</v>
      </c>
      <c r="J252" s="219">
        <v>2025</v>
      </c>
      <c r="K252" s="220">
        <v>10</v>
      </c>
      <c r="L252" s="220">
        <f t="shared" ref="L252:L279" si="11">K252-($B$9-J252)</f>
        <v>9</v>
      </c>
      <c r="M252" s="216" t="s">
        <v>439</v>
      </c>
      <c r="N252" s="216" t="s">
        <v>440</v>
      </c>
      <c r="O252" s="246" t="s">
        <v>36</v>
      </c>
      <c r="P252" s="216" t="s">
        <v>38</v>
      </c>
      <c r="Q252" s="220">
        <v>2027</v>
      </c>
      <c r="R252" s="220" t="s">
        <v>38</v>
      </c>
      <c r="S252" s="221">
        <v>2026</v>
      </c>
      <c r="T252" s="216" t="s">
        <v>1315</v>
      </c>
      <c r="U252" s="240" t="s">
        <v>1289</v>
      </c>
      <c r="V252" s="245"/>
      <c r="W252" s="237"/>
      <c r="X252" s="247">
        <v>2</v>
      </c>
      <c r="Y252" s="248"/>
      <c r="Z252" s="248"/>
      <c r="AA252" s="248"/>
      <c r="AB252" s="248" t="s">
        <v>422</v>
      </c>
      <c r="AC252" s="248"/>
      <c r="AD252" s="248"/>
      <c r="AE252" s="248"/>
      <c r="AF252" s="244"/>
      <c r="AG252" s="248"/>
      <c r="AH252" s="248" t="s">
        <v>422</v>
      </c>
      <c r="AI252" s="248"/>
      <c r="AJ252" s="221"/>
    </row>
    <row r="253" spans="1:36" hidden="1">
      <c r="A253" s="242" t="s">
        <v>1307</v>
      </c>
      <c r="B253" s="216" t="s">
        <v>793</v>
      </c>
      <c r="C253" s="216" t="s">
        <v>55</v>
      </c>
      <c r="D253" s="216" t="s">
        <v>28</v>
      </c>
      <c r="E253" s="240" t="s">
        <v>1164</v>
      </c>
      <c r="F253" s="246" t="s">
        <v>1154</v>
      </c>
      <c r="G253" s="245" t="s">
        <v>1155</v>
      </c>
      <c r="H253" s="243" t="s">
        <v>1166</v>
      </c>
      <c r="I253" s="245">
        <v>75147</v>
      </c>
      <c r="J253" s="219">
        <v>2025</v>
      </c>
      <c r="K253" s="220">
        <v>10</v>
      </c>
      <c r="L253" s="220">
        <f t="shared" si="11"/>
        <v>9</v>
      </c>
      <c r="M253" s="216" t="s">
        <v>439</v>
      </c>
      <c r="N253" s="216" t="s">
        <v>440</v>
      </c>
      <c r="O253" s="246" t="s">
        <v>36</v>
      </c>
      <c r="P253" s="216" t="s">
        <v>38</v>
      </c>
      <c r="Q253" s="220">
        <v>2027</v>
      </c>
      <c r="R253" s="220" t="s">
        <v>38</v>
      </c>
      <c r="S253" s="221">
        <v>2026</v>
      </c>
      <c r="T253" s="216" t="s">
        <v>1315</v>
      </c>
      <c r="U253" s="240" t="s">
        <v>1289</v>
      </c>
      <c r="V253" s="245"/>
      <c r="W253" s="237"/>
      <c r="X253" s="247">
        <v>2</v>
      </c>
      <c r="Y253" s="248"/>
      <c r="Z253" s="248"/>
      <c r="AA253" s="248"/>
      <c r="AB253" s="248" t="s">
        <v>422</v>
      </c>
      <c r="AC253" s="248"/>
      <c r="AD253" s="248"/>
      <c r="AE253" s="248"/>
      <c r="AF253" s="244"/>
      <c r="AG253" s="248"/>
      <c r="AH253" s="248" t="s">
        <v>422</v>
      </c>
      <c r="AI253" s="248"/>
      <c r="AJ253" s="221"/>
    </row>
    <row r="254" spans="1:36" hidden="1">
      <c r="A254" s="216" t="s">
        <v>752</v>
      </c>
      <c r="B254" s="216" t="s">
        <v>787</v>
      </c>
      <c r="C254" s="216" t="s">
        <v>55</v>
      </c>
      <c r="D254" s="216" t="s">
        <v>28</v>
      </c>
      <c r="E254" s="240" t="s">
        <v>1164</v>
      </c>
      <c r="F254" s="246" t="s">
        <v>1154</v>
      </c>
      <c r="G254" s="245" t="s">
        <v>1155</v>
      </c>
      <c r="H254" s="243" t="s">
        <v>1167</v>
      </c>
      <c r="I254" s="245">
        <v>75139</v>
      </c>
      <c r="J254" s="219">
        <v>2025</v>
      </c>
      <c r="K254" s="220">
        <v>10</v>
      </c>
      <c r="L254" s="220">
        <f t="shared" si="11"/>
        <v>9</v>
      </c>
      <c r="M254" s="216" t="s">
        <v>439</v>
      </c>
      <c r="N254" s="216" t="s">
        <v>440</v>
      </c>
      <c r="O254" s="246" t="s">
        <v>36</v>
      </c>
      <c r="P254" s="216" t="s">
        <v>38</v>
      </c>
      <c r="Q254" s="220">
        <v>2027</v>
      </c>
      <c r="R254" s="220" t="s">
        <v>38</v>
      </c>
      <c r="S254" s="221">
        <v>2026</v>
      </c>
      <c r="T254" s="216" t="s">
        <v>1315</v>
      </c>
      <c r="U254" s="240" t="s">
        <v>1289</v>
      </c>
      <c r="V254" s="245"/>
      <c r="W254" s="237"/>
      <c r="X254" s="247">
        <v>2</v>
      </c>
      <c r="Y254" s="248"/>
      <c r="Z254" s="248"/>
      <c r="AA254" s="248"/>
      <c r="AB254" s="248" t="s">
        <v>422</v>
      </c>
      <c r="AC254" s="248"/>
      <c r="AD254" s="248"/>
      <c r="AE254" s="248"/>
      <c r="AF254" s="244"/>
      <c r="AG254" s="248"/>
      <c r="AH254" s="248" t="s">
        <v>422</v>
      </c>
      <c r="AI254" s="248"/>
      <c r="AJ254" s="221"/>
    </row>
    <row r="255" spans="1:36" hidden="1">
      <c r="A255" s="242" t="s">
        <v>1307</v>
      </c>
      <c r="B255" s="216" t="s">
        <v>772</v>
      </c>
      <c r="C255" s="216" t="s">
        <v>55</v>
      </c>
      <c r="D255" s="216" t="s">
        <v>28</v>
      </c>
      <c r="E255" s="240" t="s">
        <v>1164</v>
      </c>
      <c r="F255" s="246" t="s">
        <v>1154</v>
      </c>
      <c r="G255" s="245" t="s">
        <v>1155</v>
      </c>
      <c r="H255" s="243" t="s">
        <v>1168</v>
      </c>
      <c r="I255" s="245">
        <v>75148</v>
      </c>
      <c r="J255" s="219">
        <v>2025</v>
      </c>
      <c r="K255" s="220">
        <v>10</v>
      </c>
      <c r="L255" s="220">
        <f t="shared" si="11"/>
        <v>9</v>
      </c>
      <c r="M255" s="216" t="s">
        <v>439</v>
      </c>
      <c r="N255" s="216" t="s">
        <v>440</v>
      </c>
      <c r="O255" s="246" t="s">
        <v>36</v>
      </c>
      <c r="P255" s="216" t="s">
        <v>38</v>
      </c>
      <c r="Q255" s="220">
        <v>2027</v>
      </c>
      <c r="R255" s="220" t="s">
        <v>38</v>
      </c>
      <c r="S255" s="221">
        <v>2026</v>
      </c>
      <c r="T255" s="216" t="s">
        <v>1315</v>
      </c>
      <c r="U255" s="240" t="s">
        <v>1289</v>
      </c>
      <c r="V255" s="245"/>
      <c r="W255" s="237"/>
      <c r="X255" s="247">
        <v>2</v>
      </c>
      <c r="Y255" s="248"/>
      <c r="Z255" s="248"/>
      <c r="AA255" s="248"/>
      <c r="AB255" s="248" t="s">
        <v>422</v>
      </c>
      <c r="AC255" s="248"/>
      <c r="AD255" s="248"/>
      <c r="AE255" s="248"/>
      <c r="AF255" s="244"/>
      <c r="AG255" s="248"/>
      <c r="AH255" s="248" t="s">
        <v>422</v>
      </c>
      <c r="AI255" s="248"/>
      <c r="AJ255" s="221"/>
    </row>
    <row r="256" spans="1:36" hidden="1">
      <c r="A256" s="242" t="s">
        <v>1307</v>
      </c>
      <c r="B256" s="216" t="s">
        <v>772</v>
      </c>
      <c r="C256" s="216" t="s">
        <v>55</v>
      </c>
      <c r="D256" s="216" t="s">
        <v>28</v>
      </c>
      <c r="E256" s="240" t="s">
        <v>1164</v>
      </c>
      <c r="F256" s="246" t="s">
        <v>1154</v>
      </c>
      <c r="G256" s="245" t="s">
        <v>1155</v>
      </c>
      <c r="H256" s="243" t="s">
        <v>1169</v>
      </c>
      <c r="I256" s="245">
        <v>75149</v>
      </c>
      <c r="J256" s="219">
        <v>2025</v>
      </c>
      <c r="K256" s="220">
        <v>10</v>
      </c>
      <c r="L256" s="220">
        <f t="shared" si="11"/>
        <v>9</v>
      </c>
      <c r="M256" s="216" t="s">
        <v>439</v>
      </c>
      <c r="N256" s="216" t="s">
        <v>440</v>
      </c>
      <c r="O256" s="246" t="s">
        <v>36</v>
      </c>
      <c r="P256" s="216" t="s">
        <v>38</v>
      </c>
      <c r="Q256" s="220">
        <v>2027</v>
      </c>
      <c r="R256" s="220" t="s">
        <v>38</v>
      </c>
      <c r="S256" s="221">
        <v>2026</v>
      </c>
      <c r="T256" s="216" t="s">
        <v>1315</v>
      </c>
      <c r="U256" s="240" t="s">
        <v>1289</v>
      </c>
      <c r="V256" s="245"/>
      <c r="W256" s="237"/>
      <c r="X256" s="247">
        <v>2</v>
      </c>
      <c r="Y256" s="248"/>
      <c r="Z256" s="248"/>
      <c r="AA256" s="248"/>
      <c r="AB256" s="248" t="s">
        <v>422</v>
      </c>
      <c r="AC256" s="248"/>
      <c r="AD256" s="248"/>
      <c r="AE256" s="248"/>
      <c r="AF256" s="244"/>
      <c r="AG256" s="248"/>
      <c r="AH256" s="248" t="s">
        <v>422</v>
      </c>
      <c r="AI256" s="248"/>
      <c r="AJ256" s="221"/>
    </row>
    <row r="257" spans="1:36" hidden="1">
      <c r="A257" s="242" t="s">
        <v>1307</v>
      </c>
      <c r="B257" s="216" t="s">
        <v>797</v>
      </c>
      <c r="C257" s="216" t="s">
        <v>55</v>
      </c>
      <c r="D257" s="216" t="s">
        <v>28</v>
      </c>
      <c r="E257" s="240" t="s">
        <v>1164</v>
      </c>
      <c r="F257" s="246" t="s">
        <v>1154</v>
      </c>
      <c r="G257" s="245" t="s">
        <v>1155</v>
      </c>
      <c r="H257" s="243" t="s">
        <v>1170</v>
      </c>
      <c r="I257" s="245">
        <v>75151</v>
      </c>
      <c r="J257" s="219">
        <v>2025</v>
      </c>
      <c r="K257" s="220">
        <v>10</v>
      </c>
      <c r="L257" s="220">
        <f t="shared" si="11"/>
        <v>9</v>
      </c>
      <c r="M257" s="216" t="s">
        <v>439</v>
      </c>
      <c r="N257" s="216" t="s">
        <v>440</v>
      </c>
      <c r="O257" s="246" t="s">
        <v>36</v>
      </c>
      <c r="P257" s="216" t="s">
        <v>38</v>
      </c>
      <c r="Q257" s="220">
        <v>2027</v>
      </c>
      <c r="R257" s="220" t="s">
        <v>38</v>
      </c>
      <c r="S257" s="221">
        <v>2026</v>
      </c>
      <c r="T257" s="216" t="s">
        <v>1315</v>
      </c>
      <c r="U257" s="240" t="s">
        <v>1289</v>
      </c>
      <c r="V257" s="245"/>
      <c r="W257" s="237"/>
      <c r="X257" s="247">
        <v>2</v>
      </c>
      <c r="Y257" s="248"/>
      <c r="Z257" s="248"/>
      <c r="AA257" s="248"/>
      <c r="AB257" s="248" t="s">
        <v>422</v>
      </c>
      <c r="AC257" s="248"/>
      <c r="AD257" s="248"/>
      <c r="AE257" s="248"/>
      <c r="AF257" s="244"/>
      <c r="AG257" s="248"/>
      <c r="AH257" s="248" t="s">
        <v>422</v>
      </c>
      <c r="AI257" s="248"/>
      <c r="AJ257" s="221"/>
    </row>
    <row r="258" spans="1:36" hidden="1">
      <c r="A258" s="216" t="s">
        <v>760</v>
      </c>
      <c r="B258" s="216" t="s">
        <v>779</v>
      </c>
      <c r="C258" s="216" t="s">
        <v>55</v>
      </c>
      <c r="D258" s="216" t="s">
        <v>28</v>
      </c>
      <c r="E258" s="240" t="s">
        <v>1164</v>
      </c>
      <c r="F258" s="246" t="s">
        <v>1154</v>
      </c>
      <c r="G258" s="245" t="s">
        <v>1155</v>
      </c>
      <c r="H258" s="243" t="s">
        <v>1171</v>
      </c>
      <c r="I258" s="245">
        <v>75146</v>
      </c>
      <c r="J258" s="219">
        <v>2025</v>
      </c>
      <c r="K258" s="220">
        <v>10</v>
      </c>
      <c r="L258" s="220">
        <f t="shared" si="11"/>
        <v>9</v>
      </c>
      <c r="M258" s="216" t="s">
        <v>439</v>
      </c>
      <c r="N258" s="216" t="s">
        <v>440</v>
      </c>
      <c r="O258" s="246" t="s">
        <v>36</v>
      </c>
      <c r="P258" s="216" t="s">
        <v>38</v>
      </c>
      <c r="Q258" s="220">
        <v>2027</v>
      </c>
      <c r="R258" s="220" t="s">
        <v>38</v>
      </c>
      <c r="S258" s="221">
        <v>2026</v>
      </c>
      <c r="T258" s="216" t="s">
        <v>1315</v>
      </c>
      <c r="U258" s="240" t="s">
        <v>1289</v>
      </c>
      <c r="V258" s="245"/>
      <c r="W258" s="237"/>
      <c r="X258" s="247">
        <v>2</v>
      </c>
      <c r="Y258" s="248"/>
      <c r="Z258" s="248"/>
      <c r="AA258" s="248"/>
      <c r="AB258" s="248" t="s">
        <v>422</v>
      </c>
      <c r="AC258" s="248"/>
      <c r="AD258" s="248"/>
      <c r="AE258" s="248"/>
      <c r="AF258" s="244"/>
      <c r="AG258" s="248"/>
      <c r="AH258" s="248" t="s">
        <v>422</v>
      </c>
      <c r="AI258" s="248"/>
      <c r="AJ258" s="221"/>
    </row>
    <row r="259" spans="1:36" hidden="1">
      <c r="A259" s="242" t="s">
        <v>1307</v>
      </c>
      <c r="B259" s="216" t="s">
        <v>798</v>
      </c>
      <c r="C259" s="216" t="s">
        <v>55</v>
      </c>
      <c r="D259" s="216" t="s">
        <v>28</v>
      </c>
      <c r="E259" s="240" t="s">
        <v>1164</v>
      </c>
      <c r="F259" s="246" t="s">
        <v>1154</v>
      </c>
      <c r="G259" s="245" t="s">
        <v>1155</v>
      </c>
      <c r="H259" s="243" t="s">
        <v>1172</v>
      </c>
      <c r="I259" s="245">
        <v>75150</v>
      </c>
      <c r="J259" s="219">
        <v>2025</v>
      </c>
      <c r="K259" s="220">
        <v>10</v>
      </c>
      <c r="L259" s="220">
        <f t="shared" si="11"/>
        <v>9</v>
      </c>
      <c r="M259" s="216" t="s">
        <v>439</v>
      </c>
      <c r="N259" s="216" t="s">
        <v>440</v>
      </c>
      <c r="O259" s="246" t="s">
        <v>36</v>
      </c>
      <c r="P259" s="216" t="s">
        <v>38</v>
      </c>
      <c r="Q259" s="220">
        <v>2027</v>
      </c>
      <c r="R259" s="220" t="s">
        <v>38</v>
      </c>
      <c r="S259" s="221">
        <v>2026</v>
      </c>
      <c r="T259" s="216" t="s">
        <v>1315</v>
      </c>
      <c r="U259" s="240" t="s">
        <v>1289</v>
      </c>
      <c r="V259" s="245"/>
      <c r="W259" s="237"/>
      <c r="X259" s="247">
        <v>2</v>
      </c>
      <c r="Y259" s="248"/>
      <c r="Z259" s="248"/>
      <c r="AA259" s="248"/>
      <c r="AB259" s="248" t="s">
        <v>422</v>
      </c>
      <c r="AC259" s="248"/>
      <c r="AD259" s="248"/>
      <c r="AE259" s="248"/>
      <c r="AF259" s="244"/>
      <c r="AG259" s="248"/>
      <c r="AH259" s="248" t="s">
        <v>422</v>
      </c>
      <c r="AI259" s="248"/>
      <c r="AJ259" s="221"/>
    </row>
    <row r="260" spans="1:36" hidden="1">
      <c r="A260" s="242" t="s">
        <v>1307</v>
      </c>
      <c r="B260" s="216" t="s">
        <v>814</v>
      </c>
      <c r="C260" s="216" t="s">
        <v>55</v>
      </c>
      <c r="D260" s="216" t="s">
        <v>28</v>
      </c>
      <c r="E260" s="240" t="s">
        <v>1164</v>
      </c>
      <c r="F260" s="246" t="s">
        <v>1154</v>
      </c>
      <c r="G260" s="245" t="s">
        <v>1155</v>
      </c>
      <c r="H260" s="243" t="s">
        <v>1173</v>
      </c>
      <c r="I260" s="245">
        <v>75152</v>
      </c>
      <c r="J260" s="219">
        <v>2025</v>
      </c>
      <c r="K260" s="220">
        <v>10</v>
      </c>
      <c r="L260" s="220">
        <f t="shared" si="11"/>
        <v>9</v>
      </c>
      <c r="M260" s="216" t="s">
        <v>439</v>
      </c>
      <c r="N260" s="216" t="s">
        <v>440</v>
      </c>
      <c r="O260" s="246" t="s">
        <v>36</v>
      </c>
      <c r="P260" s="216" t="s">
        <v>38</v>
      </c>
      <c r="Q260" s="220">
        <v>2027</v>
      </c>
      <c r="R260" s="220" t="s">
        <v>38</v>
      </c>
      <c r="S260" s="221">
        <v>2026</v>
      </c>
      <c r="T260" s="216" t="s">
        <v>1315</v>
      </c>
      <c r="U260" s="240" t="s">
        <v>1289</v>
      </c>
      <c r="V260" s="245"/>
      <c r="W260" s="237"/>
      <c r="X260" s="247">
        <v>2</v>
      </c>
      <c r="Y260" s="248"/>
      <c r="Z260" s="248"/>
      <c r="AA260" s="248"/>
      <c r="AB260" s="248" t="s">
        <v>422</v>
      </c>
      <c r="AC260" s="248"/>
      <c r="AD260" s="248"/>
      <c r="AE260" s="248"/>
      <c r="AF260" s="244"/>
      <c r="AG260" s="248"/>
      <c r="AH260" s="248" t="s">
        <v>422</v>
      </c>
      <c r="AI260" s="248"/>
      <c r="AJ260" s="221"/>
    </row>
    <row r="261" spans="1:36" hidden="1">
      <c r="A261" s="216" t="s">
        <v>764</v>
      </c>
      <c r="B261" s="216" t="s">
        <v>766</v>
      </c>
      <c r="C261" s="216" t="s">
        <v>55</v>
      </c>
      <c r="D261" s="216" t="s">
        <v>28</v>
      </c>
      <c r="E261" s="240" t="s">
        <v>1164</v>
      </c>
      <c r="F261" s="246" t="s">
        <v>1154</v>
      </c>
      <c r="G261" s="245" t="s">
        <v>1155</v>
      </c>
      <c r="H261" s="243" t="s">
        <v>1174</v>
      </c>
      <c r="I261" s="245">
        <v>75153</v>
      </c>
      <c r="J261" s="219">
        <v>2025</v>
      </c>
      <c r="K261" s="220">
        <v>10</v>
      </c>
      <c r="L261" s="220">
        <f t="shared" si="11"/>
        <v>9</v>
      </c>
      <c r="M261" s="216" t="s">
        <v>439</v>
      </c>
      <c r="N261" s="216" t="s">
        <v>440</v>
      </c>
      <c r="O261" s="246" t="s">
        <v>36</v>
      </c>
      <c r="P261" s="216" t="s">
        <v>38</v>
      </c>
      <c r="Q261" s="220">
        <v>2027</v>
      </c>
      <c r="R261" s="220" t="s">
        <v>38</v>
      </c>
      <c r="S261" s="221">
        <v>2026</v>
      </c>
      <c r="T261" s="216" t="s">
        <v>1315</v>
      </c>
      <c r="U261" s="240" t="s">
        <v>1289</v>
      </c>
      <c r="V261" s="245"/>
      <c r="W261" s="237"/>
      <c r="X261" s="247">
        <v>2</v>
      </c>
      <c r="Y261" s="248"/>
      <c r="Z261" s="248"/>
      <c r="AA261" s="248"/>
      <c r="AB261" s="248" t="s">
        <v>422</v>
      </c>
      <c r="AC261" s="248"/>
      <c r="AD261" s="248"/>
      <c r="AE261" s="248"/>
      <c r="AF261" s="244"/>
      <c r="AG261" s="248"/>
      <c r="AH261" s="248" t="s">
        <v>422</v>
      </c>
      <c r="AI261" s="248"/>
      <c r="AJ261" s="221"/>
    </row>
    <row r="262" spans="1:36" hidden="1">
      <c r="A262" s="216" t="s">
        <v>762</v>
      </c>
      <c r="B262" s="216" t="s">
        <v>763</v>
      </c>
      <c r="C262" s="216" t="s">
        <v>55</v>
      </c>
      <c r="D262" s="216" t="s">
        <v>28</v>
      </c>
      <c r="E262" s="240" t="s">
        <v>1175</v>
      </c>
      <c r="F262" s="246" t="s">
        <v>1154</v>
      </c>
      <c r="G262" s="245" t="s">
        <v>1155</v>
      </c>
      <c r="H262" s="243" t="s">
        <v>1176</v>
      </c>
      <c r="I262" s="245">
        <v>75140</v>
      </c>
      <c r="J262" s="219">
        <v>2025</v>
      </c>
      <c r="K262" s="220">
        <v>10</v>
      </c>
      <c r="L262" s="220">
        <f t="shared" si="11"/>
        <v>9</v>
      </c>
      <c r="M262" s="216" t="s">
        <v>439</v>
      </c>
      <c r="N262" s="216" t="s">
        <v>440</v>
      </c>
      <c r="O262" s="246" t="s">
        <v>36</v>
      </c>
      <c r="P262" s="216" t="s">
        <v>38</v>
      </c>
      <c r="Q262" s="220">
        <v>2027</v>
      </c>
      <c r="R262" s="220" t="s">
        <v>38</v>
      </c>
      <c r="S262" s="221">
        <v>2026</v>
      </c>
      <c r="T262" s="216" t="s">
        <v>1315</v>
      </c>
      <c r="U262" s="240" t="s">
        <v>1289</v>
      </c>
      <c r="V262" s="245"/>
      <c r="W262" s="237"/>
      <c r="X262" s="247">
        <v>2</v>
      </c>
      <c r="Y262" s="248"/>
      <c r="Z262" s="248"/>
      <c r="AA262" s="248"/>
      <c r="AB262" s="248" t="s">
        <v>422</v>
      </c>
      <c r="AC262" s="248"/>
      <c r="AD262" s="248"/>
      <c r="AE262" s="248"/>
      <c r="AF262" s="244"/>
      <c r="AG262" s="248"/>
      <c r="AH262" s="248" t="s">
        <v>422</v>
      </c>
      <c r="AI262" s="248"/>
      <c r="AJ262" s="221"/>
    </row>
    <row r="263" spans="1:36" hidden="1">
      <c r="A263" s="216" t="s">
        <v>762</v>
      </c>
      <c r="B263" s="216" t="s">
        <v>763</v>
      </c>
      <c r="C263" s="216" t="s">
        <v>55</v>
      </c>
      <c r="D263" s="216" t="s">
        <v>28</v>
      </c>
      <c r="E263" s="240" t="s">
        <v>1175</v>
      </c>
      <c r="F263" s="246" t="s">
        <v>1154</v>
      </c>
      <c r="G263" s="245" t="s">
        <v>1155</v>
      </c>
      <c r="H263" s="243" t="s">
        <v>1177</v>
      </c>
      <c r="I263" s="245">
        <v>75141</v>
      </c>
      <c r="J263" s="219">
        <v>2025</v>
      </c>
      <c r="K263" s="220">
        <v>10</v>
      </c>
      <c r="L263" s="220">
        <f t="shared" si="11"/>
        <v>9</v>
      </c>
      <c r="M263" s="216" t="s">
        <v>439</v>
      </c>
      <c r="N263" s="216" t="s">
        <v>440</v>
      </c>
      <c r="O263" s="246" t="s">
        <v>36</v>
      </c>
      <c r="P263" s="216" t="s">
        <v>38</v>
      </c>
      <c r="Q263" s="220">
        <v>2027</v>
      </c>
      <c r="R263" s="220" t="s">
        <v>38</v>
      </c>
      <c r="S263" s="221">
        <v>2026</v>
      </c>
      <c r="T263" s="216" t="s">
        <v>1315</v>
      </c>
      <c r="U263" s="240" t="s">
        <v>1289</v>
      </c>
      <c r="V263" s="245"/>
      <c r="W263" s="237"/>
      <c r="X263" s="247">
        <v>2</v>
      </c>
      <c r="Y263" s="248"/>
      <c r="Z263" s="248"/>
      <c r="AA263" s="248"/>
      <c r="AB263" s="248" t="s">
        <v>422</v>
      </c>
      <c r="AC263" s="248"/>
      <c r="AD263" s="248"/>
      <c r="AE263" s="248"/>
      <c r="AF263" s="244"/>
      <c r="AG263" s="248"/>
      <c r="AH263" s="248" t="s">
        <v>422</v>
      </c>
      <c r="AI263" s="248"/>
      <c r="AJ263" s="221"/>
    </row>
    <row r="264" spans="1:36" hidden="1">
      <c r="A264" s="216" t="s">
        <v>762</v>
      </c>
      <c r="B264" s="216" t="s">
        <v>763</v>
      </c>
      <c r="C264" s="216" t="s">
        <v>55</v>
      </c>
      <c r="D264" s="216" t="s">
        <v>28</v>
      </c>
      <c r="E264" s="240" t="s">
        <v>1175</v>
      </c>
      <c r="F264" s="246" t="s">
        <v>1154</v>
      </c>
      <c r="G264" s="245" t="s">
        <v>1155</v>
      </c>
      <c r="H264" s="243" t="s">
        <v>1178</v>
      </c>
      <c r="I264" s="245">
        <v>75142</v>
      </c>
      <c r="J264" s="219">
        <v>2025</v>
      </c>
      <c r="K264" s="220">
        <v>10</v>
      </c>
      <c r="L264" s="220">
        <f t="shared" si="11"/>
        <v>9</v>
      </c>
      <c r="M264" s="216" t="s">
        <v>439</v>
      </c>
      <c r="N264" s="216" t="s">
        <v>440</v>
      </c>
      <c r="O264" s="246" t="s">
        <v>36</v>
      </c>
      <c r="P264" s="216" t="s">
        <v>38</v>
      </c>
      <c r="Q264" s="220">
        <v>2027</v>
      </c>
      <c r="R264" s="220" t="s">
        <v>38</v>
      </c>
      <c r="S264" s="221">
        <v>2026</v>
      </c>
      <c r="T264" s="216" t="s">
        <v>1315</v>
      </c>
      <c r="U264" s="240" t="s">
        <v>1289</v>
      </c>
      <c r="V264" s="245"/>
      <c r="W264" s="237"/>
      <c r="X264" s="247">
        <v>2</v>
      </c>
      <c r="Y264" s="248"/>
      <c r="Z264" s="248"/>
      <c r="AA264" s="248"/>
      <c r="AB264" s="248" t="s">
        <v>422</v>
      </c>
      <c r="AC264" s="248"/>
      <c r="AD264" s="248"/>
      <c r="AE264" s="248"/>
      <c r="AF264" s="244"/>
      <c r="AG264" s="248"/>
      <c r="AH264" s="248" t="s">
        <v>422</v>
      </c>
      <c r="AI264" s="248"/>
      <c r="AJ264" s="221"/>
    </row>
    <row r="265" spans="1:36" hidden="1">
      <c r="A265" s="216" t="s">
        <v>752</v>
      </c>
      <c r="B265" s="240" t="s">
        <v>753</v>
      </c>
      <c r="C265" s="216" t="s">
        <v>442</v>
      </c>
      <c r="D265" s="216" t="s">
        <v>1311</v>
      </c>
      <c r="E265" s="240" t="s">
        <v>1179</v>
      </c>
      <c r="F265" s="246" t="s">
        <v>1180</v>
      </c>
      <c r="G265" s="245" t="s">
        <v>1181</v>
      </c>
      <c r="H265" s="243">
        <v>22034933</v>
      </c>
      <c r="I265" s="245">
        <v>76099</v>
      </c>
      <c r="J265" s="219">
        <v>2025</v>
      </c>
      <c r="K265" s="220">
        <v>10</v>
      </c>
      <c r="L265" s="220">
        <f t="shared" si="11"/>
        <v>9</v>
      </c>
      <c r="M265" s="216" t="s">
        <v>439</v>
      </c>
      <c r="N265" s="216" t="s">
        <v>440</v>
      </c>
      <c r="O265" s="246" t="s">
        <v>425</v>
      </c>
      <c r="P265" s="216" t="s">
        <v>38</v>
      </c>
      <c r="Q265" s="220">
        <v>2026</v>
      </c>
      <c r="R265" s="220" t="s">
        <v>37</v>
      </c>
      <c r="S265" s="221">
        <v>2027</v>
      </c>
      <c r="T265" s="216"/>
      <c r="U265" s="240" t="s">
        <v>1259</v>
      </c>
      <c r="V265" s="245"/>
      <c r="W265" s="237"/>
      <c r="X265" s="247">
        <v>0</v>
      </c>
      <c r="Y265" s="248"/>
      <c r="Z265" s="248"/>
      <c r="AA265" s="248"/>
      <c r="AB265" s="248"/>
      <c r="AC265" s="248"/>
      <c r="AD265" s="248"/>
      <c r="AE265" s="248"/>
      <c r="AF265" s="244"/>
      <c r="AG265" s="248"/>
      <c r="AH265" s="248"/>
      <c r="AI265" s="248"/>
      <c r="AJ265" s="221"/>
    </row>
    <row r="266" spans="1:36" hidden="1">
      <c r="A266" s="216" t="s">
        <v>752</v>
      </c>
      <c r="B266" s="240" t="s">
        <v>753</v>
      </c>
      <c r="C266" s="216" t="s">
        <v>442</v>
      </c>
      <c r="D266" s="216" t="s">
        <v>1311</v>
      </c>
      <c r="E266" s="240" t="s">
        <v>1318</v>
      </c>
      <c r="F266" s="246" t="s">
        <v>848</v>
      </c>
      <c r="G266" s="245" t="s">
        <v>1133</v>
      </c>
      <c r="H266" s="243" t="s">
        <v>1134</v>
      </c>
      <c r="I266" s="245">
        <v>76569</v>
      </c>
      <c r="J266" s="219">
        <v>2025</v>
      </c>
      <c r="K266" s="220">
        <v>10</v>
      </c>
      <c r="L266" s="220">
        <f t="shared" si="11"/>
        <v>9</v>
      </c>
      <c r="M266" s="216" t="s">
        <v>439</v>
      </c>
      <c r="N266" s="216" t="s">
        <v>440</v>
      </c>
      <c r="O266" s="246" t="s">
        <v>425</v>
      </c>
      <c r="P266" s="216" t="s">
        <v>38</v>
      </c>
      <c r="Q266" s="220">
        <v>2026</v>
      </c>
      <c r="R266" s="220" t="s">
        <v>37</v>
      </c>
      <c r="S266" s="221">
        <v>2027</v>
      </c>
      <c r="T266" s="216"/>
      <c r="U266" s="240" t="s">
        <v>1259</v>
      </c>
      <c r="V266" s="245"/>
      <c r="W266" s="237"/>
      <c r="X266" s="247">
        <v>0</v>
      </c>
      <c r="Y266" s="248"/>
      <c r="Z266" s="248"/>
      <c r="AA266" s="248"/>
      <c r="AB266" s="248"/>
      <c r="AC266" s="248"/>
      <c r="AD266" s="248"/>
      <c r="AE266" s="248"/>
      <c r="AF266" s="244"/>
      <c r="AG266" s="248"/>
      <c r="AH266" s="248"/>
      <c r="AI266" s="248"/>
      <c r="AJ266" s="221"/>
    </row>
    <row r="267" spans="1:36" hidden="1">
      <c r="A267" s="216" t="s">
        <v>752</v>
      </c>
      <c r="B267" s="216" t="s">
        <v>783</v>
      </c>
      <c r="C267" s="216" t="s">
        <v>1312</v>
      </c>
      <c r="D267" s="216" t="s">
        <v>1311</v>
      </c>
      <c r="E267" s="240" t="s">
        <v>1182</v>
      </c>
      <c r="F267" s="246" t="s">
        <v>1183</v>
      </c>
      <c r="G267" s="245" t="s">
        <v>1184</v>
      </c>
      <c r="H267" s="243">
        <v>104142</v>
      </c>
      <c r="I267" s="245">
        <v>75095</v>
      </c>
      <c r="J267" s="219">
        <v>2025</v>
      </c>
      <c r="K267" s="220">
        <v>10</v>
      </c>
      <c r="L267" s="220">
        <f t="shared" si="11"/>
        <v>9</v>
      </c>
      <c r="M267" s="216" t="s">
        <v>439</v>
      </c>
      <c r="N267" s="216" t="s">
        <v>440</v>
      </c>
      <c r="O267" s="246" t="s">
        <v>421</v>
      </c>
      <c r="P267" s="216" t="s">
        <v>38</v>
      </c>
      <c r="Q267" s="220">
        <v>2027</v>
      </c>
      <c r="R267" s="220" t="s">
        <v>38</v>
      </c>
      <c r="S267" s="221">
        <v>2026</v>
      </c>
      <c r="T267" s="216" t="s">
        <v>1315</v>
      </c>
      <c r="U267" s="240" t="s">
        <v>1271</v>
      </c>
      <c r="V267" s="245"/>
      <c r="W267" s="237"/>
      <c r="X267" s="247">
        <v>1</v>
      </c>
      <c r="Y267" s="248"/>
      <c r="Z267" s="248"/>
      <c r="AA267" s="248"/>
      <c r="AB267" s="248"/>
      <c r="AC267" s="248"/>
      <c r="AD267" s="248" t="s">
        <v>422</v>
      </c>
      <c r="AE267" s="248"/>
      <c r="AF267" s="244"/>
      <c r="AG267" s="248"/>
      <c r="AH267" s="248"/>
      <c r="AI267" s="248"/>
      <c r="AJ267" s="221"/>
    </row>
    <row r="268" spans="1:36" hidden="1">
      <c r="A268" s="216" t="s">
        <v>752</v>
      </c>
      <c r="B268" s="216" t="s">
        <v>784</v>
      </c>
      <c r="C268" s="216" t="s">
        <v>1312</v>
      </c>
      <c r="D268" s="216" t="s">
        <v>1311</v>
      </c>
      <c r="E268" s="240" t="s">
        <v>1182</v>
      </c>
      <c r="F268" s="246" t="s">
        <v>1183</v>
      </c>
      <c r="G268" s="245" t="s">
        <v>1184</v>
      </c>
      <c r="H268" s="243">
        <v>104063</v>
      </c>
      <c r="I268" s="245">
        <v>75094</v>
      </c>
      <c r="J268" s="219">
        <v>2025</v>
      </c>
      <c r="K268" s="220">
        <v>10</v>
      </c>
      <c r="L268" s="220">
        <f t="shared" si="11"/>
        <v>9</v>
      </c>
      <c r="M268" s="216" t="s">
        <v>439</v>
      </c>
      <c r="N268" s="216" t="s">
        <v>440</v>
      </c>
      <c r="O268" s="246" t="s">
        <v>421</v>
      </c>
      <c r="P268" s="216" t="s">
        <v>38</v>
      </c>
      <c r="Q268" s="220">
        <v>2027</v>
      </c>
      <c r="R268" s="220" t="s">
        <v>38</v>
      </c>
      <c r="S268" s="221">
        <v>2026</v>
      </c>
      <c r="T268" s="216" t="s">
        <v>1315</v>
      </c>
      <c r="U268" s="240" t="s">
        <v>1271</v>
      </c>
      <c r="V268" s="245"/>
      <c r="W268" s="237"/>
      <c r="X268" s="247">
        <v>1</v>
      </c>
      <c r="Y268" s="248"/>
      <c r="Z268" s="248"/>
      <c r="AA268" s="248"/>
      <c r="AB268" s="248"/>
      <c r="AC268" s="248"/>
      <c r="AD268" s="248" t="s">
        <v>422</v>
      </c>
      <c r="AE268" s="248"/>
      <c r="AF268" s="244"/>
      <c r="AG268" s="248"/>
      <c r="AH268" s="248"/>
      <c r="AI268" s="248"/>
      <c r="AJ268" s="221"/>
    </row>
    <row r="269" spans="1:36" hidden="1">
      <c r="A269" s="216" t="s">
        <v>752</v>
      </c>
      <c r="B269" s="216" t="s">
        <v>785</v>
      </c>
      <c r="C269" s="216" t="s">
        <v>1312</v>
      </c>
      <c r="D269" s="216" t="s">
        <v>1311</v>
      </c>
      <c r="E269" s="240" t="s">
        <v>1182</v>
      </c>
      <c r="F269" s="246" t="s">
        <v>1183</v>
      </c>
      <c r="G269" s="245" t="s">
        <v>1184</v>
      </c>
      <c r="H269" s="243">
        <v>104053</v>
      </c>
      <c r="I269" s="245">
        <v>75088</v>
      </c>
      <c r="J269" s="219">
        <v>2025</v>
      </c>
      <c r="K269" s="220">
        <v>10</v>
      </c>
      <c r="L269" s="220">
        <f t="shared" si="11"/>
        <v>9</v>
      </c>
      <c r="M269" s="216" t="s">
        <v>439</v>
      </c>
      <c r="N269" s="216" t="s">
        <v>440</v>
      </c>
      <c r="O269" s="246" t="s">
        <v>421</v>
      </c>
      <c r="P269" s="216" t="s">
        <v>38</v>
      </c>
      <c r="Q269" s="220">
        <v>2027</v>
      </c>
      <c r="R269" s="220" t="s">
        <v>38</v>
      </c>
      <c r="S269" s="221">
        <v>2026</v>
      </c>
      <c r="T269" s="216" t="s">
        <v>1315</v>
      </c>
      <c r="U269" s="240" t="s">
        <v>1271</v>
      </c>
      <c r="V269" s="245"/>
      <c r="W269" s="237"/>
      <c r="X269" s="247">
        <v>1</v>
      </c>
      <c r="Y269" s="248"/>
      <c r="Z269" s="248"/>
      <c r="AA269" s="248"/>
      <c r="AB269" s="248"/>
      <c r="AC269" s="248"/>
      <c r="AD269" s="248" t="s">
        <v>422</v>
      </c>
      <c r="AE269" s="248"/>
      <c r="AF269" s="244"/>
      <c r="AG269" s="248"/>
      <c r="AH269" s="248"/>
      <c r="AI269" s="248"/>
      <c r="AJ269" s="221"/>
    </row>
    <row r="270" spans="1:36" hidden="1">
      <c r="A270" s="216" t="s">
        <v>752</v>
      </c>
      <c r="B270" s="216" t="s">
        <v>786</v>
      </c>
      <c r="C270" s="216" t="s">
        <v>1312</v>
      </c>
      <c r="D270" s="216" t="s">
        <v>1311</v>
      </c>
      <c r="E270" s="240" t="s">
        <v>1182</v>
      </c>
      <c r="F270" s="246" t="s">
        <v>1183</v>
      </c>
      <c r="G270" s="245" t="s">
        <v>1184</v>
      </c>
      <c r="H270" s="243">
        <v>104154</v>
      </c>
      <c r="I270" s="245">
        <v>75096</v>
      </c>
      <c r="J270" s="219">
        <v>2025</v>
      </c>
      <c r="K270" s="220">
        <v>10</v>
      </c>
      <c r="L270" s="220">
        <f t="shared" si="11"/>
        <v>9</v>
      </c>
      <c r="M270" s="216" t="s">
        <v>439</v>
      </c>
      <c r="N270" s="216" t="s">
        <v>440</v>
      </c>
      <c r="O270" s="246" t="s">
        <v>421</v>
      </c>
      <c r="P270" s="216" t="s">
        <v>38</v>
      </c>
      <c r="Q270" s="220">
        <v>2027</v>
      </c>
      <c r="R270" s="220" t="s">
        <v>38</v>
      </c>
      <c r="S270" s="221">
        <v>2026</v>
      </c>
      <c r="T270" s="216" t="s">
        <v>1315</v>
      </c>
      <c r="U270" s="240" t="s">
        <v>1271</v>
      </c>
      <c r="V270" s="245"/>
      <c r="W270" s="237"/>
      <c r="X270" s="247">
        <v>1</v>
      </c>
      <c r="Y270" s="248"/>
      <c r="Z270" s="248"/>
      <c r="AA270" s="248"/>
      <c r="AB270" s="248"/>
      <c r="AC270" s="248"/>
      <c r="AD270" s="248" t="s">
        <v>422</v>
      </c>
      <c r="AE270" s="248"/>
      <c r="AF270" s="244"/>
      <c r="AG270" s="248"/>
      <c r="AH270" s="248"/>
      <c r="AI270" s="248"/>
      <c r="AJ270" s="221"/>
    </row>
    <row r="271" spans="1:36" hidden="1">
      <c r="A271" s="216" t="s">
        <v>752</v>
      </c>
      <c r="B271" s="216" t="s">
        <v>787</v>
      </c>
      <c r="C271" s="216" t="s">
        <v>1312</v>
      </c>
      <c r="D271" s="216" t="s">
        <v>1311</v>
      </c>
      <c r="E271" s="240" t="s">
        <v>1182</v>
      </c>
      <c r="F271" s="246" t="s">
        <v>1183</v>
      </c>
      <c r="G271" s="245" t="s">
        <v>1184</v>
      </c>
      <c r="H271" s="243">
        <v>104204</v>
      </c>
      <c r="I271" s="245">
        <v>75089</v>
      </c>
      <c r="J271" s="219">
        <v>2025</v>
      </c>
      <c r="K271" s="220">
        <v>10</v>
      </c>
      <c r="L271" s="220">
        <f t="shared" si="11"/>
        <v>9</v>
      </c>
      <c r="M271" s="216" t="s">
        <v>439</v>
      </c>
      <c r="N271" s="216" t="s">
        <v>440</v>
      </c>
      <c r="O271" s="246" t="s">
        <v>421</v>
      </c>
      <c r="P271" s="216" t="s">
        <v>38</v>
      </c>
      <c r="Q271" s="220">
        <v>2027</v>
      </c>
      <c r="R271" s="220" t="s">
        <v>38</v>
      </c>
      <c r="S271" s="221">
        <v>2026</v>
      </c>
      <c r="T271" s="216" t="s">
        <v>1315</v>
      </c>
      <c r="U271" s="240" t="s">
        <v>1271</v>
      </c>
      <c r="V271" s="245"/>
      <c r="W271" s="237"/>
      <c r="X271" s="247">
        <v>1</v>
      </c>
      <c r="Y271" s="248"/>
      <c r="Z271" s="248"/>
      <c r="AA271" s="248"/>
      <c r="AB271" s="248"/>
      <c r="AC271" s="248"/>
      <c r="AD271" s="248" t="s">
        <v>422</v>
      </c>
      <c r="AE271" s="248"/>
      <c r="AF271" s="244"/>
      <c r="AG271" s="248"/>
      <c r="AH271" s="248"/>
      <c r="AI271" s="248"/>
      <c r="AJ271" s="221"/>
    </row>
    <row r="272" spans="1:36" hidden="1">
      <c r="A272" s="216" t="s">
        <v>752</v>
      </c>
      <c r="B272" s="240" t="s">
        <v>753</v>
      </c>
      <c r="C272" s="216" t="s">
        <v>442</v>
      </c>
      <c r="D272" s="216" t="s">
        <v>1311</v>
      </c>
      <c r="E272" s="240" t="s">
        <v>1185</v>
      </c>
      <c r="F272" s="246" t="s">
        <v>1186</v>
      </c>
      <c r="G272" s="245" t="s">
        <v>1187</v>
      </c>
      <c r="H272" s="243">
        <v>9437</v>
      </c>
      <c r="I272" s="245">
        <v>76568</v>
      </c>
      <c r="J272" s="219">
        <v>2025</v>
      </c>
      <c r="K272" s="220">
        <v>10</v>
      </c>
      <c r="L272" s="220">
        <f t="shared" si="11"/>
        <v>9</v>
      </c>
      <c r="M272" s="216" t="s">
        <v>439</v>
      </c>
      <c r="N272" s="216" t="s">
        <v>440</v>
      </c>
      <c r="O272" s="246" t="s">
        <v>425</v>
      </c>
      <c r="P272" s="216" t="s">
        <v>38</v>
      </c>
      <c r="Q272" s="220">
        <v>2026</v>
      </c>
      <c r="R272" s="220" t="s">
        <v>37</v>
      </c>
      <c r="S272" s="221">
        <v>2027</v>
      </c>
      <c r="T272" s="216"/>
      <c r="U272" s="240" t="s">
        <v>1259</v>
      </c>
      <c r="V272" s="245"/>
      <c r="W272" s="237"/>
      <c r="X272" s="247">
        <v>0</v>
      </c>
      <c r="Y272" s="248"/>
      <c r="Z272" s="248"/>
      <c r="AA272" s="248"/>
      <c r="AB272" s="248"/>
      <c r="AC272" s="248"/>
      <c r="AD272" s="248"/>
      <c r="AE272" s="248"/>
      <c r="AF272" s="244"/>
      <c r="AG272" s="248"/>
      <c r="AH272" s="248"/>
      <c r="AI272" s="248"/>
      <c r="AJ272" s="221"/>
    </row>
    <row r="273" spans="1:36" hidden="1">
      <c r="A273" s="216" t="s">
        <v>752</v>
      </c>
      <c r="B273" s="216" t="s">
        <v>767</v>
      </c>
      <c r="C273" s="216" t="s">
        <v>1312</v>
      </c>
      <c r="D273" s="216" t="s">
        <v>1311</v>
      </c>
      <c r="E273" s="240" t="s">
        <v>1188</v>
      </c>
      <c r="F273" s="246" t="s">
        <v>1189</v>
      </c>
      <c r="G273" s="245" t="s">
        <v>483</v>
      </c>
      <c r="H273" s="243">
        <v>26</v>
      </c>
      <c r="I273" s="245">
        <v>76443</v>
      </c>
      <c r="J273" s="219">
        <v>2025</v>
      </c>
      <c r="K273" s="220">
        <v>10</v>
      </c>
      <c r="L273" s="220">
        <f t="shared" si="11"/>
        <v>9</v>
      </c>
      <c r="M273" s="216" t="s">
        <v>439</v>
      </c>
      <c r="N273" s="216" t="s">
        <v>440</v>
      </c>
      <c r="O273" s="246" t="s">
        <v>421</v>
      </c>
      <c r="P273" s="216" t="s">
        <v>38</v>
      </c>
      <c r="Q273" s="220">
        <v>2026</v>
      </c>
      <c r="R273" s="220" t="s">
        <v>37</v>
      </c>
      <c r="S273" s="221">
        <v>2027</v>
      </c>
      <c r="T273" s="216"/>
      <c r="U273" s="240" t="s">
        <v>1291</v>
      </c>
      <c r="V273" s="245"/>
      <c r="W273" s="237"/>
      <c r="X273" s="247">
        <v>0</v>
      </c>
      <c r="Y273" s="248"/>
      <c r="Z273" s="248"/>
      <c r="AA273" s="248"/>
      <c r="AB273" s="248"/>
      <c r="AC273" s="248"/>
      <c r="AD273" s="248"/>
      <c r="AE273" s="248"/>
      <c r="AF273" s="244"/>
      <c r="AG273" s="248"/>
      <c r="AH273" s="248"/>
      <c r="AI273" s="248"/>
      <c r="AJ273" s="221"/>
    </row>
    <row r="274" spans="1:36" hidden="1">
      <c r="A274" s="216" t="s">
        <v>752</v>
      </c>
      <c r="B274" s="216" t="s">
        <v>788</v>
      </c>
      <c r="C274" s="216" t="s">
        <v>1312</v>
      </c>
      <c r="D274" s="216" t="s">
        <v>1311</v>
      </c>
      <c r="E274" s="240" t="s">
        <v>1188</v>
      </c>
      <c r="F274" s="246" t="s">
        <v>1189</v>
      </c>
      <c r="G274" s="245" t="s">
        <v>483</v>
      </c>
      <c r="H274" s="243">
        <v>15</v>
      </c>
      <c r="I274" s="245">
        <v>76453</v>
      </c>
      <c r="J274" s="219">
        <v>2025</v>
      </c>
      <c r="K274" s="220">
        <v>10</v>
      </c>
      <c r="L274" s="220">
        <f t="shared" si="11"/>
        <v>9</v>
      </c>
      <c r="M274" s="216" t="s">
        <v>439</v>
      </c>
      <c r="N274" s="216" t="s">
        <v>440</v>
      </c>
      <c r="O274" s="246" t="s">
        <v>421</v>
      </c>
      <c r="P274" s="216" t="s">
        <v>38</v>
      </c>
      <c r="Q274" s="220">
        <v>2026</v>
      </c>
      <c r="R274" s="220" t="s">
        <v>37</v>
      </c>
      <c r="S274" s="221">
        <v>2027</v>
      </c>
      <c r="T274" s="216"/>
      <c r="U274" s="240" t="s">
        <v>1291</v>
      </c>
      <c r="V274" s="245"/>
      <c r="W274" s="237"/>
      <c r="X274" s="247">
        <v>0</v>
      </c>
      <c r="Y274" s="248"/>
      <c r="Z274" s="248"/>
      <c r="AA274" s="248"/>
      <c r="AB274" s="248"/>
      <c r="AC274" s="248"/>
      <c r="AD274" s="248"/>
      <c r="AE274" s="248"/>
      <c r="AF274" s="244"/>
      <c r="AG274" s="248"/>
      <c r="AH274" s="248"/>
      <c r="AI274" s="248"/>
      <c r="AJ274" s="221"/>
    </row>
    <row r="275" spans="1:36" hidden="1">
      <c r="A275" s="216" t="s">
        <v>752</v>
      </c>
      <c r="B275" s="240" t="s">
        <v>753</v>
      </c>
      <c r="C275" s="216" t="s">
        <v>442</v>
      </c>
      <c r="D275" s="216" t="s">
        <v>1311</v>
      </c>
      <c r="E275" s="240" t="s">
        <v>1190</v>
      </c>
      <c r="F275" s="246" t="s">
        <v>1191</v>
      </c>
      <c r="G275" s="245" t="s">
        <v>483</v>
      </c>
      <c r="H275" s="243">
        <v>510231</v>
      </c>
      <c r="I275" s="245">
        <v>76566</v>
      </c>
      <c r="J275" s="219">
        <v>2025</v>
      </c>
      <c r="K275" s="220">
        <v>10</v>
      </c>
      <c r="L275" s="220">
        <f t="shared" si="11"/>
        <v>9</v>
      </c>
      <c r="M275" s="216" t="s">
        <v>439</v>
      </c>
      <c r="N275" s="216" t="s">
        <v>440</v>
      </c>
      <c r="O275" s="246" t="s">
        <v>425</v>
      </c>
      <c r="P275" s="216" t="s">
        <v>38</v>
      </c>
      <c r="Q275" s="220">
        <v>2026</v>
      </c>
      <c r="R275" s="220" t="s">
        <v>38</v>
      </c>
      <c r="S275" s="221">
        <v>2027</v>
      </c>
      <c r="T275" s="216" t="s">
        <v>1319</v>
      </c>
      <c r="U275" s="240" t="s">
        <v>1292</v>
      </c>
      <c r="V275" s="245"/>
      <c r="W275" s="237"/>
      <c r="X275" s="247">
        <v>1</v>
      </c>
      <c r="Y275" s="248"/>
      <c r="Z275" s="248"/>
      <c r="AA275" s="248"/>
      <c r="AB275" s="248"/>
      <c r="AC275" s="248"/>
      <c r="AD275" s="248" t="s">
        <v>422</v>
      </c>
      <c r="AE275" s="248"/>
      <c r="AF275" s="244"/>
      <c r="AG275" s="248"/>
      <c r="AH275" s="248"/>
      <c r="AI275" s="248"/>
      <c r="AJ275" s="221"/>
    </row>
    <row r="276" spans="1:36" hidden="1">
      <c r="A276" s="242" t="s">
        <v>1307</v>
      </c>
      <c r="B276" s="216" t="s">
        <v>814</v>
      </c>
      <c r="C276" s="216" t="s">
        <v>1312</v>
      </c>
      <c r="D276" s="216" t="s">
        <v>317</v>
      </c>
      <c r="E276" s="240" t="s">
        <v>1192</v>
      </c>
      <c r="F276" s="246" t="s">
        <v>1193</v>
      </c>
      <c r="G276" s="245" t="s">
        <v>1194</v>
      </c>
      <c r="H276" s="243">
        <v>13103513</v>
      </c>
      <c r="I276" s="245">
        <v>75069</v>
      </c>
      <c r="J276" s="219">
        <v>2025</v>
      </c>
      <c r="K276" s="220">
        <v>10</v>
      </c>
      <c r="L276" s="220">
        <f t="shared" si="11"/>
        <v>9</v>
      </c>
      <c r="M276" s="216" t="s">
        <v>439</v>
      </c>
      <c r="N276" s="216" t="s">
        <v>440</v>
      </c>
      <c r="O276" s="246" t="s">
        <v>425</v>
      </c>
      <c r="P276" s="216" t="s">
        <v>38</v>
      </c>
      <c r="Q276" s="220">
        <v>2027</v>
      </c>
      <c r="R276" s="220" t="s">
        <v>38</v>
      </c>
      <c r="S276" s="221">
        <v>2026</v>
      </c>
      <c r="T276" s="216" t="s">
        <v>1315</v>
      </c>
      <c r="U276" s="240" t="s">
        <v>1261</v>
      </c>
      <c r="V276" s="245"/>
      <c r="W276" s="237"/>
      <c r="X276" s="247">
        <v>1</v>
      </c>
      <c r="Y276" s="248"/>
      <c r="Z276" s="248"/>
      <c r="AA276" s="248"/>
      <c r="AB276" s="248"/>
      <c r="AC276" s="248"/>
      <c r="AD276" s="248" t="s">
        <v>422</v>
      </c>
      <c r="AE276" s="248"/>
      <c r="AF276" s="244"/>
      <c r="AG276" s="248"/>
      <c r="AH276" s="248"/>
      <c r="AI276" s="248"/>
      <c r="AJ276" s="221"/>
    </row>
    <row r="277" spans="1:36" hidden="1">
      <c r="A277" s="216" t="s">
        <v>827</v>
      </c>
      <c r="B277" s="216" t="s">
        <v>828</v>
      </c>
      <c r="C277" s="216" t="s">
        <v>1314</v>
      </c>
      <c r="D277" s="216" t="s">
        <v>28</v>
      </c>
      <c r="E277" s="240" t="s">
        <v>1195</v>
      </c>
      <c r="F277" s="246" t="s">
        <v>1196</v>
      </c>
      <c r="G277" s="245" t="s">
        <v>1197</v>
      </c>
      <c r="H277" s="243" t="s">
        <v>1198</v>
      </c>
      <c r="I277" s="245">
        <v>75003</v>
      </c>
      <c r="J277" s="219">
        <v>2025</v>
      </c>
      <c r="K277" s="220">
        <v>10</v>
      </c>
      <c r="L277" s="220">
        <f t="shared" si="11"/>
        <v>9</v>
      </c>
      <c r="M277" s="216" t="s">
        <v>439</v>
      </c>
      <c r="N277" s="216" t="s">
        <v>440</v>
      </c>
      <c r="O277" s="246" t="s">
        <v>464</v>
      </c>
      <c r="P277" s="216" t="s">
        <v>38</v>
      </c>
      <c r="Q277" s="220">
        <v>2028</v>
      </c>
      <c r="R277" s="220" t="s">
        <v>38</v>
      </c>
      <c r="S277" s="221">
        <v>2026</v>
      </c>
      <c r="T277" s="216" t="s">
        <v>1315</v>
      </c>
      <c r="U277" s="240" t="s">
        <v>1293</v>
      </c>
      <c r="V277" s="245"/>
      <c r="W277" s="237"/>
      <c r="X277" s="247">
        <v>1</v>
      </c>
      <c r="Y277" s="248" t="s">
        <v>432</v>
      </c>
      <c r="Z277" s="248"/>
      <c r="AA277" s="248"/>
      <c r="AB277" s="248"/>
      <c r="AC277" s="248"/>
      <c r="AD277" s="248"/>
      <c r="AE277" s="248"/>
      <c r="AF277" s="244"/>
      <c r="AG277" s="248"/>
      <c r="AH277" s="248"/>
      <c r="AI277" s="248"/>
      <c r="AJ277" s="221"/>
    </row>
    <row r="278" spans="1:36" hidden="1">
      <c r="A278" s="216" t="s">
        <v>764</v>
      </c>
      <c r="B278" s="216" t="s">
        <v>766</v>
      </c>
      <c r="C278" s="216" t="s">
        <v>27</v>
      </c>
      <c r="D278" s="216" t="s">
        <v>28</v>
      </c>
      <c r="E278" s="240" t="s">
        <v>1199</v>
      </c>
      <c r="F278" s="246" t="s">
        <v>1093</v>
      </c>
      <c r="G278" s="245" t="s">
        <v>1200</v>
      </c>
      <c r="H278" s="243" t="s">
        <v>1201</v>
      </c>
      <c r="I278" s="245">
        <v>75295</v>
      </c>
      <c r="J278" s="219">
        <v>2025</v>
      </c>
      <c r="K278" s="220">
        <v>10</v>
      </c>
      <c r="L278" s="220">
        <f t="shared" si="11"/>
        <v>9</v>
      </c>
      <c r="M278" s="216" t="s">
        <v>439</v>
      </c>
      <c r="N278" s="216" t="s">
        <v>440</v>
      </c>
      <c r="O278" s="246" t="s">
        <v>425</v>
      </c>
      <c r="P278" s="216" t="s">
        <v>38</v>
      </c>
      <c r="Q278" s="220">
        <v>2027</v>
      </c>
      <c r="R278" s="220" t="s">
        <v>38</v>
      </c>
      <c r="S278" s="221">
        <v>2026</v>
      </c>
      <c r="T278" s="216" t="s">
        <v>1315</v>
      </c>
      <c r="U278" s="240" t="s">
        <v>1276</v>
      </c>
      <c r="V278" s="245"/>
      <c r="W278" s="237"/>
      <c r="X278" s="247">
        <v>1</v>
      </c>
      <c r="Y278" s="248"/>
      <c r="Z278" s="248"/>
      <c r="AA278" s="248"/>
      <c r="AB278" s="248"/>
      <c r="AC278" s="248"/>
      <c r="AD278" s="248"/>
      <c r="AE278" s="248"/>
      <c r="AF278" s="244"/>
      <c r="AG278" s="248"/>
      <c r="AH278" s="248" t="s">
        <v>422</v>
      </c>
      <c r="AI278" s="248"/>
      <c r="AJ278" s="221"/>
    </row>
    <row r="279" spans="1:36" hidden="1">
      <c r="A279" s="216" t="s">
        <v>752</v>
      </c>
      <c r="B279" s="240" t="s">
        <v>753</v>
      </c>
      <c r="C279" s="216" t="s">
        <v>442</v>
      </c>
      <c r="D279" s="216" t="s">
        <v>1311</v>
      </c>
      <c r="E279" s="240" t="s">
        <v>1202</v>
      </c>
      <c r="F279" s="246" t="s">
        <v>848</v>
      </c>
      <c r="G279" s="245">
        <v>2482</v>
      </c>
      <c r="H279" s="243" t="s">
        <v>1203</v>
      </c>
      <c r="I279" s="245">
        <v>76565</v>
      </c>
      <c r="J279" s="219">
        <v>2025</v>
      </c>
      <c r="K279" s="220">
        <v>10</v>
      </c>
      <c r="L279" s="220">
        <f t="shared" si="11"/>
        <v>9</v>
      </c>
      <c r="M279" s="216" t="s">
        <v>439</v>
      </c>
      <c r="N279" s="216" t="s">
        <v>440</v>
      </c>
      <c r="O279" s="246" t="s">
        <v>425</v>
      </c>
      <c r="P279" s="216" t="s">
        <v>38</v>
      </c>
      <c r="Q279" s="220">
        <v>2026</v>
      </c>
      <c r="R279" s="220" t="s">
        <v>38</v>
      </c>
      <c r="S279" s="221">
        <v>2027</v>
      </c>
      <c r="T279" s="216" t="s">
        <v>1316</v>
      </c>
      <c r="U279" s="240" t="s">
        <v>1259</v>
      </c>
      <c r="V279" s="245"/>
      <c r="W279" s="237"/>
      <c r="X279" s="247">
        <v>1</v>
      </c>
      <c r="Y279" s="248"/>
      <c r="Z279" s="248"/>
      <c r="AA279" s="248"/>
      <c r="AB279" s="248"/>
      <c r="AC279" s="248"/>
      <c r="AD279" s="248" t="s">
        <v>422</v>
      </c>
      <c r="AE279" s="248"/>
      <c r="AF279" s="244"/>
      <c r="AG279" s="248"/>
      <c r="AH279" s="248"/>
      <c r="AI279" s="248"/>
      <c r="AJ279" s="221"/>
    </row>
    <row r="280" spans="1:36" hidden="1">
      <c r="A280" s="216" t="s">
        <v>1478</v>
      </c>
      <c r="B280" s="216" t="s">
        <v>1479</v>
      </c>
      <c r="C280" s="216" t="s">
        <v>1310</v>
      </c>
      <c r="D280" s="216" t="s">
        <v>317</v>
      </c>
      <c r="E280" s="240" t="s">
        <v>1204</v>
      </c>
      <c r="F280" s="246" t="s">
        <v>1432</v>
      </c>
      <c r="G280" s="245" t="s">
        <v>1433</v>
      </c>
      <c r="H280" s="243" t="s">
        <v>1434</v>
      </c>
      <c r="I280" s="245">
        <v>74213</v>
      </c>
      <c r="J280" s="219">
        <v>2015</v>
      </c>
      <c r="K280" s="220">
        <v>10</v>
      </c>
      <c r="L280" s="220">
        <v>0</v>
      </c>
      <c r="M280" s="216" t="s">
        <v>439</v>
      </c>
      <c r="N280" s="216" t="s">
        <v>440</v>
      </c>
      <c r="O280" s="246" t="s">
        <v>464</v>
      </c>
      <c r="P280" s="216" t="s">
        <v>37</v>
      </c>
      <c r="Q280" s="220" t="s">
        <v>421</v>
      </c>
      <c r="R280" s="220" t="s">
        <v>37</v>
      </c>
      <c r="S280" s="221">
        <v>2025</v>
      </c>
      <c r="T280" s="216" t="s">
        <v>1315</v>
      </c>
      <c r="U280" s="240"/>
      <c r="V280" s="245"/>
      <c r="W280" s="237"/>
      <c r="X280" s="247">
        <v>1</v>
      </c>
      <c r="Y280" s="248"/>
      <c r="Z280" s="248"/>
      <c r="AA280" s="248"/>
      <c r="AB280" s="248"/>
      <c r="AC280" s="248"/>
      <c r="AD280" s="248"/>
      <c r="AE280" s="248"/>
      <c r="AF280" s="244"/>
      <c r="AG280" s="248"/>
      <c r="AH280" s="248"/>
      <c r="AI280" s="248"/>
      <c r="AJ280" s="248" t="s">
        <v>422</v>
      </c>
    </row>
    <row r="281" spans="1:36" hidden="1">
      <c r="A281" s="216" t="s">
        <v>1478</v>
      </c>
      <c r="B281" s="216" t="s">
        <v>1479</v>
      </c>
      <c r="C281" s="216" t="s">
        <v>1310</v>
      </c>
      <c r="D281" s="216" t="s">
        <v>317</v>
      </c>
      <c r="E281" s="240" t="s">
        <v>1204</v>
      </c>
      <c r="F281" s="246" t="s">
        <v>1435</v>
      </c>
      <c r="G281" s="245" t="s">
        <v>1436</v>
      </c>
      <c r="H281" s="243"/>
      <c r="I281" s="245"/>
      <c r="J281" s="219">
        <v>2015</v>
      </c>
      <c r="K281" s="220">
        <v>10</v>
      </c>
      <c r="L281" s="220">
        <v>0</v>
      </c>
      <c r="M281" s="216" t="s">
        <v>439</v>
      </c>
      <c r="N281" s="216" t="s">
        <v>440</v>
      </c>
      <c r="O281" s="216" t="s">
        <v>464</v>
      </c>
      <c r="P281" s="216" t="s">
        <v>37</v>
      </c>
      <c r="Q281" s="220" t="s">
        <v>421</v>
      </c>
      <c r="R281" s="220" t="s">
        <v>38</v>
      </c>
      <c r="S281" s="221">
        <v>2025</v>
      </c>
      <c r="T281" s="216" t="s">
        <v>1315</v>
      </c>
      <c r="U281" s="240" t="s">
        <v>1328</v>
      </c>
      <c r="V281" s="245"/>
      <c r="W281" s="237">
        <v>140953.44827586206</v>
      </c>
      <c r="X281" s="247">
        <v>1</v>
      </c>
      <c r="Y281" s="248"/>
      <c r="Z281" s="248"/>
      <c r="AA281" s="248"/>
      <c r="AB281" s="248"/>
      <c r="AC281" s="248"/>
      <c r="AD281" s="248"/>
      <c r="AE281" s="248"/>
      <c r="AF281" s="244"/>
      <c r="AG281" s="248"/>
      <c r="AH281" s="248"/>
      <c r="AI281" s="248"/>
      <c r="AJ281" s="248" t="s">
        <v>422</v>
      </c>
    </row>
    <row r="282" spans="1:36" hidden="1">
      <c r="A282" s="216" t="s">
        <v>1478</v>
      </c>
      <c r="B282" s="216" t="s">
        <v>1479</v>
      </c>
      <c r="C282" s="216" t="s">
        <v>1310</v>
      </c>
      <c r="D282" s="216" t="s">
        <v>317</v>
      </c>
      <c r="E282" s="240" t="s">
        <v>1204</v>
      </c>
      <c r="F282" s="216" t="s">
        <v>740</v>
      </c>
      <c r="G282" s="217" t="s">
        <v>1437</v>
      </c>
      <c r="H282" s="218">
        <v>201233083</v>
      </c>
      <c r="I282" s="217">
        <v>74055</v>
      </c>
      <c r="J282" s="219">
        <v>2015</v>
      </c>
      <c r="K282" s="220">
        <v>10</v>
      </c>
      <c r="L282" s="220">
        <v>0</v>
      </c>
      <c r="M282" s="216" t="s">
        <v>439</v>
      </c>
      <c r="N282" s="216" t="s">
        <v>440</v>
      </c>
      <c r="O282" s="216" t="s">
        <v>464</v>
      </c>
      <c r="P282" s="216" t="s">
        <v>37</v>
      </c>
      <c r="Q282" s="220" t="s">
        <v>421</v>
      </c>
      <c r="R282" s="220" t="s">
        <v>38</v>
      </c>
      <c r="S282" s="221">
        <v>2025</v>
      </c>
      <c r="T282" s="216" t="s">
        <v>1315</v>
      </c>
      <c r="U282" s="216"/>
      <c r="V282" s="217"/>
      <c r="W282" s="237">
        <v>140953.44827586206</v>
      </c>
      <c r="X282" s="220">
        <v>1</v>
      </c>
      <c r="Y282" s="248"/>
      <c r="Z282" s="248"/>
      <c r="AA282" s="248"/>
      <c r="AB282" s="248"/>
      <c r="AC282" s="248"/>
      <c r="AD282" s="248"/>
      <c r="AE282" s="248"/>
      <c r="AF282" s="244"/>
      <c r="AG282" s="248"/>
      <c r="AH282" s="248"/>
      <c r="AI282" s="248"/>
      <c r="AJ282" s="248" t="s">
        <v>422</v>
      </c>
    </row>
    <row r="283" spans="1:36" hidden="1">
      <c r="A283" s="216" t="s">
        <v>1478</v>
      </c>
      <c r="B283" s="216" t="s">
        <v>1479</v>
      </c>
      <c r="C283" s="216" t="s">
        <v>1310</v>
      </c>
      <c r="D283" s="216" t="s">
        <v>317</v>
      </c>
      <c r="E283" s="240" t="s">
        <v>1204</v>
      </c>
      <c r="F283" s="216" t="s">
        <v>1438</v>
      </c>
      <c r="G283" s="217" t="s">
        <v>1439</v>
      </c>
      <c r="H283" s="218"/>
      <c r="I283" s="217"/>
      <c r="J283" s="219">
        <v>2015</v>
      </c>
      <c r="K283" s="220">
        <v>10</v>
      </c>
      <c r="L283" s="220">
        <v>0</v>
      </c>
      <c r="M283" s="216" t="s">
        <v>439</v>
      </c>
      <c r="N283" s="216" t="s">
        <v>440</v>
      </c>
      <c r="O283" s="216" t="s">
        <v>464</v>
      </c>
      <c r="P283" s="216" t="s">
        <v>37</v>
      </c>
      <c r="Q283" s="220" t="s">
        <v>421</v>
      </c>
      <c r="R283" s="220" t="s">
        <v>38</v>
      </c>
      <c r="S283" s="221">
        <v>2025</v>
      </c>
      <c r="T283" s="216" t="s">
        <v>1315</v>
      </c>
      <c r="U283" s="216" t="s">
        <v>1328</v>
      </c>
      <c r="V283" s="217"/>
      <c r="W283" s="237">
        <v>140953.44827586206</v>
      </c>
      <c r="X283" s="220">
        <v>1</v>
      </c>
      <c r="Y283" s="248"/>
      <c r="Z283" s="248"/>
      <c r="AA283" s="248"/>
      <c r="AB283" s="248"/>
      <c r="AC283" s="248"/>
      <c r="AD283" s="248"/>
      <c r="AE283" s="248"/>
      <c r="AF283" s="244"/>
      <c r="AG283" s="248"/>
      <c r="AH283" s="248"/>
      <c r="AI283" s="248"/>
      <c r="AJ283" s="248" t="s">
        <v>422</v>
      </c>
    </row>
    <row r="284" spans="1:36" hidden="1">
      <c r="A284" s="216" t="s">
        <v>1478</v>
      </c>
      <c r="B284" s="216" t="s">
        <v>1479</v>
      </c>
      <c r="C284" s="216" t="s">
        <v>1310</v>
      </c>
      <c r="D284" s="216" t="s">
        <v>317</v>
      </c>
      <c r="E284" s="240" t="s">
        <v>1204</v>
      </c>
      <c r="F284" s="216" t="s">
        <v>1440</v>
      </c>
      <c r="G284" s="217" t="s">
        <v>1441</v>
      </c>
      <c r="H284" s="218">
        <v>1424191656</v>
      </c>
      <c r="I284" s="217">
        <v>74089</v>
      </c>
      <c r="J284" s="219">
        <v>2015</v>
      </c>
      <c r="K284" s="220">
        <v>10</v>
      </c>
      <c r="L284" s="220">
        <v>0</v>
      </c>
      <c r="M284" s="216" t="s">
        <v>439</v>
      </c>
      <c r="N284" s="216" t="s">
        <v>440</v>
      </c>
      <c r="O284" s="216" t="s">
        <v>464</v>
      </c>
      <c r="P284" s="216" t="s">
        <v>37</v>
      </c>
      <c r="Q284" s="220" t="s">
        <v>421</v>
      </c>
      <c r="R284" s="220" t="s">
        <v>37</v>
      </c>
      <c r="S284" s="221">
        <v>2025</v>
      </c>
      <c r="T284" s="216" t="s">
        <v>1315</v>
      </c>
      <c r="U284" s="216"/>
      <c r="V284" s="217"/>
      <c r="W284" s="237"/>
      <c r="X284" s="220">
        <v>1</v>
      </c>
      <c r="Y284" s="248"/>
      <c r="Z284" s="248"/>
      <c r="AA284" s="248"/>
      <c r="AB284" s="248"/>
      <c r="AC284" s="248"/>
      <c r="AD284" s="248"/>
      <c r="AE284" s="248"/>
      <c r="AF284" s="244"/>
      <c r="AG284" s="248"/>
      <c r="AH284" s="248"/>
      <c r="AI284" s="248"/>
      <c r="AJ284" s="248" t="s">
        <v>422</v>
      </c>
    </row>
    <row r="285" spans="1:36" hidden="1">
      <c r="A285" s="216" t="s">
        <v>1478</v>
      </c>
      <c r="B285" s="216" t="s">
        <v>1479</v>
      </c>
      <c r="C285" s="216" t="s">
        <v>1310</v>
      </c>
      <c r="D285" s="216" t="s">
        <v>317</v>
      </c>
      <c r="E285" s="240" t="s">
        <v>1204</v>
      </c>
      <c r="F285" s="216" t="s">
        <v>1442</v>
      </c>
      <c r="G285" s="217" t="s">
        <v>1443</v>
      </c>
      <c r="H285" s="218">
        <v>202309270269</v>
      </c>
      <c r="I285" s="217">
        <v>74090</v>
      </c>
      <c r="J285" s="219">
        <v>2015</v>
      </c>
      <c r="K285" s="220">
        <v>10</v>
      </c>
      <c r="L285" s="220">
        <v>0</v>
      </c>
      <c r="M285" s="216" t="s">
        <v>439</v>
      </c>
      <c r="N285" s="216" t="s">
        <v>440</v>
      </c>
      <c r="O285" s="216" t="s">
        <v>464</v>
      </c>
      <c r="P285" s="216" t="s">
        <v>37</v>
      </c>
      <c r="Q285" s="220" t="s">
        <v>421</v>
      </c>
      <c r="R285" s="220" t="s">
        <v>37</v>
      </c>
      <c r="S285" s="221">
        <v>2026</v>
      </c>
      <c r="T285" s="216" t="s">
        <v>1315</v>
      </c>
      <c r="U285" s="216"/>
      <c r="V285" s="217"/>
      <c r="W285" s="237"/>
      <c r="X285" s="220">
        <v>1</v>
      </c>
      <c r="Y285" s="248"/>
      <c r="Z285" s="248"/>
      <c r="AA285" s="248"/>
      <c r="AB285" s="248"/>
      <c r="AC285" s="248"/>
      <c r="AD285" s="248"/>
      <c r="AE285" s="248"/>
      <c r="AF285" s="244"/>
      <c r="AG285" s="248"/>
      <c r="AH285" s="248"/>
      <c r="AI285" s="248"/>
      <c r="AJ285" s="248" t="s">
        <v>422</v>
      </c>
    </row>
    <row r="286" spans="1:36" hidden="1">
      <c r="A286" s="216" t="s">
        <v>1478</v>
      </c>
      <c r="B286" s="216" t="s">
        <v>1479</v>
      </c>
      <c r="C286" s="216" t="s">
        <v>1310</v>
      </c>
      <c r="D286" s="216" t="s">
        <v>317</v>
      </c>
      <c r="E286" s="240" t="s">
        <v>1204</v>
      </c>
      <c r="F286" s="216" t="s">
        <v>739</v>
      </c>
      <c r="G286" s="217" t="s">
        <v>748</v>
      </c>
      <c r="H286" s="218" t="s">
        <v>1444</v>
      </c>
      <c r="I286" s="217">
        <v>74214</v>
      </c>
      <c r="J286" s="219">
        <v>2015</v>
      </c>
      <c r="K286" s="220">
        <v>10</v>
      </c>
      <c r="L286" s="220">
        <v>0</v>
      </c>
      <c r="M286" s="216" t="s">
        <v>439</v>
      </c>
      <c r="N286" s="216" t="s">
        <v>440</v>
      </c>
      <c r="O286" s="216" t="s">
        <v>464</v>
      </c>
      <c r="P286" s="216" t="s">
        <v>37</v>
      </c>
      <c r="Q286" s="220" t="s">
        <v>421</v>
      </c>
      <c r="R286" s="220" t="s">
        <v>37</v>
      </c>
      <c r="S286" s="221">
        <v>2025</v>
      </c>
      <c r="T286" s="216" t="s">
        <v>1315</v>
      </c>
      <c r="U286" s="216"/>
      <c r="V286" s="217"/>
      <c r="W286" s="237"/>
      <c r="X286" s="220">
        <v>1</v>
      </c>
      <c r="Y286" s="248"/>
      <c r="Z286" s="248"/>
      <c r="AA286" s="248"/>
      <c r="AB286" s="248"/>
      <c r="AC286" s="248"/>
      <c r="AD286" s="248"/>
      <c r="AE286" s="248"/>
      <c r="AF286" s="244"/>
      <c r="AG286" s="248"/>
      <c r="AH286" s="248"/>
      <c r="AI286" s="248"/>
      <c r="AJ286" s="248" t="s">
        <v>422</v>
      </c>
    </row>
    <row r="287" spans="1:36" hidden="1">
      <c r="A287" s="216" t="s">
        <v>1478</v>
      </c>
      <c r="B287" s="216" t="s">
        <v>1479</v>
      </c>
      <c r="C287" s="216" t="s">
        <v>1310</v>
      </c>
      <c r="D287" s="216" t="s">
        <v>317</v>
      </c>
      <c r="E287" s="240" t="s">
        <v>1204</v>
      </c>
      <c r="F287" s="216" t="s">
        <v>1445</v>
      </c>
      <c r="G287" s="217" t="s">
        <v>1446</v>
      </c>
      <c r="H287" s="218"/>
      <c r="I287" s="217"/>
      <c r="J287" s="219">
        <v>2015</v>
      </c>
      <c r="K287" s="220">
        <v>10</v>
      </c>
      <c r="L287" s="220">
        <v>0</v>
      </c>
      <c r="M287" s="216" t="s">
        <v>439</v>
      </c>
      <c r="N287" s="216" t="s">
        <v>440</v>
      </c>
      <c r="O287" s="216" t="s">
        <v>464</v>
      </c>
      <c r="P287" s="216" t="s">
        <v>37</v>
      </c>
      <c r="Q287" s="220" t="s">
        <v>421</v>
      </c>
      <c r="R287" s="220" t="s">
        <v>38</v>
      </c>
      <c r="S287" s="221">
        <v>2025</v>
      </c>
      <c r="T287" s="216" t="s">
        <v>1315</v>
      </c>
      <c r="U287" s="216" t="s">
        <v>1328</v>
      </c>
      <c r="V287" s="217"/>
      <c r="W287" s="237">
        <v>140953.44827586206</v>
      </c>
      <c r="X287" s="220">
        <v>1</v>
      </c>
      <c r="Y287" s="248"/>
      <c r="Z287" s="248"/>
      <c r="AA287" s="248"/>
      <c r="AB287" s="248"/>
      <c r="AC287" s="248"/>
      <c r="AD287" s="248"/>
      <c r="AE287" s="248"/>
      <c r="AF287" s="244"/>
      <c r="AG287" s="248"/>
      <c r="AH287" s="248"/>
      <c r="AI287" s="248"/>
      <c r="AJ287" s="248" t="s">
        <v>422</v>
      </c>
    </row>
    <row r="288" spans="1:36" hidden="1">
      <c r="A288" s="216" t="s">
        <v>1478</v>
      </c>
      <c r="B288" s="216" t="s">
        <v>1479</v>
      </c>
      <c r="C288" s="216" t="s">
        <v>1310</v>
      </c>
      <c r="D288" s="216" t="s">
        <v>317</v>
      </c>
      <c r="E288" s="240" t="s">
        <v>1204</v>
      </c>
      <c r="F288" s="216" t="s">
        <v>739</v>
      </c>
      <c r="G288" s="217" t="s">
        <v>1447</v>
      </c>
      <c r="H288" s="218" t="s">
        <v>1448</v>
      </c>
      <c r="I288" s="217"/>
      <c r="J288" s="219">
        <v>2015</v>
      </c>
      <c r="K288" s="220">
        <v>10</v>
      </c>
      <c r="L288" s="220">
        <v>0</v>
      </c>
      <c r="M288" s="216" t="s">
        <v>439</v>
      </c>
      <c r="N288" s="216" t="s">
        <v>440</v>
      </c>
      <c r="O288" s="216" t="s">
        <v>464</v>
      </c>
      <c r="P288" s="216" t="s">
        <v>37</v>
      </c>
      <c r="Q288" s="220" t="s">
        <v>421</v>
      </c>
      <c r="R288" s="220" t="s">
        <v>38</v>
      </c>
      <c r="S288" s="221">
        <v>2025</v>
      </c>
      <c r="T288" s="216" t="s">
        <v>1315</v>
      </c>
      <c r="U288" s="216" t="s">
        <v>1328</v>
      </c>
      <c r="V288" s="217"/>
      <c r="W288" s="237">
        <v>140953.44827586206</v>
      </c>
      <c r="X288" s="220">
        <v>1</v>
      </c>
      <c r="Y288" s="248"/>
      <c r="Z288" s="248"/>
      <c r="AA288" s="248"/>
      <c r="AB288" s="248"/>
      <c r="AC288" s="248"/>
      <c r="AD288" s="248"/>
      <c r="AE288" s="248"/>
      <c r="AF288" s="244"/>
      <c r="AG288" s="248"/>
      <c r="AH288" s="248"/>
      <c r="AI288" s="248"/>
      <c r="AJ288" s="248" t="s">
        <v>422</v>
      </c>
    </row>
    <row r="289" spans="1:36" hidden="1">
      <c r="A289" s="216" t="s">
        <v>1478</v>
      </c>
      <c r="B289" s="216" t="s">
        <v>1479</v>
      </c>
      <c r="C289" s="216" t="s">
        <v>1310</v>
      </c>
      <c r="D289" s="216" t="s">
        <v>317</v>
      </c>
      <c r="E289" s="240" t="s">
        <v>1204</v>
      </c>
      <c r="F289" s="216" t="s">
        <v>1438</v>
      </c>
      <c r="G289" s="217" t="s">
        <v>1449</v>
      </c>
      <c r="H289" s="218" t="s">
        <v>1450</v>
      </c>
      <c r="I289" s="217">
        <v>74094</v>
      </c>
      <c r="J289" s="219">
        <v>2015</v>
      </c>
      <c r="K289" s="220">
        <v>10</v>
      </c>
      <c r="L289" s="220">
        <v>0</v>
      </c>
      <c r="M289" s="216" t="s">
        <v>439</v>
      </c>
      <c r="N289" s="216" t="s">
        <v>440</v>
      </c>
      <c r="O289" s="216" t="s">
        <v>464</v>
      </c>
      <c r="P289" s="216" t="s">
        <v>37</v>
      </c>
      <c r="Q289" s="220" t="s">
        <v>421</v>
      </c>
      <c r="R289" s="220" t="s">
        <v>37</v>
      </c>
      <c r="S289" s="221">
        <v>2025</v>
      </c>
      <c r="T289" s="216" t="s">
        <v>1315</v>
      </c>
      <c r="U289" s="216"/>
      <c r="V289" s="217"/>
      <c r="W289" s="237"/>
      <c r="X289" s="220">
        <v>1</v>
      </c>
      <c r="Y289" s="248"/>
      <c r="Z289" s="248"/>
      <c r="AA289" s="248"/>
      <c r="AB289" s="248"/>
      <c r="AC289" s="248"/>
      <c r="AD289" s="248"/>
      <c r="AE289" s="248"/>
      <c r="AF289" s="244"/>
      <c r="AG289" s="248"/>
      <c r="AH289" s="248"/>
      <c r="AI289" s="248"/>
      <c r="AJ289" s="248" t="s">
        <v>422</v>
      </c>
    </row>
    <row r="290" spans="1:36" hidden="1">
      <c r="A290" s="216" t="s">
        <v>1478</v>
      </c>
      <c r="B290" s="216" t="s">
        <v>1479</v>
      </c>
      <c r="C290" s="216" t="s">
        <v>1310</v>
      </c>
      <c r="D290" s="216" t="s">
        <v>317</v>
      </c>
      <c r="E290" s="240" t="s">
        <v>1204</v>
      </c>
      <c r="F290" s="216" t="s">
        <v>1438</v>
      </c>
      <c r="G290" s="217" t="s">
        <v>1451</v>
      </c>
      <c r="H290" s="218" t="s">
        <v>1452</v>
      </c>
      <c r="I290" s="217"/>
      <c r="J290" s="219">
        <v>2015</v>
      </c>
      <c r="K290" s="220">
        <v>10</v>
      </c>
      <c r="L290" s="220">
        <v>0</v>
      </c>
      <c r="M290" s="216" t="s">
        <v>439</v>
      </c>
      <c r="N290" s="216" t="s">
        <v>440</v>
      </c>
      <c r="O290" s="216" t="s">
        <v>464</v>
      </c>
      <c r="P290" s="216" t="s">
        <v>37</v>
      </c>
      <c r="Q290" s="220" t="s">
        <v>421</v>
      </c>
      <c r="R290" s="220" t="s">
        <v>38</v>
      </c>
      <c r="S290" s="221">
        <v>2025</v>
      </c>
      <c r="T290" s="216" t="s">
        <v>1315</v>
      </c>
      <c r="U290" s="216" t="s">
        <v>1328</v>
      </c>
      <c r="V290" s="217"/>
      <c r="W290" s="237">
        <v>140953.44827586206</v>
      </c>
      <c r="X290" s="220">
        <v>1</v>
      </c>
      <c r="Y290" s="248"/>
      <c r="Z290" s="248"/>
      <c r="AA290" s="248"/>
      <c r="AB290" s="248"/>
      <c r="AC290" s="248"/>
      <c r="AD290" s="248"/>
      <c r="AE290" s="248"/>
      <c r="AF290" s="244"/>
      <c r="AG290" s="248"/>
      <c r="AH290" s="248"/>
      <c r="AI290" s="248"/>
      <c r="AJ290" s="248" t="s">
        <v>422</v>
      </c>
    </row>
    <row r="291" spans="1:36" hidden="1">
      <c r="A291" s="216" t="s">
        <v>752</v>
      </c>
      <c r="B291" s="216" t="s">
        <v>829</v>
      </c>
      <c r="C291" s="216" t="s">
        <v>1310</v>
      </c>
      <c r="D291" s="216" t="s">
        <v>317</v>
      </c>
      <c r="E291" s="240" t="s">
        <v>1204</v>
      </c>
      <c r="F291" s="246" t="s">
        <v>739</v>
      </c>
      <c r="G291" s="245" t="s">
        <v>748</v>
      </c>
      <c r="H291" s="243" t="s">
        <v>1205</v>
      </c>
      <c r="I291" s="245">
        <v>75174</v>
      </c>
      <c r="J291" s="219">
        <v>2025</v>
      </c>
      <c r="K291" s="220">
        <v>10</v>
      </c>
      <c r="L291" s="220">
        <f t="shared" ref="L291:L296" si="12">K291-($B$9-J291)</f>
        <v>9</v>
      </c>
      <c r="M291" s="216" t="s">
        <v>439</v>
      </c>
      <c r="N291" s="216" t="s">
        <v>440</v>
      </c>
      <c r="O291" s="246" t="s">
        <v>464</v>
      </c>
      <c r="P291" s="216" t="s">
        <v>38</v>
      </c>
      <c r="Q291" s="220">
        <v>2027</v>
      </c>
      <c r="R291" s="220" t="s">
        <v>38</v>
      </c>
      <c r="S291" s="221">
        <v>2026</v>
      </c>
      <c r="T291" s="216" t="s">
        <v>1315</v>
      </c>
      <c r="U291" s="240" t="s">
        <v>1257</v>
      </c>
      <c r="V291" s="245"/>
      <c r="W291" s="237"/>
      <c r="X291" s="247">
        <v>1</v>
      </c>
      <c r="Y291" s="248"/>
      <c r="Z291" s="248"/>
      <c r="AA291" s="248"/>
      <c r="AB291" s="248"/>
      <c r="AC291" s="248"/>
      <c r="AD291" s="248"/>
      <c r="AE291" s="248" t="s">
        <v>422</v>
      </c>
      <c r="AF291" s="244"/>
      <c r="AG291" s="248"/>
      <c r="AH291" s="248"/>
      <c r="AI291" s="248"/>
      <c r="AJ291" s="221"/>
    </row>
    <row r="292" spans="1:36" hidden="1">
      <c r="A292" s="216" t="s">
        <v>752</v>
      </c>
      <c r="B292" s="216" t="s">
        <v>829</v>
      </c>
      <c r="C292" s="216" t="s">
        <v>1310</v>
      </c>
      <c r="D292" s="216" t="s">
        <v>317</v>
      </c>
      <c r="E292" s="240" t="s">
        <v>1206</v>
      </c>
      <c r="F292" s="246" t="s">
        <v>739</v>
      </c>
      <c r="G292" s="245" t="s">
        <v>748</v>
      </c>
      <c r="H292" s="243" t="s">
        <v>1207</v>
      </c>
      <c r="I292" s="245">
        <v>75177</v>
      </c>
      <c r="J292" s="219">
        <v>2025</v>
      </c>
      <c r="K292" s="220">
        <v>10</v>
      </c>
      <c r="L292" s="220">
        <f t="shared" si="12"/>
        <v>9</v>
      </c>
      <c r="M292" s="216" t="s">
        <v>439</v>
      </c>
      <c r="N292" s="216" t="s">
        <v>440</v>
      </c>
      <c r="O292" s="246" t="s">
        <v>464</v>
      </c>
      <c r="P292" s="216" t="s">
        <v>38</v>
      </c>
      <c r="Q292" s="220">
        <v>2027</v>
      </c>
      <c r="R292" s="220" t="s">
        <v>38</v>
      </c>
      <c r="S292" s="221">
        <v>2026</v>
      </c>
      <c r="T292" s="216" t="s">
        <v>1315</v>
      </c>
      <c r="U292" s="240" t="s">
        <v>1257</v>
      </c>
      <c r="V292" s="245"/>
      <c r="W292" s="237"/>
      <c r="X292" s="247">
        <v>1</v>
      </c>
      <c r="Y292" s="248"/>
      <c r="Z292" s="248"/>
      <c r="AA292" s="248"/>
      <c r="AB292" s="248"/>
      <c r="AC292" s="248"/>
      <c r="AD292" s="248"/>
      <c r="AE292" s="248" t="s">
        <v>422</v>
      </c>
      <c r="AF292" s="244"/>
      <c r="AG292" s="248"/>
      <c r="AH292" s="248"/>
      <c r="AI292" s="248"/>
      <c r="AJ292" s="221"/>
    </row>
    <row r="293" spans="1:36" hidden="1">
      <c r="A293" s="216" t="s">
        <v>507</v>
      </c>
      <c r="B293" s="216" t="s">
        <v>830</v>
      </c>
      <c r="C293" s="216" t="s">
        <v>1310</v>
      </c>
      <c r="D293" s="216" t="s">
        <v>317</v>
      </c>
      <c r="E293" s="240" t="s">
        <v>1206</v>
      </c>
      <c r="F293" s="246" t="s">
        <v>739</v>
      </c>
      <c r="G293" s="245" t="s">
        <v>748</v>
      </c>
      <c r="H293" s="243" t="s">
        <v>1208</v>
      </c>
      <c r="I293" s="245">
        <v>75181</v>
      </c>
      <c r="J293" s="219">
        <v>2025</v>
      </c>
      <c r="K293" s="220">
        <v>10</v>
      </c>
      <c r="L293" s="220">
        <f t="shared" si="12"/>
        <v>9</v>
      </c>
      <c r="M293" s="216" t="s">
        <v>439</v>
      </c>
      <c r="N293" s="216" t="s">
        <v>440</v>
      </c>
      <c r="O293" s="216" t="s">
        <v>464</v>
      </c>
      <c r="P293" s="216" t="s">
        <v>38</v>
      </c>
      <c r="Q293" s="220">
        <v>2027</v>
      </c>
      <c r="R293" s="220" t="s">
        <v>38</v>
      </c>
      <c r="S293" s="221">
        <v>2026</v>
      </c>
      <c r="T293" s="216" t="s">
        <v>1315</v>
      </c>
      <c r="U293" s="240" t="s">
        <v>1257</v>
      </c>
      <c r="V293" s="245"/>
      <c r="W293" s="237"/>
      <c r="X293" s="247">
        <v>1</v>
      </c>
      <c r="Y293" s="248"/>
      <c r="Z293" s="248"/>
      <c r="AA293" s="248"/>
      <c r="AB293" s="248"/>
      <c r="AC293" s="248"/>
      <c r="AD293" s="248"/>
      <c r="AE293" s="248" t="s">
        <v>422</v>
      </c>
      <c r="AF293" s="244"/>
      <c r="AG293" s="248"/>
      <c r="AH293" s="248"/>
      <c r="AI293" s="248"/>
      <c r="AJ293" s="221"/>
    </row>
    <row r="294" spans="1:36" hidden="1">
      <c r="A294" s="216" t="s">
        <v>831</v>
      </c>
      <c r="B294" s="216" t="s">
        <v>832</v>
      </c>
      <c r="C294" s="216" t="s">
        <v>1310</v>
      </c>
      <c r="D294" s="216" t="s">
        <v>317</v>
      </c>
      <c r="E294" s="240" t="s">
        <v>1206</v>
      </c>
      <c r="F294" s="246" t="s">
        <v>740</v>
      </c>
      <c r="G294" s="245" t="s">
        <v>1209</v>
      </c>
      <c r="H294" s="243">
        <v>240102688</v>
      </c>
      <c r="I294" s="245">
        <v>75213</v>
      </c>
      <c r="J294" s="219">
        <v>2025</v>
      </c>
      <c r="K294" s="220">
        <v>10</v>
      </c>
      <c r="L294" s="220">
        <f t="shared" si="12"/>
        <v>9</v>
      </c>
      <c r="M294" s="216" t="s">
        <v>439</v>
      </c>
      <c r="N294" s="216" t="s">
        <v>440</v>
      </c>
      <c r="O294" s="246" t="s">
        <v>464</v>
      </c>
      <c r="P294" s="216" t="s">
        <v>38</v>
      </c>
      <c r="Q294" s="220">
        <v>2027</v>
      </c>
      <c r="R294" s="220" t="s">
        <v>38</v>
      </c>
      <c r="S294" s="221">
        <v>2026</v>
      </c>
      <c r="T294" s="216" t="s">
        <v>1315</v>
      </c>
      <c r="U294" s="240" t="s">
        <v>1257</v>
      </c>
      <c r="V294" s="245"/>
      <c r="W294" s="237"/>
      <c r="X294" s="247">
        <v>1</v>
      </c>
      <c r="Y294" s="248"/>
      <c r="Z294" s="248"/>
      <c r="AA294" s="248"/>
      <c r="AB294" s="248"/>
      <c r="AC294" s="248"/>
      <c r="AD294" s="248"/>
      <c r="AE294" s="248" t="s">
        <v>422</v>
      </c>
      <c r="AF294" s="244"/>
      <c r="AG294" s="248"/>
      <c r="AH294" s="248"/>
      <c r="AI294" s="248"/>
      <c r="AJ294" s="221"/>
    </row>
    <row r="295" spans="1:36" hidden="1">
      <c r="A295" s="242" t="s">
        <v>1307</v>
      </c>
      <c r="B295" s="216" t="s">
        <v>833</v>
      </c>
      <c r="C295" s="216" t="s">
        <v>1310</v>
      </c>
      <c r="D295" s="216" t="s">
        <v>317</v>
      </c>
      <c r="E295" s="240" t="s">
        <v>1206</v>
      </c>
      <c r="F295" s="246" t="s">
        <v>739</v>
      </c>
      <c r="G295" s="245" t="s">
        <v>748</v>
      </c>
      <c r="H295" s="243" t="s">
        <v>1210</v>
      </c>
      <c r="I295" s="245">
        <v>75182</v>
      </c>
      <c r="J295" s="219">
        <v>2025</v>
      </c>
      <c r="K295" s="220">
        <v>10</v>
      </c>
      <c r="L295" s="220">
        <f t="shared" si="12"/>
        <v>9</v>
      </c>
      <c r="M295" s="216" t="s">
        <v>439</v>
      </c>
      <c r="N295" s="216" t="s">
        <v>440</v>
      </c>
      <c r="O295" s="246" t="s">
        <v>464</v>
      </c>
      <c r="P295" s="216" t="s">
        <v>38</v>
      </c>
      <c r="Q295" s="220">
        <v>2027</v>
      </c>
      <c r="R295" s="220" t="s">
        <v>38</v>
      </c>
      <c r="S295" s="221">
        <v>2026</v>
      </c>
      <c r="T295" s="216" t="s">
        <v>1315</v>
      </c>
      <c r="U295" s="240" t="s">
        <v>1294</v>
      </c>
      <c r="V295" s="245"/>
      <c r="W295" s="237"/>
      <c r="X295" s="247">
        <v>1</v>
      </c>
      <c r="Y295" s="248"/>
      <c r="Z295" s="248"/>
      <c r="AA295" s="248"/>
      <c r="AB295" s="248"/>
      <c r="AC295" s="248"/>
      <c r="AD295" s="248" t="s">
        <v>422</v>
      </c>
      <c r="AE295" s="248"/>
      <c r="AF295" s="244"/>
      <c r="AG295" s="248"/>
      <c r="AH295" s="248"/>
      <c r="AI295" s="248"/>
      <c r="AJ295" s="221"/>
    </row>
    <row r="296" spans="1:36" hidden="1">
      <c r="A296" s="216" t="s">
        <v>507</v>
      </c>
      <c r="B296" s="216" t="s">
        <v>750</v>
      </c>
      <c r="C296" s="216" t="s">
        <v>1310</v>
      </c>
      <c r="D296" s="216" t="s">
        <v>317</v>
      </c>
      <c r="E296" s="240" t="s">
        <v>1206</v>
      </c>
      <c r="F296" s="246" t="s">
        <v>739</v>
      </c>
      <c r="G296" s="245" t="s">
        <v>748</v>
      </c>
      <c r="H296" s="243" t="s">
        <v>1211</v>
      </c>
      <c r="I296" s="245">
        <v>75183</v>
      </c>
      <c r="J296" s="219">
        <v>2025</v>
      </c>
      <c r="K296" s="220">
        <v>10</v>
      </c>
      <c r="L296" s="220">
        <f t="shared" si="12"/>
        <v>9</v>
      </c>
      <c r="M296" s="216" t="s">
        <v>439</v>
      </c>
      <c r="N296" s="216" t="s">
        <v>440</v>
      </c>
      <c r="O296" s="216" t="s">
        <v>464</v>
      </c>
      <c r="P296" s="216" t="s">
        <v>38</v>
      </c>
      <c r="Q296" s="220">
        <v>2027</v>
      </c>
      <c r="R296" s="220" t="s">
        <v>38</v>
      </c>
      <c r="S296" s="221">
        <v>2026</v>
      </c>
      <c r="T296" s="216" t="s">
        <v>1315</v>
      </c>
      <c r="U296" s="240" t="s">
        <v>1294</v>
      </c>
      <c r="V296" s="245"/>
      <c r="W296" s="237"/>
      <c r="X296" s="247">
        <v>1</v>
      </c>
      <c r="Y296" s="248"/>
      <c r="Z296" s="248"/>
      <c r="AA296" s="248"/>
      <c r="AB296" s="248"/>
      <c r="AC296" s="248"/>
      <c r="AD296" s="248" t="s">
        <v>422</v>
      </c>
      <c r="AE296" s="248"/>
      <c r="AF296" s="244"/>
      <c r="AG296" s="248"/>
      <c r="AH296" s="248"/>
      <c r="AI296" s="248"/>
      <c r="AJ296" s="221"/>
    </row>
    <row r="297" spans="1:36" hidden="1">
      <c r="A297" s="216" t="s">
        <v>1478</v>
      </c>
      <c r="B297" s="216" t="s">
        <v>1479</v>
      </c>
      <c r="C297" s="216" t="s">
        <v>1310</v>
      </c>
      <c r="D297" s="216" t="s">
        <v>317</v>
      </c>
      <c r="E297" s="240" t="s">
        <v>1206</v>
      </c>
      <c r="F297" s="216" t="s">
        <v>739</v>
      </c>
      <c r="G297" s="217" t="s">
        <v>1453</v>
      </c>
      <c r="H297" s="218" t="s">
        <v>1454</v>
      </c>
      <c r="I297" s="217">
        <v>74099</v>
      </c>
      <c r="J297" s="219">
        <v>2015</v>
      </c>
      <c r="K297" s="220">
        <v>10</v>
      </c>
      <c r="L297" s="220">
        <v>0</v>
      </c>
      <c r="M297" s="216" t="s">
        <v>439</v>
      </c>
      <c r="N297" s="216" t="s">
        <v>440</v>
      </c>
      <c r="O297" s="216" t="s">
        <v>464</v>
      </c>
      <c r="P297" s="216" t="s">
        <v>37</v>
      </c>
      <c r="Q297" s="220" t="s">
        <v>421</v>
      </c>
      <c r="R297" s="220" t="s">
        <v>38</v>
      </c>
      <c r="S297" s="221">
        <v>2025</v>
      </c>
      <c r="T297" s="216" t="s">
        <v>1315</v>
      </c>
      <c r="U297" s="216" t="s">
        <v>1328</v>
      </c>
      <c r="V297" s="217"/>
      <c r="W297" s="237">
        <v>106018.18181818182</v>
      </c>
      <c r="X297" s="220">
        <v>1</v>
      </c>
      <c r="Y297" s="248"/>
      <c r="Z297" s="248"/>
      <c r="AA297" s="248"/>
      <c r="AB297" s="248"/>
      <c r="AC297" s="248"/>
      <c r="AD297" s="248"/>
      <c r="AE297" s="248"/>
      <c r="AF297" s="244"/>
      <c r="AG297" s="248"/>
      <c r="AH297" s="248"/>
      <c r="AI297" s="248"/>
      <c r="AJ297" s="248" t="s">
        <v>422</v>
      </c>
    </row>
    <row r="298" spans="1:36" hidden="1">
      <c r="A298" s="242" t="s">
        <v>1307</v>
      </c>
      <c r="B298" s="216" t="s">
        <v>771</v>
      </c>
      <c r="C298" s="216" t="s">
        <v>1310</v>
      </c>
      <c r="D298" s="216" t="s">
        <v>317</v>
      </c>
      <c r="E298" s="240" t="s">
        <v>1212</v>
      </c>
      <c r="F298" s="246" t="s">
        <v>740</v>
      </c>
      <c r="G298" s="245" t="s">
        <v>1213</v>
      </c>
      <c r="H298" s="243">
        <v>240502406</v>
      </c>
      <c r="I298" s="245">
        <v>75220</v>
      </c>
      <c r="J298" s="219">
        <v>2025</v>
      </c>
      <c r="K298" s="220">
        <v>10</v>
      </c>
      <c r="L298" s="220">
        <f t="shared" ref="L298:L306" si="13">K298-($B$9-J298)</f>
        <v>9</v>
      </c>
      <c r="M298" s="216" t="s">
        <v>439</v>
      </c>
      <c r="N298" s="216" t="s">
        <v>440</v>
      </c>
      <c r="O298" s="246" t="s">
        <v>464</v>
      </c>
      <c r="P298" s="216" t="s">
        <v>38</v>
      </c>
      <c r="Q298" s="220">
        <v>2027</v>
      </c>
      <c r="R298" s="220" t="s">
        <v>38</v>
      </c>
      <c r="S298" s="221">
        <v>2026</v>
      </c>
      <c r="T298" s="216" t="s">
        <v>1315</v>
      </c>
      <c r="U298" s="240" t="s">
        <v>1257</v>
      </c>
      <c r="V298" s="245"/>
      <c r="W298" s="237"/>
      <c r="X298" s="247">
        <v>1</v>
      </c>
      <c r="Y298" s="248"/>
      <c r="Z298" s="248"/>
      <c r="AA298" s="248"/>
      <c r="AB298" s="248"/>
      <c r="AC298" s="248"/>
      <c r="AD298" s="248"/>
      <c r="AE298" s="248" t="s">
        <v>422</v>
      </c>
      <c r="AF298" s="244"/>
      <c r="AG298" s="248"/>
      <c r="AH298" s="248"/>
      <c r="AI298" s="248"/>
      <c r="AJ298" s="221"/>
    </row>
    <row r="299" spans="1:36" hidden="1">
      <c r="A299" s="216" t="s">
        <v>762</v>
      </c>
      <c r="B299" s="216" t="s">
        <v>801</v>
      </c>
      <c r="C299" s="216" t="s">
        <v>1310</v>
      </c>
      <c r="D299" s="216" t="s">
        <v>317</v>
      </c>
      <c r="E299" s="240" t="s">
        <v>1212</v>
      </c>
      <c r="F299" s="246" t="s">
        <v>740</v>
      </c>
      <c r="G299" s="245" t="s">
        <v>1213</v>
      </c>
      <c r="H299" s="243">
        <v>240600154</v>
      </c>
      <c r="I299" s="245">
        <v>75211</v>
      </c>
      <c r="J299" s="219">
        <v>2025</v>
      </c>
      <c r="K299" s="220">
        <v>10</v>
      </c>
      <c r="L299" s="220">
        <f t="shared" si="13"/>
        <v>9</v>
      </c>
      <c r="M299" s="216" t="s">
        <v>439</v>
      </c>
      <c r="N299" s="216" t="s">
        <v>440</v>
      </c>
      <c r="O299" s="246" t="s">
        <v>464</v>
      </c>
      <c r="P299" s="216" t="s">
        <v>38</v>
      </c>
      <c r="Q299" s="220">
        <v>2027</v>
      </c>
      <c r="R299" s="220" t="s">
        <v>38</v>
      </c>
      <c r="S299" s="221">
        <v>2026</v>
      </c>
      <c r="T299" s="216" t="s">
        <v>1315</v>
      </c>
      <c r="U299" s="240" t="s">
        <v>1294</v>
      </c>
      <c r="V299" s="245"/>
      <c r="W299" s="237"/>
      <c r="X299" s="247">
        <v>1</v>
      </c>
      <c r="Y299" s="248"/>
      <c r="Z299" s="248"/>
      <c r="AA299" s="248"/>
      <c r="AB299" s="248"/>
      <c r="AC299" s="248"/>
      <c r="AD299" s="248" t="s">
        <v>422</v>
      </c>
      <c r="AE299" s="248"/>
      <c r="AF299" s="244"/>
      <c r="AG299" s="248"/>
      <c r="AH299" s="248"/>
      <c r="AI299" s="248"/>
      <c r="AJ299" s="221"/>
    </row>
    <row r="300" spans="1:36" hidden="1">
      <c r="A300" s="216" t="s">
        <v>507</v>
      </c>
      <c r="B300" s="216" t="s">
        <v>819</v>
      </c>
      <c r="C300" s="216" t="s">
        <v>1310</v>
      </c>
      <c r="D300" s="216" t="s">
        <v>317</v>
      </c>
      <c r="E300" s="240" t="s">
        <v>1212</v>
      </c>
      <c r="F300" s="246" t="s">
        <v>739</v>
      </c>
      <c r="G300" s="245" t="s">
        <v>1214</v>
      </c>
      <c r="H300" s="243" t="s">
        <v>1215</v>
      </c>
      <c r="I300" s="245">
        <v>75180</v>
      </c>
      <c r="J300" s="219">
        <v>2025</v>
      </c>
      <c r="K300" s="220">
        <v>10</v>
      </c>
      <c r="L300" s="220">
        <f t="shared" si="13"/>
        <v>9</v>
      </c>
      <c r="M300" s="216" t="s">
        <v>439</v>
      </c>
      <c r="N300" s="216" t="s">
        <v>440</v>
      </c>
      <c r="O300" s="216" t="s">
        <v>464</v>
      </c>
      <c r="P300" s="216" t="s">
        <v>38</v>
      </c>
      <c r="Q300" s="220">
        <v>2027</v>
      </c>
      <c r="R300" s="220" t="s">
        <v>38</v>
      </c>
      <c r="S300" s="221">
        <v>2026</v>
      </c>
      <c r="T300" s="216" t="s">
        <v>1315</v>
      </c>
      <c r="U300" s="240" t="s">
        <v>1294</v>
      </c>
      <c r="V300" s="245"/>
      <c r="W300" s="237"/>
      <c r="X300" s="247">
        <v>1</v>
      </c>
      <c r="Y300" s="248"/>
      <c r="Z300" s="248"/>
      <c r="AA300" s="248"/>
      <c r="AB300" s="248"/>
      <c r="AC300" s="248"/>
      <c r="AD300" s="248" t="s">
        <v>422</v>
      </c>
      <c r="AE300" s="248"/>
      <c r="AF300" s="244"/>
      <c r="AG300" s="248"/>
      <c r="AH300" s="248"/>
      <c r="AI300" s="248"/>
      <c r="AJ300" s="221"/>
    </row>
    <row r="301" spans="1:36" hidden="1">
      <c r="A301" s="216" t="s">
        <v>752</v>
      </c>
      <c r="B301" s="216" t="s">
        <v>834</v>
      </c>
      <c r="C301" s="216" t="s">
        <v>1310</v>
      </c>
      <c r="D301" s="216" t="s">
        <v>317</v>
      </c>
      <c r="E301" s="240" t="s">
        <v>1216</v>
      </c>
      <c r="F301" s="246" t="s">
        <v>739</v>
      </c>
      <c r="G301" s="245" t="s">
        <v>1217</v>
      </c>
      <c r="H301" s="243" t="s">
        <v>1218</v>
      </c>
      <c r="I301" s="245">
        <v>75990</v>
      </c>
      <c r="J301" s="219">
        <v>2025</v>
      </c>
      <c r="K301" s="220">
        <v>10</v>
      </c>
      <c r="L301" s="220">
        <f t="shared" si="13"/>
        <v>9</v>
      </c>
      <c r="M301" s="216" t="s">
        <v>439</v>
      </c>
      <c r="N301" s="216" t="s">
        <v>440</v>
      </c>
      <c r="O301" s="246" t="s">
        <v>464</v>
      </c>
      <c r="P301" s="216" t="s">
        <v>38</v>
      </c>
      <c r="Q301" s="220">
        <v>2027</v>
      </c>
      <c r="R301" s="220" t="s">
        <v>38</v>
      </c>
      <c r="S301" s="221">
        <v>2026</v>
      </c>
      <c r="T301" s="216" t="s">
        <v>1315</v>
      </c>
      <c r="U301" s="240" t="s">
        <v>1257</v>
      </c>
      <c r="V301" s="245"/>
      <c r="W301" s="237"/>
      <c r="X301" s="247">
        <v>1</v>
      </c>
      <c r="Y301" s="248"/>
      <c r="Z301" s="248"/>
      <c r="AA301" s="248"/>
      <c r="AB301" s="248"/>
      <c r="AC301" s="248"/>
      <c r="AD301" s="248"/>
      <c r="AE301" s="248" t="s">
        <v>422</v>
      </c>
      <c r="AF301" s="244"/>
      <c r="AG301" s="248"/>
      <c r="AH301" s="248"/>
      <c r="AI301" s="248"/>
      <c r="AJ301" s="221"/>
    </row>
    <row r="302" spans="1:36" hidden="1">
      <c r="A302" s="216" t="s">
        <v>752</v>
      </c>
      <c r="B302" s="216" t="s">
        <v>834</v>
      </c>
      <c r="C302" s="216" t="s">
        <v>1310</v>
      </c>
      <c r="D302" s="216" t="s">
        <v>317</v>
      </c>
      <c r="E302" s="240" t="s">
        <v>1216</v>
      </c>
      <c r="F302" s="246" t="s">
        <v>739</v>
      </c>
      <c r="G302" s="245" t="s">
        <v>1217</v>
      </c>
      <c r="H302" s="243" t="s">
        <v>1219</v>
      </c>
      <c r="I302" s="245">
        <v>75991</v>
      </c>
      <c r="J302" s="219">
        <v>2025</v>
      </c>
      <c r="K302" s="220">
        <v>10</v>
      </c>
      <c r="L302" s="220">
        <f t="shared" si="13"/>
        <v>9</v>
      </c>
      <c r="M302" s="216" t="s">
        <v>439</v>
      </c>
      <c r="N302" s="216" t="s">
        <v>440</v>
      </c>
      <c r="O302" s="246" t="s">
        <v>464</v>
      </c>
      <c r="P302" s="216" t="s">
        <v>38</v>
      </c>
      <c r="Q302" s="220">
        <v>2027</v>
      </c>
      <c r="R302" s="220" t="s">
        <v>38</v>
      </c>
      <c r="S302" s="221">
        <v>2026</v>
      </c>
      <c r="T302" s="216" t="s">
        <v>1315</v>
      </c>
      <c r="U302" s="240" t="s">
        <v>1257</v>
      </c>
      <c r="V302" s="245"/>
      <c r="W302" s="237"/>
      <c r="X302" s="247">
        <v>1</v>
      </c>
      <c r="Y302" s="248"/>
      <c r="Z302" s="248"/>
      <c r="AA302" s="248"/>
      <c r="AB302" s="248"/>
      <c r="AC302" s="248"/>
      <c r="AD302" s="248"/>
      <c r="AE302" s="248" t="s">
        <v>422</v>
      </c>
      <c r="AF302" s="244"/>
      <c r="AG302" s="248"/>
      <c r="AH302" s="248"/>
      <c r="AI302" s="248"/>
      <c r="AJ302" s="221"/>
    </row>
    <row r="303" spans="1:36" hidden="1">
      <c r="A303" s="216" t="s">
        <v>760</v>
      </c>
      <c r="B303" s="216" t="s">
        <v>779</v>
      </c>
      <c r="C303" s="216" t="s">
        <v>1313</v>
      </c>
      <c r="D303" s="216" t="s">
        <v>1311</v>
      </c>
      <c r="E303" s="240" t="s">
        <v>1220</v>
      </c>
      <c r="F303" s="246"/>
      <c r="G303" s="245"/>
      <c r="H303" s="243"/>
      <c r="I303" s="245">
        <v>76485</v>
      </c>
      <c r="J303" s="219">
        <v>2025</v>
      </c>
      <c r="K303" s="220">
        <v>10</v>
      </c>
      <c r="L303" s="220">
        <f t="shared" si="13"/>
        <v>9</v>
      </c>
      <c r="M303" s="216" t="s">
        <v>439</v>
      </c>
      <c r="N303" s="216" t="s">
        <v>440</v>
      </c>
      <c r="O303" s="246" t="s">
        <v>421</v>
      </c>
      <c r="P303" s="216" t="s">
        <v>38</v>
      </c>
      <c r="Q303" s="220">
        <v>2026</v>
      </c>
      <c r="R303" s="220" t="s">
        <v>38</v>
      </c>
      <c r="S303" s="221">
        <v>2025</v>
      </c>
      <c r="T303" s="216" t="s">
        <v>1315</v>
      </c>
      <c r="U303" s="240" t="s">
        <v>323</v>
      </c>
      <c r="V303" s="245"/>
      <c r="W303" s="237"/>
      <c r="X303" s="247">
        <v>1</v>
      </c>
      <c r="Y303" s="248"/>
      <c r="Z303" s="248"/>
      <c r="AA303" s="248"/>
      <c r="AB303" s="248"/>
      <c r="AC303" s="248"/>
      <c r="AD303" s="248" t="s">
        <v>422</v>
      </c>
      <c r="AE303" s="248"/>
      <c r="AF303" s="244"/>
      <c r="AG303" s="248"/>
      <c r="AH303" s="248"/>
      <c r="AI303" s="248"/>
      <c r="AJ303" s="221"/>
    </row>
    <row r="304" spans="1:36" hidden="1">
      <c r="A304" s="216" t="s">
        <v>760</v>
      </c>
      <c r="B304" s="216" t="s">
        <v>774</v>
      </c>
      <c r="C304" s="216" t="s">
        <v>1313</v>
      </c>
      <c r="D304" s="216" t="s">
        <v>1311</v>
      </c>
      <c r="E304" s="240" t="s">
        <v>1221</v>
      </c>
      <c r="F304" s="246"/>
      <c r="G304" s="245"/>
      <c r="H304" s="243"/>
      <c r="I304" s="245">
        <v>76489</v>
      </c>
      <c r="J304" s="219">
        <v>2025</v>
      </c>
      <c r="K304" s="220">
        <v>10</v>
      </c>
      <c r="L304" s="220">
        <f t="shared" si="13"/>
        <v>9</v>
      </c>
      <c r="M304" s="216" t="s">
        <v>439</v>
      </c>
      <c r="N304" s="216" t="s">
        <v>440</v>
      </c>
      <c r="O304" s="246" t="s">
        <v>421</v>
      </c>
      <c r="P304" s="216" t="s">
        <v>38</v>
      </c>
      <c r="Q304" s="220">
        <v>2026</v>
      </c>
      <c r="R304" s="220" t="s">
        <v>38</v>
      </c>
      <c r="S304" s="221">
        <v>2025</v>
      </c>
      <c r="T304" s="216" t="s">
        <v>1315</v>
      </c>
      <c r="U304" s="240" t="s">
        <v>323</v>
      </c>
      <c r="V304" s="245"/>
      <c r="W304" s="237"/>
      <c r="X304" s="247">
        <v>1</v>
      </c>
      <c r="Y304" s="248"/>
      <c r="Z304" s="248"/>
      <c r="AA304" s="248"/>
      <c r="AB304" s="248"/>
      <c r="AC304" s="248"/>
      <c r="AD304" s="248" t="s">
        <v>422</v>
      </c>
      <c r="AE304" s="248"/>
      <c r="AF304" s="244"/>
      <c r="AG304" s="248"/>
      <c r="AH304" s="248"/>
      <c r="AI304" s="248"/>
      <c r="AJ304" s="221"/>
    </row>
    <row r="305" spans="1:36" hidden="1">
      <c r="A305" s="216" t="s">
        <v>808</v>
      </c>
      <c r="B305" s="216" t="s">
        <v>832</v>
      </c>
      <c r="C305" s="216" t="s">
        <v>1310</v>
      </c>
      <c r="D305" s="216" t="s">
        <v>317</v>
      </c>
      <c r="E305" s="240" t="s">
        <v>1222</v>
      </c>
      <c r="F305" s="246"/>
      <c r="G305" s="245"/>
      <c r="H305" s="243"/>
      <c r="I305" s="245">
        <v>76200</v>
      </c>
      <c r="J305" s="219">
        <v>2025</v>
      </c>
      <c r="K305" s="220">
        <v>10</v>
      </c>
      <c r="L305" s="220">
        <f t="shared" si="13"/>
        <v>9</v>
      </c>
      <c r="M305" s="216" t="s">
        <v>439</v>
      </c>
      <c r="N305" s="216" t="s">
        <v>440</v>
      </c>
      <c r="O305" s="246" t="s">
        <v>464</v>
      </c>
      <c r="P305" s="216" t="s">
        <v>38</v>
      </c>
      <c r="Q305" s="220">
        <v>2027</v>
      </c>
      <c r="R305" s="220" t="s">
        <v>38</v>
      </c>
      <c r="S305" s="221">
        <v>2026</v>
      </c>
      <c r="T305" s="216" t="s">
        <v>1315</v>
      </c>
      <c r="U305" s="240" t="s">
        <v>1294</v>
      </c>
      <c r="V305" s="245"/>
      <c r="W305" s="237"/>
      <c r="X305" s="247">
        <v>1</v>
      </c>
      <c r="Y305" s="248"/>
      <c r="Z305" s="248"/>
      <c r="AA305" s="248"/>
      <c r="AB305" s="248"/>
      <c r="AC305" s="248"/>
      <c r="AD305" s="248" t="s">
        <v>422</v>
      </c>
      <c r="AE305" s="248"/>
      <c r="AF305" s="244"/>
      <c r="AG305" s="248"/>
      <c r="AH305" s="248"/>
      <c r="AI305" s="248"/>
      <c r="AJ305" s="221"/>
    </row>
    <row r="306" spans="1:36" hidden="1">
      <c r="A306" s="216" t="s">
        <v>507</v>
      </c>
      <c r="B306" s="216" t="s">
        <v>750</v>
      </c>
      <c r="C306" s="216" t="s">
        <v>1310</v>
      </c>
      <c r="D306" s="216" t="s">
        <v>1311</v>
      </c>
      <c r="E306" s="240" t="s">
        <v>1223</v>
      </c>
      <c r="F306" s="246" t="s">
        <v>838</v>
      </c>
      <c r="G306" s="245" t="s">
        <v>1224</v>
      </c>
      <c r="H306" s="243" t="s">
        <v>1225</v>
      </c>
      <c r="I306" s="245">
        <v>75178</v>
      </c>
      <c r="J306" s="219">
        <v>2025</v>
      </c>
      <c r="K306" s="220">
        <v>10</v>
      </c>
      <c r="L306" s="220">
        <f t="shared" si="13"/>
        <v>9</v>
      </c>
      <c r="M306" s="216" t="s">
        <v>439</v>
      </c>
      <c r="N306" s="216" t="s">
        <v>440</v>
      </c>
      <c r="O306" s="216" t="s">
        <v>464</v>
      </c>
      <c r="P306" s="216" t="s">
        <v>38</v>
      </c>
      <c r="Q306" s="220">
        <v>2026</v>
      </c>
      <c r="R306" s="220" t="s">
        <v>38</v>
      </c>
      <c r="S306" s="221">
        <v>2026</v>
      </c>
      <c r="T306" s="216" t="s">
        <v>1315</v>
      </c>
      <c r="U306" s="240" t="s">
        <v>1257</v>
      </c>
      <c r="V306" s="245"/>
      <c r="W306" s="237"/>
      <c r="X306" s="247">
        <v>1</v>
      </c>
      <c r="Y306" s="248"/>
      <c r="Z306" s="248"/>
      <c r="AA306" s="248"/>
      <c r="AB306" s="248"/>
      <c r="AC306" s="248"/>
      <c r="AD306" s="248" t="s">
        <v>422</v>
      </c>
      <c r="AE306" s="248"/>
      <c r="AF306" s="244"/>
      <c r="AG306" s="248"/>
      <c r="AH306" s="248"/>
      <c r="AI306" s="248"/>
      <c r="AJ306" s="221"/>
    </row>
    <row r="307" spans="1:36" hidden="1">
      <c r="A307" s="216" t="s">
        <v>1478</v>
      </c>
      <c r="B307" s="216" t="s">
        <v>1479</v>
      </c>
      <c r="C307" s="216" t="s">
        <v>1314</v>
      </c>
      <c r="D307" s="216" t="s">
        <v>28</v>
      </c>
      <c r="E307" s="216" t="s">
        <v>1455</v>
      </c>
      <c r="F307" s="216" t="s">
        <v>1456</v>
      </c>
      <c r="G307" s="217" t="s">
        <v>1457</v>
      </c>
      <c r="H307" s="218">
        <v>361270105153</v>
      </c>
      <c r="I307" s="217">
        <v>74069</v>
      </c>
      <c r="J307" s="219">
        <v>2015</v>
      </c>
      <c r="K307" s="220">
        <v>10</v>
      </c>
      <c r="L307" s="220">
        <v>0</v>
      </c>
      <c r="M307" s="216" t="s">
        <v>439</v>
      </c>
      <c r="N307" s="216" t="s">
        <v>440</v>
      </c>
      <c r="O307" s="216" t="s">
        <v>464</v>
      </c>
      <c r="P307" s="216" t="s">
        <v>37</v>
      </c>
      <c r="Q307" s="220" t="s">
        <v>421</v>
      </c>
      <c r="R307" s="220" t="s">
        <v>38</v>
      </c>
      <c r="S307" s="221">
        <v>2025</v>
      </c>
      <c r="T307" s="216" t="s">
        <v>1315</v>
      </c>
      <c r="U307" s="216" t="s">
        <v>1458</v>
      </c>
      <c r="V307" s="217"/>
      <c r="W307" s="237"/>
      <c r="X307" s="220">
        <v>1</v>
      </c>
      <c r="Y307" s="248"/>
      <c r="Z307" s="248"/>
      <c r="AA307" s="248"/>
      <c r="AB307" s="248"/>
      <c r="AC307" s="248"/>
      <c r="AD307" s="248" t="s">
        <v>422</v>
      </c>
      <c r="AE307" s="248"/>
      <c r="AF307" s="244"/>
      <c r="AG307" s="248"/>
      <c r="AH307" s="248"/>
      <c r="AI307" s="248"/>
      <c r="AJ307" s="248"/>
    </row>
    <row r="308" spans="1:36" hidden="1">
      <c r="A308" s="216" t="s">
        <v>1478</v>
      </c>
      <c r="B308" s="216" t="s">
        <v>1479</v>
      </c>
      <c r="C308" s="216" t="s">
        <v>442</v>
      </c>
      <c r="D308" s="216" t="s">
        <v>28</v>
      </c>
      <c r="E308" s="216" t="s">
        <v>1459</v>
      </c>
      <c r="F308" s="216" t="s">
        <v>1460</v>
      </c>
      <c r="G308" s="217" t="s">
        <v>1461</v>
      </c>
      <c r="H308" s="218">
        <v>307638</v>
      </c>
      <c r="I308" s="217">
        <v>74068</v>
      </c>
      <c r="J308" s="219">
        <v>2015</v>
      </c>
      <c r="K308" s="220">
        <v>10</v>
      </c>
      <c r="L308" s="220">
        <v>0</v>
      </c>
      <c r="M308" s="216" t="s">
        <v>439</v>
      </c>
      <c r="N308" s="216" t="s">
        <v>440</v>
      </c>
      <c r="O308" s="216" t="s">
        <v>464</v>
      </c>
      <c r="P308" s="216" t="s">
        <v>37</v>
      </c>
      <c r="Q308" s="220" t="s">
        <v>421</v>
      </c>
      <c r="R308" s="220" t="s">
        <v>38</v>
      </c>
      <c r="S308" s="221">
        <v>2025</v>
      </c>
      <c r="T308" s="216" t="s">
        <v>1315</v>
      </c>
      <c r="U308" s="216" t="s">
        <v>1324</v>
      </c>
      <c r="V308" s="217"/>
      <c r="W308" s="237">
        <v>356000</v>
      </c>
      <c r="X308" s="220">
        <v>1</v>
      </c>
      <c r="Y308" s="248"/>
      <c r="Z308" s="248"/>
      <c r="AA308" s="248"/>
      <c r="AB308" s="248"/>
      <c r="AC308" s="248"/>
      <c r="AD308" s="248" t="s">
        <v>422</v>
      </c>
      <c r="AE308" s="248"/>
      <c r="AF308" s="244"/>
      <c r="AG308" s="248"/>
      <c r="AH308" s="248"/>
      <c r="AI308" s="248"/>
      <c r="AJ308" s="248"/>
    </row>
    <row r="309" spans="1:36" hidden="1">
      <c r="A309" s="216" t="s">
        <v>821</v>
      </c>
      <c r="B309" s="216" t="s">
        <v>817</v>
      </c>
      <c r="C309" s="216" t="s">
        <v>1310</v>
      </c>
      <c r="D309" s="216" t="s">
        <v>1311</v>
      </c>
      <c r="E309" s="240" t="s">
        <v>1226</v>
      </c>
      <c r="F309" s="246" t="s">
        <v>1227</v>
      </c>
      <c r="G309" s="245" t="s">
        <v>1228</v>
      </c>
      <c r="H309" s="243" t="s">
        <v>1229</v>
      </c>
      <c r="I309" s="245">
        <v>75048</v>
      </c>
      <c r="J309" s="219">
        <v>2025</v>
      </c>
      <c r="K309" s="220">
        <v>10</v>
      </c>
      <c r="L309" s="220">
        <f t="shared" ref="L309:L316" si="14">K309-($B$9-J309)</f>
        <v>9</v>
      </c>
      <c r="M309" s="216" t="s">
        <v>439</v>
      </c>
      <c r="N309" s="216" t="s">
        <v>440</v>
      </c>
      <c r="O309" s="246" t="s">
        <v>425</v>
      </c>
      <c r="P309" s="216" t="s">
        <v>38</v>
      </c>
      <c r="Q309" s="220">
        <v>2026</v>
      </c>
      <c r="R309" s="220" t="s">
        <v>38</v>
      </c>
      <c r="S309" s="221">
        <v>2026</v>
      </c>
      <c r="T309" s="216" t="s">
        <v>1315</v>
      </c>
      <c r="U309" s="240" t="s">
        <v>1295</v>
      </c>
      <c r="V309" s="245"/>
      <c r="W309" s="237"/>
      <c r="X309" s="247">
        <v>2</v>
      </c>
      <c r="Y309" s="248"/>
      <c r="Z309" s="248"/>
      <c r="AA309" s="248" t="s">
        <v>648</v>
      </c>
      <c r="AB309" s="248" t="s">
        <v>422</v>
      </c>
      <c r="AC309" s="248"/>
      <c r="AD309" s="248"/>
      <c r="AE309" s="248"/>
      <c r="AF309" s="244"/>
      <c r="AG309" s="248" t="s">
        <v>422</v>
      </c>
      <c r="AH309" s="248"/>
      <c r="AI309" s="248"/>
      <c r="AJ309" s="221"/>
    </row>
    <row r="310" spans="1:36" hidden="1">
      <c r="A310" s="216" t="s">
        <v>821</v>
      </c>
      <c r="B310" s="216" t="s">
        <v>817</v>
      </c>
      <c r="C310" s="216" t="s">
        <v>1310</v>
      </c>
      <c r="D310" s="216" t="s">
        <v>1311</v>
      </c>
      <c r="E310" s="240" t="s">
        <v>1226</v>
      </c>
      <c r="F310" s="246" t="s">
        <v>1227</v>
      </c>
      <c r="G310" s="245" t="s">
        <v>1228</v>
      </c>
      <c r="H310" s="243" t="s">
        <v>1230</v>
      </c>
      <c r="I310" s="245">
        <v>75049</v>
      </c>
      <c r="J310" s="219">
        <v>2025</v>
      </c>
      <c r="K310" s="220">
        <v>10</v>
      </c>
      <c r="L310" s="220">
        <f t="shared" si="14"/>
        <v>9</v>
      </c>
      <c r="M310" s="216" t="s">
        <v>439</v>
      </c>
      <c r="N310" s="216" t="s">
        <v>440</v>
      </c>
      <c r="O310" s="246" t="s">
        <v>425</v>
      </c>
      <c r="P310" s="216" t="s">
        <v>38</v>
      </c>
      <c r="Q310" s="220">
        <v>2026</v>
      </c>
      <c r="R310" s="220" t="s">
        <v>38</v>
      </c>
      <c r="S310" s="221">
        <v>2026</v>
      </c>
      <c r="T310" s="216" t="s">
        <v>1315</v>
      </c>
      <c r="U310" s="240" t="s">
        <v>1295</v>
      </c>
      <c r="V310" s="245"/>
      <c r="W310" s="237"/>
      <c r="X310" s="247">
        <v>2</v>
      </c>
      <c r="Y310" s="248"/>
      <c r="Z310" s="248"/>
      <c r="AA310" s="248" t="s">
        <v>648</v>
      </c>
      <c r="AB310" s="248" t="s">
        <v>422</v>
      </c>
      <c r="AC310" s="248"/>
      <c r="AD310" s="248"/>
      <c r="AE310" s="248"/>
      <c r="AF310" s="244"/>
      <c r="AG310" s="248" t="s">
        <v>422</v>
      </c>
      <c r="AH310" s="248"/>
      <c r="AI310" s="248"/>
      <c r="AJ310" s="221"/>
    </row>
    <row r="311" spans="1:36" hidden="1">
      <c r="A311" s="242" t="s">
        <v>1307</v>
      </c>
      <c r="B311" s="216" t="s">
        <v>835</v>
      </c>
      <c r="C311" s="216" t="s">
        <v>263</v>
      </c>
      <c r="D311" s="216" t="s">
        <v>317</v>
      </c>
      <c r="E311" s="240" t="s">
        <v>1231</v>
      </c>
      <c r="F311" s="246" t="s">
        <v>1232</v>
      </c>
      <c r="G311" s="245">
        <v>61102</v>
      </c>
      <c r="H311" s="243" t="s">
        <v>1233</v>
      </c>
      <c r="I311" s="245">
        <v>75068</v>
      </c>
      <c r="J311" s="219">
        <v>2025</v>
      </c>
      <c r="K311" s="220">
        <v>10</v>
      </c>
      <c r="L311" s="220">
        <f t="shared" si="14"/>
        <v>9</v>
      </c>
      <c r="M311" s="216" t="s">
        <v>439</v>
      </c>
      <c r="N311" s="216" t="s">
        <v>440</v>
      </c>
      <c r="O311" s="246" t="s">
        <v>421</v>
      </c>
      <c r="P311" s="216" t="s">
        <v>38</v>
      </c>
      <c r="Q311" s="220">
        <v>2026</v>
      </c>
      <c r="R311" s="220" t="s">
        <v>38</v>
      </c>
      <c r="S311" s="221">
        <v>2026</v>
      </c>
      <c r="T311" s="216" t="s">
        <v>1315</v>
      </c>
      <c r="U311" s="240" t="s">
        <v>1296</v>
      </c>
      <c r="V311" s="245"/>
      <c r="W311" s="237"/>
      <c r="X311" s="247">
        <v>1</v>
      </c>
      <c r="Y311" s="248"/>
      <c r="Z311" s="248"/>
      <c r="AA311" s="248"/>
      <c r="AB311" s="248"/>
      <c r="AC311" s="248"/>
      <c r="AD311" s="248"/>
      <c r="AE311" s="248"/>
      <c r="AF311" s="244"/>
      <c r="AG311" s="248"/>
      <c r="AH311" s="248" t="s">
        <v>422</v>
      </c>
      <c r="AI311" s="248"/>
      <c r="AJ311" s="221"/>
    </row>
    <row r="312" spans="1:36" hidden="1">
      <c r="A312" s="216" t="s">
        <v>752</v>
      </c>
      <c r="B312" s="240" t="s">
        <v>753</v>
      </c>
      <c r="C312" s="216" t="s">
        <v>442</v>
      </c>
      <c r="D312" s="216" t="s">
        <v>1311</v>
      </c>
      <c r="E312" s="240" t="s">
        <v>1234</v>
      </c>
      <c r="F312" s="246" t="s">
        <v>1235</v>
      </c>
      <c r="G312" s="245" t="s">
        <v>1236</v>
      </c>
      <c r="H312" s="243">
        <v>250228</v>
      </c>
      <c r="I312" s="245">
        <v>76563</v>
      </c>
      <c r="J312" s="219">
        <v>2025</v>
      </c>
      <c r="K312" s="220">
        <v>10</v>
      </c>
      <c r="L312" s="220">
        <f t="shared" si="14"/>
        <v>9</v>
      </c>
      <c r="M312" s="216" t="s">
        <v>439</v>
      </c>
      <c r="N312" s="216" t="s">
        <v>440</v>
      </c>
      <c r="O312" s="246" t="s">
        <v>425</v>
      </c>
      <c r="P312" s="216" t="s">
        <v>38</v>
      </c>
      <c r="Q312" s="220">
        <v>2026</v>
      </c>
      <c r="R312" s="220" t="s">
        <v>38</v>
      </c>
      <c r="S312" s="221">
        <v>2027</v>
      </c>
      <c r="T312" s="216" t="s">
        <v>1316</v>
      </c>
      <c r="U312" s="240" t="s">
        <v>1297</v>
      </c>
      <c r="V312" s="245"/>
      <c r="W312" s="237"/>
      <c r="X312" s="247">
        <v>1</v>
      </c>
      <c r="Y312" s="248"/>
      <c r="Z312" s="248"/>
      <c r="AA312" s="248"/>
      <c r="AB312" s="248"/>
      <c r="AC312" s="248"/>
      <c r="AD312" s="248" t="s">
        <v>422</v>
      </c>
      <c r="AE312" s="248"/>
      <c r="AF312" s="244"/>
      <c r="AG312" s="248"/>
      <c r="AH312" s="248"/>
      <c r="AI312" s="248"/>
      <c r="AJ312" s="221"/>
    </row>
    <row r="313" spans="1:36" hidden="1">
      <c r="A313" s="216" t="s">
        <v>760</v>
      </c>
      <c r="B313" s="216" t="s">
        <v>836</v>
      </c>
      <c r="C313" s="216" t="s">
        <v>1313</v>
      </c>
      <c r="D313" s="216" t="s">
        <v>28</v>
      </c>
      <c r="E313" s="240" t="s">
        <v>836</v>
      </c>
      <c r="F313" s="246" t="s">
        <v>1237</v>
      </c>
      <c r="G313" s="245" t="s">
        <v>1238</v>
      </c>
      <c r="H313" s="243">
        <v>1536320</v>
      </c>
      <c r="I313" s="245">
        <v>75047</v>
      </c>
      <c r="J313" s="219">
        <v>2025</v>
      </c>
      <c r="K313" s="220">
        <v>10</v>
      </c>
      <c r="L313" s="220">
        <f t="shared" si="14"/>
        <v>9</v>
      </c>
      <c r="M313" s="216" t="s">
        <v>439</v>
      </c>
      <c r="N313" s="216" t="s">
        <v>440</v>
      </c>
      <c r="O313" s="246" t="s">
        <v>425</v>
      </c>
      <c r="P313" s="216" t="s">
        <v>37</v>
      </c>
      <c r="Q313" s="220">
        <v>2025</v>
      </c>
      <c r="R313" s="220" t="s">
        <v>38</v>
      </c>
      <c r="S313" s="221">
        <v>2025</v>
      </c>
      <c r="T313" s="216" t="s">
        <v>1315</v>
      </c>
      <c r="U313" s="240" t="s">
        <v>323</v>
      </c>
      <c r="V313" s="245"/>
      <c r="W313" s="237"/>
      <c r="X313" s="247">
        <v>1</v>
      </c>
      <c r="Y313" s="248"/>
      <c r="Z313" s="248"/>
      <c r="AA313" s="248"/>
      <c r="AB313" s="248"/>
      <c r="AC313" s="248"/>
      <c r="AD313" s="248"/>
      <c r="AE313" s="248"/>
      <c r="AF313" s="244"/>
      <c r="AG313" s="248"/>
      <c r="AH313" s="248" t="s">
        <v>422</v>
      </c>
      <c r="AI313" s="248"/>
      <c r="AJ313" s="221"/>
    </row>
    <row r="314" spans="1:36" hidden="1">
      <c r="A314" s="216" t="s">
        <v>752</v>
      </c>
      <c r="B314" s="216" t="s">
        <v>823</v>
      </c>
      <c r="C314" s="216" t="s">
        <v>1313</v>
      </c>
      <c r="D314" s="216" t="s">
        <v>317</v>
      </c>
      <c r="E314" s="240" t="s">
        <v>1239</v>
      </c>
      <c r="F314" s="246" t="s">
        <v>1240</v>
      </c>
      <c r="G314" s="245" t="s">
        <v>1241</v>
      </c>
      <c r="H314" s="243" t="s">
        <v>1242</v>
      </c>
      <c r="I314" s="245">
        <v>76256</v>
      </c>
      <c r="J314" s="219">
        <v>2025</v>
      </c>
      <c r="K314" s="220">
        <v>10</v>
      </c>
      <c r="L314" s="220">
        <f t="shared" si="14"/>
        <v>9</v>
      </c>
      <c r="M314" s="216" t="s">
        <v>439</v>
      </c>
      <c r="N314" s="216" t="s">
        <v>440</v>
      </c>
      <c r="O314" s="246" t="s">
        <v>425</v>
      </c>
      <c r="P314" s="216" t="s">
        <v>38</v>
      </c>
      <c r="Q314" s="220">
        <v>2027</v>
      </c>
      <c r="R314" s="220" t="s">
        <v>38</v>
      </c>
      <c r="S314" s="221">
        <v>2026</v>
      </c>
      <c r="T314" s="216" t="s">
        <v>1315</v>
      </c>
      <c r="U314" s="240" t="s">
        <v>1284</v>
      </c>
      <c r="V314" s="245"/>
      <c r="W314" s="237"/>
      <c r="X314" s="247">
        <v>2</v>
      </c>
      <c r="Y314" s="248"/>
      <c r="Z314" s="248"/>
      <c r="AA314" s="248" t="s">
        <v>648</v>
      </c>
      <c r="AB314" s="248" t="s">
        <v>422</v>
      </c>
      <c r="AC314" s="248"/>
      <c r="AD314" s="248"/>
      <c r="AE314" s="248"/>
      <c r="AF314" s="244"/>
      <c r="AG314" s="248" t="s">
        <v>422</v>
      </c>
      <c r="AH314" s="248"/>
      <c r="AI314" s="248"/>
      <c r="AJ314" s="221"/>
    </row>
    <row r="315" spans="1:36" hidden="1">
      <c r="A315" s="216" t="s">
        <v>752</v>
      </c>
      <c r="B315" s="216" t="s">
        <v>824</v>
      </c>
      <c r="C315" s="216" t="s">
        <v>1313</v>
      </c>
      <c r="D315" s="216" t="s">
        <v>317</v>
      </c>
      <c r="E315" s="240" t="s">
        <v>1239</v>
      </c>
      <c r="F315" s="246" t="s">
        <v>1240</v>
      </c>
      <c r="G315" s="245" t="s">
        <v>1241</v>
      </c>
      <c r="H315" s="243" t="s">
        <v>1243</v>
      </c>
      <c r="I315" s="245">
        <v>76285</v>
      </c>
      <c r="J315" s="219">
        <v>2025</v>
      </c>
      <c r="K315" s="220">
        <v>10</v>
      </c>
      <c r="L315" s="220">
        <f t="shared" si="14"/>
        <v>9</v>
      </c>
      <c r="M315" s="216" t="s">
        <v>439</v>
      </c>
      <c r="N315" s="216" t="s">
        <v>440</v>
      </c>
      <c r="O315" s="246" t="s">
        <v>425</v>
      </c>
      <c r="P315" s="216" t="s">
        <v>38</v>
      </c>
      <c r="Q315" s="220">
        <v>2027</v>
      </c>
      <c r="R315" s="220" t="s">
        <v>38</v>
      </c>
      <c r="S315" s="221">
        <v>2026</v>
      </c>
      <c r="T315" s="216" t="s">
        <v>1315</v>
      </c>
      <c r="U315" s="240" t="s">
        <v>1284</v>
      </c>
      <c r="V315" s="245"/>
      <c r="W315" s="237"/>
      <c r="X315" s="247">
        <v>2</v>
      </c>
      <c r="Y315" s="248"/>
      <c r="Z315" s="248"/>
      <c r="AA315" s="248" t="s">
        <v>648</v>
      </c>
      <c r="AB315" s="248" t="s">
        <v>422</v>
      </c>
      <c r="AC315" s="248"/>
      <c r="AD315" s="248"/>
      <c r="AE315" s="248"/>
      <c r="AF315" s="244"/>
      <c r="AG315" s="248" t="s">
        <v>422</v>
      </c>
      <c r="AH315" s="248"/>
      <c r="AI315" s="248"/>
      <c r="AJ315" s="221"/>
    </row>
    <row r="316" spans="1:36" hidden="1">
      <c r="A316" s="216" t="s">
        <v>752</v>
      </c>
      <c r="B316" s="216" t="s">
        <v>825</v>
      </c>
      <c r="C316" s="216" t="s">
        <v>1313</v>
      </c>
      <c r="D316" s="216" t="s">
        <v>317</v>
      </c>
      <c r="E316" s="240" t="s">
        <v>1239</v>
      </c>
      <c r="F316" s="246" t="s">
        <v>1240</v>
      </c>
      <c r="G316" s="245" t="s">
        <v>1241</v>
      </c>
      <c r="H316" s="243" t="s">
        <v>1244</v>
      </c>
      <c r="I316" s="245">
        <v>76314</v>
      </c>
      <c r="J316" s="219">
        <v>2025</v>
      </c>
      <c r="K316" s="220">
        <v>10</v>
      </c>
      <c r="L316" s="220">
        <f t="shared" si="14"/>
        <v>9</v>
      </c>
      <c r="M316" s="216" t="s">
        <v>439</v>
      </c>
      <c r="N316" s="216" t="s">
        <v>440</v>
      </c>
      <c r="O316" s="246" t="s">
        <v>425</v>
      </c>
      <c r="P316" s="216" t="s">
        <v>38</v>
      </c>
      <c r="Q316" s="220">
        <v>2027</v>
      </c>
      <c r="R316" s="220" t="s">
        <v>38</v>
      </c>
      <c r="S316" s="221">
        <v>2026</v>
      </c>
      <c r="T316" s="216" t="s">
        <v>1315</v>
      </c>
      <c r="U316" s="240" t="s">
        <v>1284</v>
      </c>
      <c r="V316" s="245"/>
      <c r="W316" s="237"/>
      <c r="X316" s="247">
        <v>2</v>
      </c>
      <c r="Y316" s="248"/>
      <c r="Z316" s="248"/>
      <c r="AA316" s="248" t="s">
        <v>648</v>
      </c>
      <c r="AB316" s="248" t="s">
        <v>422</v>
      </c>
      <c r="AC316" s="248"/>
      <c r="AD316" s="248"/>
      <c r="AE316" s="248"/>
      <c r="AF316" s="244"/>
      <c r="AG316" s="248" t="s">
        <v>422</v>
      </c>
      <c r="AH316" s="248"/>
      <c r="AI316" s="248"/>
      <c r="AJ316" s="221"/>
    </row>
    <row r="317" spans="1:36" hidden="1">
      <c r="A317" s="216" t="s">
        <v>1478</v>
      </c>
      <c r="B317" s="216" t="s">
        <v>1479</v>
      </c>
      <c r="C317" s="216" t="s">
        <v>442</v>
      </c>
      <c r="D317" s="216" t="s">
        <v>317</v>
      </c>
      <c r="E317" s="216" t="s">
        <v>1484</v>
      </c>
      <c r="F317" s="216" t="s">
        <v>1464</v>
      </c>
      <c r="G317" s="217" t="s">
        <v>1465</v>
      </c>
      <c r="H317" s="218">
        <v>2014118962</v>
      </c>
      <c r="I317" s="217">
        <v>74026</v>
      </c>
      <c r="J317" s="219">
        <v>2015</v>
      </c>
      <c r="K317" s="220">
        <v>10</v>
      </c>
      <c r="L317" s="220">
        <v>0</v>
      </c>
      <c r="M317" s="216" t="s">
        <v>439</v>
      </c>
      <c r="N317" s="216" t="s">
        <v>440</v>
      </c>
      <c r="O317" s="216" t="s">
        <v>425</v>
      </c>
      <c r="P317" s="216" t="s">
        <v>37</v>
      </c>
      <c r="Q317" s="220" t="s">
        <v>421</v>
      </c>
      <c r="R317" s="220" t="s">
        <v>38</v>
      </c>
      <c r="S317" s="221">
        <v>2025</v>
      </c>
      <c r="T317" s="216" t="s">
        <v>1315</v>
      </c>
      <c r="U317" s="216" t="s">
        <v>1324</v>
      </c>
      <c r="V317" s="217"/>
      <c r="W317" s="237">
        <v>356000</v>
      </c>
      <c r="X317" s="220">
        <v>1</v>
      </c>
      <c r="Y317" s="248"/>
      <c r="Z317" s="248"/>
      <c r="AA317" s="248"/>
      <c r="AB317" s="248" t="s">
        <v>422</v>
      </c>
      <c r="AC317" s="248"/>
      <c r="AD317" s="248"/>
      <c r="AE317" s="248"/>
      <c r="AF317" s="244"/>
      <c r="AG317" s="248"/>
      <c r="AH317" s="248"/>
      <c r="AI317" s="248"/>
      <c r="AJ317" s="248"/>
    </row>
    <row r="318" spans="1:36" hidden="1">
      <c r="A318" s="216" t="s">
        <v>1478</v>
      </c>
      <c r="B318" s="216" t="s">
        <v>1479</v>
      </c>
      <c r="C318" s="216" t="s">
        <v>442</v>
      </c>
      <c r="D318" s="216" t="s">
        <v>317</v>
      </c>
      <c r="E318" s="216" t="s">
        <v>1484</v>
      </c>
      <c r="F318" s="216" t="s">
        <v>1464</v>
      </c>
      <c r="G318" s="217" t="s">
        <v>1466</v>
      </c>
      <c r="H318" s="218">
        <v>2014126567</v>
      </c>
      <c r="I318" s="217">
        <v>74031</v>
      </c>
      <c r="J318" s="219">
        <v>2015</v>
      </c>
      <c r="K318" s="220">
        <v>10</v>
      </c>
      <c r="L318" s="220">
        <v>0</v>
      </c>
      <c r="M318" s="216" t="s">
        <v>439</v>
      </c>
      <c r="N318" s="216" t="s">
        <v>440</v>
      </c>
      <c r="O318" s="216" t="s">
        <v>425</v>
      </c>
      <c r="P318" s="216" t="s">
        <v>37</v>
      </c>
      <c r="Q318" s="220" t="s">
        <v>421</v>
      </c>
      <c r="R318" s="220" t="s">
        <v>38</v>
      </c>
      <c r="S318" s="221">
        <v>2025</v>
      </c>
      <c r="T318" s="216" t="s">
        <v>1315</v>
      </c>
      <c r="U318" s="216" t="s">
        <v>1324</v>
      </c>
      <c r="V318" s="217"/>
      <c r="W318" s="237">
        <v>356000</v>
      </c>
      <c r="X318" s="220">
        <v>1</v>
      </c>
      <c r="Y318" s="248"/>
      <c r="Z318" s="248"/>
      <c r="AA318" s="248"/>
      <c r="AB318" s="248" t="s">
        <v>422</v>
      </c>
      <c r="AC318" s="248"/>
      <c r="AD318" s="248"/>
      <c r="AE318" s="248"/>
      <c r="AF318" s="244"/>
      <c r="AG318" s="248"/>
      <c r="AH318" s="248"/>
      <c r="AI318" s="248"/>
      <c r="AJ318" s="248"/>
    </row>
    <row r="319" spans="1:36" hidden="1">
      <c r="A319" s="216" t="s">
        <v>1478</v>
      </c>
      <c r="B319" s="216" t="s">
        <v>1479</v>
      </c>
      <c r="C319" s="216" t="s">
        <v>442</v>
      </c>
      <c r="D319" s="216" t="s">
        <v>317</v>
      </c>
      <c r="E319" s="216" t="s">
        <v>1484</v>
      </c>
      <c r="F319" s="216" t="s">
        <v>1464</v>
      </c>
      <c r="G319" s="217" t="s">
        <v>1466</v>
      </c>
      <c r="H319" s="218">
        <v>2011101703</v>
      </c>
      <c r="I319" s="217">
        <v>74037</v>
      </c>
      <c r="J319" s="219">
        <v>2015</v>
      </c>
      <c r="K319" s="220">
        <v>10</v>
      </c>
      <c r="L319" s="220">
        <v>0</v>
      </c>
      <c r="M319" s="216" t="s">
        <v>439</v>
      </c>
      <c r="N319" s="216" t="s">
        <v>440</v>
      </c>
      <c r="O319" s="216" t="s">
        <v>425</v>
      </c>
      <c r="P319" s="216" t="s">
        <v>37</v>
      </c>
      <c r="Q319" s="220" t="s">
        <v>421</v>
      </c>
      <c r="R319" s="220" t="s">
        <v>38</v>
      </c>
      <c r="S319" s="221">
        <v>2025</v>
      </c>
      <c r="T319" s="216" t="s">
        <v>1315</v>
      </c>
      <c r="U319" s="216" t="s">
        <v>1324</v>
      </c>
      <c r="V319" s="217"/>
      <c r="W319" s="237">
        <v>356000</v>
      </c>
      <c r="X319" s="220">
        <v>1</v>
      </c>
      <c r="Y319" s="248"/>
      <c r="Z319" s="248"/>
      <c r="AA319" s="248"/>
      <c r="AB319" s="248" t="s">
        <v>422</v>
      </c>
      <c r="AC319" s="248"/>
      <c r="AD319" s="248"/>
      <c r="AE319" s="248"/>
      <c r="AF319" s="244"/>
      <c r="AG319" s="248"/>
      <c r="AH319" s="248"/>
      <c r="AI319" s="248"/>
      <c r="AJ319" s="248"/>
    </row>
    <row r="320" spans="1:36" hidden="1">
      <c r="A320" s="216" t="s">
        <v>1478</v>
      </c>
      <c r="B320" s="216" t="s">
        <v>1479</v>
      </c>
      <c r="C320" s="216" t="s">
        <v>442</v>
      </c>
      <c r="D320" s="216" t="s">
        <v>317</v>
      </c>
      <c r="E320" s="216" t="s">
        <v>1484</v>
      </c>
      <c r="F320" s="216" t="s">
        <v>1464</v>
      </c>
      <c r="G320" s="217" t="s">
        <v>1467</v>
      </c>
      <c r="H320" s="218">
        <v>2019164710</v>
      </c>
      <c r="I320" s="217">
        <v>74042</v>
      </c>
      <c r="J320" s="219">
        <v>2015</v>
      </c>
      <c r="K320" s="220">
        <v>10</v>
      </c>
      <c r="L320" s="220">
        <v>0</v>
      </c>
      <c r="M320" s="216" t="s">
        <v>439</v>
      </c>
      <c r="N320" s="216" t="s">
        <v>440</v>
      </c>
      <c r="O320" s="216" t="s">
        <v>425</v>
      </c>
      <c r="P320" s="216" t="s">
        <v>37</v>
      </c>
      <c r="Q320" s="220" t="s">
        <v>421</v>
      </c>
      <c r="R320" s="220" t="s">
        <v>38</v>
      </c>
      <c r="S320" s="221">
        <v>2025</v>
      </c>
      <c r="T320" s="216" t="s">
        <v>1315</v>
      </c>
      <c r="U320" s="216" t="s">
        <v>1324</v>
      </c>
      <c r="V320" s="217"/>
      <c r="W320" s="237">
        <v>356000</v>
      </c>
      <c r="X320" s="220">
        <v>1</v>
      </c>
      <c r="Y320" s="248"/>
      <c r="Z320" s="248"/>
      <c r="AA320" s="248"/>
      <c r="AB320" s="248" t="s">
        <v>422</v>
      </c>
      <c r="AC320" s="248"/>
      <c r="AD320" s="248"/>
      <c r="AE320" s="248"/>
      <c r="AF320" s="244"/>
      <c r="AG320" s="248"/>
      <c r="AH320" s="248"/>
      <c r="AI320" s="248"/>
      <c r="AJ320" s="248"/>
    </row>
    <row r="321" spans="1:36" hidden="1">
      <c r="A321" s="216" t="s">
        <v>752</v>
      </c>
      <c r="B321" s="216" t="s">
        <v>823</v>
      </c>
      <c r="C321" s="216" t="s">
        <v>442</v>
      </c>
      <c r="D321" s="216" t="s">
        <v>317</v>
      </c>
      <c r="E321" s="240" t="s">
        <v>1245</v>
      </c>
      <c r="F321" s="246" t="s">
        <v>1246</v>
      </c>
      <c r="G321" s="245" t="s">
        <v>1247</v>
      </c>
      <c r="H321" s="243">
        <v>523111229</v>
      </c>
      <c r="I321" s="245">
        <v>75035</v>
      </c>
      <c r="J321" s="219">
        <v>2025</v>
      </c>
      <c r="K321" s="220">
        <v>10</v>
      </c>
      <c r="L321" s="220">
        <f>K321-($B$9-J321)</f>
        <v>9</v>
      </c>
      <c r="M321" s="216" t="s">
        <v>439</v>
      </c>
      <c r="N321" s="216" t="s">
        <v>440</v>
      </c>
      <c r="O321" s="246" t="s">
        <v>425</v>
      </c>
      <c r="P321" s="216" t="s">
        <v>38</v>
      </c>
      <c r="Q321" s="220">
        <v>2026</v>
      </c>
      <c r="R321" s="220" t="s">
        <v>38</v>
      </c>
      <c r="S321" s="221">
        <v>2025</v>
      </c>
      <c r="T321" s="216" t="s">
        <v>1315</v>
      </c>
      <c r="U321" s="240" t="s">
        <v>1284</v>
      </c>
      <c r="V321" s="245"/>
      <c r="W321" s="237"/>
      <c r="X321" s="247">
        <v>2</v>
      </c>
      <c r="Y321" s="248"/>
      <c r="Z321" s="248"/>
      <c r="AA321" s="248" t="s">
        <v>648</v>
      </c>
      <c r="AB321" s="248" t="s">
        <v>422</v>
      </c>
      <c r="AC321" s="248"/>
      <c r="AD321" s="248"/>
      <c r="AE321" s="248"/>
      <c r="AF321" s="244"/>
      <c r="AG321" s="248" t="s">
        <v>422</v>
      </c>
      <c r="AH321" s="248"/>
      <c r="AI321" s="248"/>
      <c r="AJ321" s="221"/>
    </row>
    <row r="322" spans="1:36" hidden="1">
      <c r="A322" s="216" t="s">
        <v>752</v>
      </c>
      <c r="B322" s="216" t="s">
        <v>824</v>
      </c>
      <c r="C322" s="216" t="s">
        <v>442</v>
      </c>
      <c r="D322" s="216" t="s">
        <v>317</v>
      </c>
      <c r="E322" s="240" t="s">
        <v>1245</v>
      </c>
      <c r="F322" s="246" t="s">
        <v>1246</v>
      </c>
      <c r="G322" s="245" t="s">
        <v>1247</v>
      </c>
      <c r="H322" s="243">
        <v>523111234</v>
      </c>
      <c r="I322" s="245">
        <v>75036</v>
      </c>
      <c r="J322" s="219">
        <v>2025</v>
      </c>
      <c r="K322" s="220">
        <v>10</v>
      </c>
      <c r="L322" s="220">
        <f>K322-($B$9-J322)</f>
        <v>9</v>
      </c>
      <c r="M322" s="216" t="s">
        <v>439</v>
      </c>
      <c r="N322" s="216" t="s">
        <v>440</v>
      </c>
      <c r="O322" s="246" t="s">
        <v>425</v>
      </c>
      <c r="P322" s="216" t="s">
        <v>38</v>
      </c>
      <c r="Q322" s="220">
        <v>2026</v>
      </c>
      <c r="R322" s="220" t="s">
        <v>38</v>
      </c>
      <c r="S322" s="221">
        <v>2025</v>
      </c>
      <c r="T322" s="216" t="s">
        <v>1315</v>
      </c>
      <c r="U322" s="240" t="s">
        <v>1284</v>
      </c>
      <c r="V322" s="245"/>
      <c r="W322" s="237"/>
      <c r="X322" s="247">
        <v>2</v>
      </c>
      <c r="Y322" s="248"/>
      <c r="Z322" s="248"/>
      <c r="AA322" s="248" t="s">
        <v>648</v>
      </c>
      <c r="AB322" s="248" t="s">
        <v>422</v>
      </c>
      <c r="AC322" s="248"/>
      <c r="AD322" s="248"/>
      <c r="AE322" s="248"/>
      <c r="AF322" s="244"/>
      <c r="AG322" s="248" t="s">
        <v>422</v>
      </c>
      <c r="AH322" s="248"/>
      <c r="AI322" s="248"/>
      <c r="AJ322" s="221"/>
    </row>
    <row r="323" spans="1:36" hidden="1">
      <c r="A323" s="216" t="s">
        <v>752</v>
      </c>
      <c r="B323" s="216" t="s">
        <v>825</v>
      </c>
      <c r="C323" s="216" t="s">
        <v>442</v>
      </c>
      <c r="D323" s="216" t="s">
        <v>317</v>
      </c>
      <c r="E323" s="240" t="s">
        <v>1245</v>
      </c>
      <c r="F323" s="246" t="s">
        <v>1246</v>
      </c>
      <c r="G323" s="245" t="s">
        <v>1247</v>
      </c>
      <c r="H323" s="243">
        <v>523111237</v>
      </c>
      <c r="I323" s="245">
        <v>75037</v>
      </c>
      <c r="J323" s="219">
        <v>2025</v>
      </c>
      <c r="K323" s="220">
        <v>10</v>
      </c>
      <c r="L323" s="220">
        <f>K323-($B$9-J323)</f>
        <v>9</v>
      </c>
      <c r="M323" s="216" t="s">
        <v>439</v>
      </c>
      <c r="N323" s="216" t="s">
        <v>440</v>
      </c>
      <c r="O323" s="246" t="s">
        <v>425</v>
      </c>
      <c r="P323" s="216" t="s">
        <v>38</v>
      </c>
      <c r="Q323" s="220">
        <v>2026</v>
      </c>
      <c r="R323" s="220" t="s">
        <v>38</v>
      </c>
      <c r="S323" s="221">
        <v>2025</v>
      </c>
      <c r="T323" s="216" t="s">
        <v>1315</v>
      </c>
      <c r="U323" s="240" t="s">
        <v>1284</v>
      </c>
      <c r="V323" s="245"/>
      <c r="W323" s="237"/>
      <c r="X323" s="247">
        <v>2</v>
      </c>
      <c r="Y323" s="248"/>
      <c r="Z323" s="248"/>
      <c r="AA323" s="248" t="s">
        <v>648</v>
      </c>
      <c r="AB323" s="248" t="s">
        <v>422</v>
      </c>
      <c r="AC323" s="248"/>
      <c r="AD323" s="248"/>
      <c r="AE323" s="248"/>
      <c r="AF323" s="244"/>
      <c r="AG323" s="248" t="s">
        <v>422</v>
      </c>
      <c r="AH323" s="248"/>
      <c r="AI323" s="248"/>
      <c r="AJ323" s="221"/>
    </row>
    <row r="324" spans="1:36" hidden="1">
      <c r="A324" s="216" t="s">
        <v>1478</v>
      </c>
      <c r="B324" s="216" t="s">
        <v>1479</v>
      </c>
      <c r="C324" s="216" t="s">
        <v>27</v>
      </c>
      <c r="D324" s="216" t="s">
        <v>28</v>
      </c>
      <c r="E324" s="240" t="s">
        <v>1248</v>
      </c>
      <c r="F324" s="216" t="s">
        <v>1468</v>
      </c>
      <c r="G324" s="217" t="s">
        <v>1469</v>
      </c>
      <c r="H324" s="218" t="s">
        <v>1470</v>
      </c>
      <c r="I324" s="217"/>
      <c r="J324" s="219">
        <v>2018</v>
      </c>
      <c r="K324" s="220">
        <v>10</v>
      </c>
      <c r="L324" s="220">
        <v>3</v>
      </c>
      <c r="M324" s="216" t="s">
        <v>439</v>
      </c>
      <c r="N324" s="216" t="s">
        <v>440</v>
      </c>
      <c r="O324" s="216" t="s">
        <v>36</v>
      </c>
      <c r="P324" s="216" t="s">
        <v>37</v>
      </c>
      <c r="Q324" s="220" t="s">
        <v>421</v>
      </c>
      <c r="R324" s="220" t="s">
        <v>38</v>
      </c>
      <c r="S324" s="221">
        <v>2025</v>
      </c>
      <c r="T324" s="216" t="s">
        <v>1315</v>
      </c>
      <c r="U324" s="216" t="s">
        <v>1471</v>
      </c>
      <c r="V324" s="217"/>
      <c r="W324" s="237">
        <v>140953.44827586206</v>
      </c>
      <c r="X324" s="220">
        <v>2</v>
      </c>
      <c r="Y324" s="248"/>
      <c r="Z324" s="248"/>
      <c r="AA324" s="248"/>
      <c r="AB324" s="248"/>
      <c r="AC324" s="248"/>
      <c r="AD324" s="248" t="s">
        <v>422</v>
      </c>
      <c r="AE324" s="248"/>
      <c r="AF324" s="244"/>
      <c r="AG324" s="248"/>
      <c r="AH324" s="248"/>
      <c r="AI324" s="248"/>
      <c r="AJ324" s="248" t="s">
        <v>422</v>
      </c>
    </row>
    <row r="325" spans="1:36" hidden="1">
      <c r="A325" s="216" t="s">
        <v>1478</v>
      </c>
      <c r="B325" s="216" t="s">
        <v>1479</v>
      </c>
      <c r="C325" s="216" t="s">
        <v>27</v>
      </c>
      <c r="D325" s="216" t="s">
        <v>28</v>
      </c>
      <c r="E325" s="240" t="s">
        <v>1248</v>
      </c>
      <c r="F325" s="216" t="s">
        <v>1472</v>
      </c>
      <c r="G325" s="217" t="s">
        <v>1473</v>
      </c>
      <c r="H325" s="218" t="s">
        <v>1474</v>
      </c>
      <c r="I325" s="217"/>
      <c r="J325" s="219">
        <v>2024</v>
      </c>
      <c r="K325" s="220">
        <v>10</v>
      </c>
      <c r="L325" s="220">
        <v>9</v>
      </c>
      <c r="M325" s="216" t="s">
        <v>439</v>
      </c>
      <c r="N325" s="216" t="s">
        <v>440</v>
      </c>
      <c r="O325" s="216" t="s">
        <v>36</v>
      </c>
      <c r="P325" s="216" t="s">
        <v>38</v>
      </c>
      <c r="Q325" s="220">
        <v>2026</v>
      </c>
      <c r="R325" s="220" t="s">
        <v>38</v>
      </c>
      <c r="S325" s="221">
        <v>2025</v>
      </c>
      <c r="T325" s="216" t="s">
        <v>1315</v>
      </c>
      <c r="U325" s="216" t="s">
        <v>1471</v>
      </c>
      <c r="V325" s="217"/>
      <c r="W325" s="237">
        <v>140953.44827586206</v>
      </c>
      <c r="X325" s="220">
        <v>2</v>
      </c>
      <c r="Y325" s="248"/>
      <c r="Z325" s="248"/>
      <c r="AA325" s="248"/>
      <c r="AB325" s="248"/>
      <c r="AC325" s="248"/>
      <c r="AD325" s="248" t="s">
        <v>422</v>
      </c>
      <c r="AE325" s="248"/>
      <c r="AF325" s="244"/>
      <c r="AG325" s="248"/>
      <c r="AH325" s="248"/>
      <c r="AI325" s="248"/>
      <c r="AJ325" s="248" t="s">
        <v>422</v>
      </c>
    </row>
    <row r="326" spans="1:36" hidden="1">
      <c r="A326" s="216" t="s">
        <v>1478</v>
      </c>
      <c r="B326" s="216" t="s">
        <v>1479</v>
      </c>
      <c r="C326" s="216" t="s">
        <v>27</v>
      </c>
      <c r="D326" s="216" t="s">
        <v>28</v>
      </c>
      <c r="E326" s="240" t="s">
        <v>1248</v>
      </c>
      <c r="F326" s="216" t="s">
        <v>1475</v>
      </c>
      <c r="G326" s="217" t="s">
        <v>1476</v>
      </c>
      <c r="H326" s="218" t="s">
        <v>1477</v>
      </c>
      <c r="I326" s="217">
        <v>74199</v>
      </c>
      <c r="J326" s="219">
        <v>2015</v>
      </c>
      <c r="K326" s="220">
        <v>10</v>
      </c>
      <c r="L326" s="220">
        <v>0</v>
      </c>
      <c r="M326" s="216" t="s">
        <v>439</v>
      </c>
      <c r="N326" s="216" t="s">
        <v>440</v>
      </c>
      <c r="O326" s="216" t="s">
        <v>36</v>
      </c>
      <c r="P326" s="216" t="s">
        <v>37</v>
      </c>
      <c r="Q326" s="220" t="s">
        <v>421</v>
      </c>
      <c r="R326" s="220" t="s">
        <v>38</v>
      </c>
      <c r="S326" s="221">
        <v>2025</v>
      </c>
      <c r="T326" s="216" t="s">
        <v>1315</v>
      </c>
      <c r="U326" s="216" t="s">
        <v>1328</v>
      </c>
      <c r="V326" s="217"/>
      <c r="W326" s="237">
        <v>246971.63009404388</v>
      </c>
      <c r="X326" s="220">
        <v>2</v>
      </c>
      <c r="Y326" s="248"/>
      <c r="Z326" s="248"/>
      <c r="AA326" s="248"/>
      <c r="AB326" s="248"/>
      <c r="AC326" s="248"/>
      <c r="AD326" s="248" t="s">
        <v>422</v>
      </c>
      <c r="AE326" s="248"/>
      <c r="AF326" s="244"/>
      <c r="AG326" s="248"/>
      <c r="AH326" s="248"/>
      <c r="AI326" s="248"/>
      <c r="AJ326" s="248" t="s">
        <v>422</v>
      </c>
    </row>
    <row r="327" spans="1:36" hidden="1">
      <c r="A327" s="242" t="s">
        <v>1307</v>
      </c>
      <c r="B327" s="216" t="s">
        <v>769</v>
      </c>
      <c r="C327" s="216" t="s">
        <v>27</v>
      </c>
      <c r="D327" s="216" t="s">
        <v>28</v>
      </c>
      <c r="E327" s="240" t="s">
        <v>1248</v>
      </c>
      <c r="F327" s="246" t="s">
        <v>1249</v>
      </c>
      <c r="G327" s="245" t="s">
        <v>1250</v>
      </c>
      <c r="H327" s="243">
        <v>31896</v>
      </c>
      <c r="I327" s="245">
        <v>76758</v>
      </c>
      <c r="J327" s="219">
        <v>2025</v>
      </c>
      <c r="K327" s="220">
        <v>10</v>
      </c>
      <c r="L327" s="220">
        <f>K327-($B$9-J327)</f>
        <v>9</v>
      </c>
      <c r="M327" s="216" t="s">
        <v>439</v>
      </c>
      <c r="N327" s="216" t="s">
        <v>440</v>
      </c>
      <c r="O327" s="246" t="s">
        <v>36</v>
      </c>
      <c r="P327" s="216" t="s">
        <v>38</v>
      </c>
      <c r="Q327" s="220">
        <v>2027</v>
      </c>
      <c r="R327" s="220" t="s">
        <v>38</v>
      </c>
      <c r="S327" s="221">
        <v>2026</v>
      </c>
      <c r="T327" s="216" t="s">
        <v>1315</v>
      </c>
      <c r="U327" s="240" t="s">
        <v>1298</v>
      </c>
      <c r="V327" s="245"/>
      <c r="W327" s="237"/>
      <c r="X327" s="247">
        <v>2</v>
      </c>
      <c r="Y327" s="248"/>
      <c r="Z327" s="248"/>
      <c r="AA327" s="248" t="s">
        <v>432</v>
      </c>
      <c r="AB327" s="248"/>
      <c r="AC327" s="248"/>
      <c r="AD327" s="248"/>
      <c r="AE327" s="248"/>
      <c r="AF327" s="244"/>
      <c r="AG327" s="248" t="s">
        <v>422</v>
      </c>
      <c r="AH327" s="248"/>
      <c r="AI327" s="248"/>
      <c r="AJ327" s="221"/>
    </row>
    <row r="328" spans="1:36" hidden="1">
      <c r="A328" s="216" t="s">
        <v>752</v>
      </c>
      <c r="B328" s="216" t="s">
        <v>753</v>
      </c>
      <c r="C328" s="216" t="s">
        <v>27</v>
      </c>
      <c r="D328" s="216" t="s">
        <v>317</v>
      </c>
      <c r="E328" s="240" t="s">
        <v>1251</v>
      </c>
      <c r="F328" s="246" t="s">
        <v>848</v>
      </c>
      <c r="G328" s="245" t="s">
        <v>1068</v>
      </c>
      <c r="H328" s="243" t="s">
        <v>1252</v>
      </c>
      <c r="I328" s="245">
        <v>76088</v>
      </c>
      <c r="J328" s="219">
        <v>2025</v>
      </c>
      <c r="K328" s="220">
        <v>10</v>
      </c>
      <c r="L328" s="220">
        <f>K328-($B$9-J328)</f>
        <v>9</v>
      </c>
      <c r="M328" s="216" t="s">
        <v>439</v>
      </c>
      <c r="N328" s="216" t="s">
        <v>440</v>
      </c>
      <c r="O328" s="246" t="s">
        <v>421</v>
      </c>
      <c r="P328" s="216" t="s">
        <v>38</v>
      </c>
      <c r="Q328" s="220">
        <v>2026</v>
      </c>
      <c r="R328" s="220" t="s">
        <v>37</v>
      </c>
      <c r="S328" s="221">
        <v>2027</v>
      </c>
      <c r="T328" s="216"/>
      <c r="U328" s="240" t="s">
        <v>1259</v>
      </c>
      <c r="V328" s="245"/>
      <c r="W328" s="237"/>
      <c r="X328" s="247">
        <v>0</v>
      </c>
      <c r="Y328" s="248"/>
      <c r="Z328" s="248"/>
      <c r="AA328" s="248"/>
      <c r="AB328" s="248"/>
      <c r="AC328" s="248"/>
      <c r="AD328" s="248"/>
      <c r="AE328" s="248"/>
      <c r="AF328" s="244"/>
      <c r="AG328" s="248"/>
      <c r="AH328" s="248"/>
      <c r="AI328" s="248"/>
      <c r="AJ328" s="221"/>
    </row>
    <row r="329" spans="1:36" hidden="1">
      <c r="A329" s="216" t="s">
        <v>507</v>
      </c>
      <c r="B329" s="216" t="s">
        <v>802</v>
      </c>
      <c r="C329" s="216" t="s">
        <v>1310</v>
      </c>
      <c r="D329" s="216" t="s">
        <v>317</v>
      </c>
      <c r="E329" s="240" t="s">
        <v>1253</v>
      </c>
      <c r="F329" s="246" t="s">
        <v>1254</v>
      </c>
      <c r="G329" s="245" t="s">
        <v>1255</v>
      </c>
      <c r="H329" s="243" t="s">
        <v>1256</v>
      </c>
      <c r="I329" s="245">
        <v>76789</v>
      </c>
      <c r="J329" s="219">
        <v>2025</v>
      </c>
      <c r="K329" s="220">
        <v>10</v>
      </c>
      <c r="L329" s="220">
        <f>K329-($B$9-J329)</f>
        <v>9</v>
      </c>
      <c r="M329" s="216" t="s">
        <v>439</v>
      </c>
      <c r="N329" s="216" t="s">
        <v>440</v>
      </c>
      <c r="O329" s="216" t="s">
        <v>464</v>
      </c>
      <c r="P329" s="216" t="s">
        <v>38</v>
      </c>
      <c r="Q329" s="220">
        <v>2027</v>
      </c>
      <c r="R329" s="220" t="s">
        <v>38</v>
      </c>
      <c r="S329" s="221">
        <v>2026</v>
      </c>
      <c r="T329" s="216" t="s">
        <v>1315</v>
      </c>
      <c r="U329" s="240" t="s">
        <v>1294</v>
      </c>
      <c r="V329" s="245"/>
      <c r="W329" s="237"/>
      <c r="X329" s="247">
        <v>1</v>
      </c>
      <c r="Y329" s="248"/>
      <c r="Z329" s="248"/>
      <c r="AA329" s="248"/>
      <c r="AB329" s="248"/>
      <c r="AC329" s="248"/>
      <c r="AD329" s="248" t="s">
        <v>422</v>
      </c>
      <c r="AE329" s="248"/>
      <c r="AF329" s="244"/>
      <c r="AG329" s="248"/>
      <c r="AH329" s="248"/>
      <c r="AI329" s="248"/>
      <c r="AJ329" s="221"/>
    </row>
  </sheetData>
  <autoFilter ref="A15:AJ329" xr:uid="{00000000-0001-0000-0000-000000000000}">
    <filterColumn colId="20">
      <filters>
        <filter val="IClinics"/>
      </filters>
    </filterColumn>
    <sortState xmlns:xlrd2="http://schemas.microsoft.com/office/spreadsheetml/2017/richdata2" ref="A16:AJ329">
      <sortCondition ref="E15:E329"/>
    </sortState>
  </autoFilter>
  <mergeCells count="4">
    <mergeCell ref="Y14:AJ14"/>
    <mergeCell ref="B3:E3"/>
    <mergeCell ref="B5:E5"/>
    <mergeCell ref="B7:E7"/>
  </mergeCells>
  <phoneticPr fontId="6" type="noConversion"/>
  <conditionalFormatting sqref="Y16:AJ329">
    <cfRule type="cellIs" dxfId="14" priority="358" operator="equal">
      <formula>"x"</formula>
    </cfRule>
    <cfRule type="cellIs" dxfId="13" priority="359" operator="equal">
      <formula>"√"</formula>
    </cfRule>
    <cfRule type="cellIs" dxfId="12" priority="372" operator="equal">
      <formula>"ꓣ"</formula>
    </cfRule>
  </conditionalFormatting>
  <pageMargins left="0.25" right="0.25" top="0.75" bottom="0.75" header="0.3" footer="0.3"/>
  <pageSetup paperSize="281" scale="7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B58D916-13B2-4B87-8C19-7F5E1E35F49D}">
          <x14:formula1>
            <xm:f>'TABLA CÁLCULO'!$AE$13:$AE$16</xm:f>
          </x14:formula1>
          <xm:sqref>M16:M309</xm:sqref>
        </x14:dataValidation>
        <x14:dataValidation type="list" allowBlank="1" showInputMessage="1" showErrorMessage="1" xr:uid="{4D9DC8C3-B716-4AF0-B6CE-770D686AD269}">
          <x14:formula1>
            <xm:f>'TABLA CÁLCULO'!$AF$13:$AF$16</xm:f>
          </x14:formula1>
          <xm:sqref>N16:N309</xm:sqref>
        </x14:dataValidation>
        <x14:dataValidation type="list" allowBlank="1" showInputMessage="1" showErrorMessage="1" xr:uid="{2D8ED6C1-E4F4-4097-BDFA-90866511D155}">
          <x14:formula1>
            <xm:f>'TABLA CÁLCULO'!$W$13:$W$14</xm:f>
          </x14:formula1>
          <xm:sqref>R16:R309 P16:P309</xm:sqref>
        </x14:dataValidation>
        <x14:dataValidation type="list" allowBlank="1" showInputMessage="1" showErrorMessage="1" xr:uid="{111AA07C-B845-47F3-969F-EBF1EB17CF88}">
          <x14:formula1>
            <xm:f>'TABLA CÁLCULO'!$U$13:$U$16</xm:f>
          </x14:formula1>
          <xm:sqref>O16:O329</xm:sqref>
        </x14:dataValidation>
        <x14:dataValidation type="list" allowBlank="1" showInputMessage="1" showErrorMessage="1" xr:uid="{56BBA389-B039-447A-BFA2-923FA61B034F}">
          <x14:formula1>
            <xm:f>'TABLA CÁLCULO'!$Y$13:$Y$16</xm:f>
          </x14:formula1>
          <xm:sqref>S16:S309</xm:sqref>
        </x14:dataValidation>
        <x14:dataValidation type="list" allowBlank="1" showInputMessage="1" showErrorMessage="1" xr:uid="{00000000-0002-0000-0000-000009000000}">
          <x14:formula1>
            <xm:f>'TABLA CÁLCULO'!$R$12:$R$15</xm:f>
          </x14:formula1>
          <xm:sqref>Y16:AJ329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9304-97AE-4525-B81A-B2617734AE1B}">
  <dimension ref="A1:I301"/>
  <sheetViews>
    <sheetView workbookViewId="0">
      <selection activeCell="E301" sqref="E2:E301"/>
    </sheetView>
  </sheetViews>
  <sheetFormatPr baseColWidth="10" defaultRowHeight="14.5"/>
  <cols>
    <col min="1" max="1" width="29.1796875" bestFit="1" customWidth="1"/>
    <col min="2" max="2" width="48.08984375" bestFit="1" customWidth="1"/>
    <col min="3" max="3" width="22.08984375" bestFit="1" customWidth="1"/>
    <col min="4" max="4" width="12.453125" bestFit="1" customWidth="1"/>
    <col min="5" max="5" width="52.7265625" bestFit="1" customWidth="1"/>
    <col min="6" max="6" width="28.26953125" bestFit="1" customWidth="1"/>
    <col min="7" max="7" width="39.1796875" bestFit="1" customWidth="1"/>
    <col min="8" max="8" width="21.08984375" bestFit="1" customWidth="1"/>
    <col min="9" max="9" width="10.36328125" bestFit="1" customWidth="1"/>
  </cols>
  <sheetData>
    <row r="1" spans="1:9" ht="26">
      <c r="A1" s="61" t="s">
        <v>1</v>
      </c>
      <c r="B1" s="61" t="s">
        <v>2</v>
      </c>
      <c r="C1" s="61" t="s">
        <v>3</v>
      </c>
      <c r="D1" s="61" t="s">
        <v>4</v>
      </c>
      <c r="E1" s="61" t="s">
        <v>5</v>
      </c>
      <c r="F1" s="61" t="s">
        <v>6</v>
      </c>
      <c r="G1" s="61" t="s">
        <v>7</v>
      </c>
      <c r="H1" s="215" t="s">
        <v>8</v>
      </c>
      <c r="I1" s="61" t="s">
        <v>9</v>
      </c>
    </row>
    <row r="2" spans="1:9">
      <c r="A2" s="216" t="s">
        <v>507</v>
      </c>
      <c r="B2" s="216" t="s">
        <v>750</v>
      </c>
      <c r="C2" s="216" t="s">
        <v>1310</v>
      </c>
      <c r="D2" s="216" t="s">
        <v>1311</v>
      </c>
      <c r="E2" s="239" t="s">
        <v>837</v>
      </c>
      <c r="F2" s="216" t="s">
        <v>838</v>
      </c>
      <c r="G2" s="217" t="s">
        <v>839</v>
      </c>
      <c r="H2" s="218" t="s">
        <v>840</v>
      </c>
      <c r="I2" s="217">
        <v>75188</v>
      </c>
    </row>
    <row r="3" spans="1:9">
      <c r="A3" s="216" t="s">
        <v>507</v>
      </c>
      <c r="B3" s="240" t="s">
        <v>751</v>
      </c>
      <c r="C3" s="216" t="s">
        <v>1310</v>
      </c>
      <c r="D3" s="216" t="s">
        <v>1311</v>
      </c>
      <c r="E3" s="216" t="s">
        <v>841</v>
      </c>
      <c r="F3" s="216" t="s">
        <v>842</v>
      </c>
      <c r="G3" s="217" t="s">
        <v>843</v>
      </c>
      <c r="H3" s="218" t="s">
        <v>844</v>
      </c>
      <c r="I3" s="217">
        <v>75067</v>
      </c>
    </row>
    <row r="4" spans="1:9">
      <c r="A4" s="240" t="s">
        <v>507</v>
      </c>
      <c r="B4" s="240" t="s">
        <v>750</v>
      </c>
      <c r="C4" s="216" t="s">
        <v>1310</v>
      </c>
      <c r="D4" s="216" t="s">
        <v>28</v>
      </c>
      <c r="E4" s="240" t="s">
        <v>845</v>
      </c>
      <c r="F4" s="240" t="s">
        <v>842</v>
      </c>
      <c r="G4" s="242" t="s">
        <v>846</v>
      </c>
      <c r="H4" s="243" t="s">
        <v>844</v>
      </c>
      <c r="I4" s="242">
        <v>75066</v>
      </c>
    </row>
    <row r="5" spans="1:9">
      <c r="A5" s="242" t="s">
        <v>752</v>
      </c>
      <c r="B5" s="240" t="s">
        <v>753</v>
      </c>
      <c r="C5" s="216" t="s">
        <v>442</v>
      </c>
      <c r="D5" s="216" t="s">
        <v>1311</v>
      </c>
      <c r="E5" s="240" t="s">
        <v>847</v>
      </c>
      <c r="F5" s="240" t="s">
        <v>848</v>
      </c>
      <c r="G5" s="242" t="s">
        <v>849</v>
      </c>
      <c r="H5" s="243" t="s">
        <v>850</v>
      </c>
      <c r="I5" s="242">
        <v>76577</v>
      </c>
    </row>
    <row r="6" spans="1:9">
      <c r="A6" s="216" t="s">
        <v>1478</v>
      </c>
      <c r="B6" s="216" t="s">
        <v>1479</v>
      </c>
      <c r="C6" s="216" t="s">
        <v>754</v>
      </c>
      <c r="D6" s="216" t="s">
        <v>28</v>
      </c>
      <c r="E6" s="240" t="s">
        <v>1320</v>
      </c>
      <c r="F6" s="246" t="s">
        <v>1321</v>
      </c>
      <c r="G6" s="245" t="s">
        <v>1322</v>
      </c>
      <c r="H6" s="243" t="s">
        <v>1323</v>
      </c>
      <c r="I6" s="245">
        <v>74052</v>
      </c>
    </row>
    <row r="7" spans="1:9">
      <c r="A7" s="242" t="s">
        <v>754</v>
      </c>
      <c r="B7" s="240" t="s">
        <v>755</v>
      </c>
      <c r="C7" s="216" t="s">
        <v>754</v>
      </c>
      <c r="D7" s="216" t="s">
        <v>28</v>
      </c>
      <c r="E7" s="240" t="s">
        <v>851</v>
      </c>
      <c r="F7" s="240" t="s">
        <v>852</v>
      </c>
      <c r="G7" s="242" t="s">
        <v>853</v>
      </c>
      <c r="H7" s="243" t="s">
        <v>854</v>
      </c>
      <c r="I7" s="242">
        <v>75041</v>
      </c>
    </row>
    <row r="8" spans="1:9">
      <c r="A8" s="245" t="s">
        <v>756</v>
      </c>
      <c r="B8" s="245" t="s">
        <v>756</v>
      </c>
      <c r="C8" s="216" t="s">
        <v>754</v>
      </c>
      <c r="D8" s="216" t="s">
        <v>28</v>
      </c>
      <c r="E8" s="246" t="s">
        <v>855</v>
      </c>
      <c r="F8" s="246" t="s">
        <v>852</v>
      </c>
      <c r="G8" s="245" t="s">
        <v>856</v>
      </c>
      <c r="H8" s="243">
        <v>34122</v>
      </c>
      <c r="I8" s="245">
        <v>75039</v>
      </c>
    </row>
    <row r="9" spans="1:9">
      <c r="A9" s="245" t="s">
        <v>507</v>
      </c>
      <c r="B9" s="246" t="s">
        <v>757</v>
      </c>
      <c r="C9" s="216" t="s">
        <v>754</v>
      </c>
      <c r="D9" s="216" t="s">
        <v>28</v>
      </c>
      <c r="E9" s="246" t="s">
        <v>857</v>
      </c>
      <c r="F9" s="246" t="s">
        <v>858</v>
      </c>
      <c r="G9" s="245" t="s">
        <v>859</v>
      </c>
      <c r="H9" s="243">
        <v>443333</v>
      </c>
      <c r="I9" s="245">
        <v>75038</v>
      </c>
    </row>
    <row r="10" spans="1:9">
      <c r="A10" s="242" t="s">
        <v>1307</v>
      </c>
      <c r="B10" s="240" t="s">
        <v>1309</v>
      </c>
      <c r="C10" s="216" t="s">
        <v>1312</v>
      </c>
      <c r="D10" s="216" t="s">
        <v>28</v>
      </c>
      <c r="E10" s="240" t="s">
        <v>860</v>
      </c>
      <c r="F10" s="240" t="s">
        <v>861</v>
      </c>
      <c r="G10" s="242" t="s">
        <v>862</v>
      </c>
      <c r="H10" s="243" t="s">
        <v>441</v>
      </c>
      <c r="I10" s="242">
        <v>75071</v>
      </c>
    </row>
    <row r="11" spans="1:9">
      <c r="A11" s="242" t="s">
        <v>507</v>
      </c>
      <c r="B11" s="240" t="s">
        <v>759</v>
      </c>
      <c r="C11" s="216" t="s">
        <v>1310</v>
      </c>
      <c r="D11" s="216" t="s">
        <v>317</v>
      </c>
      <c r="E11" s="240" t="s">
        <v>863</v>
      </c>
      <c r="F11" s="240" t="s">
        <v>864</v>
      </c>
      <c r="G11" s="242" t="s">
        <v>865</v>
      </c>
      <c r="H11" s="243" t="s">
        <v>866</v>
      </c>
      <c r="I11" s="242">
        <v>75302</v>
      </c>
    </row>
    <row r="12" spans="1:9">
      <c r="A12" s="217" t="s">
        <v>507</v>
      </c>
      <c r="B12" s="240" t="s">
        <v>750</v>
      </c>
      <c r="C12" s="216" t="s">
        <v>1310</v>
      </c>
      <c r="D12" s="216" t="s">
        <v>1311</v>
      </c>
      <c r="E12" s="246" t="s">
        <v>867</v>
      </c>
      <c r="F12" s="216" t="s">
        <v>868</v>
      </c>
      <c r="G12" s="217" t="s">
        <v>869</v>
      </c>
      <c r="H12" s="243" t="s">
        <v>870</v>
      </c>
      <c r="I12" s="217">
        <v>75187</v>
      </c>
    </row>
    <row r="13" spans="1:9">
      <c r="A13" s="216" t="s">
        <v>1478</v>
      </c>
      <c r="B13" s="216" t="s">
        <v>1479</v>
      </c>
      <c r="C13" s="216" t="s">
        <v>1313</v>
      </c>
      <c r="D13" s="216" t="s">
        <v>28</v>
      </c>
      <c r="E13" s="240" t="s">
        <v>1325</v>
      </c>
      <c r="F13" s="246" t="s">
        <v>483</v>
      </c>
      <c r="G13" s="245" t="s">
        <v>483</v>
      </c>
      <c r="H13" s="243" t="s">
        <v>441</v>
      </c>
      <c r="I13" s="245">
        <v>74177</v>
      </c>
    </row>
    <row r="14" spans="1:9">
      <c r="A14" s="240" t="s">
        <v>760</v>
      </c>
      <c r="B14" s="240" t="s">
        <v>761</v>
      </c>
      <c r="C14" s="216" t="s">
        <v>1313</v>
      </c>
      <c r="D14" s="216" t="s">
        <v>317</v>
      </c>
      <c r="E14" s="240" t="s">
        <v>871</v>
      </c>
      <c r="F14" s="240" t="s">
        <v>872</v>
      </c>
      <c r="G14" s="242" t="s">
        <v>873</v>
      </c>
      <c r="H14" s="243" t="s">
        <v>874</v>
      </c>
      <c r="I14" s="242">
        <v>75299</v>
      </c>
    </row>
    <row r="15" spans="1:9">
      <c r="A15" s="240" t="s">
        <v>760</v>
      </c>
      <c r="B15" s="240" t="s">
        <v>761</v>
      </c>
      <c r="C15" s="216" t="s">
        <v>1313</v>
      </c>
      <c r="D15" s="216" t="s">
        <v>317</v>
      </c>
      <c r="E15" s="240" t="s">
        <v>871</v>
      </c>
      <c r="F15" s="240" t="s">
        <v>872</v>
      </c>
      <c r="G15" s="242" t="s">
        <v>873</v>
      </c>
      <c r="H15" s="243" t="s">
        <v>875</v>
      </c>
      <c r="I15" s="242">
        <v>75300</v>
      </c>
    </row>
    <row r="16" spans="1:9">
      <c r="A16" s="240" t="s">
        <v>762</v>
      </c>
      <c r="B16" s="240" t="s">
        <v>763</v>
      </c>
      <c r="C16" s="216" t="s">
        <v>27</v>
      </c>
      <c r="D16" s="216" t="s">
        <v>1311</v>
      </c>
      <c r="E16" s="240" t="s">
        <v>876</v>
      </c>
      <c r="F16" s="240" t="s">
        <v>877</v>
      </c>
      <c r="G16" s="242" t="s">
        <v>878</v>
      </c>
      <c r="H16" s="243">
        <v>8014223</v>
      </c>
      <c r="I16" s="242">
        <v>75134</v>
      </c>
    </row>
    <row r="17" spans="1:9">
      <c r="A17" s="240" t="s">
        <v>764</v>
      </c>
      <c r="B17" s="240" t="s">
        <v>765</v>
      </c>
      <c r="C17" s="216" t="s">
        <v>263</v>
      </c>
      <c r="D17" s="216" t="s">
        <v>1311</v>
      </c>
      <c r="E17" s="240" t="s">
        <v>879</v>
      </c>
      <c r="F17" s="240" t="s">
        <v>880</v>
      </c>
      <c r="G17" s="242" t="s">
        <v>881</v>
      </c>
      <c r="H17" s="243">
        <v>41017</v>
      </c>
      <c r="I17" s="242">
        <v>75072</v>
      </c>
    </row>
    <row r="18" spans="1:9">
      <c r="A18" s="216" t="s">
        <v>764</v>
      </c>
      <c r="B18" s="240" t="s">
        <v>766</v>
      </c>
      <c r="C18" s="216" t="s">
        <v>263</v>
      </c>
      <c r="D18" s="216" t="s">
        <v>1311</v>
      </c>
      <c r="E18" s="240" t="s">
        <v>879</v>
      </c>
      <c r="F18" s="216" t="s">
        <v>880</v>
      </c>
      <c r="G18" s="217" t="s">
        <v>881</v>
      </c>
      <c r="H18" s="218">
        <v>41013</v>
      </c>
      <c r="I18" s="217">
        <v>75073</v>
      </c>
    </row>
    <row r="19" spans="1:9">
      <c r="A19" s="216" t="s">
        <v>1478</v>
      </c>
      <c r="B19" s="216" t="s">
        <v>1479</v>
      </c>
      <c r="C19" s="216" t="s">
        <v>263</v>
      </c>
      <c r="D19" s="216" t="s">
        <v>1311</v>
      </c>
      <c r="E19" s="240" t="s">
        <v>882</v>
      </c>
      <c r="F19" s="246" t="s">
        <v>1326</v>
      </c>
      <c r="G19" s="245" t="s">
        <v>1327</v>
      </c>
      <c r="H19" s="243">
        <v>2470</v>
      </c>
      <c r="I19" s="245">
        <v>74184</v>
      </c>
    </row>
    <row r="20" spans="1:9">
      <c r="A20" s="216" t="s">
        <v>1478</v>
      </c>
      <c r="B20" s="216" t="s">
        <v>1479</v>
      </c>
      <c r="C20" s="216" t="s">
        <v>263</v>
      </c>
      <c r="D20" s="216" t="s">
        <v>1311</v>
      </c>
      <c r="E20" s="240" t="s">
        <v>882</v>
      </c>
      <c r="F20" s="246" t="s">
        <v>1329</v>
      </c>
      <c r="G20" s="245" t="s">
        <v>1330</v>
      </c>
      <c r="H20" s="243" t="s">
        <v>1331</v>
      </c>
      <c r="I20" s="245">
        <v>74191</v>
      </c>
    </row>
    <row r="21" spans="1:9">
      <c r="A21" s="216" t="s">
        <v>1478</v>
      </c>
      <c r="B21" s="216" t="s">
        <v>1479</v>
      </c>
      <c r="C21" s="216" t="s">
        <v>263</v>
      </c>
      <c r="D21" s="216" t="s">
        <v>1311</v>
      </c>
      <c r="E21" s="240" t="s">
        <v>882</v>
      </c>
      <c r="F21" s="246" t="s">
        <v>1332</v>
      </c>
      <c r="G21" s="245" t="s">
        <v>1333</v>
      </c>
      <c r="H21" s="243" t="s">
        <v>1334</v>
      </c>
      <c r="I21" s="245">
        <v>74210</v>
      </c>
    </row>
    <row r="22" spans="1:9">
      <c r="A22" s="216" t="s">
        <v>1478</v>
      </c>
      <c r="B22" s="216" t="s">
        <v>1479</v>
      </c>
      <c r="C22" s="216" t="s">
        <v>263</v>
      </c>
      <c r="D22" s="216" t="s">
        <v>1311</v>
      </c>
      <c r="E22" s="240" t="s">
        <v>882</v>
      </c>
      <c r="F22" s="246" t="s">
        <v>1335</v>
      </c>
      <c r="G22" s="245" t="s">
        <v>1336</v>
      </c>
      <c r="H22" s="243" t="s">
        <v>1337</v>
      </c>
      <c r="I22" s="245">
        <v>74194</v>
      </c>
    </row>
    <row r="23" spans="1:9">
      <c r="A23" s="216" t="s">
        <v>1478</v>
      </c>
      <c r="B23" s="216" t="s">
        <v>1479</v>
      </c>
      <c r="C23" s="216" t="s">
        <v>263</v>
      </c>
      <c r="D23" s="216" t="s">
        <v>1311</v>
      </c>
      <c r="E23" s="240" t="s">
        <v>882</v>
      </c>
      <c r="F23" s="246" t="s">
        <v>1338</v>
      </c>
      <c r="G23" s="245" t="s">
        <v>1339</v>
      </c>
      <c r="H23" s="243">
        <v>19979</v>
      </c>
      <c r="I23" s="245">
        <v>74187</v>
      </c>
    </row>
    <row r="24" spans="1:9">
      <c r="A24" s="216" t="s">
        <v>1478</v>
      </c>
      <c r="B24" s="216" t="s">
        <v>1479</v>
      </c>
      <c r="C24" s="216" t="s">
        <v>263</v>
      </c>
      <c r="D24" s="216" t="s">
        <v>1311</v>
      </c>
      <c r="E24" s="240" t="s">
        <v>882</v>
      </c>
      <c r="F24" s="246" t="s">
        <v>1340</v>
      </c>
      <c r="G24" s="245">
        <v>1636</v>
      </c>
      <c r="H24" s="243">
        <v>16900002248</v>
      </c>
      <c r="I24" s="245"/>
    </row>
    <row r="25" spans="1:9">
      <c r="A25" s="216" t="s">
        <v>1478</v>
      </c>
      <c r="B25" s="216" t="s">
        <v>1479</v>
      </c>
      <c r="C25" s="216" t="s">
        <v>263</v>
      </c>
      <c r="D25" s="216" t="s">
        <v>1311</v>
      </c>
      <c r="E25" s="240" t="s">
        <v>882</v>
      </c>
      <c r="F25" s="246" t="s">
        <v>1342</v>
      </c>
      <c r="G25" s="245" t="s">
        <v>1343</v>
      </c>
      <c r="H25" s="243" t="s">
        <v>1344</v>
      </c>
      <c r="I25" s="245"/>
    </row>
    <row r="26" spans="1:9">
      <c r="A26" s="240" t="s">
        <v>762</v>
      </c>
      <c r="B26" s="240" t="s">
        <v>763</v>
      </c>
      <c r="C26" s="216" t="s">
        <v>263</v>
      </c>
      <c r="D26" s="216" t="s">
        <v>1311</v>
      </c>
      <c r="E26" s="240" t="s">
        <v>882</v>
      </c>
      <c r="F26" s="240" t="s">
        <v>1305</v>
      </c>
      <c r="G26" s="240" t="s">
        <v>883</v>
      </c>
      <c r="H26" s="243" t="s">
        <v>884</v>
      </c>
      <c r="I26" s="242">
        <v>76591</v>
      </c>
    </row>
    <row r="27" spans="1:9">
      <c r="A27" s="240" t="s">
        <v>752</v>
      </c>
      <c r="B27" s="240" t="s">
        <v>767</v>
      </c>
      <c r="C27" s="216" t="s">
        <v>263</v>
      </c>
      <c r="D27" s="216" t="s">
        <v>1311</v>
      </c>
      <c r="E27" s="240" t="s">
        <v>882</v>
      </c>
      <c r="F27" s="240" t="s">
        <v>1305</v>
      </c>
      <c r="G27" s="240" t="s">
        <v>883</v>
      </c>
      <c r="H27" s="243" t="s">
        <v>885</v>
      </c>
      <c r="I27" s="242">
        <v>75108</v>
      </c>
    </row>
    <row r="28" spans="1:9">
      <c r="A28" s="242" t="s">
        <v>762</v>
      </c>
      <c r="B28" s="240" t="s">
        <v>768</v>
      </c>
      <c r="C28" s="216" t="s">
        <v>263</v>
      </c>
      <c r="D28" s="216" t="s">
        <v>1311</v>
      </c>
      <c r="E28" s="240" t="s">
        <v>882</v>
      </c>
      <c r="F28" s="240" t="s">
        <v>1305</v>
      </c>
      <c r="G28" s="240" t="s">
        <v>883</v>
      </c>
      <c r="H28" s="243" t="s">
        <v>886</v>
      </c>
      <c r="I28" s="242">
        <v>75110</v>
      </c>
    </row>
    <row r="29" spans="1:9">
      <c r="A29" s="242" t="s">
        <v>1307</v>
      </c>
      <c r="B29" s="240" t="s">
        <v>768</v>
      </c>
      <c r="C29" s="216" t="s">
        <v>263</v>
      </c>
      <c r="D29" s="216" t="s">
        <v>1311</v>
      </c>
      <c r="E29" s="240" t="s">
        <v>882</v>
      </c>
      <c r="F29" s="240" t="s">
        <v>1305</v>
      </c>
      <c r="G29" s="240" t="s">
        <v>883</v>
      </c>
      <c r="H29" s="243" t="s">
        <v>887</v>
      </c>
      <c r="I29" s="242">
        <v>75113</v>
      </c>
    </row>
    <row r="30" spans="1:9">
      <c r="A30" s="242" t="s">
        <v>1307</v>
      </c>
      <c r="B30" s="242" t="s">
        <v>769</v>
      </c>
      <c r="C30" s="216" t="s">
        <v>263</v>
      </c>
      <c r="D30" s="216" t="s">
        <v>1311</v>
      </c>
      <c r="E30" s="240" t="s">
        <v>882</v>
      </c>
      <c r="F30" s="240" t="s">
        <v>1305</v>
      </c>
      <c r="G30" s="240" t="s">
        <v>883</v>
      </c>
      <c r="H30" s="243" t="s">
        <v>888</v>
      </c>
      <c r="I30" s="242">
        <v>75114</v>
      </c>
    </row>
    <row r="31" spans="1:9">
      <c r="A31" s="242" t="s">
        <v>1307</v>
      </c>
      <c r="B31" s="240" t="s">
        <v>770</v>
      </c>
      <c r="C31" s="216" t="s">
        <v>263</v>
      </c>
      <c r="D31" s="216" t="s">
        <v>1311</v>
      </c>
      <c r="E31" s="240" t="s">
        <v>882</v>
      </c>
      <c r="F31" s="240" t="s">
        <v>1305</v>
      </c>
      <c r="G31" s="240" t="s">
        <v>883</v>
      </c>
      <c r="H31" s="243" t="s">
        <v>889</v>
      </c>
      <c r="I31" s="242">
        <v>75115</v>
      </c>
    </row>
    <row r="32" spans="1:9">
      <c r="A32" s="240" t="s">
        <v>764</v>
      </c>
      <c r="B32" s="216" t="s">
        <v>771</v>
      </c>
      <c r="C32" s="216" t="s">
        <v>27</v>
      </c>
      <c r="D32" s="216" t="s">
        <v>317</v>
      </c>
      <c r="E32" s="240" t="s">
        <v>890</v>
      </c>
      <c r="F32" s="240" t="s">
        <v>891</v>
      </c>
      <c r="G32" s="242" t="s">
        <v>892</v>
      </c>
      <c r="H32" s="243">
        <v>644181</v>
      </c>
      <c r="I32" s="242">
        <v>75275</v>
      </c>
    </row>
    <row r="33" spans="1:9">
      <c r="A33" s="216" t="s">
        <v>1478</v>
      </c>
      <c r="B33" s="216" t="s">
        <v>1479</v>
      </c>
      <c r="C33" s="216" t="s">
        <v>27</v>
      </c>
      <c r="D33" s="216" t="s">
        <v>317</v>
      </c>
      <c r="E33" s="240" t="s">
        <v>893</v>
      </c>
      <c r="F33" s="246" t="s">
        <v>1345</v>
      </c>
      <c r="G33" s="245" t="s">
        <v>1346</v>
      </c>
      <c r="H33" s="243">
        <v>46195</v>
      </c>
      <c r="I33" s="245">
        <v>74061</v>
      </c>
    </row>
    <row r="34" spans="1:9">
      <c r="A34" s="216" t="s">
        <v>1478</v>
      </c>
      <c r="B34" s="216" t="s">
        <v>1479</v>
      </c>
      <c r="C34" s="216" t="s">
        <v>27</v>
      </c>
      <c r="D34" s="216" t="s">
        <v>317</v>
      </c>
      <c r="E34" s="240" t="s">
        <v>893</v>
      </c>
      <c r="F34" s="246" t="s">
        <v>1347</v>
      </c>
      <c r="G34" s="245" t="s">
        <v>1348</v>
      </c>
      <c r="H34" s="243" t="s">
        <v>1349</v>
      </c>
      <c r="I34" s="245">
        <v>74062</v>
      </c>
    </row>
    <row r="35" spans="1:9">
      <c r="A35" s="216" t="s">
        <v>1478</v>
      </c>
      <c r="B35" s="216" t="s">
        <v>1479</v>
      </c>
      <c r="C35" s="216" t="s">
        <v>27</v>
      </c>
      <c r="D35" s="216" t="s">
        <v>317</v>
      </c>
      <c r="E35" s="240" t="s">
        <v>893</v>
      </c>
      <c r="F35" s="246" t="s">
        <v>1347</v>
      </c>
      <c r="G35" s="245" t="s">
        <v>1348</v>
      </c>
      <c r="H35" s="243">
        <v>20885416</v>
      </c>
      <c r="I35" s="245">
        <v>74201</v>
      </c>
    </row>
    <row r="36" spans="1:9">
      <c r="A36" s="216" t="s">
        <v>1478</v>
      </c>
      <c r="B36" s="216" t="s">
        <v>1479</v>
      </c>
      <c r="C36" s="216" t="s">
        <v>27</v>
      </c>
      <c r="D36" s="216" t="s">
        <v>317</v>
      </c>
      <c r="E36" s="240" t="s">
        <v>893</v>
      </c>
      <c r="F36" s="246" t="s">
        <v>1345</v>
      </c>
      <c r="G36" s="245" t="s">
        <v>1350</v>
      </c>
      <c r="H36" s="243">
        <v>51822</v>
      </c>
      <c r="I36" s="245">
        <v>74197</v>
      </c>
    </row>
    <row r="37" spans="1:9">
      <c r="A37" s="242" t="s">
        <v>762</v>
      </c>
      <c r="B37" s="240" t="s">
        <v>763</v>
      </c>
      <c r="C37" s="216" t="s">
        <v>27</v>
      </c>
      <c r="D37" s="216" t="s">
        <v>317</v>
      </c>
      <c r="E37" s="240" t="s">
        <v>893</v>
      </c>
      <c r="F37" s="240" t="s">
        <v>891</v>
      </c>
      <c r="G37" s="242" t="s">
        <v>894</v>
      </c>
      <c r="H37" s="243">
        <v>976105</v>
      </c>
      <c r="I37" s="242">
        <v>75263</v>
      </c>
    </row>
    <row r="38" spans="1:9">
      <c r="A38" s="242" t="s">
        <v>764</v>
      </c>
      <c r="B38" s="240" t="s">
        <v>765</v>
      </c>
      <c r="C38" s="216" t="s">
        <v>27</v>
      </c>
      <c r="D38" s="216" t="s">
        <v>317</v>
      </c>
      <c r="E38" s="240" t="s">
        <v>893</v>
      </c>
      <c r="F38" s="240" t="s">
        <v>891</v>
      </c>
      <c r="G38" s="242" t="s">
        <v>894</v>
      </c>
      <c r="H38" s="243">
        <v>976085</v>
      </c>
      <c r="I38" s="242">
        <v>75264</v>
      </c>
    </row>
    <row r="39" spans="1:9">
      <c r="A39" s="228" t="s">
        <v>762</v>
      </c>
      <c r="B39" s="249" t="s">
        <v>763</v>
      </c>
      <c r="C39" s="216" t="s">
        <v>27</v>
      </c>
      <c r="D39" s="216" t="s">
        <v>317</v>
      </c>
      <c r="E39" s="250" t="s">
        <v>893</v>
      </c>
      <c r="F39" s="216" t="s">
        <v>891</v>
      </c>
      <c r="G39" s="217" t="s">
        <v>894</v>
      </c>
      <c r="H39" s="243">
        <v>976184</v>
      </c>
      <c r="I39" s="217">
        <v>75265</v>
      </c>
    </row>
    <row r="40" spans="1:9">
      <c r="A40" s="246" t="s">
        <v>762</v>
      </c>
      <c r="B40" s="246" t="s">
        <v>763</v>
      </c>
      <c r="C40" s="216" t="s">
        <v>27</v>
      </c>
      <c r="D40" s="216" t="s">
        <v>317</v>
      </c>
      <c r="E40" s="246" t="s">
        <v>893</v>
      </c>
      <c r="F40" s="246" t="s">
        <v>891</v>
      </c>
      <c r="G40" s="245" t="s">
        <v>894</v>
      </c>
      <c r="H40" s="251">
        <v>976084</v>
      </c>
      <c r="I40" s="245">
        <v>75266</v>
      </c>
    </row>
    <row r="41" spans="1:9">
      <c r="A41" s="242" t="s">
        <v>1307</v>
      </c>
      <c r="B41" s="240" t="s">
        <v>772</v>
      </c>
      <c r="C41" s="216" t="s">
        <v>27</v>
      </c>
      <c r="D41" s="216" t="s">
        <v>317</v>
      </c>
      <c r="E41" s="239" t="s">
        <v>893</v>
      </c>
      <c r="F41" s="239" t="s">
        <v>891</v>
      </c>
      <c r="G41" s="252" t="s">
        <v>894</v>
      </c>
      <c r="H41" s="243">
        <v>976108</v>
      </c>
      <c r="I41" s="242">
        <v>75268</v>
      </c>
    </row>
    <row r="42" spans="1:9">
      <c r="A42" s="242" t="s">
        <v>1307</v>
      </c>
      <c r="B42" s="239" t="s">
        <v>772</v>
      </c>
      <c r="C42" s="216" t="s">
        <v>27</v>
      </c>
      <c r="D42" s="216" t="s">
        <v>317</v>
      </c>
      <c r="E42" s="239" t="s">
        <v>893</v>
      </c>
      <c r="F42" s="239" t="s">
        <v>891</v>
      </c>
      <c r="G42" s="252" t="s">
        <v>894</v>
      </c>
      <c r="H42" s="243">
        <v>976100</v>
      </c>
      <c r="I42" s="252">
        <v>75269</v>
      </c>
    </row>
    <row r="43" spans="1:9">
      <c r="A43" s="242" t="s">
        <v>1307</v>
      </c>
      <c r="B43" s="239" t="s">
        <v>772</v>
      </c>
      <c r="C43" s="216" t="s">
        <v>27</v>
      </c>
      <c r="D43" s="216" t="s">
        <v>317</v>
      </c>
      <c r="E43" s="239" t="s">
        <v>893</v>
      </c>
      <c r="F43" s="239" t="s">
        <v>891</v>
      </c>
      <c r="G43" s="252" t="s">
        <v>894</v>
      </c>
      <c r="H43" s="243">
        <v>976106</v>
      </c>
      <c r="I43" s="252">
        <v>75270</v>
      </c>
    </row>
    <row r="44" spans="1:9">
      <c r="A44" s="240" t="s">
        <v>764</v>
      </c>
      <c r="B44" s="240" t="s">
        <v>766</v>
      </c>
      <c r="C44" s="216" t="s">
        <v>27</v>
      </c>
      <c r="D44" s="216" t="s">
        <v>317</v>
      </c>
      <c r="E44" s="240" t="s">
        <v>893</v>
      </c>
      <c r="F44" s="240" t="s">
        <v>891</v>
      </c>
      <c r="G44" s="242" t="s">
        <v>894</v>
      </c>
      <c r="H44" s="243">
        <v>947601</v>
      </c>
      <c r="I44" s="242">
        <v>75272</v>
      </c>
    </row>
    <row r="45" spans="1:9">
      <c r="A45" s="242" t="s">
        <v>1307</v>
      </c>
      <c r="B45" s="240" t="s">
        <v>769</v>
      </c>
      <c r="C45" s="216" t="s">
        <v>27</v>
      </c>
      <c r="D45" s="216" t="s">
        <v>317</v>
      </c>
      <c r="E45" s="240" t="s">
        <v>893</v>
      </c>
      <c r="F45" s="240" t="s">
        <v>891</v>
      </c>
      <c r="G45" s="242" t="s">
        <v>894</v>
      </c>
      <c r="H45" s="243">
        <v>976112</v>
      </c>
      <c r="I45" s="242">
        <v>75267</v>
      </c>
    </row>
    <row r="46" spans="1:9">
      <c r="A46" s="240" t="s">
        <v>764</v>
      </c>
      <c r="B46" s="240" t="s">
        <v>773</v>
      </c>
      <c r="C46" s="216" t="s">
        <v>27</v>
      </c>
      <c r="D46" s="216" t="s">
        <v>317</v>
      </c>
      <c r="E46" s="240" t="s">
        <v>893</v>
      </c>
      <c r="F46" s="240" t="s">
        <v>891</v>
      </c>
      <c r="G46" s="242" t="s">
        <v>894</v>
      </c>
      <c r="H46" s="243">
        <v>976095</v>
      </c>
      <c r="I46" s="242">
        <v>75273</v>
      </c>
    </row>
    <row r="47" spans="1:9">
      <c r="A47" s="216" t="s">
        <v>1478</v>
      </c>
      <c r="B47" s="216" t="s">
        <v>1479</v>
      </c>
      <c r="C47" s="216" t="s">
        <v>1313</v>
      </c>
      <c r="D47" s="216" t="s">
        <v>1311</v>
      </c>
      <c r="E47" s="240" t="s">
        <v>1480</v>
      </c>
      <c r="F47" s="246" t="s">
        <v>1351</v>
      </c>
      <c r="G47" s="245" t="s">
        <v>1352</v>
      </c>
      <c r="H47" s="243" t="s">
        <v>1353</v>
      </c>
      <c r="I47" s="245">
        <v>74173</v>
      </c>
    </row>
    <row r="48" spans="1:9">
      <c r="A48" s="240" t="s">
        <v>760</v>
      </c>
      <c r="B48" s="240" t="s">
        <v>774</v>
      </c>
      <c r="C48" s="216" t="s">
        <v>1313</v>
      </c>
      <c r="D48" s="216" t="s">
        <v>1311</v>
      </c>
      <c r="E48" s="240" t="s">
        <v>1299</v>
      </c>
      <c r="F48" s="240" t="s">
        <v>895</v>
      </c>
      <c r="G48" s="242">
        <v>111994</v>
      </c>
      <c r="H48" s="243" t="s">
        <v>896</v>
      </c>
      <c r="I48" s="242">
        <v>75111</v>
      </c>
    </row>
    <row r="49" spans="1:9">
      <c r="A49" s="240" t="s">
        <v>752</v>
      </c>
      <c r="B49" s="240" t="s">
        <v>753</v>
      </c>
      <c r="C49" s="216" t="s">
        <v>442</v>
      </c>
      <c r="D49" s="216" t="s">
        <v>1311</v>
      </c>
      <c r="E49" s="240" t="s">
        <v>897</v>
      </c>
      <c r="F49" s="240" t="s">
        <v>898</v>
      </c>
      <c r="G49" s="242" t="s">
        <v>899</v>
      </c>
      <c r="H49" s="243" t="s">
        <v>844</v>
      </c>
      <c r="I49" s="242">
        <v>76576</v>
      </c>
    </row>
    <row r="50" spans="1:9">
      <c r="A50" s="242" t="s">
        <v>1307</v>
      </c>
      <c r="B50" s="242" t="s">
        <v>769</v>
      </c>
      <c r="C50" s="216" t="s">
        <v>27</v>
      </c>
      <c r="D50" s="216" t="s">
        <v>1311</v>
      </c>
      <c r="E50" s="240" t="s">
        <v>900</v>
      </c>
      <c r="F50" s="240" t="s">
        <v>901</v>
      </c>
      <c r="G50" s="242" t="s">
        <v>902</v>
      </c>
      <c r="H50" s="243"/>
      <c r="I50" s="242">
        <v>76770</v>
      </c>
    </row>
    <row r="51" spans="1:9">
      <c r="A51" s="242" t="s">
        <v>1307</v>
      </c>
      <c r="B51" s="240" t="s">
        <v>772</v>
      </c>
      <c r="C51" s="216" t="s">
        <v>27</v>
      </c>
      <c r="D51" s="216" t="s">
        <v>1311</v>
      </c>
      <c r="E51" s="240" t="s">
        <v>903</v>
      </c>
      <c r="F51" s="240" t="s">
        <v>904</v>
      </c>
      <c r="G51" s="242" t="s">
        <v>905</v>
      </c>
      <c r="H51" s="243">
        <v>230302675</v>
      </c>
      <c r="I51" s="242">
        <v>75058</v>
      </c>
    </row>
    <row r="52" spans="1:9">
      <c r="A52" s="240" t="s">
        <v>762</v>
      </c>
      <c r="B52" s="240" t="s">
        <v>768</v>
      </c>
      <c r="C52" s="216" t="s">
        <v>27</v>
      </c>
      <c r="D52" s="216" t="s">
        <v>1311</v>
      </c>
      <c r="E52" s="240" t="s">
        <v>906</v>
      </c>
      <c r="F52" s="240" t="s">
        <v>904</v>
      </c>
      <c r="G52" s="242" t="s">
        <v>905</v>
      </c>
      <c r="H52" s="243">
        <v>230302673</v>
      </c>
      <c r="I52" s="242">
        <v>75056</v>
      </c>
    </row>
    <row r="53" spans="1:9">
      <c r="A53" s="240" t="s">
        <v>762</v>
      </c>
      <c r="B53" s="240" t="s">
        <v>768</v>
      </c>
      <c r="C53" s="216" t="s">
        <v>27</v>
      </c>
      <c r="D53" s="216" t="s">
        <v>1311</v>
      </c>
      <c r="E53" s="240" t="s">
        <v>906</v>
      </c>
      <c r="F53" s="240" t="s">
        <v>904</v>
      </c>
      <c r="G53" s="242" t="s">
        <v>905</v>
      </c>
      <c r="H53" s="243">
        <v>230302674</v>
      </c>
      <c r="I53" s="242">
        <v>75057</v>
      </c>
    </row>
    <row r="54" spans="1:9">
      <c r="A54" s="240" t="s">
        <v>764</v>
      </c>
      <c r="B54" s="216" t="s">
        <v>771</v>
      </c>
      <c r="C54" s="216" t="s">
        <v>27</v>
      </c>
      <c r="D54" s="216" t="s">
        <v>1311</v>
      </c>
      <c r="E54" s="246" t="s">
        <v>907</v>
      </c>
      <c r="F54" s="216" t="s">
        <v>901</v>
      </c>
      <c r="G54" s="217" t="s">
        <v>902</v>
      </c>
      <c r="H54" s="243" t="s">
        <v>844</v>
      </c>
      <c r="I54" s="217">
        <v>76550</v>
      </c>
    </row>
    <row r="55" spans="1:9">
      <c r="A55" s="240" t="s">
        <v>764</v>
      </c>
      <c r="B55" s="240" t="s">
        <v>1308</v>
      </c>
      <c r="C55" s="216" t="s">
        <v>27</v>
      </c>
      <c r="D55" s="216" t="s">
        <v>28</v>
      </c>
      <c r="E55" s="246" t="s">
        <v>908</v>
      </c>
      <c r="F55" s="216" t="s">
        <v>909</v>
      </c>
      <c r="G55" s="217" t="s">
        <v>910</v>
      </c>
      <c r="H55" s="243">
        <v>2269604</v>
      </c>
      <c r="I55" s="217">
        <v>76694</v>
      </c>
    </row>
    <row r="56" spans="1:9">
      <c r="A56" s="217" t="s">
        <v>775</v>
      </c>
      <c r="B56" s="240" t="s">
        <v>776</v>
      </c>
      <c r="C56" s="216" t="s">
        <v>263</v>
      </c>
      <c r="D56" s="216" t="s">
        <v>28</v>
      </c>
      <c r="E56" s="240" t="s">
        <v>911</v>
      </c>
      <c r="F56" s="216" t="s">
        <v>852</v>
      </c>
      <c r="G56" s="217" t="s">
        <v>912</v>
      </c>
      <c r="H56" s="243" t="s">
        <v>913</v>
      </c>
      <c r="I56" s="217">
        <v>75116</v>
      </c>
    </row>
    <row r="57" spans="1:9">
      <c r="A57" s="240" t="s">
        <v>775</v>
      </c>
      <c r="B57" s="240" t="s">
        <v>778</v>
      </c>
      <c r="C57" s="216" t="s">
        <v>1310</v>
      </c>
      <c r="D57" s="216" t="s">
        <v>317</v>
      </c>
      <c r="E57" s="240" t="s">
        <v>914</v>
      </c>
      <c r="F57" s="240"/>
      <c r="G57" s="242"/>
      <c r="H57" s="243"/>
      <c r="I57" s="242"/>
    </row>
    <row r="58" spans="1:9">
      <c r="A58" s="240" t="s">
        <v>760</v>
      </c>
      <c r="B58" s="240" t="s">
        <v>779</v>
      </c>
      <c r="C58" s="216" t="s">
        <v>27</v>
      </c>
      <c r="D58" s="216" t="s">
        <v>1311</v>
      </c>
      <c r="E58" s="240" t="s">
        <v>915</v>
      </c>
      <c r="F58" s="240" t="s">
        <v>916</v>
      </c>
      <c r="G58" s="242" t="s">
        <v>917</v>
      </c>
      <c r="H58" s="243" t="s">
        <v>918</v>
      </c>
      <c r="I58" s="242">
        <v>75244</v>
      </c>
    </row>
    <row r="59" spans="1:9">
      <c r="A59" s="240" t="s">
        <v>760</v>
      </c>
      <c r="B59" s="240" t="s">
        <v>774</v>
      </c>
      <c r="C59" s="216" t="s">
        <v>27</v>
      </c>
      <c r="D59" s="216" t="s">
        <v>1311</v>
      </c>
      <c r="E59" s="240" t="s">
        <v>915</v>
      </c>
      <c r="F59" s="240" t="s">
        <v>916</v>
      </c>
      <c r="G59" s="242" t="s">
        <v>917</v>
      </c>
      <c r="H59" s="243" t="s">
        <v>919</v>
      </c>
      <c r="I59" s="242">
        <v>75245</v>
      </c>
    </row>
    <row r="60" spans="1:9">
      <c r="A60" s="240" t="s">
        <v>760</v>
      </c>
      <c r="B60" s="240" t="s">
        <v>780</v>
      </c>
      <c r="C60" s="216" t="s">
        <v>27</v>
      </c>
      <c r="D60" s="216" t="s">
        <v>1311</v>
      </c>
      <c r="E60" s="240" t="s">
        <v>915</v>
      </c>
      <c r="F60" s="240" t="s">
        <v>916</v>
      </c>
      <c r="G60" s="242" t="s">
        <v>917</v>
      </c>
      <c r="H60" s="243" t="s">
        <v>920</v>
      </c>
      <c r="I60" s="242">
        <v>75246</v>
      </c>
    </row>
    <row r="61" spans="1:9">
      <c r="A61" s="240" t="s">
        <v>752</v>
      </c>
      <c r="B61" s="240" t="s">
        <v>781</v>
      </c>
      <c r="C61" s="216" t="s">
        <v>27</v>
      </c>
      <c r="D61" s="216" t="s">
        <v>1311</v>
      </c>
      <c r="E61" s="240" t="s">
        <v>921</v>
      </c>
      <c r="F61" s="240" t="s">
        <v>916</v>
      </c>
      <c r="G61" s="242" t="s">
        <v>922</v>
      </c>
      <c r="H61" s="243" t="s">
        <v>923</v>
      </c>
      <c r="I61" s="242">
        <v>75231</v>
      </c>
    </row>
    <row r="62" spans="1:9">
      <c r="A62" s="240" t="s">
        <v>752</v>
      </c>
      <c r="B62" s="240" t="s">
        <v>781</v>
      </c>
      <c r="C62" s="216" t="s">
        <v>27</v>
      </c>
      <c r="D62" s="216" t="s">
        <v>1311</v>
      </c>
      <c r="E62" s="240" t="s">
        <v>921</v>
      </c>
      <c r="F62" s="240" t="s">
        <v>916</v>
      </c>
      <c r="G62" s="242" t="s">
        <v>922</v>
      </c>
      <c r="H62" s="243" t="s">
        <v>924</v>
      </c>
      <c r="I62" s="242">
        <v>75232</v>
      </c>
    </row>
    <row r="63" spans="1:9">
      <c r="A63" s="240" t="s">
        <v>752</v>
      </c>
      <c r="B63" s="240" t="s">
        <v>782</v>
      </c>
      <c r="C63" s="216" t="s">
        <v>27</v>
      </c>
      <c r="D63" s="216" t="s">
        <v>1311</v>
      </c>
      <c r="E63" s="240" t="s">
        <v>921</v>
      </c>
      <c r="F63" s="240" t="s">
        <v>916</v>
      </c>
      <c r="G63" s="242" t="s">
        <v>922</v>
      </c>
      <c r="H63" s="243" t="s">
        <v>925</v>
      </c>
      <c r="I63" s="242">
        <v>75230</v>
      </c>
    </row>
    <row r="64" spans="1:9">
      <c r="A64" s="240" t="s">
        <v>752</v>
      </c>
      <c r="B64" s="240" t="s">
        <v>783</v>
      </c>
      <c r="C64" s="216" t="s">
        <v>27</v>
      </c>
      <c r="D64" s="216" t="s">
        <v>1311</v>
      </c>
      <c r="E64" s="240" t="s">
        <v>921</v>
      </c>
      <c r="F64" s="240" t="s">
        <v>916</v>
      </c>
      <c r="G64" s="242" t="s">
        <v>922</v>
      </c>
      <c r="H64" s="243" t="s">
        <v>926</v>
      </c>
      <c r="I64" s="242">
        <v>75221</v>
      </c>
    </row>
    <row r="65" spans="1:9">
      <c r="A65" s="240" t="s">
        <v>752</v>
      </c>
      <c r="B65" s="240" t="s">
        <v>784</v>
      </c>
      <c r="C65" s="216" t="s">
        <v>27</v>
      </c>
      <c r="D65" s="216" t="s">
        <v>1311</v>
      </c>
      <c r="E65" s="240" t="s">
        <v>921</v>
      </c>
      <c r="F65" s="240" t="s">
        <v>916</v>
      </c>
      <c r="G65" s="242" t="s">
        <v>922</v>
      </c>
      <c r="H65" s="243" t="s">
        <v>927</v>
      </c>
      <c r="I65" s="242">
        <v>75222</v>
      </c>
    </row>
    <row r="66" spans="1:9">
      <c r="A66" s="240" t="s">
        <v>752</v>
      </c>
      <c r="B66" s="240" t="s">
        <v>785</v>
      </c>
      <c r="C66" s="216" t="s">
        <v>27</v>
      </c>
      <c r="D66" s="216" t="s">
        <v>1311</v>
      </c>
      <c r="E66" s="240" t="s">
        <v>921</v>
      </c>
      <c r="F66" s="240" t="s">
        <v>916</v>
      </c>
      <c r="G66" s="242" t="s">
        <v>922</v>
      </c>
      <c r="H66" s="243" t="s">
        <v>928</v>
      </c>
      <c r="I66" s="242">
        <v>75223</v>
      </c>
    </row>
    <row r="67" spans="1:9">
      <c r="A67" s="240" t="s">
        <v>752</v>
      </c>
      <c r="B67" s="240" t="s">
        <v>786</v>
      </c>
      <c r="C67" s="216" t="s">
        <v>27</v>
      </c>
      <c r="D67" s="216" t="s">
        <v>1311</v>
      </c>
      <c r="E67" s="240" t="s">
        <v>921</v>
      </c>
      <c r="F67" s="240" t="s">
        <v>916</v>
      </c>
      <c r="G67" s="242" t="s">
        <v>922</v>
      </c>
      <c r="H67" s="243" t="s">
        <v>929</v>
      </c>
      <c r="I67" s="242">
        <v>75224</v>
      </c>
    </row>
    <row r="68" spans="1:9">
      <c r="A68" s="240" t="s">
        <v>752</v>
      </c>
      <c r="B68" s="240" t="s">
        <v>787</v>
      </c>
      <c r="C68" s="216" t="s">
        <v>27</v>
      </c>
      <c r="D68" s="216" t="s">
        <v>1311</v>
      </c>
      <c r="E68" s="240" t="s">
        <v>921</v>
      </c>
      <c r="F68" s="240" t="s">
        <v>916</v>
      </c>
      <c r="G68" s="242" t="s">
        <v>922</v>
      </c>
      <c r="H68" s="243" t="s">
        <v>930</v>
      </c>
      <c r="I68" s="242">
        <v>75225</v>
      </c>
    </row>
    <row r="69" spans="1:9">
      <c r="A69" s="240" t="s">
        <v>752</v>
      </c>
      <c r="B69" s="240" t="s">
        <v>758</v>
      </c>
      <c r="C69" s="216" t="s">
        <v>27</v>
      </c>
      <c r="D69" s="216" t="s">
        <v>1311</v>
      </c>
      <c r="E69" s="240" t="s">
        <v>921</v>
      </c>
      <c r="F69" s="240" t="s">
        <v>916</v>
      </c>
      <c r="G69" s="242" t="s">
        <v>922</v>
      </c>
      <c r="H69" s="243" t="s">
        <v>931</v>
      </c>
      <c r="I69" s="242">
        <v>75226</v>
      </c>
    </row>
    <row r="70" spans="1:9">
      <c r="A70" s="240" t="s">
        <v>752</v>
      </c>
      <c r="B70" s="240" t="s">
        <v>767</v>
      </c>
      <c r="C70" s="216" t="s">
        <v>27</v>
      </c>
      <c r="D70" s="216" t="s">
        <v>1311</v>
      </c>
      <c r="E70" s="240" t="s">
        <v>921</v>
      </c>
      <c r="F70" s="240" t="s">
        <v>916</v>
      </c>
      <c r="G70" s="242" t="s">
        <v>922</v>
      </c>
      <c r="H70" s="243" t="s">
        <v>932</v>
      </c>
      <c r="I70" s="242">
        <v>75227</v>
      </c>
    </row>
    <row r="71" spans="1:9">
      <c r="A71" s="240" t="s">
        <v>752</v>
      </c>
      <c r="B71" s="240" t="s">
        <v>788</v>
      </c>
      <c r="C71" s="216" t="s">
        <v>27</v>
      </c>
      <c r="D71" s="216" t="s">
        <v>1311</v>
      </c>
      <c r="E71" s="240" t="s">
        <v>921</v>
      </c>
      <c r="F71" s="240" t="s">
        <v>916</v>
      </c>
      <c r="G71" s="242" t="s">
        <v>922</v>
      </c>
      <c r="H71" s="243" t="s">
        <v>933</v>
      </c>
      <c r="I71" s="242">
        <v>75228</v>
      </c>
    </row>
    <row r="72" spans="1:9">
      <c r="A72" s="240" t="s">
        <v>752</v>
      </c>
      <c r="B72" s="240" t="s">
        <v>789</v>
      </c>
      <c r="C72" s="216" t="s">
        <v>27</v>
      </c>
      <c r="D72" s="216" t="s">
        <v>1311</v>
      </c>
      <c r="E72" s="240" t="s">
        <v>921</v>
      </c>
      <c r="F72" s="240" t="s">
        <v>916</v>
      </c>
      <c r="G72" s="242" t="s">
        <v>922</v>
      </c>
      <c r="H72" s="243" t="s">
        <v>934</v>
      </c>
      <c r="I72" s="242">
        <v>75229</v>
      </c>
    </row>
    <row r="73" spans="1:9">
      <c r="A73" s="240" t="s">
        <v>752</v>
      </c>
      <c r="B73" s="240" t="s">
        <v>790</v>
      </c>
      <c r="C73" s="216" t="s">
        <v>27</v>
      </c>
      <c r="D73" s="216" t="s">
        <v>317</v>
      </c>
      <c r="E73" s="240" t="s">
        <v>935</v>
      </c>
      <c r="F73" s="240" t="s">
        <v>916</v>
      </c>
      <c r="G73" s="242" t="s">
        <v>936</v>
      </c>
      <c r="H73" s="243" t="s">
        <v>937</v>
      </c>
      <c r="I73" s="242">
        <v>75233</v>
      </c>
    </row>
    <row r="74" spans="1:9">
      <c r="A74" s="242" t="s">
        <v>1307</v>
      </c>
      <c r="B74" s="240" t="s">
        <v>791</v>
      </c>
      <c r="C74" s="216" t="s">
        <v>27</v>
      </c>
      <c r="D74" s="216" t="s">
        <v>317</v>
      </c>
      <c r="E74" s="240" t="s">
        <v>935</v>
      </c>
      <c r="F74" s="240" t="s">
        <v>916</v>
      </c>
      <c r="G74" s="242" t="s">
        <v>936</v>
      </c>
      <c r="H74" s="243" t="s">
        <v>938</v>
      </c>
      <c r="I74" s="242">
        <v>75247</v>
      </c>
    </row>
    <row r="75" spans="1:9">
      <c r="A75" s="242" t="s">
        <v>1307</v>
      </c>
      <c r="B75" s="240" t="s">
        <v>770</v>
      </c>
      <c r="C75" s="216" t="s">
        <v>27</v>
      </c>
      <c r="D75" s="216" t="s">
        <v>317</v>
      </c>
      <c r="E75" s="240" t="s">
        <v>939</v>
      </c>
      <c r="F75" s="240" t="s">
        <v>940</v>
      </c>
      <c r="G75" s="242" t="s">
        <v>941</v>
      </c>
      <c r="H75" s="243" t="s">
        <v>844</v>
      </c>
      <c r="I75" s="242">
        <v>75260</v>
      </c>
    </row>
    <row r="76" spans="1:9">
      <c r="A76" s="242" t="s">
        <v>1307</v>
      </c>
      <c r="B76" s="240" t="s">
        <v>792</v>
      </c>
      <c r="C76" s="216" t="s">
        <v>27</v>
      </c>
      <c r="D76" s="216" t="s">
        <v>1311</v>
      </c>
      <c r="E76" s="240" t="s">
        <v>942</v>
      </c>
      <c r="F76" s="240" t="s">
        <v>916</v>
      </c>
      <c r="G76" s="242" t="s">
        <v>943</v>
      </c>
      <c r="H76" s="243" t="s">
        <v>944</v>
      </c>
      <c r="I76" s="242">
        <v>75249</v>
      </c>
    </row>
    <row r="77" spans="1:9">
      <c r="A77" s="240" t="s">
        <v>1307</v>
      </c>
      <c r="B77" s="240" t="s">
        <v>793</v>
      </c>
      <c r="C77" s="216" t="s">
        <v>27</v>
      </c>
      <c r="D77" s="216" t="s">
        <v>1311</v>
      </c>
      <c r="E77" s="240" t="s">
        <v>942</v>
      </c>
      <c r="F77" s="240" t="s">
        <v>916</v>
      </c>
      <c r="G77" s="242" t="s">
        <v>943</v>
      </c>
      <c r="H77" s="243" t="s">
        <v>945</v>
      </c>
      <c r="I77" s="242">
        <v>75253</v>
      </c>
    </row>
    <row r="78" spans="1:9">
      <c r="A78" s="242" t="s">
        <v>1307</v>
      </c>
      <c r="B78" s="240" t="s">
        <v>794</v>
      </c>
      <c r="C78" s="216" t="s">
        <v>27</v>
      </c>
      <c r="D78" s="216" t="s">
        <v>1311</v>
      </c>
      <c r="E78" s="240" t="s">
        <v>942</v>
      </c>
      <c r="F78" s="240" t="s">
        <v>916</v>
      </c>
      <c r="G78" s="242" t="s">
        <v>943</v>
      </c>
      <c r="H78" s="243" t="s">
        <v>946</v>
      </c>
      <c r="I78" s="242">
        <v>75252</v>
      </c>
    </row>
    <row r="79" spans="1:9">
      <c r="A79" s="242" t="s">
        <v>1307</v>
      </c>
      <c r="B79" s="240" t="s">
        <v>795</v>
      </c>
      <c r="C79" s="216" t="s">
        <v>27</v>
      </c>
      <c r="D79" s="216" t="s">
        <v>1311</v>
      </c>
      <c r="E79" s="240" t="s">
        <v>942</v>
      </c>
      <c r="F79" s="240" t="s">
        <v>916</v>
      </c>
      <c r="G79" s="242" t="s">
        <v>943</v>
      </c>
      <c r="H79" s="243" t="s">
        <v>947</v>
      </c>
      <c r="I79" s="242">
        <v>75256</v>
      </c>
    </row>
    <row r="80" spans="1:9">
      <c r="A80" s="242" t="s">
        <v>1307</v>
      </c>
      <c r="B80" s="240" t="s">
        <v>772</v>
      </c>
      <c r="C80" s="216" t="s">
        <v>27</v>
      </c>
      <c r="D80" s="216" t="s">
        <v>1311</v>
      </c>
      <c r="E80" s="240" t="s">
        <v>942</v>
      </c>
      <c r="F80" s="240" t="s">
        <v>916</v>
      </c>
      <c r="G80" s="242" t="s">
        <v>943</v>
      </c>
      <c r="H80" s="243" t="s">
        <v>948</v>
      </c>
      <c r="I80" s="242">
        <v>75257</v>
      </c>
    </row>
    <row r="81" spans="1:9">
      <c r="A81" s="242" t="s">
        <v>1307</v>
      </c>
      <c r="B81" s="240" t="s">
        <v>772</v>
      </c>
      <c r="C81" s="216" t="s">
        <v>27</v>
      </c>
      <c r="D81" s="216" t="s">
        <v>1311</v>
      </c>
      <c r="E81" s="240" t="s">
        <v>942</v>
      </c>
      <c r="F81" s="240" t="s">
        <v>916</v>
      </c>
      <c r="G81" s="242" t="s">
        <v>943</v>
      </c>
      <c r="H81" s="243" t="s">
        <v>949</v>
      </c>
      <c r="I81" s="242">
        <v>75258</v>
      </c>
    </row>
    <row r="82" spans="1:9">
      <c r="A82" s="242" t="s">
        <v>1307</v>
      </c>
      <c r="B82" s="240" t="s">
        <v>772</v>
      </c>
      <c r="C82" s="216" t="s">
        <v>27</v>
      </c>
      <c r="D82" s="216" t="s">
        <v>1311</v>
      </c>
      <c r="E82" s="240" t="s">
        <v>942</v>
      </c>
      <c r="F82" s="240" t="s">
        <v>916</v>
      </c>
      <c r="G82" s="242" t="s">
        <v>943</v>
      </c>
      <c r="H82" s="243" t="s">
        <v>950</v>
      </c>
      <c r="I82" s="242">
        <v>75259</v>
      </c>
    </row>
    <row r="83" spans="1:9">
      <c r="A83" s="242" t="s">
        <v>1307</v>
      </c>
      <c r="B83" s="240" t="s">
        <v>796</v>
      </c>
      <c r="C83" s="216" t="s">
        <v>27</v>
      </c>
      <c r="D83" s="216" t="s">
        <v>1311</v>
      </c>
      <c r="E83" s="240" t="s">
        <v>942</v>
      </c>
      <c r="F83" s="240" t="s">
        <v>916</v>
      </c>
      <c r="G83" s="242" t="s">
        <v>943</v>
      </c>
      <c r="H83" s="243" t="s">
        <v>951</v>
      </c>
      <c r="I83" s="242">
        <v>75254</v>
      </c>
    </row>
    <row r="84" spans="1:9">
      <c r="A84" s="240" t="s">
        <v>1307</v>
      </c>
      <c r="B84" s="240" t="s">
        <v>797</v>
      </c>
      <c r="C84" s="216" t="s">
        <v>27</v>
      </c>
      <c r="D84" s="216" t="s">
        <v>1311</v>
      </c>
      <c r="E84" s="240" t="s">
        <v>942</v>
      </c>
      <c r="F84" s="240" t="s">
        <v>916</v>
      </c>
      <c r="G84" s="242" t="s">
        <v>943</v>
      </c>
      <c r="H84" s="243" t="s">
        <v>952</v>
      </c>
      <c r="I84" s="242">
        <v>75250</v>
      </c>
    </row>
    <row r="85" spans="1:9">
      <c r="A85" s="240" t="s">
        <v>1307</v>
      </c>
      <c r="B85" s="240" t="s">
        <v>798</v>
      </c>
      <c r="C85" s="216" t="s">
        <v>27</v>
      </c>
      <c r="D85" s="216" t="s">
        <v>1311</v>
      </c>
      <c r="E85" s="240" t="s">
        <v>942</v>
      </c>
      <c r="F85" s="240" t="s">
        <v>916</v>
      </c>
      <c r="G85" s="242" t="s">
        <v>943</v>
      </c>
      <c r="H85" s="243" t="s">
        <v>953</v>
      </c>
      <c r="I85" s="242">
        <v>75248</v>
      </c>
    </row>
    <row r="86" spans="1:9">
      <c r="A86" s="240" t="s">
        <v>762</v>
      </c>
      <c r="B86" s="240" t="s">
        <v>799</v>
      </c>
      <c r="C86" s="216" t="s">
        <v>27</v>
      </c>
      <c r="D86" s="216" t="s">
        <v>1311</v>
      </c>
      <c r="E86" s="240" t="s">
        <v>942</v>
      </c>
      <c r="F86" s="240" t="s">
        <v>916</v>
      </c>
      <c r="G86" s="242" t="s">
        <v>943</v>
      </c>
      <c r="H86" s="243" t="s">
        <v>954</v>
      </c>
      <c r="I86" s="242">
        <v>75241</v>
      </c>
    </row>
    <row r="87" spans="1:9">
      <c r="A87" s="240" t="s">
        <v>1307</v>
      </c>
      <c r="B87" s="240" t="s">
        <v>799</v>
      </c>
      <c r="C87" s="216" t="s">
        <v>27</v>
      </c>
      <c r="D87" s="216" t="s">
        <v>1311</v>
      </c>
      <c r="E87" s="240" t="s">
        <v>942</v>
      </c>
      <c r="F87" s="240" t="s">
        <v>916</v>
      </c>
      <c r="G87" s="242" t="s">
        <v>943</v>
      </c>
      <c r="H87" s="243" t="s">
        <v>955</v>
      </c>
      <c r="I87" s="242">
        <v>75251</v>
      </c>
    </row>
    <row r="88" spans="1:9">
      <c r="A88" s="240" t="s">
        <v>764</v>
      </c>
      <c r="B88" s="240" t="s">
        <v>800</v>
      </c>
      <c r="C88" s="216" t="s">
        <v>27</v>
      </c>
      <c r="D88" s="216" t="s">
        <v>1311</v>
      </c>
      <c r="E88" s="240" t="s">
        <v>942</v>
      </c>
      <c r="F88" s="240" t="s">
        <v>916</v>
      </c>
      <c r="G88" s="242" t="s">
        <v>943</v>
      </c>
      <c r="H88" s="243" t="s">
        <v>956</v>
      </c>
      <c r="I88" s="242">
        <v>75261</v>
      </c>
    </row>
    <row r="89" spans="1:9">
      <c r="A89" s="240" t="s">
        <v>762</v>
      </c>
      <c r="B89" s="240" t="s">
        <v>801</v>
      </c>
      <c r="C89" s="216" t="s">
        <v>27</v>
      </c>
      <c r="D89" s="216" t="s">
        <v>1311</v>
      </c>
      <c r="E89" s="240" t="s">
        <v>942</v>
      </c>
      <c r="F89" s="240" t="s">
        <v>916</v>
      </c>
      <c r="G89" s="242" t="s">
        <v>943</v>
      </c>
      <c r="H89" s="243" t="s">
        <v>957</v>
      </c>
      <c r="I89" s="242">
        <v>75242</v>
      </c>
    </row>
    <row r="90" spans="1:9">
      <c r="A90" s="242" t="s">
        <v>1307</v>
      </c>
      <c r="B90" s="240" t="s">
        <v>769</v>
      </c>
      <c r="C90" s="216" t="s">
        <v>27</v>
      </c>
      <c r="D90" s="216" t="s">
        <v>1311</v>
      </c>
      <c r="E90" s="240" t="s">
        <v>942</v>
      </c>
      <c r="F90" s="240" t="s">
        <v>916</v>
      </c>
      <c r="G90" s="242" t="s">
        <v>943</v>
      </c>
      <c r="H90" s="243" t="s">
        <v>958</v>
      </c>
      <c r="I90" s="242">
        <v>75255</v>
      </c>
    </row>
    <row r="91" spans="1:9">
      <c r="A91" s="240" t="s">
        <v>764</v>
      </c>
      <c r="B91" s="240" t="s">
        <v>773</v>
      </c>
      <c r="C91" s="216" t="s">
        <v>27</v>
      </c>
      <c r="D91" s="216" t="s">
        <v>1311</v>
      </c>
      <c r="E91" s="240" t="s">
        <v>942</v>
      </c>
      <c r="F91" s="240" t="s">
        <v>916</v>
      </c>
      <c r="G91" s="242" t="s">
        <v>943</v>
      </c>
      <c r="H91" s="243" t="s">
        <v>959</v>
      </c>
      <c r="I91" s="242">
        <v>75262</v>
      </c>
    </row>
    <row r="92" spans="1:9">
      <c r="A92" s="240" t="s">
        <v>507</v>
      </c>
      <c r="B92" s="240" t="s">
        <v>802</v>
      </c>
      <c r="C92" s="216" t="s">
        <v>27</v>
      </c>
      <c r="D92" s="216" t="s">
        <v>1311</v>
      </c>
      <c r="E92" s="240" t="s">
        <v>942</v>
      </c>
      <c r="F92" s="240" t="s">
        <v>916</v>
      </c>
      <c r="G92" s="242" t="s">
        <v>943</v>
      </c>
      <c r="H92" s="243" t="s">
        <v>960</v>
      </c>
      <c r="I92" s="242">
        <v>75243</v>
      </c>
    </row>
    <row r="93" spans="1:9">
      <c r="A93" s="240" t="s">
        <v>760</v>
      </c>
      <c r="B93" s="240" t="s">
        <v>777</v>
      </c>
      <c r="C93" s="216" t="s">
        <v>1313</v>
      </c>
      <c r="D93" s="216" t="s">
        <v>317</v>
      </c>
      <c r="E93" s="240" t="s">
        <v>961</v>
      </c>
      <c r="F93" s="240" t="s">
        <v>872</v>
      </c>
      <c r="G93" s="242" t="s">
        <v>962</v>
      </c>
      <c r="H93" s="243">
        <v>24070045</v>
      </c>
      <c r="I93" s="242">
        <v>76166</v>
      </c>
    </row>
    <row r="94" spans="1:9">
      <c r="A94" s="240" t="s">
        <v>760</v>
      </c>
      <c r="B94" s="240" t="s">
        <v>777</v>
      </c>
      <c r="C94" s="216" t="s">
        <v>1313</v>
      </c>
      <c r="D94" s="216" t="s">
        <v>317</v>
      </c>
      <c r="E94" s="240" t="s">
        <v>961</v>
      </c>
      <c r="F94" s="240" t="s">
        <v>872</v>
      </c>
      <c r="G94" s="242" t="s">
        <v>962</v>
      </c>
      <c r="H94" s="243">
        <v>24070046</v>
      </c>
      <c r="I94" s="242">
        <v>76167</v>
      </c>
    </row>
    <row r="95" spans="1:9">
      <c r="A95" s="216" t="s">
        <v>1478</v>
      </c>
      <c r="B95" s="216" t="s">
        <v>1479</v>
      </c>
      <c r="C95" s="216" t="s">
        <v>27</v>
      </c>
      <c r="D95" s="216" t="s">
        <v>317</v>
      </c>
      <c r="E95" s="240" t="s">
        <v>1481</v>
      </c>
      <c r="F95" s="246" t="s">
        <v>1354</v>
      </c>
      <c r="G95" s="245" t="s">
        <v>1355</v>
      </c>
      <c r="H95" s="243">
        <v>210323251456</v>
      </c>
      <c r="I95" s="245">
        <v>74190</v>
      </c>
    </row>
    <row r="96" spans="1:9">
      <c r="A96" s="240" t="s">
        <v>775</v>
      </c>
      <c r="B96" s="240" t="s">
        <v>775</v>
      </c>
      <c r="C96" s="216" t="s">
        <v>263</v>
      </c>
      <c r="D96" s="216" t="s">
        <v>317</v>
      </c>
      <c r="E96" s="240" t="s">
        <v>963</v>
      </c>
      <c r="F96" s="240" t="s">
        <v>852</v>
      </c>
      <c r="G96" s="242" t="s">
        <v>964</v>
      </c>
      <c r="H96" s="243" t="s">
        <v>844</v>
      </c>
      <c r="I96" s="242">
        <v>75118</v>
      </c>
    </row>
    <row r="97" spans="1:9">
      <c r="A97" s="240" t="s">
        <v>1307</v>
      </c>
      <c r="B97" s="240" t="s">
        <v>793</v>
      </c>
      <c r="C97" s="216" t="s">
        <v>27</v>
      </c>
      <c r="D97" s="216" t="s">
        <v>317</v>
      </c>
      <c r="E97" s="240" t="s">
        <v>1300</v>
      </c>
      <c r="F97" s="240" t="s">
        <v>965</v>
      </c>
      <c r="G97" s="242" t="s">
        <v>966</v>
      </c>
      <c r="H97" s="243" t="s">
        <v>844</v>
      </c>
      <c r="I97" s="242">
        <v>76222</v>
      </c>
    </row>
    <row r="98" spans="1:9">
      <c r="A98" s="240" t="s">
        <v>775</v>
      </c>
      <c r="B98" s="240" t="s">
        <v>775</v>
      </c>
      <c r="C98" s="216" t="s">
        <v>263</v>
      </c>
      <c r="D98" s="216" t="s">
        <v>28</v>
      </c>
      <c r="E98" s="240" t="s">
        <v>967</v>
      </c>
      <c r="F98" s="240" t="s">
        <v>852</v>
      </c>
      <c r="G98" s="242" t="s">
        <v>968</v>
      </c>
      <c r="H98" s="243" t="s">
        <v>969</v>
      </c>
      <c r="I98" s="242">
        <v>75117</v>
      </c>
    </row>
    <row r="99" spans="1:9">
      <c r="A99" s="240" t="s">
        <v>762</v>
      </c>
      <c r="B99" s="240" t="s">
        <v>803</v>
      </c>
      <c r="C99" s="216" t="s">
        <v>27</v>
      </c>
      <c r="D99" s="216" t="s">
        <v>28</v>
      </c>
      <c r="E99" s="240" t="s">
        <v>970</v>
      </c>
      <c r="F99" s="240" t="s">
        <v>909</v>
      </c>
      <c r="G99" s="242" t="s">
        <v>971</v>
      </c>
      <c r="H99" s="243">
        <v>1636913</v>
      </c>
      <c r="I99" s="242">
        <v>75235</v>
      </c>
    </row>
    <row r="100" spans="1:9">
      <c r="A100" s="240" t="s">
        <v>762</v>
      </c>
      <c r="B100" s="240" t="s">
        <v>804</v>
      </c>
      <c r="C100" s="216" t="s">
        <v>27</v>
      </c>
      <c r="D100" s="216" t="s">
        <v>28</v>
      </c>
      <c r="E100" s="240" t="s">
        <v>970</v>
      </c>
      <c r="F100" s="240" t="s">
        <v>909</v>
      </c>
      <c r="G100" s="242" t="s">
        <v>971</v>
      </c>
      <c r="H100" s="243">
        <v>1636919</v>
      </c>
      <c r="I100" s="242">
        <v>75237</v>
      </c>
    </row>
    <row r="101" spans="1:9">
      <c r="A101" s="240" t="s">
        <v>762</v>
      </c>
      <c r="B101" s="240" t="s">
        <v>804</v>
      </c>
      <c r="C101" s="216" t="s">
        <v>27</v>
      </c>
      <c r="D101" s="216" t="s">
        <v>28</v>
      </c>
      <c r="E101" s="240" t="s">
        <v>970</v>
      </c>
      <c r="F101" s="240" t="s">
        <v>909</v>
      </c>
      <c r="G101" s="242" t="s">
        <v>971</v>
      </c>
      <c r="H101" s="243">
        <v>1636924</v>
      </c>
      <c r="I101" s="242">
        <v>75238</v>
      </c>
    </row>
    <row r="102" spans="1:9">
      <c r="A102" s="240" t="s">
        <v>762</v>
      </c>
      <c r="B102" s="240" t="s">
        <v>805</v>
      </c>
      <c r="C102" s="216" t="s">
        <v>27</v>
      </c>
      <c r="D102" s="216" t="s">
        <v>28</v>
      </c>
      <c r="E102" s="240" t="s">
        <v>970</v>
      </c>
      <c r="F102" s="240" t="s">
        <v>909</v>
      </c>
      <c r="G102" s="242" t="s">
        <v>971</v>
      </c>
      <c r="H102" s="243">
        <v>1636928</v>
      </c>
      <c r="I102" s="242">
        <v>75239</v>
      </c>
    </row>
    <row r="103" spans="1:9">
      <c r="A103" s="240" t="s">
        <v>762</v>
      </c>
      <c r="B103" s="240" t="s">
        <v>805</v>
      </c>
      <c r="C103" s="216" t="s">
        <v>27</v>
      </c>
      <c r="D103" s="216" t="s">
        <v>28</v>
      </c>
      <c r="E103" s="240" t="s">
        <v>970</v>
      </c>
      <c r="F103" s="240" t="s">
        <v>909</v>
      </c>
      <c r="G103" s="242" t="s">
        <v>971</v>
      </c>
      <c r="H103" s="243">
        <v>1636915</v>
      </c>
      <c r="I103" s="242">
        <v>75240</v>
      </c>
    </row>
    <row r="104" spans="1:9">
      <c r="A104" s="240" t="s">
        <v>762</v>
      </c>
      <c r="B104" s="240" t="s">
        <v>806</v>
      </c>
      <c r="C104" s="216" t="s">
        <v>27</v>
      </c>
      <c r="D104" s="216" t="s">
        <v>28</v>
      </c>
      <c r="E104" s="240" t="s">
        <v>970</v>
      </c>
      <c r="F104" s="240" t="s">
        <v>909</v>
      </c>
      <c r="G104" s="242" t="s">
        <v>971</v>
      </c>
      <c r="H104" s="243">
        <v>1636914</v>
      </c>
      <c r="I104" s="242">
        <v>75236</v>
      </c>
    </row>
    <row r="105" spans="1:9">
      <c r="A105" s="240" t="s">
        <v>762</v>
      </c>
      <c r="B105" s="240" t="s">
        <v>807</v>
      </c>
      <c r="C105" s="216" t="s">
        <v>27</v>
      </c>
      <c r="D105" s="216" t="s">
        <v>28</v>
      </c>
      <c r="E105" s="240" t="s">
        <v>970</v>
      </c>
      <c r="F105" s="240" t="s">
        <v>909</v>
      </c>
      <c r="G105" s="242" t="s">
        <v>971</v>
      </c>
      <c r="H105" s="243">
        <v>1636909</v>
      </c>
      <c r="I105" s="242">
        <v>75234</v>
      </c>
    </row>
    <row r="106" spans="1:9">
      <c r="A106" s="240" t="s">
        <v>507</v>
      </c>
      <c r="B106" s="240" t="s">
        <v>759</v>
      </c>
      <c r="C106" s="216" t="s">
        <v>1310</v>
      </c>
      <c r="D106" s="216" t="s">
        <v>317</v>
      </c>
      <c r="E106" s="240" t="s">
        <v>972</v>
      </c>
      <c r="F106" s="240" t="s">
        <v>973</v>
      </c>
      <c r="G106" s="242" t="s">
        <v>974</v>
      </c>
      <c r="H106" s="243" t="s">
        <v>975</v>
      </c>
      <c r="I106" s="242">
        <v>75065</v>
      </c>
    </row>
    <row r="107" spans="1:9">
      <c r="A107" s="240" t="s">
        <v>507</v>
      </c>
      <c r="B107" s="240" t="s">
        <v>750</v>
      </c>
      <c r="C107" s="216" t="s">
        <v>1310</v>
      </c>
      <c r="D107" s="216" t="s">
        <v>317</v>
      </c>
      <c r="E107" s="240" t="s">
        <v>976</v>
      </c>
      <c r="F107" s="240" t="s">
        <v>977</v>
      </c>
      <c r="G107" s="242">
        <v>5702</v>
      </c>
      <c r="H107" s="243" t="s">
        <v>978</v>
      </c>
      <c r="I107" s="242">
        <v>75186</v>
      </c>
    </row>
    <row r="108" spans="1:9">
      <c r="A108" s="240" t="s">
        <v>507</v>
      </c>
      <c r="B108" s="240" t="s">
        <v>751</v>
      </c>
      <c r="C108" s="216" t="s">
        <v>1310</v>
      </c>
      <c r="D108" s="216" t="s">
        <v>317</v>
      </c>
      <c r="E108" s="240" t="s">
        <v>979</v>
      </c>
      <c r="F108" s="240" t="s">
        <v>977</v>
      </c>
      <c r="G108" s="242">
        <v>5702</v>
      </c>
      <c r="H108" s="243" t="s">
        <v>980</v>
      </c>
      <c r="I108" s="242">
        <v>75184</v>
      </c>
    </row>
    <row r="109" spans="1:9">
      <c r="A109" s="240" t="s">
        <v>507</v>
      </c>
      <c r="B109" s="240" t="s">
        <v>750</v>
      </c>
      <c r="C109" s="216" t="s">
        <v>1310</v>
      </c>
      <c r="D109" s="216" t="s">
        <v>317</v>
      </c>
      <c r="E109" s="240" t="s">
        <v>979</v>
      </c>
      <c r="F109" s="240" t="s">
        <v>977</v>
      </c>
      <c r="G109" s="242">
        <v>5702</v>
      </c>
      <c r="H109" s="243" t="s">
        <v>981</v>
      </c>
      <c r="I109" s="242">
        <v>75185</v>
      </c>
    </row>
    <row r="110" spans="1:9">
      <c r="A110" s="240" t="s">
        <v>752</v>
      </c>
      <c r="B110" s="240" t="s">
        <v>753</v>
      </c>
      <c r="C110" s="216" t="s">
        <v>442</v>
      </c>
      <c r="D110" s="216" t="s">
        <v>1311</v>
      </c>
      <c r="E110" s="240" t="s">
        <v>982</v>
      </c>
      <c r="F110" s="240" t="s">
        <v>848</v>
      </c>
      <c r="G110" s="242">
        <v>2482</v>
      </c>
      <c r="H110" s="243" t="s">
        <v>983</v>
      </c>
      <c r="I110" s="242">
        <v>76090</v>
      </c>
    </row>
    <row r="111" spans="1:9">
      <c r="A111" s="216" t="s">
        <v>1478</v>
      </c>
      <c r="B111" s="216" t="s">
        <v>1479</v>
      </c>
      <c r="C111" s="216" t="s">
        <v>27</v>
      </c>
      <c r="D111" s="216" t="s">
        <v>28</v>
      </c>
      <c r="E111" s="240" t="s">
        <v>1482</v>
      </c>
      <c r="F111" s="246" t="s">
        <v>1372</v>
      </c>
      <c r="G111" s="245" t="s">
        <v>1373</v>
      </c>
      <c r="H111" s="243" t="s">
        <v>1374</v>
      </c>
      <c r="I111" s="245">
        <v>74179</v>
      </c>
    </row>
    <row r="112" spans="1:9">
      <c r="A112" s="240" t="s">
        <v>762</v>
      </c>
      <c r="B112" s="240" t="s">
        <v>763</v>
      </c>
      <c r="C112" s="216" t="s">
        <v>27</v>
      </c>
      <c r="D112" s="216" t="s">
        <v>1311</v>
      </c>
      <c r="E112" s="240" t="s">
        <v>984</v>
      </c>
      <c r="F112" s="240" t="s">
        <v>916</v>
      </c>
      <c r="G112" s="242" t="s">
        <v>985</v>
      </c>
      <c r="H112" s="243" t="s">
        <v>986</v>
      </c>
      <c r="I112" s="242">
        <v>75101</v>
      </c>
    </row>
    <row r="113" spans="1:9">
      <c r="A113" s="240" t="s">
        <v>762</v>
      </c>
      <c r="B113" s="240" t="s">
        <v>809</v>
      </c>
      <c r="C113" s="216" t="s">
        <v>27</v>
      </c>
      <c r="D113" s="216" t="s">
        <v>1311</v>
      </c>
      <c r="E113" s="240" t="s">
        <v>984</v>
      </c>
      <c r="F113" s="240" t="s">
        <v>916</v>
      </c>
      <c r="G113" s="242" t="s">
        <v>985</v>
      </c>
      <c r="H113" s="243" t="s">
        <v>987</v>
      </c>
      <c r="I113" s="242">
        <v>75093</v>
      </c>
    </row>
    <row r="114" spans="1:9">
      <c r="A114" s="240" t="s">
        <v>762</v>
      </c>
      <c r="B114" s="240" t="s">
        <v>763</v>
      </c>
      <c r="C114" s="216" t="s">
        <v>27</v>
      </c>
      <c r="D114" s="216" t="s">
        <v>28</v>
      </c>
      <c r="E114" s="240" t="s">
        <v>988</v>
      </c>
      <c r="F114" s="240" t="s">
        <v>989</v>
      </c>
      <c r="G114" s="242" t="s">
        <v>990</v>
      </c>
      <c r="H114" s="243" t="s">
        <v>991</v>
      </c>
      <c r="I114" s="242">
        <v>75107</v>
      </c>
    </row>
    <row r="115" spans="1:9">
      <c r="A115" s="240" t="s">
        <v>764</v>
      </c>
      <c r="B115" s="240" t="s">
        <v>810</v>
      </c>
      <c r="C115" s="216" t="s">
        <v>27</v>
      </c>
      <c r="D115" s="216" t="s">
        <v>28</v>
      </c>
      <c r="E115" s="240" t="s">
        <v>992</v>
      </c>
      <c r="F115" s="240" t="s">
        <v>993</v>
      </c>
      <c r="G115" s="242" t="s">
        <v>994</v>
      </c>
      <c r="H115" s="243">
        <v>42826</v>
      </c>
      <c r="I115" s="242">
        <v>75109</v>
      </c>
    </row>
    <row r="116" spans="1:9">
      <c r="A116" s="240" t="s">
        <v>811</v>
      </c>
      <c r="B116" s="240" t="s">
        <v>812</v>
      </c>
      <c r="C116" s="216" t="s">
        <v>55</v>
      </c>
      <c r="D116" s="216" t="s">
        <v>28</v>
      </c>
      <c r="E116" s="240" t="s">
        <v>1301</v>
      </c>
      <c r="F116" s="240" t="s">
        <v>995</v>
      </c>
      <c r="G116" s="242" t="s">
        <v>996</v>
      </c>
      <c r="H116" s="243" t="s">
        <v>997</v>
      </c>
      <c r="I116" s="242">
        <v>75154</v>
      </c>
    </row>
    <row r="117" spans="1:9">
      <c r="A117" s="240" t="s">
        <v>752</v>
      </c>
      <c r="B117" s="240" t="s">
        <v>813</v>
      </c>
      <c r="C117" s="216" t="s">
        <v>55</v>
      </c>
      <c r="D117" s="216" t="s">
        <v>28</v>
      </c>
      <c r="E117" s="240" t="s">
        <v>1301</v>
      </c>
      <c r="F117" s="240" t="s">
        <v>995</v>
      </c>
      <c r="G117" s="242" t="s">
        <v>996</v>
      </c>
      <c r="H117" s="243" t="s">
        <v>998</v>
      </c>
      <c r="I117" s="242">
        <v>75155</v>
      </c>
    </row>
    <row r="118" spans="1:9">
      <c r="A118" s="216" t="s">
        <v>1478</v>
      </c>
      <c r="B118" s="216" t="s">
        <v>1479</v>
      </c>
      <c r="C118" s="216" t="s">
        <v>55</v>
      </c>
      <c r="D118" s="216" t="s">
        <v>28</v>
      </c>
      <c r="E118" s="240" t="s">
        <v>1301</v>
      </c>
      <c r="F118" s="246" t="s">
        <v>1375</v>
      </c>
      <c r="G118" s="245" t="s">
        <v>1376</v>
      </c>
      <c r="H118" s="243" t="s">
        <v>1377</v>
      </c>
      <c r="I118" s="245"/>
    </row>
    <row r="119" spans="1:9">
      <c r="A119" s="216" t="s">
        <v>1478</v>
      </c>
      <c r="B119" s="216" t="s">
        <v>1479</v>
      </c>
      <c r="C119" s="216" t="s">
        <v>55</v>
      </c>
      <c r="D119" s="216" t="s">
        <v>28</v>
      </c>
      <c r="E119" s="240" t="s">
        <v>1301</v>
      </c>
      <c r="F119" s="246" t="s">
        <v>1375</v>
      </c>
      <c r="G119" s="245" t="s">
        <v>1376</v>
      </c>
      <c r="H119" s="243" t="s">
        <v>1378</v>
      </c>
      <c r="I119" s="245">
        <v>74134</v>
      </c>
    </row>
    <row r="120" spans="1:9">
      <c r="A120" s="216" t="s">
        <v>1478</v>
      </c>
      <c r="B120" s="216" t="s">
        <v>1479</v>
      </c>
      <c r="C120" s="216" t="s">
        <v>55</v>
      </c>
      <c r="D120" s="216" t="s">
        <v>28</v>
      </c>
      <c r="E120" s="240" t="s">
        <v>1301</v>
      </c>
      <c r="F120" s="246" t="s">
        <v>1375</v>
      </c>
      <c r="G120" s="245" t="s">
        <v>1379</v>
      </c>
      <c r="H120" s="243" t="s">
        <v>1380</v>
      </c>
      <c r="I120" s="245">
        <v>74135</v>
      </c>
    </row>
    <row r="121" spans="1:9">
      <c r="A121" s="216" t="s">
        <v>1478</v>
      </c>
      <c r="B121" s="216" t="s">
        <v>1479</v>
      </c>
      <c r="C121" s="216" t="s">
        <v>1312</v>
      </c>
      <c r="D121" s="216" t="s">
        <v>1311</v>
      </c>
      <c r="E121" s="240" t="s">
        <v>999</v>
      </c>
      <c r="F121" s="246" t="s">
        <v>1381</v>
      </c>
      <c r="G121" s="245" t="s">
        <v>1382</v>
      </c>
      <c r="H121" s="243" t="s">
        <v>1383</v>
      </c>
      <c r="I121" s="245"/>
    </row>
    <row r="122" spans="1:9">
      <c r="A122" s="216" t="s">
        <v>1478</v>
      </c>
      <c r="B122" s="216" t="s">
        <v>1479</v>
      </c>
      <c r="C122" s="216" t="s">
        <v>1312</v>
      </c>
      <c r="D122" s="216" t="s">
        <v>1311</v>
      </c>
      <c r="E122" s="240" t="s">
        <v>999</v>
      </c>
      <c r="F122" s="246" t="s">
        <v>1384</v>
      </c>
      <c r="G122" s="245" t="s">
        <v>1385</v>
      </c>
      <c r="H122" s="243">
        <v>20221220</v>
      </c>
      <c r="I122" s="245">
        <v>74205</v>
      </c>
    </row>
    <row r="123" spans="1:9">
      <c r="A123" s="240" t="s">
        <v>752</v>
      </c>
      <c r="B123" s="240" t="s">
        <v>790</v>
      </c>
      <c r="C123" s="216" t="s">
        <v>1312</v>
      </c>
      <c r="D123" s="216" t="s">
        <v>1311</v>
      </c>
      <c r="E123" s="240" t="s">
        <v>999</v>
      </c>
      <c r="F123" s="240" t="s">
        <v>742</v>
      </c>
      <c r="G123" s="242" t="s">
        <v>1000</v>
      </c>
      <c r="H123" s="243" t="s">
        <v>1001</v>
      </c>
      <c r="I123" s="242">
        <v>75277</v>
      </c>
    </row>
    <row r="124" spans="1:9">
      <c r="A124" s="242" t="s">
        <v>1307</v>
      </c>
      <c r="B124" s="240" t="s">
        <v>801</v>
      </c>
      <c r="C124" s="216" t="s">
        <v>1312</v>
      </c>
      <c r="D124" s="216" t="s">
        <v>1311</v>
      </c>
      <c r="E124" s="240" t="s">
        <v>999</v>
      </c>
      <c r="F124" s="240" t="s">
        <v>742</v>
      </c>
      <c r="G124" s="242" t="s">
        <v>1000</v>
      </c>
      <c r="H124" s="243" t="s">
        <v>1002</v>
      </c>
      <c r="I124" s="242">
        <v>75278</v>
      </c>
    </row>
    <row r="125" spans="1:9">
      <c r="A125" s="240" t="s">
        <v>764</v>
      </c>
      <c r="B125" s="240" t="s">
        <v>766</v>
      </c>
      <c r="C125" s="216" t="s">
        <v>1312</v>
      </c>
      <c r="D125" s="216" t="s">
        <v>1311</v>
      </c>
      <c r="E125" s="240" t="s">
        <v>999</v>
      </c>
      <c r="F125" s="240" t="s">
        <v>742</v>
      </c>
      <c r="G125" s="242" t="s">
        <v>1000</v>
      </c>
      <c r="H125" s="243" t="s">
        <v>1003</v>
      </c>
      <c r="I125" s="242">
        <v>75280</v>
      </c>
    </row>
    <row r="126" spans="1:9">
      <c r="A126" s="216" t="s">
        <v>1478</v>
      </c>
      <c r="B126" s="216" t="s">
        <v>1479</v>
      </c>
      <c r="C126" s="216" t="s">
        <v>1312</v>
      </c>
      <c r="D126" s="216" t="s">
        <v>1311</v>
      </c>
      <c r="E126" s="240" t="s">
        <v>999</v>
      </c>
      <c r="F126" s="246" t="s">
        <v>1396</v>
      </c>
      <c r="G126" s="245" t="s">
        <v>1397</v>
      </c>
      <c r="H126" s="243">
        <v>123</v>
      </c>
      <c r="I126" s="245">
        <v>74119</v>
      </c>
    </row>
    <row r="127" spans="1:9">
      <c r="A127" s="216" t="s">
        <v>1478</v>
      </c>
      <c r="B127" s="216" t="s">
        <v>1479</v>
      </c>
      <c r="C127" s="216" t="s">
        <v>1312</v>
      </c>
      <c r="D127" s="216" t="s">
        <v>1311</v>
      </c>
      <c r="E127" s="240" t="s">
        <v>999</v>
      </c>
      <c r="F127" s="246" t="s">
        <v>1398</v>
      </c>
      <c r="G127" s="245" t="s">
        <v>1399</v>
      </c>
      <c r="H127" s="243" t="s">
        <v>1400</v>
      </c>
      <c r="I127" s="245"/>
    </row>
    <row r="128" spans="1:9">
      <c r="A128" s="216" t="s">
        <v>1478</v>
      </c>
      <c r="B128" s="216" t="s">
        <v>1479</v>
      </c>
      <c r="C128" s="216" t="s">
        <v>1312</v>
      </c>
      <c r="D128" s="216" t="s">
        <v>1311</v>
      </c>
      <c r="E128" s="240" t="s">
        <v>999</v>
      </c>
      <c r="F128" s="246" t="s">
        <v>1384</v>
      </c>
      <c r="G128" s="245" t="s">
        <v>1401</v>
      </c>
      <c r="H128" s="243" t="s">
        <v>1402</v>
      </c>
      <c r="I128" s="245">
        <v>74120</v>
      </c>
    </row>
    <row r="129" spans="1:9">
      <c r="A129" s="216" t="s">
        <v>1478</v>
      </c>
      <c r="B129" s="216" t="s">
        <v>1479</v>
      </c>
      <c r="C129" s="216" t="s">
        <v>1312</v>
      </c>
      <c r="D129" s="216" t="s">
        <v>1311</v>
      </c>
      <c r="E129" s="240" t="s">
        <v>999</v>
      </c>
      <c r="F129" s="246" t="s">
        <v>1384</v>
      </c>
      <c r="G129" s="245" t="s">
        <v>1403</v>
      </c>
      <c r="H129" s="243">
        <v>202201018</v>
      </c>
      <c r="I129" s="245">
        <v>74123</v>
      </c>
    </row>
    <row r="130" spans="1:9">
      <c r="A130" s="216" t="s">
        <v>1478</v>
      </c>
      <c r="B130" s="216" t="s">
        <v>1479</v>
      </c>
      <c r="C130" s="216" t="s">
        <v>1312</v>
      </c>
      <c r="D130" s="216" t="s">
        <v>1311</v>
      </c>
      <c r="E130" s="240" t="s">
        <v>999</v>
      </c>
      <c r="F130" s="246" t="s">
        <v>1404</v>
      </c>
      <c r="G130" s="245" t="s">
        <v>1405</v>
      </c>
      <c r="H130" s="243" t="s">
        <v>1406</v>
      </c>
      <c r="I130" s="245">
        <v>74127</v>
      </c>
    </row>
    <row r="131" spans="1:9">
      <c r="A131" s="216" t="s">
        <v>1478</v>
      </c>
      <c r="B131" s="216" t="s">
        <v>1479</v>
      </c>
      <c r="C131" s="216" t="s">
        <v>1312</v>
      </c>
      <c r="D131" s="216" t="s">
        <v>1311</v>
      </c>
      <c r="E131" s="240" t="s">
        <v>999</v>
      </c>
      <c r="F131" s="246" t="s">
        <v>1407</v>
      </c>
      <c r="G131" s="245" t="s">
        <v>1408</v>
      </c>
      <c r="H131" s="243" t="s">
        <v>1409</v>
      </c>
      <c r="I131" s="245">
        <v>74131</v>
      </c>
    </row>
    <row r="132" spans="1:9">
      <c r="A132" s="216" t="s">
        <v>1478</v>
      </c>
      <c r="B132" s="216" t="s">
        <v>1479</v>
      </c>
      <c r="C132" s="216" t="s">
        <v>1312</v>
      </c>
      <c r="D132" s="216" t="s">
        <v>1311</v>
      </c>
      <c r="E132" s="240" t="s">
        <v>999</v>
      </c>
      <c r="F132" s="246" t="s">
        <v>1384</v>
      </c>
      <c r="G132" s="245" t="s">
        <v>1410</v>
      </c>
      <c r="H132" s="243">
        <v>202209038</v>
      </c>
      <c r="I132" s="245">
        <v>74133</v>
      </c>
    </row>
    <row r="133" spans="1:9">
      <c r="A133" s="216" t="s">
        <v>1478</v>
      </c>
      <c r="B133" s="216" t="s">
        <v>1479</v>
      </c>
      <c r="C133" s="216" t="s">
        <v>1312</v>
      </c>
      <c r="D133" s="216" t="s">
        <v>1311</v>
      </c>
      <c r="E133" s="240" t="s">
        <v>999</v>
      </c>
      <c r="F133" s="246" t="s">
        <v>1384</v>
      </c>
      <c r="G133" s="245" t="s">
        <v>1401</v>
      </c>
      <c r="H133" s="243" t="s">
        <v>1411</v>
      </c>
      <c r="I133" s="245"/>
    </row>
    <row r="134" spans="1:9">
      <c r="A134" s="242" t="s">
        <v>752</v>
      </c>
      <c r="B134" s="240" t="s">
        <v>794</v>
      </c>
      <c r="C134" s="216" t="s">
        <v>1314</v>
      </c>
      <c r="D134" s="216" t="s">
        <v>28</v>
      </c>
      <c r="E134" s="240" t="s">
        <v>1004</v>
      </c>
      <c r="F134" s="240" t="s">
        <v>742</v>
      </c>
      <c r="G134" s="242" t="s">
        <v>1005</v>
      </c>
      <c r="H134" s="243" t="s">
        <v>1006</v>
      </c>
      <c r="I134" s="242">
        <v>75276</v>
      </c>
    </row>
    <row r="135" spans="1:9">
      <c r="A135" s="242" t="s">
        <v>1307</v>
      </c>
      <c r="B135" s="239" t="s">
        <v>794</v>
      </c>
      <c r="C135" s="216" t="s">
        <v>1314</v>
      </c>
      <c r="D135" s="216" t="s">
        <v>28</v>
      </c>
      <c r="E135" s="239" t="s">
        <v>1007</v>
      </c>
      <c r="F135" s="239" t="s">
        <v>742</v>
      </c>
      <c r="G135" s="252" t="s">
        <v>1008</v>
      </c>
      <c r="H135" s="243" t="s">
        <v>1009</v>
      </c>
      <c r="I135" s="252">
        <v>75279</v>
      </c>
    </row>
    <row r="136" spans="1:9">
      <c r="A136" s="216" t="s">
        <v>1478</v>
      </c>
      <c r="B136" s="216" t="s">
        <v>1479</v>
      </c>
      <c r="C136" s="216" t="s">
        <v>263</v>
      </c>
      <c r="D136" s="216" t="s">
        <v>317</v>
      </c>
      <c r="E136" s="240" t="s">
        <v>1010</v>
      </c>
      <c r="F136" s="246" t="s">
        <v>1387</v>
      </c>
      <c r="G136" s="245" t="s">
        <v>1388</v>
      </c>
      <c r="H136" s="243" t="s">
        <v>1389</v>
      </c>
      <c r="I136" s="245">
        <v>74196</v>
      </c>
    </row>
    <row r="137" spans="1:9">
      <c r="A137" s="240" t="s">
        <v>764</v>
      </c>
      <c r="B137" s="240" t="s">
        <v>765</v>
      </c>
      <c r="C137" s="216" t="s">
        <v>263</v>
      </c>
      <c r="D137" s="216" t="s">
        <v>28</v>
      </c>
      <c r="E137" s="240" t="s">
        <v>1010</v>
      </c>
      <c r="F137" s="240" t="s">
        <v>1011</v>
      </c>
      <c r="G137" s="242" t="s">
        <v>1012</v>
      </c>
      <c r="H137" s="243" t="s">
        <v>1013</v>
      </c>
      <c r="I137" s="242">
        <v>75210</v>
      </c>
    </row>
    <row r="138" spans="1:9">
      <c r="A138" s="216" t="s">
        <v>1478</v>
      </c>
      <c r="B138" s="216" t="s">
        <v>1479</v>
      </c>
      <c r="C138" s="216" t="s">
        <v>1312</v>
      </c>
      <c r="D138" s="216" t="s">
        <v>317</v>
      </c>
      <c r="E138" s="240" t="s">
        <v>1014</v>
      </c>
      <c r="F138" s="246" t="s">
        <v>1359</v>
      </c>
      <c r="G138" s="245" t="s">
        <v>1360</v>
      </c>
      <c r="H138" s="243">
        <v>23090500019</v>
      </c>
      <c r="I138" s="245">
        <v>74206</v>
      </c>
    </row>
    <row r="139" spans="1:9">
      <c r="A139" s="216" t="s">
        <v>1478</v>
      </c>
      <c r="B139" s="216" t="s">
        <v>1479</v>
      </c>
      <c r="C139" s="216" t="s">
        <v>1312</v>
      </c>
      <c r="D139" s="216" t="s">
        <v>317</v>
      </c>
      <c r="E139" s="240" t="s">
        <v>1014</v>
      </c>
      <c r="F139" s="246" t="s">
        <v>1359</v>
      </c>
      <c r="G139" s="245" t="s">
        <v>1360</v>
      </c>
      <c r="H139" s="243" t="s">
        <v>1362</v>
      </c>
      <c r="I139" s="245">
        <v>74065</v>
      </c>
    </row>
    <row r="140" spans="1:9">
      <c r="A140" s="216" t="s">
        <v>1478</v>
      </c>
      <c r="B140" s="216" t="s">
        <v>1479</v>
      </c>
      <c r="C140" s="216" t="s">
        <v>1312</v>
      </c>
      <c r="D140" s="216" t="s">
        <v>317</v>
      </c>
      <c r="E140" s="240" t="s">
        <v>1014</v>
      </c>
      <c r="F140" s="246" t="s">
        <v>1359</v>
      </c>
      <c r="G140" s="245" t="s">
        <v>1360</v>
      </c>
      <c r="H140" s="243" t="s">
        <v>1361</v>
      </c>
      <c r="I140" s="245"/>
    </row>
    <row r="141" spans="1:9">
      <c r="A141" s="216" t="s">
        <v>1478</v>
      </c>
      <c r="B141" s="216" t="s">
        <v>1479</v>
      </c>
      <c r="C141" s="216" t="s">
        <v>1312</v>
      </c>
      <c r="D141" s="216" t="s">
        <v>317</v>
      </c>
      <c r="E141" s="240" t="s">
        <v>1014</v>
      </c>
      <c r="F141" s="246" t="s">
        <v>1359</v>
      </c>
      <c r="G141" s="245" t="s">
        <v>1360</v>
      </c>
      <c r="H141" s="243" t="s">
        <v>1363</v>
      </c>
      <c r="I141" s="245"/>
    </row>
    <row r="142" spans="1:9">
      <c r="A142" s="242" t="s">
        <v>1307</v>
      </c>
      <c r="B142" s="240" t="s">
        <v>797</v>
      </c>
      <c r="C142" s="216" t="s">
        <v>1312</v>
      </c>
      <c r="D142" s="216" t="s">
        <v>317</v>
      </c>
      <c r="E142" s="240" t="s">
        <v>1014</v>
      </c>
      <c r="F142" s="240" t="s">
        <v>1015</v>
      </c>
      <c r="G142" s="242" t="s">
        <v>1016</v>
      </c>
      <c r="H142" s="243" t="s">
        <v>1017</v>
      </c>
      <c r="I142" s="242">
        <v>75099</v>
      </c>
    </row>
    <row r="143" spans="1:9">
      <c r="A143" s="216" t="s">
        <v>762</v>
      </c>
      <c r="B143" s="240" t="s">
        <v>814</v>
      </c>
      <c r="C143" s="216" t="s">
        <v>1312</v>
      </c>
      <c r="D143" s="216" t="s">
        <v>317</v>
      </c>
      <c r="E143" s="240" t="s">
        <v>1014</v>
      </c>
      <c r="F143" s="216" t="s">
        <v>1015</v>
      </c>
      <c r="G143" s="217" t="s">
        <v>1016</v>
      </c>
      <c r="H143" s="243" t="s">
        <v>1018</v>
      </c>
      <c r="I143" s="217">
        <v>75092</v>
      </c>
    </row>
    <row r="144" spans="1:9">
      <c r="A144" s="242" t="s">
        <v>1307</v>
      </c>
      <c r="B144" s="216" t="s">
        <v>769</v>
      </c>
      <c r="C144" s="216" t="s">
        <v>1312</v>
      </c>
      <c r="D144" s="216" t="s">
        <v>317</v>
      </c>
      <c r="E144" s="240" t="s">
        <v>1014</v>
      </c>
      <c r="F144" s="216" t="s">
        <v>1015</v>
      </c>
      <c r="G144" s="217" t="s">
        <v>1016</v>
      </c>
      <c r="H144" s="243" t="s">
        <v>1019</v>
      </c>
      <c r="I144" s="217">
        <v>75100</v>
      </c>
    </row>
    <row r="145" spans="1:9">
      <c r="A145" s="216" t="s">
        <v>760</v>
      </c>
      <c r="B145" s="240" t="s">
        <v>779</v>
      </c>
      <c r="C145" s="216" t="s">
        <v>1313</v>
      </c>
      <c r="D145" s="216" t="s">
        <v>317</v>
      </c>
      <c r="E145" s="239" t="s">
        <v>1020</v>
      </c>
      <c r="F145" s="216" t="s">
        <v>1021</v>
      </c>
      <c r="G145" s="217" t="s">
        <v>1022</v>
      </c>
      <c r="H145" s="243" t="s">
        <v>1023</v>
      </c>
      <c r="I145" s="217">
        <v>76482</v>
      </c>
    </row>
    <row r="146" spans="1:9">
      <c r="A146" s="246" t="s">
        <v>760</v>
      </c>
      <c r="B146" s="246" t="s">
        <v>774</v>
      </c>
      <c r="C146" s="216" t="s">
        <v>1313</v>
      </c>
      <c r="D146" s="216" t="s">
        <v>317</v>
      </c>
      <c r="E146" s="246" t="s">
        <v>1020</v>
      </c>
      <c r="F146" s="246" t="s">
        <v>1024</v>
      </c>
      <c r="G146" s="245" t="s">
        <v>1022</v>
      </c>
      <c r="H146" s="243" t="s">
        <v>1025</v>
      </c>
      <c r="I146" s="245">
        <v>76486</v>
      </c>
    </row>
    <row r="147" spans="1:9">
      <c r="A147" s="240" t="s">
        <v>507</v>
      </c>
      <c r="B147" s="240" t="s">
        <v>750</v>
      </c>
      <c r="C147" s="216" t="s">
        <v>1310</v>
      </c>
      <c r="D147" s="216" t="s">
        <v>28</v>
      </c>
      <c r="E147" s="240" t="s">
        <v>1026</v>
      </c>
      <c r="F147" s="240" t="s">
        <v>1027</v>
      </c>
      <c r="G147" s="242">
        <v>300</v>
      </c>
      <c r="H147" s="243">
        <v>445373</v>
      </c>
      <c r="I147" s="242">
        <v>75074</v>
      </c>
    </row>
    <row r="148" spans="1:9">
      <c r="A148" s="240" t="s">
        <v>760</v>
      </c>
      <c r="B148" s="240" t="s">
        <v>779</v>
      </c>
      <c r="C148" s="216" t="s">
        <v>1313</v>
      </c>
      <c r="D148" s="216" t="s">
        <v>317</v>
      </c>
      <c r="E148" s="240" t="s">
        <v>1028</v>
      </c>
      <c r="F148" s="240" t="s">
        <v>1029</v>
      </c>
      <c r="G148" s="242" t="s">
        <v>1030</v>
      </c>
      <c r="H148" s="243" t="s">
        <v>1031</v>
      </c>
      <c r="I148" s="242">
        <v>75209</v>
      </c>
    </row>
    <row r="149" spans="1:9">
      <c r="A149" s="216" t="s">
        <v>1478</v>
      </c>
      <c r="B149" s="216" t="s">
        <v>1479</v>
      </c>
      <c r="C149" s="216" t="s">
        <v>27</v>
      </c>
      <c r="D149" s="216" t="s">
        <v>1311</v>
      </c>
      <c r="E149" s="246" t="s">
        <v>1032</v>
      </c>
      <c r="F149" s="246" t="s">
        <v>1356</v>
      </c>
      <c r="G149" s="245" t="s">
        <v>1357</v>
      </c>
      <c r="H149" s="243" t="s">
        <v>1358</v>
      </c>
      <c r="I149" s="245">
        <v>74181</v>
      </c>
    </row>
    <row r="150" spans="1:9">
      <c r="A150" s="216" t="s">
        <v>1478</v>
      </c>
      <c r="B150" s="216" t="s">
        <v>1479</v>
      </c>
      <c r="C150" s="216" t="s">
        <v>27</v>
      </c>
      <c r="D150" s="216" t="s">
        <v>1311</v>
      </c>
      <c r="E150" s="246" t="s">
        <v>1032</v>
      </c>
      <c r="F150" s="246" t="s">
        <v>1356</v>
      </c>
      <c r="G150" s="245" t="s">
        <v>1357</v>
      </c>
      <c r="H150" s="243" t="s">
        <v>1364</v>
      </c>
      <c r="I150" s="245"/>
    </row>
    <row r="151" spans="1:9">
      <c r="A151" s="216" t="s">
        <v>1478</v>
      </c>
      <c r="B151" s="216" t="s">
        <v>1479</v>
      </c>
      <c r="C151" s="216" t="s">
        <v>27</v>
      </c>
      <c r="D151" s="216" t="s">
        <v>1311</v>
      </c>
      <c r="E151" s="246" t="s">
        <v>1032</v>
      </c>
      <c r="F151" s="246" t="s">
        <v>1341</v>
      </c>
      <c r="G151" s="245" t="s">
        <v>1365</v>
      </c>
      <c r="H151" s="243" t="s">
        <v>1366</v>
      </c>
      <c r="I151" s="245">
        <v>74182</v>
      </c>
    </row>
    <row r="152" spans="1:9">
      <c r="A152" s="216" t="s">
        <v>1478</v>
      </c>
      <c r="B152" s="216" t="s">
        <v>1479</v>
      </c>
      <c r="C152" s="216" t="s">
        <v>27</v>
      </c>
      <c r="D152" s="216" t="s">
        <v>1311</v>
      </c>
      <c r="E152" s="246" t="s">
        <v>1032</v>
      </c>
      <c r="F152" s="246" t="s">
        <v>1367</v>
      </c>
      <c r="G152" s="245" t="s">
        <v>1368</v>
      </c>
      <c r="H152" s="243" t="s">
        <v>1369</v>
      </c>
      <c r="I152" s="245">
        <v>74183</v>
      </c>
    </row>
    <row r="153" spans="1:9">
      <c r="A153" s="216" t="s">
        <v>1478</v>
      </c>
      <c r="B153" s="216" t="s">
        <v>1479</v>
      </c>
      <c r="C153" s="216" t="s">
        <v>27</v>
      </c>
      <c r="D153" s="216" t="s">
        <v>1311</v>
      </c>
      <c r="E153" s="246" t="s">
        <v>1032</v>
      </c>
      <c r="F153" s="246" t="s">
        <v>1370</v>
      </c>
      <c r="G153" s="245" t="s">
        <v>1371</v>
      </c>
      <c r="H153" s="243">
        <v>23493859</v>
      </c>
      <c r="I153" s="245">
        <v>74180</v>
      </c>
    </row>
    <row r="154" spans="1:9">
      <c r="A154" s="217" t="s">
        <v>752</v>
      </c>
      <c r="B154" s="240" t="s">
        <v>788</v>
      </c>
      <c r="C154" s="216" t="s">
        <v>27</v>
      </c>
      <c r="D154" s="216" t="s">
        <v>1311</v>
      </c>
      <c r="E154" s="246" t="s">
        <v>1032</v>
      </c>
      <c r="F154" s="216" t="s">
        <v>1033</v>
      </c>
      <c r="G154" s="217" t="s">
        <v>1034</v>
      </c>
      <c r="H154" s="243" t="s">
        <v>1035</v>
      </c>
      <c r="I154" s="217">
        <v>76141</v>
      </c>
    </row>
    <row r="155" spans="1:9">
      <c r="A155" s="240" t="s">
        <v>762</v>
      </c>
      <c r="B155" s="240" t="s">
        <v>814</v>
      </c>
      <c r="C155" s="216" t="s">
        <v>27</v>
      </c>
      <c r="D155" s="216" t="s">
        <v>1311</v>
      </c>
      <c r="E155" s="240" t="s">
        <v>1032</v>
      </c>
      <c r="F155" s="240" t="s">
        <v>1033</v>
      </c>
      <c r="G155" s="242" t="s">
        <v>1034</v>
      </c>
      <c r="H155" s="243" t="s">
        <v>1036</v>
      </c>
      <c r="I155" s="242">
        <v>76142</v>
      </c>
    </row>
    <row r="156" spans="1:9">
      <c r="A156" s="240" t="s">
        <v>762</v>
      </c>
      <c r="B156" s="240" t="s">
        <v>814</v>
      </c>
      <c r="C156" s="216" t="s">
        <v>27</v>
      </c>
      <c r="D156" s="216" t="s">
        <v>1311</v>
      </c>
      <c r="E156" s="240" t="s">
        <v>1032</v>
      </c>
      <c r="F156" s="240" t="s">
        <v>1033</v>
      </c>
      <c r="G156" s="242" t="s">
        <v>1034</v>
      </c>
      <c r="H156" s="243" t="s">
        <v>1037</v>
      </c>
      <c r="I156" s="242">
        <v>76143</v>
      </c>
    </row>
    <row r="157" spans="1:9">
      <c r="A157" s="242" t="s">
        <v>1307</v>
      </c>
      <c r="B157" s="240" t="s">
        <v>768</v>
      </c>
      <c r="C157" s="216" t="s">
        <v>27</v>
      </c>
      <c r="D157" s="216" t="s">
        <v>1311</v>
      </c>
      <c r="E157" s="240" t="s">
        <v>1032</v>
      </c>
      <c r="F157" s="240" t="s">
        <v>1033</v>
      </c>
      <c r="G157" s="242" t="s">
        <v>1034</v>
      </c>
      <c r="H157" s="243" t="s">
        <v>1038</v>
      </c>
      <c r="I157" s="242">
        <v>76144</v>
      </c>
    </row>
    <row r="158" spans="1:9">
      <c r="A158" s="242" t="s">
        <v>1307</v>
      </c>
      <c r="B158" s="240" t="s">
        <v>768</v>
      </c>
      <c r="C158" s="216" t="s">
        <v>27</v>
      </c>
      <c r="D158" s="216" t="s">
        <v>1311</v>
      </c>
      <c r="E158" s="240" t="s">
        <v>1032</v>
      </c>
      <c r="F158" s="240" t="s">
        <v>1033</v>
      </c>
      <c r="G158" s="242" t="s">
        <v>1034</v>
      </c>
      <c r="H158" s="243" t="s">
        <v>1039</v>
      </c>
      <c r="I158" s="242">
        <v>76145</v>
      </c>
    </row>
    <row r="159" spans="1:9">
      <c r="A159" s="240" t="s">
        <v>764</v>
      </c>
      <c r="B159" s="240" t="s">
        <v>766</v>
      </c>
      <c r="C159" s="216" t="s">
        <v>27</v>
      </c>
      <c r="D159" s="216" t="s">
        <v>1311</v>
      </c>
      <c r="E159" s="240" t="s">
        <v>1032</v>
      </c>
      <c r="F159" s="240" t="s">
        <v>1033</v>
      </c>
      <c r="G159" s="242" t="s">
        <v>1034</v>
      </c>
      <c r="H159" s="243" t="s">
        <v>1040</v>
      </c>
      <c r="I159" s="242">
        <v>76146</v>
      </c>
    </row>
    <row r="160" spans="1:9">
      <c r="A160" s="216" t="s">
        <v>752</v>
      </c>
      <c r="B160" s="240" t="s">
        <v>815</v>
      </c>
      <c r="C160" s="216" t="s">
        <v>442</v>
      </c>
      <c r="D160" s="216" t="s">
        <v>317</v>
      </c>
      <c r="E160" s="240" t="s">
        <v>1041</v>
      </c>
      <c r="F160" s="216" t="s">
        <v>1042</v>
      </c>
      <c r="G160" s="217" t="s">
        <v>1043</v>
      </c>
      <c r="H160" s="243" t="s">
        <v>1044</v>
      </c>
      <c r="I160" s="217">
        <v>75043</v>
      </c>
    </row>
    <row r="161" spans="1:9">
      <c r="A161" s="216" t="s">
        <v>1478</v>
      </c>
      <c r="B161" s="216" t="s">
        <v>1479</v>
      </c>
      <c r="C161" s="216" t="s">
        <v>1313</v>
      </c>
      <c r="D161" s="216" t="s">
        <v>317</v>
      </c>
      <c r="E161" s="216" t="s">
        <v>1485</v>
      </c>
      <c r="F161" s="216" t="s">
        <v>1462</v>
      </c>
      <c r="G161" s="217" t="s">
        <v>1463</v>
      </c>
      <c r="H161" s="218">
        <v>33815</v>
      </c>
      <c r="I161" s="217">
        <v>74163</v>
      </c>
    </row>
    <row r="162" spans="1:9">
      <c r="A162" s="216" t="s">
        <v>752</v>
      </c>
      <c r="B162" s="240" t="s">
        <v>788</v>
      </c>
      <c r="C162" s="216" t="s">
        <v>1312</v>
      </c>
      <c r="D162" s="216" t="s">
        <v>317</v>
      </c>
      <c r="E162" s="240" t="s">
        <v>1045</v>
      </c>
      <c r="F162" s="216" t="s">
        <v>746</v>
      </c>
      <c r="G162" s="217" t="s">
        <v>747</v>
      </c>
      <c r="H162" s="243" t="s">
        <v>1046</v>
      </c>
      <c r="I162" s="217">
        <v>76101</v>
      </c>
    </row>
    <row r="163" spans="1:9">
      <c r="A163" s="216" t="s">
        <v>1478</v>
      </c>
      <c r="B163" s="216" t="s">
        <v>1479</v>
      </c>
      <c r="C163" s="216" t="s">
        <v>1312</v>
      </c>
      <c r="D163" s="216" t="s">
        <v>317</v>
      </c>
      <c r="E163" s="240" t="s">
        <v>1045</v>
      </c>
      <c r="F163" s="246" t="s">
        <v>746</v>
      </c>
      <c r="G163" s="245" t="s">
        <v>747</v>
      </c>
      <c r="H163" s="243" t="s">
        <v>1390</v>
      </c>
      <c r="I163" s="245">
        <v>74192</v>
      </c>
    </row>
    <row r="164" spans="1:9">
      <c r="A164" s="216" t="s">
        <v>1478</v>
      </c>
      <c r="B164" s="216" t="s">
        <v>1479</v>
      </c>
      <c r="C164" s="216" t="s">
        <v>1312</v>
      </c>
      <c r="D164" s="216" t="s">
        <v>317</v>
      </c>
      <c r="E164" s="240" t="s">
        <v>1045</v>
      </c>
      <c r="F164" s="246" t="s">
        <v>746</v>
      </c>
      <c r="G164" s="245" t="s">
        <v>747</v>
      </c>
      <c r="H164" s="243" t="s">
        <v>1391</v>
      </c>
      <c r="I164" s="245">
        <v>74193</v>
      </c>
    </row>
    <row r="165" spans="1:9">
      <c r="A165" s="217" t="s">
        <v>752</v>
      </c>
      <c r="B165" s="240" t="s">
        <v>753</v>
      </c>
      <c r="C165" s="216" t="s">
        <v>442</v>
      </c>
      <c r="D165" s="216" t="s">
        <v>1311</v>
      </c>
      <c r="E165" s="239" t="s">
        <v>1047</v>
      </c>
      <c r="F165" s="216" t="s">
        <v>848</v>
      </c>
      <c r="G165" s="217">
        <v>2983</v>
      </c>
      <c r="H165" s="243" t="s">
        <v>1048</v>
      </c>
      <c r="I165" s="217">
        <v>76089</v>
      </c>
    </row>
    <row r="166" spans="1:9">
      <c r="A166" s="217" t="s">
        <v>507</v>
      </c>
      <c r="B166" s="240" t="s">
        <v>751</v>
      </c>
      <c r="C166" s="216" t="s">
        <v>1310</v>
      </c>
      <c r="D166" s="216" t="s">
        <v>317</v>
      </c>
      <c r="E166" s="239" t="s">
        <v>1302</v>
      </c>
      <c r="F166" s="216" t="s">
        <v>1049</v>
      </c>
      <c r="G166" s="217" t="s">
        <v>1050</v>
      </c>
      <c r="H166" s="243">
        <v>20230000021249</v>
      </c>
      <c r="I166" s="217">
        <v>75045</v>
      </c>
    </row>
    <row r="167" spans="1:9">
      <c r="A167" s="216" t="s">
        <v>507</v>
      </c>
      <c r="B167" s="240" t="s">
        <v>816</v>
      </c>
      <c r="C167" s="216" t="s">
        <v>1310</v>
      </c>
      <c r="D167" s="216" t="s">
        <v>317</v>
      </c>
      <c r="E167" s="216" t="s">
        <v>1303</v>
      </c>
      <c r="F167" s="216" t="s">
        <v>1049</v>
      </c>
      <c r="G167" s="217" t="s">
        <v>1051</v>
      </c>
      <c r="H167" s="243">
        <v>20230000019521</v>
      </c>
      <c r="I167" s="217">
        <v>75044</v>
      </c>
    </row>
    <row r="168" spans="1:9">
      <c r="A168" s="240" t="s">
        <v>752</v>
      </c>
      <c r="B168" s="240" t="s">
        <v>753</v>
      </c>
      <c r="C168" s="216" t="s">
        <v>442</v>
      </c>
      <c r="D168" s="216" t="s">
        <v>1311</v>
      </c>
      <c r="E168" s="240" t="s">
        <v>1052</v>
      </c>
      <c r="F168" s="240" t="s">
        <v>1053</v>
      </c>
      <c r="G168" s="242"/>
      <c r="H168" s="243" t="s">
        <v>844</v>
      </c>
      <c r="I168" s="242">
        <v>76575</v>
      </c>
    </row>
    <row r="169" spans="1:9">
      <c r="A169" s="216" t="s">
        <v>507</v>
      </c>
      <c r="B169" s="240" t="s">
        <v>818</v>
      </c>
      <c r="C169" s="216" t="s">
        <v>1310</v>
      </c>
      <c r="D169" s="216" t="s">
        <v>28</v>
      </c>
      <c r="E169" s="216" t="s">
        <v>1054</v>
      </c>
      <c r="F169" s="216" t="s">
        <v>1055</v>
      </c>
      <c r="G169" s="217" t="s">
        <v>1056</v>
      </c>
      <c r="H169" s="243" t="s">
        <v>1057</v>
      </c>
      <c r="I169" s="217">
        <v>75064</v>
      </c>
    </row>
    <row r="170" spans="1:9">
      <c r="A170" s="216" t="s">
        <v>507</v>
      </c>
      <c r="B170" s="240" t="s">
        <v>819</v>
      </c>
      <c r="C170" s="216" t="s">
        <v>1310</v>
      </c>
      <c r="D170" s="216" t="s">
        <v>28</v>
      </c>
      <c r="E170" s="216" t="s">
        <v>1058</v>
      </c>
      <c r="F170" s="216" t="s">
        <v>1059</v>
      </c>
      <c r="G170" s="217" t="s">
        <v>1060</v>
      </c>
      <c r="H170" s="243" t="s">
        <v>1061</v>
      </c>
      <c r="I170" s="217">
        <v>75301</v>
      </c>
    </row>
    <row r="171" spans="1:9">
      <c r="A171" s="216" t="s">
        <v>507</v>
      </c>
      <c r="B171" s="240" t="s">
        <v>751</v>
      </c>
      <c r="C171" s="216" t="s">
        <v>1310</v>
      </c>
      <c r="D171" s="216" t="s">
        <v>28</v>
      </c>
      <c r="E171" s="216" t="s">
        <v>1062</v>
      </c>
      <c r="F171" s="216" t="s">
        <v>1063</v>
      </c>
      <c r="G171" s="217" t="s">
        <v>1064</v>
      </c>
      <c r="H171" s="240" t="s">
        <v>1065</v>
      </c>
      <c r="I171" s="217">
        <v>75042</v>
      </c>
    </row>
    <row r="172" spans="1:9">
      <c r="A172" s="216" t="s">
        <v>752</v>
      </c>
      <c r="B172" s="240" t="s">
        <v>753</v>
      </c>
      <c r="C172" s="216" t="s">
        <v>442</v>
      </c>
      <c r="D172" s="216" t="s">
        <v>1311</v>
      </c>
      <c r="E172" s="216" t="s">
        <v>1066</v>
      </c>
      <c r="F172" s="216" t="s">
        <v>1067</v>
      </c>
      <c r="G172" s="217" t="s">
        <v>1068</v>
      </c>
      <c r="H172" s="243" t="s">
        <v>1069</v>
      </c>
      <c r="I172" s="217">
        <v>76574</v>
      </c>
    </row>
    <row r="173" spans="1:9">
      <c r="A173" s="216" t="s">
        <v>752</v>
      </c>
      <c r="B173" s="240" t="s">
        <v>753</v>
      </c>
      <c r="C173" s="216" t="s">
        <v>442</v>
      </c>
      <c r="D173" s="216" t="s">
        <v>1311</v>
      </c>
      <c r="E173" s="246" t="s">
        <v>1070</v>
      </c>
      <c r="F173" s="216" t="s">
        <v>1071</v>
      </c>
      <c r="G173" s="217" t="s">
        <v>1072</v>
      </c>
      <c r="H173" s="243">
        <v>3120220656</v>
      </c>
      <c r="I173" s="217">
        <v>76573</v>
      </c>
    </row>
    <row r="174" spans="1:9">
      <c r="A174" s="216" t="s">
        <v>507</v>
      </c>
      <c r="B174" s="240" t="s">
        <v>759</v>
      </c>
      <c r="C174" s="216" t="s">
        <v>1310</v>
      </c>
      <c r="D174" s="216" t="s">
        <v>317</v>
      </c>
      <c r="E174" s="246" t="s">
        <v>1073</v>
      </c>
      <c r="F174" s="216" t="s">
        <v>1055</v>
      </c>
      <c r="G174" s="217" t="s">
        <v>1074</v>
      </c>
      <c r="H174" s="243" t="s">
        <v>1075</v>
      </c>
      <c r="I174" s="217">
        <v>75063</v>
      </c>
    </row>
    <row r="175" spans="1:9">
      <c r="A175" s="240" t="s">
        <v>764</v>
      </c>
      <c r="B175" s="240" t="s">
        <v>820</v>
      </c>
      <c r="C175" s="216" t="s">
        <v>27</v>
      </c>
      <c r="D175" s="216" t="s">
        <v>28</v>
      </c>
      <c r="E175" s="240" t="s">
        <v>1076</v>
      </c>
      <c r="F175" s="240" t="s">
        <v>1306</v>
      </c>
      <c r="G175" s="242"/>
      <c r="H175" s="243"/>
      <c r="I175" s="242"/>
    </row>
    <row r="176" spans="1:9">
      <c r="A176" s="216" t="s">
        <v>821</v>
      </c>
      <c r="B176" s="240" t="s">
        <v>817</v>
      </c>
      <c r="C176" s="216" t="s">
        <v>1312</v>
      </c>
      <c r="D176" s="216" t="s">
        <v>1311</v>
      </c>
      <c r="E176" s="239" t="s">
        <v>1077</v>
      </c>
      <c r="F176" s="216" t="s">
        <v>1078</v>
      </c>
      <c r="G176" s="217" t="s">
        <v>1079</v>
      </c>
      <c r="H176" s="243" t="s">
        <v>1080</v>
      </c>
      <c r="I176" s="217">
        <v>75081</v>
      </c>
    </row>
    <row r="177" spans="1:9">
      <c r="A177" s="216" t="s">
        <v>752</v>
      </c>
      <c r="B177" s="216" t="s">
        <v>781</v>
      </c>
      <c r="C177" s="216" t="s">
        <v>1312</v>
      </c>
      <c r="D177" s="216" t="s">
        <v>1311</v>
      </c>
      <c r="E177" s="216" t="s">
        <v>1077</v>
      </c>
      <c r="F177" s="216" t="s">
        <v>1078</v>
      </c>
      <c r="G177" s="217" t="s">
        <v>1079</v>
      </c>
      <c r="H177" s="243" t="s">
        <v>1081</v>
      </c>
      <c r="I177" s="217">
        <v>75080</v>
      </c>
    </row>
    <row r="178" spans="1:9">
      <c r="A178" s="216" t="s">
        <v>752</v>
      </c>
      <c r="B178" s="216" t="s">
        <v>790</v>
      </c>
      <c r="C178" s="216" t="s">
        <v>1312</v>
      </c>
      <c r="D178" s="216" t="s">
        <v>1311</v>
      </c>
      <c r="E178" s="216" t="s">
        <v>1077</v>
      </c>
      <c r="F178" s="216" t="s">
        <v>1078</v>
      </c>
      <c r="G178" s="217" t="s">
        <v>1079</v>
      </c>
      <c r="H178" s="243" t="s">
        <v>1082</v>
      </c>
      <c r="I178" s="217">
        <v>75087</v>
      </c>
    </row>
    <row r="179" spans="1:9">
      <c r="A179" s="246" t="s">
        <v>752</v>
      </c>
      <c r="B179" s="246" t="s">
        <v>794</v>
      </c>
      <c r="C179" s="216" t="s">
        <v>1312</v>
      </c>
      <c r="D179" s="216" t="s">
        <v>1311</v>
      </c>
      <c r="E179" s="240" t="s">
        <v>1077</v>
      </c>
      <c r="F179" s="246" t="s">
        <v>1078</v>
      </c>
      <c r="G179" s="245" t="s">
        <v>1079</v>
      </c>
      <c r="H179" s="243" t="s">
        <v>1083</v>
      </c>
      <c r="I179" s="245">
        <v>75082</v>
      </c>
    </row>
    <row r="180" spans="1:9">
      <c r="A180" s="216" t="s">
        <v>752</v>
      </c>
      <c r="B180" s="216" t="s">
        <v>785</v>
      </c>
      <c r="C180" s="216" t="s">
        <v>1312</v>
      </c>
      <c r="D180" s="216" t="s">
        <v>1311</v>
      </c>
      <c r="E180" s="240" t="s">
        <v>1077</v>
      </c>
      <c r="F180" s="246" t="s">
        <v>1078</v>
      </c>
      <c r="G180" s="245" t="s">
        <v>1079</v>
      </c>
      <c r="H180" s="243" t="s">
        <v>1084</v>
      </c>
      <c r="I180" s="245">
        <v>75083</v>
      </c>
    </row>
    <row r="181" spans="1:9">
      <c r="A181" s="216" t="s">
        <v>752</v>
      </c>
      <c r="B181" s="216" t="s">
        <v>786</v>
      </c>
      <c r="C181" s="216" t="s">
        <v>1312</v>
      </c>
      <c r="D181" s="216" t="s">
        <v>1311</v>
      </c>
      <c r="E181" s="240" t="s">
        <v>1077</v>
      </c>
      <c r="F181" s="246" t="s">
        <v>1078</v>
      </c>
      <c r="G181" s="245" t="s">
        <v>1079</v>
      </c>
      <c r="H181" s="243" t="s">
        <v>1085</v>
      </c>
      <c r="I181" s="245">
        <v>75084</v>
      </c>
    </row>
    <row r="182" spans="1:9">
      <c r="A182" s="216" t="s">
        <v>752</v>
      </c>
      <c r="B182" s="216" t="s">
        <v>787</v>
      </c>
      <c r="C182" s="216" t="s">
        <v>1312</v>
      </c>
      <c r="D182" s="216" t="s">
        <v>1311</v>
      </c>
      <c r="E182" s="240" t="s">
        <v>1077</v>
      </c>
      <c r="F182" s="246" t="s">
        <v>1078</v>
      </c>
      <c r="G182" s="245" t="s">
        <v>1079</v>
      </c>
      <c r="H182" s="243" t="s">
        <v>1086</v>
      </c>
      <c r="I182" s="245">
        <v>75085</v>
      </c>
    </row>
    <row r="183" spans="1:9">
      <c r="A183" s="242" t="s">
        <v>1307</v>
      </c>
      <c r="B183" s="216" t="s">
        <v>814</v>
      </c>
      <c r="C183" s="216" t="s">
        <v>1312</v>
      </c>
      <c r="D183" s="216" t="s">
        <v>1311</v>
      </c>
      <c r="E183" s="240" t="s">
        <v>1077</v>
      </c>
      <c r="F183" s="246" t="s">
        <v>1078</v>
      </c>
      <c r="G183" s="245" t="s">
        <v>1079</v>
      </c>
      <c r="H183" s="243" t="s">
        <v>1087</v>
      </c>
      <c r="I183" s="245">
        <v>75098</v>
      </c>
    </row>
    <row r="184" spans="1:9">
      <c r="A184" s="216" t="s">
        <v>752</v>
      </c>
      <c r="B184" s="216" t="s">
        <v>822</v>
      </c>
      <c r="C184" s="216" t="s">
        <v>1312</v>
      </c>
      <c r="D184" s="216" t="s">
        <v>1311</v>
      </c>
      <c r="E184" s="240" t="s">
        <v>1077</v>
      </c>
      <c r="F184" s="246" t="s">
        <v>1078</v>
      </c>
      <c r="G184" s="245" t="s">
        <v>1079</v>
      </c>
      <c r="H184" s="243" t="s">
        <v>1088</v>
      </c>
      <c r="I184" s="245">
        <v>75086</v>
      </c>
    </row>
    <row r="185" spans="1:9">
      <c r="A185" s="216" t="s">
        <v>762</v>
      </c>
      <c r="B185" s="216" t="s">
        <v>814</v>
      </c>
      <c r="C185" s="216" t="s">
        <v>1312</v>
      </c>
      <c r="D185" s="216" t="s">
        <v>1311</v>
      </c>
      <c r="E185" s="240" t="s">
        <v>1077</v>
      </c>
      <c r="F185" s="246" t="s">
        <v>1078</v>
      </c>
      <c r="G185" s="245" t="s">
        <v>1079</v>
      </c>
      <c r="H185" s="243" t="s">
        <v>1089</v>
      </c>
      <c r="I185" s="245">
        <v>75090</v>
      </c>
    </row>
    <row r="186" spans="1:9">
      <c r="A186" s="216" t="s">
        <v>762</v>
      </c>
      <c r="B186" s="216" t="s">
        <v>814</v>
      </c>
      <c r="C186" s="216" t="s">
        <v>1312</v>
      </c>
      <c r="D186" s="216" t="s">
        <v>1311</v>
      </c>
      <c r="E186" s="240" t="s">
        <v>1077</v>
      </c>
      <c r="F186" s="246" t="s">
        <v>1078</v>
      </c>
      <c r="G186" s="245" t="s">
        <v>1079</v>
      </c>
      <c r="H186" s="243" t="s">
        <v>1090</v>
      </c>
      <c r="I186" s="245">
        <v>75091</v>
      </c>
    </row>
    <row r="187" spans="1:9">
      <c r="A187" s="242" t="s">
        <v>1307</v>
      </c>
      <c r="B187" s="216" t="s">
        <v>791</v>
      </c>
      <c r="C187" s="216" t="s">
        <v>1312</v>
      </c>
      <c r="D187" s="216" t="s">
        <v>1311</v>
      </c>
      <c r="E187" s="240" t="s">
        <v>1077</v>
      </c>
      <c r="F187" s="246" t="s">
        <v>1078</v>
      </c>
      <c r="G187" s="245" t="s">
        <v>1079</v>
      </c>
      <c r="H187" s="243" t="s">
        <v>1091</v>
      </c>
      <c r="I187" s="245">
        <v>75097</v>
      </c>
    </row>
    <row r="188" spans="1:9">
      <c r="A188" s="216" t="s">
        <v>764</v>
      </c>
      <c r="B188" s="216" t="s">
        <v>820</v>
      </c>
      <c r="C188" s="216" t="s">
        <v>27</v>
      </c>
      <c r="D188" s="216" t="s">
        <v>317</v>
      </c>
      <c r="E188" s="240" t="s">
        <v>1092</v>
      </c>
      <c r="F188" s="246" t="s">
        <v>1093</v>
      </c>
      <c r="G188" s="245" t="s">
        <v>1094</v>
      </c>
      <c r="H188" s="243" t="s">
        <v>1095</v>
      </c>
      <c r="I188" s="245">
        <v>75297</v>
      </c>
    </row>
    <row r="189" spans="1:9">
      <c r="A189" s="216" t="s">
        <v>762</v>
      </c>
      <c r="B189" s="216" t="s">
        <v>809</v>
      </c>
      <c r="C189" s="216" t="s">
        <v>27</v>
      </c>
      <c r="D189" s="216" t="s">
        <v>317</v>
      </c>
      <c r="E189" s="240" t="s">
        <v>1092</v>
      </c>
      <c r="F189" s="246" t="s">
        <v>1093</v>
      </c>
      <c r="G189" s="245" t="s">
        <v>1094</v>
      </c>
      <c r="H189" s="243" t="s">
        <v>1096</v>
      </c>
      <c r="I189" s="245">
        <v>75294</v>
      </c>
    </row>
    <row r="190" spans="1:9">
      <c r="A190" s="216" t="s">
        <v>752</v>
      </c>
      <c r="B190" s="216" t="s">
        <v>782</v>
      </c>
      <c r="C190" s="216" t="s">
        <v>1312</v>
      </c>
      <c r="D190" s="216" t="s">
        <v>28</v>
      </c>
      <c r="E190" s="240" t="s">
        <v>1097</v>
      </c>
      <c r="F190" s="246" t="s">
        <v>1098</v>
      </c>
      <c r="G190" s="245" t="s">
        <v>1099</v>
      </c>
      <c r="H190" s="243">
        <v>66519412</v>
      </c>
      <c r="I190" s="245">
        <v>75070</v>
      </c>
    </row>
    <row r="191" spans="1:9">
      <c r="A191" s="216" t="s">
        <v>752</v>
      </c>
      <c r="B191" s="216" t="s">
        <v>823</v>
      </c>
      <c r="C191" s="216" t="s">
        <v>442</v>
      </c>
      <c r="D191" s="216" t="s">
        <v>1311</v>
      </c>
      <c r="E191" s="240" t="s">
        <v>1100</v>
      </c>
      <c r="F191" s="246" t="s">
        <v>1101</v>
      </c>
      <c r="G191" s="245" t="s">
        <v>1102</v>
      </c>
      <c r="H191" s="243" t="s">
        <v>1103</v>
      </c>
      <c r="I191" s="245">
        <v>76257</v>
      </c>
    </row>
    <row r="192" spans="1:9">
      <c r="A192" s="216" t="s">
        <v>752</v>
      </c>
      <c r="B192" s="216" t="s">
        <v>824</v>
      </c>
      <c r="C192" s="216" t="s">
        <v>442</v>
      </c>
      <c r="D192" s="216" t="s">
        <v>1311</v>
      </c>
      <c r="E192" s="240" t="s">
        <v>1100</v>
      </c>
      <c r="F192" s="246" t="s">
        <v>1101</v>
      </c>
      <c r="G192" s="245" t="s">
        <v>1102</v>
      </c>
      <c r="H192" s="243" t="s">
        <v>1104</v>
      </c>
      <c r="I192" s="245">
        <v>76286</v>
      </c>
    </row>
    <row r="193" spans="1:9">
      <c r="A193" s="216" t="s">
        <v>752</v>
      </c>
      <c r="B193" s="216" t="s">
        <v>825</v>
      </c>
      <c r="C193" s="216" t="s">
        <v>442</v>
      </c>
      <c r="D193" s="216" t="s">
        <v>1311</v>
      </c>
      <c r="E193" s="240" t="s">
        <v>1100</v>
      </c>
      <c r="F193" s="246" t="s">
        <v>1101</v>
      </c>
      <c r="G193" s="245" t="s">
        <v>1102</v>
      </c>
      <c r="H193" s="243" t="s">
        <v>1105</v>
      </c>
      <c r="I193" s="245">
        <v>76315</v>
      </c>
    </row>
    <row r="194" spans="1:9">
      <c r="A194" s="216" t="s">
        <v>760</v>
      </c>
      <c r="B194" s="216" t="s">
        <v>779</v>
      </c>
      <c r="C194" s="216" t="s">
        <v>1313</v>
      </c>
      <c r="D194" s="216" t="s">
        <v>1311</v>
      </c>
      <c r="E194" s="240" t="s">
        <v>1106</v>
      </c>
      <c r="F194" s="246" t="s">
        <v>898</v>
      </c>
      <c r="G194" s="245" t="s">
        <v>1107</v>
      </c>
      <c r="H194" s="243" t="s">
        <v>844</v>
      </c>
      <c r="I194" s="245">
        <v>76080</v>
      </c>
    </row>
    <row r="195" spans="1:9">
      <c r="A195" s="216" t="s">
        <v>760</v>
      </c>
      <c r="B195" s="216" t="s">
        <v>774</v>
      </c>
      <c r="C195" s="216" t="s">
        <v>1313</v>
      </c>
      <c r="D195" s="216" t="s">
        <v>1311</v>
      </c>
      <c r="E195" s="240" t="s">
        <v>1106</v>
      </c>
      <c r="F195" s="246" t="s">
        <v>898</v>
      </c>
      <c r="G195" s="245" t="s">
        <v>1107</v>
      </c>
      <c r="H195" s="243" t="s">
        <v>844</v>
      </c>
      <c r="I195" s="245">
        <v>76081</v>
      </c>
    </row>
    <row r="196" spans="1:9">
      <c r="A196" s="242" t="s">
        <v>1307</v>
      </c>
      <c r="B196" s="216" t="s">
        <v>769</v>
      </c>
      <c r="C196" s="216" t="s">
        <v>263</v>
      </c>
      <c r="D196" s="216" t="s">
        <v>317</v>
      </c>
      <c r="E196" s="240" t="s">
        <v>1304</v>
      </c>
      <c r="F196" s="246" t="s">
        <v>1108</v>
      </c>
      <c r="G196" s="245" t="s">
        <v>1109</v>
      </c>
      <c r="H196" s="243" t="s">
        <v>1110</v>
      </c>
      <c r="I196" s="245">
        <v>76766</v>
      </c>
    </row>
    <row r="197" spans="1:9">
      <c r="A197" s="242" t="s">
        <v>1307</v>
      </c>
      <c r="B197" s="216" t="s">
        <v>797</v>
      </c>
      <c r="C197" s="216" t="s">
        <v>263</v>
      </c>
      <c r="D197" s="216" t="s">
        <v>317</v>
      </c>
      <c r="E197" s="240" t="s">
        <v>1111</v>
      </c>
      <c r="F197" s="246" t="s">
        <v>1112</v>
      </c>
      <c r="G197" s="245" t="s">
        <v>1113</v>
      </c>
      <c r="H197" s="243">
        <v>13485</v>
      </c>
      <c r="I197" s="245">
        <v>75105</v>
      </c>
    </row>
    <row r="198" spans="1:9">
      <c r="A198" s="216" t="s">
        <v>764</v>
      </c>
      <c r="B198" s="216" t="s">
        <v>766</v>
      </c>
      <c r="C198" s="216" t="s">
        <v>263</v>
      </c>
      <c r="D198" s="216" t="s">
        <v>317</v>
      </c>
      <c r="E198" s="240" t="s">
        <v>1111</v>
      </c>
      <c r="F198" s="246" t="s">
        <v>1112</v>
      </c>
      <c r="G198" s="245">
        <v>13485</v>
      </c>
      <c r="H198" s="243" t="s">
        <v>1114</v>
      </c>
      <c r="I198" s="245">
        <v>75106</v>
      </c>
    </row>
    <row r="199" spans="1:9">
      <c r="A199" s="216" t="s">
        <v>762</v>
      </c>
      <c r="B199" s="216" t="s">
        <v>801</v>
      </c>
      <c r="C199" s="216" t="s">
        <v>263</v>
      </c>
      <c r="D199" s="216" t="s">
        <v>317</v>
      </c>
      <c r="E199" s="240" t="s">
        <v>1111</v>
      </c>
      <c r="F199" s="246" t="s">
        <v>1112</v>
      </c>
      <c r="G199" s="245">
        <v>13485</v>
      </c>
      <c r="H199" s="243" t="s">
        <v>1115</v>
      </c>
      <c r="I199" s="245">
        <v>75104</v>
      </c>
    </row>
    <row r="200" spans="1:9">
      <c r="A200" s="216" t="s">
        <v>764</v>
      </c>
      <c r="B200" s="216" t="s">
        <v>765</v>
      </c>
      <c r="C200" s="216" t="s">
        <v>263</v>
      </c>
      <c r="D200" s="216" t="s">
        <v>28</v>
      </c>
      <c r="E200" s="240" t="s">
        <v>1116</v>
      </c>
      <c r="F200" s="246" t="s">
        <v>1117</v>
      </c>
      <c r="G200" s="245" t="s">
        <v>1118</v>
      </c>
      <c r="H200" s="243">
        <v>926860</v>
      </c>
      <c r="I200" s="245">
        <v>75051</v>
      </c>
    </row>
    <row r="201" spans="1:9">
      <c r="A201" s="216" t="s">
        <v>821</v>
      </c>
      <c r="B201" s="216" t="s">
        <v>826</v>
      </c>
      <c r="C201" s="216" t="s">
        <v>754</v>
      </c>
      <c r="D201" s="216" t="s">
        <v>28</v>
      </c>
      <c r="E201" s="240" t="s">
        <v>1119</v>
      </c>
      <c r="F201" s="246" t="s">
        <v>852</v>
      </c>
      <c r="G201" s="245" t="s">
        <v>1120</v>
      </c>
      <c r="H201" s="243">
        <v>2.8500494041200001E+19</v>
      </c>
      <c r="I201" s="245">
        <v>75040</v>
      </c>
    </row>
    <row r="202" spans="1:9">
      <c r="A202" s="216" t="s">
        <v>821</v>
      </c>
      <c r="B202" s="216" t="s">
        <v>826</v>
      </c>
      <c r="C202" s="216" t="s">
        <v>754</v>
      </c>
      <c r="D202" s="216" t="s">
        <v>317</v>
      </c>
      <c r="E202" s="240" t="s">
        <v>1121</v>
      </c>
      <c r="F202" s="246" t="s">
        <v>1122</v>
      </c>
      <c r="G202" s="245" t="s">
        <v>1123</v>
      </c>
      <c r="H202" s="243">
        <v>63061054031223</v>
      </c>
      <c r="I202" s="245">
        <v>76147</v>
      </c>
    </row>
    <row r="203" spans="1:9">
      <c r="A203" s="216" t="s">
        <v>821</v>
      </c>
      <c r="B203" s="216" t="s">
        <v>817</v>
      </c>
      <c r="C203" s="216" t="s">
        <v>1312</v>
      </c>
      <c r="D203" s="216" t="s">
        <v>1311</v>
      </c>
      <c r="E203" s="240" t="s">
        <v>1124</v>
      </c>
      <c r="F203" s="246" t="s">
        <v>1078</v>
      </c>
      <c r="G203" s="245" t="s">
        <v>1125</v>
      </c>
      <c r="H203" s="243">
        <v>1149</v>
      </c>
      <c r="I203" s="245">
        <v>76195</v>
      </c>
    </row>
    <row r="204" spans="1:9">
      <c r="A204" s="216" t="s">
        <v>764</v>
      </c>
      <c r="B204" s="216" t="s">
        <v>765</v>
      </c>
      <c r="C204" s="216" t="s">
        <v>263</v>
      </c>
      <c r="D204" s="216" t="s">
        <v>317</v>
      </c>
      <c r="E204" s="240" t="s">
        <v>1126</v>
      </c>
      <c r="F204" s="246" t="s">
        <v>1127</v>
      </c>
      <c r="G204" s="245" t="s">
        <v>1128</v>
      </c>
      <c r="H204" s="243" t="s">
        <v>1129</v>
      </c>
      <c r="I204" s="245">
        <v>75298</v>
      </c>
    </row>
    <row r="205" spans="1:9">
      <c r="A205" s="216" t="s">
        <v>1478</v>
      </c>
      <c r="B205" s="216" t="s">
        <v>1479</v>
      </c>
      <c r="C205" s="216" t="s">
        <v>263</v>
      </c>
      <c r="D205" s="216" t="s">
        <v>317</v>
      </c>
      <c r="E205" s="240" t="s">
        <v>1126</v>
      </c>
      <c r="F205" s="246" t="s">
        <v>1392</v>
      </c>
      <c r="G205" s="245" t="s">
        <v>1393</v>
      </c>
      <c r="H205" s="243" t="s">
        <v>1394</v>
      </c>
      <c r="I205" s="245">
        <v>74158</v>
      </c>
    </row>
    <row r="206" spans="1:9">
      <c r="A206" s="216" t="s">
        <v>764</v>
      </c>
      <c r="B206" s="216" t="s">
        <v>765</v>
      </c>
      <c r="C206" s="216" t="s">
        <v>263</v>
      </c>
      <c r="D206" s="216" t="s">
        <v>28</v>
      </c>
      <c r="E206" s="240" t="s">
        <v>1130</v>
      </c>
      <c r="F206" s="246" t="s">
        <v>1131</v>
      </c>
      <c r="G206" s="245" t="s">
        <v>1132</v>
      </c>
      <c r="H206" s="243">
        <v>12580</v>
      </c>
      <c r="I206" s="245">
        <v>75296</v>
      </c>
    </row>
    <row r="207" spans="1:9">
      <c r="A207" s="216" t="s">
        <v>507</v>
      </c>
      <c r="B207" s="216" t="s">
        <v>751</v>
      </c>
      <c r="C207" s="216" t="s">
        <v>1310</v>
      </c>
      <c r="D207" s="216" t="s">
        <v>317</v>
      </c>
      <c r="E207" s="240" t="s">
        <v>1135</v>
      </c>
      <c r="F207" s="246" t="s">
        <v>1136</v>
      </c>
      <c r="G207" s="245" t="s">
        <v>1137</v>
      </c>
      <c r="H207" s="243" t="s">
        <v>1138</v>
      </c>
      <c r="I207" s="245">
        <v>75060</v>
      </c>
    </row>
    <row r="208" spans="1:9">
      <c r="A208" s="216" t="s">
        <v>507</v>
      </c>
      <c r="B208" s="216" t="s">
        <v>751</v>
      </c>
      <c r="C208" s="216" t="s">
        <v>1310</v>
      </c>
      <c r="D208" s="216" t="s">
        <v>317</v>
      </c>
      <c r="E208" s="240" t="s">
        <v>1135</v>
      </c>
      <c r="F208" s="246" t="s">
        <v>1136</v>
      </c>
      <c r="G208" s="245" t="s">
        <v>1137</v>
      </c>
      <c r="H208" s="243" t="s">
        <v>1139</v>
      </c>
      <c r="I208" s="245">
        <v>75061</v>
      </c>
    </row>
    <row r="209" spans="1:9">
      <c r="A209" s="216" t="s">
        <v>507</v>
      </c>
      <c r="B209" s="216" t="s">
        <v>750</v>
      </c>
      <c r="C209" s="216" t="s">
        <v>1310</v>
      </c>
      <c r="D209" s="216" t="s">
        <v>317</v>
      </c>
      <c r="E209" s="240" t="s">
        <v>1135</v>
      </c>
      <c r="F209" s="246" t="s">
        <v>1136</v>
      </c>
      <c r="G209" s="245" t="s">
        <v>1137</v>
      </c>
      <c r="H209" s="243" t="s">
        <v>1139</v>
      </c>
      <c r="I209" s="245">
        <v>75062</v>
      </c>
    </row>
    <row r="210" spans="1:9">
      <c r="A210" s="216" t="s">
        <v>507</v>
      </c>
      <c r="B210" s="216" t="s">
        <v>818</v>
      </c>
      <c r="C210" s="216" t="s">
        <v>1310</v>
      </c>
      <c r="D210" s="216" t="s">
        <v>317</v>
      </c>
      <c r="E210" s="240" t="s">
        <v>1135</v>
      </c>
      <c r="F210" s="246" t="s">
        <v>1136</v>
      </c>
      <c r="G210" s="245" t="s">
        <v>1137</v>
      </c>
      <c r="H210" s="243" t="s">
        <v>1140</v>
      </c>
      <c r="I210" s="245">
        <v>75059</v>
      </c>
    </row>
    <row r="211" spans="1:9">
      <c r="A211" s="242" t="s">
        <v>1307</v>
      </c>
      <c r="B211" s="216" t="s">
        <v>794</v>
      </c>
      <c r="C211" s="216" t="s">
        <v>55</v>
      </c>
      <c r="D211" s="216" t="s">
        <v>28</v>
      </c>
      <c r="E211" s="240" t="s">
        <v>1141</v>
      </c>
      <c r="F211" s="246" t="s">
        <v>742</v>
      </c>
      <c r="G211" s="245" t="s">
        <v>1142</v>
      </c>
      <c r="H211" s="243" t="s">
        <v>1143</v>
      </c>
      <c r="I211" s="245">
        <v>75102</v>
      </c>
    </row>
    <row r="212" spans="1:9">
      <c r="A212" s="216" t="s">
        <v>764</v>
      </c>
      <c r="B212" s="216" t="s">
        <v>766</v>
      </c>
      <c r="C212" s="216" t="s">
        <v>55</v>
      </c>
      <c r="D212" s="216" t="s">
        <v>28</v>
      </c>
      <c r="E212" s="240" t="s">
        <v>1144</v>
      </c>
      <c r="F212" s="246" t="s">
        <v>742</v>
      </c>
      <c r="G212" s="245" t="s">
        <v>1142</v>
      </c>
      <c r="H212" s="243" t="s">
        <v>1145</v>
      </c>
      <c r="I212" s="245">
        <v>75103</v>
      </c>
    </row>
    <row r="213" spans="1:9">
      <c r="A213" s="216" t="s">
        <v>762</v>
      </c>
      <c r="B213" s="216" t="s">
        <v>768</v>
      </c>
      <c r="C213" s="216" t="s">
        <v>55</v>
      </c>
      <c r="D213" s="216" t="s">
        <v>28</v>
      </c>
      <c r="E213" s="240" t="s">
        <v>1146</v>
      </c>
      <c r="F213" s="246" t="s">
        <v>1147</v>
      </c>
      <c r="G213" s="245" t="s">
        <v>743</v>
      </c>
      <c r="H213" s="243" t="s">
        <v>1148</v>
      </c>
      <c r="I213" s="245">
        <v>75176</v>
      </c>
    </row>
    <row r="214" spans="1:9">
      <c r="A214" s="242" t="s">
        <v>1307</v>
      </c>
      <c r="B214" s="216" t="s">
        <v>768</v>
      </c>
      <c r="C214" s="216" t="s">
        <v>55</v>
      </c>
      <c r="D214" s="216" t="s">
        <v>28</v>
      </c>
      <c r="E214" s="240" t="s">
        <v>1146</v>
      </c>
      <c r="F214" s="246" t="s">
        <v>1147</v>
      </c>
      <c r="G214" s="245" t="s">
        <v>743</v>
      </c>
      <c r="H214" s="243" t="s">
        <v>1149</v>
      </c>
      <c r="I214" s="245">
        <v>75191</v>
      </c>
    </row>
    <row r="215" spans="1:9">
      <c r="A215" s="216" t="s">
        <v>764</v>
      </c>
      <c r="B215" s="216" t="s">
        <v>765</v>
      </c>
      <c r="C215" s="216" t="s">
        <v>55</v>
      </c>
      <c r="D215" s="216" t="s">
        <v>28</v>
      </c>
      <c r="E215" s="240" t="s">
        <v>1146</v>
      </c>
      <c r="F215" s="246" t="s">
        <v>1147</v>
      </c>
      <c r="G215" s="245" t="s">
        <v>743</v>
      </c>
      <c r="H215" s="243" t="s">
        <v>1150</v>
      </c>
      <c r="I215" s="245">
        <v>75194</v>
      </c>
    </row>
    <row r="216" spans="1:9">
      <c r="A216" s="216" t="s">
        <v>764</v>
      </c>
      <c r="B216" s="216" t="s">
        <v>766</v>
      </c>
      <c r="C216" s="216" t="s">
        <v>55</v>
      </c>
      <c r="D216" s="216" t="s">
        <v>28</v>
      </c>
      <c r="E216" s="240" t="s">
        <v>1146</v>
      </c>
      <c r="F216" s="246" t="s">
        <v>1147</v>
      </c>
      <c r="G216" s="245" t="s">
        <v>743</v>
      </c>
      <c r="H216" s="243" t="s">
        <v>1151</v>
      </c>
      <c r="I216" s="245">
        <v>75195</v>
      </c>
    </row>
    <row r="217" spans="1:9">
      <c r="A217" s="242" t="s">
        <v>1307</v>
      </c>
      <c r="B217" s="216" t="s">
        <v>769</v>
      </c>
      <c r="C217" s="216" t="s">
        <v>55</v>
      </c>
      <c r="D217" s="216" t="s">
        <v>28</v>
      </c>
      <c r="E217" s="240" t="s">
        <v>1146</v>
      </c>
      <c r="F217" s="246" t="s">
        <v>1147</v>
      </c>
      <c r="G217" s="245" t="s">
        <v>743</v>
      </c>
      <c r="H217" s="243" t="s">
        <v>1152</v>
      </c>
      <c r="I217" s="245">
        <v>75192</v>
      </c>
    </row>
    <row r="218" spans="1:9">
      <c r="A218" s="216" t="s">
        <v>1478</v>
      </c>
      <c r="B218" s="216" t="s">
        <v>1479</v>
      </c>
      <c r="C218" s="216" t="s">
        <v>55</v>
      </c>
      <c r="D218" s="216" t="s">
        <v>28</v>
      </c>
      <c r="E218" s="240" t="s">
        <v>1146</v>
      </c>
      <c r="F218" s="246" t="s">
        <v>743</v>
      </c>
      <c r="G218" s="245" t="s">
        <v>1412</v>
      </c>
      <c r="H218" s="243" t="s">
        <v>1413</v>
      </c>
      <c r="I218" s="245">
        <v>74136</v>
      </c>
    </row>
    <row r="219" spans="1:9">
      <c r="A219" s="216" t="s">
        <v>1478</v>
      </c>
      <c r="B219" s="216" t="s">
        <v>1479</v>
      </c>
      <c r="C219" s="216" t="s">
        <v>55</v>
      </c>
      <c r="D219" s="216" t="s">
        <v>28</v>
      </c>
      <c r="E219" s="240" t="s">
        <v>1146</v>
      </c>
      <c r="F219" s="246" t="s">
        <v>1375</v>
      </c>
      <c r="G219" s="245" t="s">
        <v>1414</v>
      </c>
      <c r="H219" s="243" t="s">
        <v>1415</v>
      </c>
      <c r="I219" s="245">
        <v>74200</v>
      </c>
    </row>
    <row r="220" spans="1:9">
      <c r="A220" s="216" t="s">
        <v>1478</v>
      </c>
      <c r="B220" s="216" t="s">
        <v>1479</v>
      </c>
      <c r="C220" s="216" t="s">
        <v>55</v>
      </c>
      <c r="D220" s="216" t="s">
        <v>28</v>
      </c>
      <c r="E220" s="240" t="s">
        <v>1146</v>
      </c>
      <c r="F220" s="246" t="s">
        <v>1375</v>
      </c>
      <c r="G220" s="245" t="s">
        <v>1416</v>
      </c>
      <c r="H220" s="243" t="s">
        <v>1417</v>
      </c>
      <c r="I220" s="245">
        <v>74162</v>
      </c>
    </row>
    <row r="221" spans="1:9">
      <c r="A221" s="216" t="s">
        <v>1478</v>
      </c>
      <c r="B221" s="216" t="s">
        <v>1479</v>
      </c>
      <c r="C221" s="216" t="s">
        <v>55</v>
      </c>
      <c r="D221" s="216" t="s">
        <v>28</v>
      </c>
      <c r="E221" s="240" t="s">
        <v>1146</v>
      </c>
      <c r="F221" s="246" t="s">
        <v>1375</v>
      </c>
      <c r="G221" s="245" t="s">
        <v>1414</v>
      </c>
      <c r="H221" s="243" t="s">
        <v>1418</v>
      </c>
      <c r="I221" s="245">
        <v>74211</v>
      </c>
    </row>
    <row r="222" spans="1:9">
      <c r="A222" s="216" t="s">
        <v>762</v>
      </c>
      <c r="B222" s="216" t="s">
        <v>763</v>
      </c>
      <c r="C222" s="216" t="s">
        <v>55</v>
      </c>
      <c r="D222" s="216" t="s">
        <v>28</v>
      </c>
      <c r="E222" s="240" t="s">
        <v>1153</v>
      </c>
      <c r="F222" s="246" t="s">
        <v>1154</v>
      </c>
      <c r="G222" s="245" t="s">
        <v>1155</v>
      </c>
      <c r="H222" s="243" t="s">
        <v>1156</v>
      </c>
      <c r="I222" s="245">
        <v>75144</v>
      </c>
    </row>
    <row r="223" spans="1:9">
      <c r="A223" s="216" t="s">
        <v>760</v>
      </c>
      <c r="B223" s="216" t="s">
        <v>774</v>
      </c>
      <c r="C223" s="216" t="s">
        <v>55</v>
      </c>
      <c r="D223" s="216" t="s">
        <v>28</v>
      </c>
      <c r="E223" s="240" t="s">
        <v>1153</v>
      </c>
      <c r="F223" s="246" t="s">
        <v>1154</v>
      </c>
      <c r="G223" s="245" t="s">
        <v>1155</v>
      </c>
      <c r="H223" s="243" t="s">
        <v>1157</v>
      </c>
      <c r="I223" s="245">
        <v>75145</v>
      </c>
    </row>
    <row r="224" spans="1:9">
      <c r="A224" s="242" t="s">
        <v>1307</v>
      </c>
      <c r="B224" s="216" t="s">
        <v>772</v>
      </c>
      <c r="C224" s="216" t="s">
        <v>55</v>
      </c>
      <c r="D224" s="216" t="s">
        <v>28</v>
      </c>
      <c r="E224" s="240" t="s">
        <v>1158</v>
      </c>
      <c r="F224" s="246" t="s">
        <v>989</v>
      </c>
      <c r="G224" s="245" t="s">
        <v>741</v>
      </c>
      <c r="H224" s="243" t="s">
        <v>1159</v>
      </c>
      <c r="I224" s="245">
        <v>75052</v>
      </c>
    </row>
    <row r="225" spans="1:9">
      <c r="A225" s="216" t="s">
        <v>764</v>
      </c>
      <c r="B225" s="216" t="s">
        <v>765</v>
      </c>
      <c r="C225" s="216" t="s">
        <v>55</v>
      </c>
      <c r="D225" s="216" t="s">
        <v>28</v>
      </c>
      <c r="E225" s="240" t="s">
        <v>1158</v>
      </c>
      <c r="F225" s="246" t="s">
        <v>989</v>
      </c>
      <c r="G225" s="245" t="s">
        <v>741</v>
      </c>
      <c r="H225" s="243" t="s">
        <v>1160</v>
      </c>
      <c r="I225" s="245">
        <v>75055</v>
      </c>
    </row>
    <row r="226" spans="1:9">
      <c r="A226" s="242" t="s">
        <v>1307</v>
      </c>
      <c r="B226" s="216" t="s">
        <v>769</v>
      </c>
      <c r="C226" s="216" t="s">
        <v>55</v>
      </c>
      <c r="D226" s="216" t="s">
        <v>28</v>
      </c>
      <c r="E226" s="240" t="s">
        <v>1158</v>
      </c>
      <c r="F226" s="246" t="s">
        <v>989</v>
      </c>
      <c r="G226" s="245" t="s">
        <v>741</v>
      </c>
      <c r="H226" s="243" t="s">
        <v>1161</v>
      </c>
      <c r="I226" s="245">
        <v>75053</v>
      </c>
    </row>
    <row r="227" spans="1:9">
      <c r="A227" s="216" t="s">
        <v>764</v>
      </c>
      <c r="B227" s="216" t="s">
        <v>773</v>
      </c>
      <c r="C227" s="216" t="s">
        <v>55</v>
      </c>
      <c r="D227" s="216" t="s">
        <v>28</v>
      </c>
      <c r="E227" s="240" t="s">
        <v>1162</v>
      </c>
      <c r="F227" s="246" t="s">
        <v>989</v>
      </c>
      <c r="G227" s="245" t="s">
        <v>741</v>
      </c>
      <c r="H227" s="243" t="s">
        <v>1163</v>
      </c>
      <c r="I227" s="245">
        <v>75054</v>
      </c>
    </row>
    <row r="228" spans="1:9">
      <c r="A228" s="216" t="s">
        <v>1478</v>
      </c>
      <c r="B228" s="216" t="s">
        <v>1479</v>
      </c>
      <c r="C228" s="216" t="s">
        <v>55</v>
      </c>
      <c r="D228" s="216" t="s">
        <v>28</v>
      </c>
      <c r="E228" s="240" t="s">
        <v>1483</v>
      </c>
      <c r="F228" s="246" t="s">
        <v>1386</v>
      </c>
      <c r="G228" s="245" t="s">
        <v>172</v>
      </c>
      <c r="H228" s="243" t="s">
        <v>1419</v>
      </c>
      <c r="I228" s="245">
        <v>74151</v>
      </c>
    </row>
    <row r="229" spans="1:9">
      <c r="A229" s="216" t="s">
        <v>1478</v>
      </c>
      <c r="B229" s="216" t="s">
        <v>1479</v>
      </c>
      <c r="C229" s="216" t="s">
        <v>55</v>
      </c>
      <c r="D229" s="216" t="s">
        <v>28</v>
      </c>
      <c r="E229" s="240" t="s">
        <v>1483</v>
      </c>
      <c r="F229" s="246" t="s">
        <v>1420</v>
      </c>
      <c r="G229" s="245" t="s">
        <v>1421</v>
      </c>
      <c r="H229" s="243">
        <v>5021771200020</v>
      </c>
      <c r="I229" s="245">
        <v>74056</v>
      </c>
    </row>
    <row r="230" spans="1:9">
      <c r="A230" s="216" t="s">
        <v>1478</v>
      </c>
      <c r="B230" s="216" t="s">
        <v>1479</v>
      </c>
      <c r="C230" s="216" t="s">
        <v>55</v>
      </c>
      <c r="D230" s="216" t="s">
        <v>28</v>
      </c>
      <c r="E230" s="240" t="s">
        <v>1483</v>
      </c>
      <c r="F230" s="246" t="s">
        <v>1359</v>
      </c>
      <c r="G230" s="245" t="s">
        <v>1422</v>
      </c>
      <c r="H230" s="243" t="s">
        <v>1423</v>
      </c>
      <c r="I230" s="245">
        <v>74058</v>
      </c>
    </row>
    <row r="231" spans="1:9">
      <c r="A231" s="216" t="s">
        <v>1478</v>
      </c>
      <c r="B231" s="216" t="s">
        <v>1479</v>
      </c>
      <c r="C231" s="216" t="s">
        <v>55</v>
      </c>
      <c r="D231" s="216" t="s">
        <v>28</v>
      </c>
      <c r="E231" s="240" t="s">
        <v>1483</v>
      </c>
      <c r="F231" s="246" t="s">
        <v>1359</v>
      </c>
      <c r="G231" s="245" t="s">
        <v>1422</v>
      </c>
      <c r="H231" s="243" t="s">
        <v>1424</v>
      </c>
      <c r="I231" s="245">
        <v>74059</v>
      </c>
    </row>
    <row r="232" spans="1:9">
      <c r="A232" s="216" t="s">
        <v>1478</v>
      </c>
      <c r="B232" s="216" t="s">
        <v>1479</v>
      </c>
      <c r="C232" s="216" t="s">
        <v>55</v>
      </c>
      <c r="D232" s="216" t="s">
        <v>28</v>
      </c>
      <c r="E232" s="240" t="s">
        <v>1483</v>
      </c>
      <c r="F232" s="246" t="s">
        <v>1392</v>
      </c>
      <c r="G232" s="245" t="s">
        <v>1395</v>
      </c>
      <c r="H232" s="243" t="s">
        <v>1425</v>
      </c>
      <c r="I232" s="245">
        <v>74160</v>
      </c>
    </row>
    <row r="233" spans="1:9">
      <c r="A233" s="216" t="s">
        <v>1478</v>
      </c>
      <c r="B233" s="216" t="s">
        <v>1479</v>
      </c>
      <c r="C233" s="216" t="s">
        <v>55</v>
      </c>
      <c r="D233" s="216" t="s">
        <v>28</v>
      </c>
      <c r="E233" s="240" t="s">
        <v>1483</v>
      </c>
      <c r="F233" s="246" t="s">
        <v>742</v>
      </c>
      <c r="G233" s="245" t="s">
        <v>1426</v>
      </c>
      <c r="H233" s="243" t="s">
        <v>1427</v>
      </c>
      <c r="I233" s="245">
        <v>74203</v>
      </c>
    </row>
    <row r="234" spans="1:9">
      <c r="A234" s="216" t="s">
        <v>1478</v>
      </c>
      <c r="B234" s="216" t="s">
        <v>1479</v>
      </c>
      <c r="C234" s="216" t="s">
        <v>55</v>
      </c>
      <c r="D234" s="216" t="s">
        <v>28</v>
      </c>
      <c r="E234" s="240" t="s">
        <v>1483</v>
      </c>
      <c r="F234" s="246" t="s">
        <v>742</v>
      </c>
      <c r="G234" s="245" t="s">
        <v>1426</v>
      </c>
      <c r="H234" s="243" t="s">
        <v>1428</v>
      </c>
      <c r="I234" s="245">
        <v>74204</v>
      </c>
    </row>
    <row r="235" spans="1:9">
      <c r="A235" s="216" t="s">
        <v>1478</v>
      </c>
      <c r="B235" s="216" t="s">
        <v>1479</v>
      </c>
      <c r="C235" s="216" t="s">
        <v>55</v>
      </c>
      <c r="D235" s="216" t="s">
        <v>28</v>
      </c>
      <c r="E235" s="240" t="s">
        <v>1483</v>
      </c>
      <c r="F235" s="246" t="s">
        <v>742</v>
      </c>
      <c r="G235" s="245" t="s">
        <v>1426</v>
      </c>
      <c r="H235" s="243" t="s">
        <v>1429</v>
      </c>
      <c r="I235" s="245">
        <v>74212</v>
      </c>
    </row>
    <row r="236" spans="1:9">
      <c r="A236" s="216" t="s">
        <v>1478</v>
      </c>
      <c r="B236" s="216" t="s">
        <v>1479</v>
      </c>
      <c r="C236" s="216" t="s">
        <v>55</v>
      </c>
      <c r="D236" s="216" t="s">
        <v>28</v>
      </c>
      <c r="E236" s="240" t="s">
        <v>1483</v>
      </c>
      <c r="F236" s="246" t="s">
        <v>1386</v>
      </c>
      <c r="G236" s="245" t="s">
        <v>297</v>
      </c>
      <c r="H236" s="243" t="s">
        <v>1430</v>
      </c>
      <c r="I236" s="245"/>
    </row>
    <row r="237" spans="1:9">
      <c r="A237" s="216" t="s">
        <v>1478</v>
      </c>
      <c r="B237" s="216" t="s">
        <v>1479</v>
      </c>
      <c r="C237" s="216" t="s">
        <v>55</v>
      </c>
      <c r="D237" s="216" t="s">
        <v>28</v>
      </c>
      <c r="E237" s="240" t="s">
        <v>1483</v>
      </c>
      <c r="F237" s="246" t="s">
        <v>1386</v>
      </c>
      <c r="G237" s="245" t="s">
        <v>741</v>
      </c>
      <c r="H237" s="243" t="s">
        <v>1431</v>
      </c>
      <c r="I237" s="245">
        <v>74060</v>
      </c>
    </row>
    <row r="238" spans="1:9">
      <c r="A238" s="216" t="s">
        <v>762</v>
      </c>
      <c r="B238" s="216" t="s">
        <v>763</v>
      </c>
      <c r="C238" s="216" t="s">
        <v>55</v>
      </c>
      <c r="D238" s="216" t="s">
        <v>28</v>
      </c>
      <c r="E238" s="240" t="s">
        <v>1164</v>
      </c>
      <c r="F238" s="246" t="s">
        <v>1154</v>
      </c>
      <c r="G238" s="245" t="s">
        <v>1155</v>
      </c>
      <c r="H238" s="243" t="s">
        <v>1165</v>
      </c>
      <c r="I238" s="245">
        <v>75143</v>
      </c>
    </row>
    <row r="239" spans="1:9">
      <c r="A239" s="242" t="s">
        <v>1307</v>
      </c>
      <c r="B239" s="216" t="s">
        <v>793</v>
      </c>
      <c r="C239" s="216" t="s">
        <v>55</v>
      </c>
      <c r="D239" s="216" t="s">
        <v>28</v>
      </c>
      <c r="E239" s="240" t="s">
        <v>1164</v>
      </c>
      <c r="F239" s="246" t="s">
        <v>1154</v>
      </c>
      <c r="G239" s="245" t="s">
        <v>1155</v>
      </c>
      <c r="H239" s="243" t="s">
        <v>1166</v>
      </c>
      <c r="I239" s="245">
        <v>75147</v>
      </c>
    </row>
    <row r="240" spans="1:9">
      <c r="A240" s="216" t="s">
        <v>752</v>
      </c>
      <c r="B240" s="216" t="s">
        <v>787</v>
      </c>
      <c r="C240" s="216" t="s">
        <v>55</v>
      </c>
      <c r="D240" s="216" t="s">
        <v>28</v>
      </c>
      <c r="E240" s="240" t="s">
        <v>1164</v>
      </c>
      <c r="F240" s="246" t="s">
        <v>1154</v>
      </c>
      <c r="G240" s="245" t="s">
        <v>1155</v>
      </c>
      <c r="H240" s="243" t="s">
        <v>1167</v>
      </c>
      <c r="I240" s="245">
        <v>75139</v>
      </c>
    </row>
    <row r="241" spans="1:9">
      <c r="A241" s="242" t="s">
        <v>1307</v>
      </c>
      <c r="B241" s="216" t="s">
        <v>772</v>
      </c>
      <c r="C241" s="216" t="s">
        <v>55</v>
      </c>
      <c r="D241" s="216" t="s">
        <v>28</v>
      </c>
      <c r="E241" s="240" t="s">
        <v>1164</v>
      </c>
      <c r="F241" s="246" t="s">
        <v>1154</v>
      </c>
      <c r="G241" s="245" t="s">
        <v>1155</v>
      </c>
      <c r="H241" s="243" t="s">
        <v>1168</v>
      </c>
      <c r="I241" s="245">
        <v>75148</v>
      </c>
    </row>
    <row r="242" spans="1:9">
      <c r="A242" s="242" t="s">
        <v>1307</v>
      </c>
      <c r="B242" s="216" t="s">
        <v>772</v>
      </c>
      <c r="C242" s="216" t="s">
        <v>55</v>
      </c>
      <c r="D242" s="216" t="s">
        <v>28</v>
      </c>
      <c r="E242" s="240" t="s">
        <v>1164</v>
      </c>
      <c r="F242" s="246" t="s">
        <v>1154</v>
      </c>
      <c r="G242" s="245" t="s">
        <v>1155</v>
      </c>
      <c r="H242" s="243" t="s">
        <v>1169</v>
      </c>
      <c r="I242" s="245">
        <v>75149</v>
      </c>
    </row>
    <row r="243" spans="1:9">
      <c r="A243" s="242" t="s">
        <v>1307</v>
      </c>
      <c r="B243" s="216" t="s">
        <v>797</v>
      </c>
      <c r="C243" s="216" t="s">
        <v>55</v>
      </c>
      <c r="D243" s="216" t="s">
        <v>28</v>
      </c>
      <c r="E243" s="240" t="s">
        <v>1164</v>
      </c>
      <c r="F243" s="246" t="s">
        <v>1154</v>
      </c>
      <c r="G243" s="245" t="s">
        <v>1155</v>
      </c>
      <c r="H243" s="243" t="s">
        <v>1170</v>
      </c>
      <c r="I243" s="245">
        <v>75151</v>
      </c>
    </row>
    <row r="244" spans="1:9">
      <c r="A244" s="216" t="s">
        <v>760</v>
      </c>
      <c r="B244" s="216" t="s">
        <v>779</v>
      </c>
      <c r="C244" s="216" t="s">
        <v>55</v>
      </c>
      <c r="D244" s="216" t="s">
        <v>28</v>
      </c>
      <c r="E244" s="240" t="s">
        <v>1164</v>
      </c>
      <c r="F244" s="246" t="s">
        <v>1154</v>
      </c>
      <c r="G244" s="245" t="s">
        <v>1155</v>
      </c>
      <c r="H244" s="243" t="s">
        <v>1171</v>
      </c>
      <c r="I244" s="245">
        <v>75146</v>
      </c>
    </row>
    <row r="245" spans="1:9">
      <c r="A245" s="242" t="s">
        <v>1307</v>
      </c>
      <c r="B245" s="216" t="s">
        <v>798</v>
      </c>
      <c r="C245" s="216" t="s">
        <v>55</v>
      </c>
      <c r="D245" s="216" t="s">
        <v>28</v>
      </c>
      <c r="E245" s="240" t="s">
        <v>1164</v>
      </c>
      <c r="F245" s="246" t="s">
        <v>1154</v>
      </c>
      <c r="G245" s="245" t="s">
        <v>1155</v>
      </c>
      <c r="H245" s="243" t="s">
        <v>1172</v>
      </c>
      <c r="I245" s="245">
        <v>75150</v>
      </c>
    </row>
    <row r="246" spans="1:9">
      <c r="A246" s="242" t="s">
        <v>1307</v>
      </c>
      <c r="B246" s="216" t="s">
        <v>814</v>
      </c>
      <c r="C246" s="216" t="s">
        <v>55</v>
      </c>
      <c r="D246" s="216" t="s">
        <v>28</v>
      </c>
      <c r="E246" s="240" t="s">
        <v>1164</v>
      </c>
      <c r="F246" s="246" t="s">
        <v>1154</v>
      </c>
      <c r="G246" s="245" t="s">
        <v>1155</v>
      </c>
      <c r="H246" s="243" t="s">
        <v>1173</v>
      </c>
      <c r="I246" s="245">
        <v>75152</v>
      </c>
    </row>
    <row r="247" spans="1:9">
      <c r="A247" s="216" t="s">
        <v>764</v>
      </c>
      <c r="B247" s="216" t="s">
        <v>766</v>
      </c>
      <c r="C247" s="216" t="s">
        <v>55</v>
      </c>
      <c r="D247" s="216" t="s">
        <v>28</v>
      </c>
      <c r="E247" s="240" t="s">
        <v>1164</v>
      </c>
      <c r="F247" s="246" t="s">
        <v>1154</v>
      </c>
      <c r="G247" s="245" t="s">
        <v>1155</v>
      </c>
      <c r="H247" s="243" t="s">
        <v>1174</v>
      </c>
      <c r="I247" s="245">
        <v>75153</v>
      </c>
    </row>
    <row r="248" spans="1:9">
      <c r="A248" s="216" t="s">
        <v>762</v>
      </c>
      <c r="B248" s="216" t="s">
        <v>763</v>
      </c>
      <c r="C248" s="216" t="s">
        <v>55</v>
      </c>
      <c r="D248" s="216" t="s">
        <v>28</v>
      </c>
      <c r="E248" s="240" t="s">
        <v>1175</v>
      </c>
      <c r="F248" s="246" t="s">
        <v>1154</v>
      </c>
      <c r="G248" s="245" t="s">
        <v>1155</v>
      </c>
      <c r="H248" s="243" t="s">
        <v>1176</v>
      </c>
      <c r="I248" s="245">
        <v>75140</v>
      </c>
    </row>
    <row r="249" spans="1:9">
      <c r="A249" s="216" t="s">
        <v>762</v>
      </c>
      <c r="B249" s="216" t="s">
        <v>763</v>
      </c>
      <c r="C249" s="216" t="s">
        <v>55</v>
      </c>
      <c r="D249" s="216" t="s">
        <v>28</v>
      </c>
      <c r="E249" s="240" t="s">
        <v>1175</v>
      </c>
      <c r="F249" s="246" t="s">
        <v>1154</v>
      </c>
      <c r="G249" s="245" t="s">
        <v>1155</v>
      </c>
      <c r="H249" s="243" t="s">
        <v>1177</v>
      </c>
      <c r="I249" s="245">
        <v>75141</v>
      </c>
    </row>
    <row r="250" spans="1:9">
      <c r="A250" s="216" t="s">
        <v>762</v>
      </c>
      <c r="B250" s="216" t="s">
        <v>763</v>
      </c>
      <c r="C250" s="216" t="s">
        <v>55</v>
      </c>
      <c r="D250" s="216" t="s">
        <v>28</v>
      </c>
      <c r="E250" s="240" t="s">
        <v>1175</v>
      </c>
      <c r="F250" s="246" t="s">
        <v>1154</v>
      </c>
      <c r="G250" s="245" t="s">
        <v>1155</v>
      </c>
      <c r="H250" s="243" t="s">
        <v>1178</v>
      </c>
      <c r="I250" s="245">
        <v>75142</v>
      </c>
    </row>
    <row r="251" spans="1:9">
      <c r="A251" s="216" t="s">
        <v>752</v>
      </c>
      <c r="B251" s="240" t="s">
        <v>753</v>
      </c>
      <c r="C251" s="216" t="s">
        <v>442</v>
      </c>
      <c r="D251" s="216" t="s">
        <v>1311</v>
      </c>
      <c r="E251" s="240" t="s">
        <v>1179</v>
      </c>
      <c r="F251" s="246" t="s">
        <v>1180</v>
      </c>
      <c r="G251" s="245" t="s">
        <v>1181</v>
      </c>
      <c r="H251" s="243">
        <v>22034933</v>
      </c>
      <c r="I251" s="245">
        <v>76099</v>
      </c>
    </row>
    <row r="252" spans="1:9">
      <c r="A252" s="216" t="s">
        <v>752</v>
      </c>
      <c r="B252" s="240" t="s">
        <v>753</v>
      </c>
      <c r="C252" s="216" t="s">
        <v>442</v>
      </c>
      <c r="D252" s="216" t="s">
        <v>1311</v>
      </c>
      <c r="E252" s="240" t="s">
        <v>1318</v>
      </c>
      <c r="F252" s="246" t="s">
        <v>848</v>
      </c>
      <c r="G252" s="245" t="s">
        <v>1133</v>
      </c>
      <c r="H252" s="243" t="s">
        <v>1134</v>
      </c>
      <c r="I252" s="245">
        <v>76569</v>
      </c>
    </row>
    <row r="253" spans="1:9">
      <c r="A253" s="216" t="s">
        <v>752</v>
      </c>
      <c r="B253" s="216" t="s">
        <v>783</v>
      </c>
      <c r="C253" s="216" t="s">
        <v>1312</v>
      </c>
      <c r="D253" s="216" t="s">
        <v>1311</v>
      </c>
      <c r="E253" s="240" t="s">
        <v>1182</v>
      </c>
      <c r="F253" s="246" t="s">
        <v>1183</v>
      </c>
      <c r="G253" s="245" t="s">
        <v>1184</v>
      </c>
      <c r="H253" s="243">
        <v>104142</v>
      </c>
      <c r="I253" s="245">
        <v>75095</v>
      </c>
    </row>
    <row r="254" spans="1:9">
      <c r="A254" s="216" t="s">
        <v>752</v>
      </c>
      <c r="B254" s="216" t="s">
        <v>784</v>
      </c>
      <c r="C254" s="216" t="s">
        <v>1312</v>
      </c>
      <c r="D254" s="216" t="s">
        <v>1311</v>
      </c>
      <c r="E254" s="240" t="s">
        <v>1182</v>
      </c>
      <c r="F254" s="246" t="s">
        <v>1183</v>
      </c>
      <c r="G254" s="245" t="s">
        <v>1184</v>
      </c>
      <c r="H254" s="243">
        <v>104063</v>
      </c>
      <c r="I254" s="245">
        <v>75094</v>
      </c>
    </row>
    <row r="255" spans="1:9">
      <c r="A255" s="216" t="s">
        <v>752</v>
      </c>
      <c r="B255" s="216" t="s">
        <v>785</v>
      </c>
      <c r="C255" s="216" t="s">
        <v>1312</v>
      </c>
      <c r="D255" s="216" t="s">
        <v>1311</v>
      </c>
      <c r="E255" s="240" t="s">
        <v>1182</v>
      </c>
      <c r="F255" s="246" t="s">
        <v>1183</v>
      </c>
      <c r="G255" s="245" t="s">
        <v>1184</v>
      </c>
      <c r="H255" s="243">
        <v>104053</v>
      </c>
      <c r="I255" s="245">
        <v>75088</v>
      </c>
    </row>
    <row r="256" spans="1:9">
      <c r="A256" s="216" t="s">
        <v>752</v>
      </c>
      <c r="B256" s="216" t="s">
        <v>786</v>
      </c>
      <c r="C256" s="216" t="s">
        <v>1312</v>
      </c>
      <c r="D256" s="216" t="s">
        <v>1311</v>
      </c>
      <c r="E256" s="240" t="s">
        <v>1182</v>
      </c>
      <c r="F256" s="246" t="s">
        <v>1183</v>
      </c>
      <c r="G256" s="245" t="s">
        <v>1184</v>
      </c>
      <c r="H256" s="243">
        <v>104154</v>
      </c>
      <c r="I256" s="245">
        <v>75096</v>
      </c>
    </row>
    <row r="257" spans="1:9">
      <c r="A257" s="216" t="s">
        <v>752</v>
      </c>
      <c r="B257" s="216" t="s">
        <v>787</v>
      </c>
      <c r="C257" s="216" t="s">
        <v>1312</v>
      </c>
      <c r="D257" s="216" t="s">
        <v>1311</v>
      </c>
      <c r="E257" s="240" t="s">
        <v>1182</v>
      </c>
      <c r="F257" s="246" t="s">
        <v>1183</v>
      </c>
      <c r="G257" s="245" t="s">
        <v>1184</v>
      </c>
      <c r="H257" s="243">
        <v>104204</v>
      </c>
      <c r="I257" s="245">
        <v>75089</v>
      </c>
    </row>
    <row r="258" spans="1:9">
      <c r="A258" s="216" t="s">
        <v>752</v>
      </c>
      <c r="B258" s="240" t="s">
        <v>753</v>
      </c>
      <c r="C258" s="216" t="s">
        <v>442</v>
      </c>
      <c r="D258" s="216" t="s">
        <v>1311</v>
      </c>
      <c r="E258" s="240" t="s">
        <v>1185</v>
      </c>
      <c r="F258" s="246" t="s">
        <v>1186</v>
      </c>
      <c r="G258" s="245" t="s">
        <v>1187</v>
      </c>
      <c r="H258" s="243">
        <v>9437</v>
      </c>
      <c r="I258" s="245">
        <v>76568</v>
      </c>
    </row>
    <row r="259" spans="1:9">
      <c r="A259" s="216" t="s">
        <v>752</v>
      </c>
      <c r="B259" s="216" t="s">
        <v>767</v>
      </c>
      <c r="C259" s="216" t="s">
        <v>1312</v>
      </c>
      <c r="D259" s="216" t="s">
        <v>1311</v>
      </c>
      <c r="E259" s="240" t="s">
        <v>1188</v>
      </c>
      <c r="F259" s="246" t="s">
        <v>1189</v>
      </c>
      <c r="G259" s="245" t="s">
        <v>483</v>
      </c>
      <c r="H259" s="243">
        <v>26</v>
      </c>
      <c r="I259" s="245">
        <v>76443</v>
      </c>
    </row>
    <row r="260" spans="1:9">
      <c r="A260" s="216" t="s">
        <v>752</v>
      </c>
      <c r="B260" s="216" t="s">
        <v>788</v>
      </c>
      <c r="C260" s="216" t="s">
        <v>1312</v>
      </c>
      <c r="D260" s="216" t="s">
        <v>1311</v>
      </c>
      <c r="E260" s="240" t="s">
        <v>1188</v>
      </c>
      <c r="F260" s="246" t="s">
        <v>1189</v>
      </c>
      <c r="G260" s="245" t="s">
        <v>483</v>
      </c>
      <c r="H260" s="243">
        <v>15</v>
      </c>
      <c r="I260" s="245">
        <v>76453</v>
      </c>
    </row>
    <row r="261" spans="1:9">
      <c r="A261" s="242" t="s">
        <v>1307</v>
      </c>
      <c r="B261" s="216" t="s">
        <v>814</v>
      </c>
      <c r="C261" s="216" t="s">
        <v>1312</v>
      </c>
      <c r="D261" s="216" t="s">
        <v>317</v>
      </c>
      <c r="E261" s="240" t="s">
        <v>1192</v>
      </c>
      <c r="F261" s="246" t="s">
        <v>1193</v>
      </c>
      <c r="G261" s="245" t="s">
        <v>1194</v>
      </c>
      <c r="H261" s="243">
        <v>13103513</v>
      </c>
      <c r="I261" s="245">
        <v>75069</v>
      </c>
    </row>
    <row r="262" spans="1:9">
      <c r="A262" s="216" t="s">
        <v>827</v>
      </c>
      <c r="B262" s="216" t="s">
        <v>828</v>
      </c>
      <c r="C262" s="216" t="s">
        <v>1314</v>
      </c>
      <c r="D262" s="216" t="s">
        <v>28</v>
      </c>
      <c r="E262" s="240" t="s">
        <v>1195</v>
      </c>
      <c r="F262" s="246" t="s">
        <v>1196</v>
      </c>
      <c r="G262" s="245" t="s">
        <v>1197</v>
      </c>
      <c r="H262" s="243" t="s">
        <v>1198</v>
      </c>
      <c r="I262" s="245">
        <v>75003</v>
      </c>
    </row>
    <row r="263" spans="1:9">
      <c r="A263" s="216" t="s">
        <v>764</v>
      </c>
      <c r="B263" s="216" t="s">
        <v>766</v>
      </c>
      <c r="C263" s="216" t="s">
        <v>27</v>
      </c>
      <c r="D263" s="216" t="s">
        <v>28</v>
      </c>
      <c r="E263" s="240" t="s">
        <v>1199</v>
      </c>
      <c r="F263" s="246" t="s">
        <v>1093</v>
      </c>
      <c r="G263" s="245" t="s">
        <v>1200</v>
      </c>
      <c r="H263" s="243" t="s">
        <v>1201</v>
      </c>
      <c r="I263" s="245">
        <v>75295</v>
      </c>
    </row>
    <row r="264" spans="1:9">
      <c r="A264" s="216" t="s">
        <v>752</v>
      </c>
      <c r="B264" s="240" t="s">
        <v>753</v>
      </c>
      <c r="C264" s="216" t="s">
        <v>442</v>
      </c>
      <c r="D264" s="216" t="s">
        <v>1311</v>
      </c>
      <c r="E264" s="240" t="s">
        <v>1202</v>
      </c>
      <c r="F264" s="246" t="s">
        <v>848</v>
      </c>
      <c r="G264" s="245">
        <v>2482</v>
      </c>
      <c r="H264" s="243" t="s">
        <v>1203</v>
      </c>
      <c r="I264" s="245">
        <v>76565</v>
      </c>
    </row>
    <row r="265" spans="1:9">
      <c r="A265" s="216" t="s">
        <v>1478</v>
      </c>
      <c r="B265" s="216" t="s">
        <v>1479</v>
      </c>
      <c r="C265" s="216" t="s">
        <v>1310</v>
      </c>
      <c r="D265" s="216" t="s">
        <v>317</v>
      </c>
      <c r="E265" s="240" t="s">
        <v>1204</v>
      </c>
      <c r="F265" s="216" t="s">
        <v>740</v>
      </c>
      <c r="G265" s="217" t="s">
        <v>1437</v>
      </c>
      <c r="H265" s="218">
        <v>201233083</v>
      </c>
      <c r="I265" s="217">
        <v>74055</v>
      </c>
    </row>
    <row r="266" spans="1:9">
      <c r="A266" s="216" t="s">
        <v>1478</v>
      </c>
      <c r="B266" s="216" t="s">
        <v>1479</v>
      </c>
      <c r="C266" s="216" t="s">
        <v>1310</v>
      </c>
      <c r="D266" s="216" t="s">
        <v>317</v>
      </c>
      <c r="E266" s="240" t="s">
        <v>1204</v>
      </c>
      <c r="F266" s="216" t="s">
        <v>739</v>
      </c>
      <c r="G266" s="217" t="s">
        <v>748</v>
      </c>
      <c r="H266" s="218" t="s">
        <v>1444</v>
      </c>
      <c r="I266" s="217">
        <v>74214</v>
      </c>
    </row>
    <row r="267" spans="1:9">
      <c r="A267" s="216" t="s">
        <v>1478</v>
      </c>
      <c r="B267" s="216" t="s">
        <v>1479</v>
      </c>
      <c r="C267" s="216" t="s">
        <v>1310</v>
      </c>
      <c r="D267" s="216" t="s">
        <v>317</v>
      </c>
      <c r="E267" s="240" t="s">
        <v>1204</v>
      </c>
      <c r="F267" s="216" t="s">
        <v>1445</v>
      </c>
      <c r="G267" s="217" t="s">
        <v>1446</v>
      </c>
      <c r="H267" s="218"/>
      <c r="I267" s="217"/>
    </row>
    <row r="268" spans="1:9">
      <c r="A268" s="216" t="s">
        <v>1478</v>
      </c>
      <c r="B268" s="216" t="s">
        <v>1479</v>
      </c>
      <c r="C268" s="216" t="s">
        <v>1310</v>
      </c>
      <c r="D268" s="216" t="s">
        <v>317</v>
      </c>
      <c r="E268" s="240" t="s">
        <v>1204</v>
      </c>
      <c r="F268" s="216" t="s">
        <v>739</v>
      </c>
      <c r="G268" s="217" t="s">
        <v>1447</v>
      </c>
      <c r="H268" s="218" t="s">
        <v>1448</v>
      </c>
      <c r="I268" s="217"/>
    </row>
    <row r="269" spans="1:9">
      <c r="A269" s="216" t="s">
        <v>752</v>
      </c>
      <c r="B269" s="216" t="s">
        <v>829</v>
      </c>
      <c r="C269" s="216" t="s">
        <v>1310</v>
      </c>
      <c r="D269" s="216" t="s">
        <v>317</v>
      </c>
      <c r="E269" s="240" t="s">
        <v>1204</v>
      </c>
      <c r="F269" s="246" t="s">
        <v>739</v>
      </c>
      <c r="G269" s="245" t="s">
        <v>748</v>
      </c>
      <c r="H269" s="243" t="s">
        <v>1205</v>
      </c>
      <c r="I269" s="245">
        <v>75174</v>
      </c>
    </row>
    <row r="270" spans="1:9">
      <c r="A270" s="216" t="s">
        <v>752</v>
      </c>
      <c r="B270" s="216" t="s">
        <v>829</v>
      </c>
      <c r="C270" s="216" t="s">
        <v>1310</v>
      </c>
      <c r="D270" s="216" t="s">
        <v>317</v>
      </c>
      <c r="E270" s="240" t="s">
        <v>1206</v>
      </c>
      <c r="F270" s="246" t="s">
        <v>739</v>
      </c>
      <c r="G270" s="245" t="s">
        <v>748</v>
      </c>
      <c r="H270" s="243" t="s">
        <v>1207</v>
      </c>
      <c r="I270" s="245">
        <v>75177</v>
      </c>
    </row>
    <row r="271" spans="1:9">
      <c r="A271" s="216" t="s">
        <v>507</v>
      </c>
      <c r="B271" s="216" t="s">
        <v>830</v>
      </c>
      <c r="C271" s="216" t="s">
        <v>1310</v>
      </c>
      <c r="D271" s="216" t="s">
        <v>317</v>
      </c>
      <c r="E271" s="240" t="s">
        <v>1206</v>
      </c>
      <c r="F271" s="246" t="s">
        <v>739</v>
      </c>
      <c r="G271" s="245" t="s">
        <v>748</v>
      </c>
      <c r="H271" s="243" t="s">
        <v>1208</v>
      </c>
      <c r="I271" s="245">
        <v>75181</v>
      </c>
    </row>
    <row r="272" spans="1:9">
      <c r="A272" s="216" t="s">
        <v>831</v>
      </c>
      <c r="B272" s="216" t="s">
        <v>832</v>
      </c>
      <c r="C272" s="216" t="s">
        <v>1310</v>
      </c>
      <c r="D272" s="216" t="s">
        <v>317</v>
      </c>
      <c r="E272" s="240" t="s">
        <v>1206</v>
      </c>
      <c r="F272" s="246" t="s">
        <v>740</v>
      </c>
      <c r="G272" s="245" t="s">
        <v>1209</v>
      </c>
      <c r="H272" s="243">
        <v>240102688</v>
      </c>
      <c r="I272" s="245">
        <v>75213</v>
      </c>
    </row>
    <row r="273" spans="1:9">
      <c r="A273" s="242" t="s">
        <v>1307</v>
      </c>
      <c r="B273" s="216" t="s">
        <v>833</v>
      </c>
      <c r="C273" s="216" t="s">
        <v>1310</v>
      </c>
      <c r="D273" s="216" t="s">
        <v>317</v>
      </c>
      <c r="E273" s="240" t="s">
        <v>1206</v>
      </c>
      <c r="F273" s="246" t="s">
        <v>739</v>
      </c>
      <c r="G273" s="245" t="s">
        <v>748</v>
      </c>
      <c r="H273" s="243" t="s">
        <v>1210</v>
      </c>
      <c r="I273" s="245">
        <v>75182</v>
      </c>
    </row>
    <row r="274" spans="1:9">
      <c r="A274" s="216" t="s">
        <v>507</v>
      </c>
      <c r="B274" s="216" t="s">
        <v>750</v>
      </c>
      <c r="C274" s="216" t="s">
        <v>1310</v>
      </c>
      <c r="D274" s="216" t="s">
        <v>317</v>
      </c>
      <c r="E274" s="240" t="s">
        <v>1206</v>
      </c>
      <c r="F274" s="246" t="s">
        <v>739</v>
      </c>
      <c r="G274" s="245" t="s">
        <v>748</v>
      </c>
      <c r="H274" s="243" t="s">
        <v>1211</v>
      </c>
      <c r="I274" s="245">
        <v>75183</v>
      </c>
    </row>
    <row r="275" spans="1:9">
      <c r="A275" s="216" t="s">
        <v>1478</v>
      </c>
      <c r="B275" s="216" t="s">
        <v>1479</v>
      </c>
      <c r="C275" s="216" t="s">
        <v>1310</v>
      </c>
      <c r="D275" s="216" t="s">
        <v>317</v>
      </c>
      <c r="E275" s="240" t="s">
        <v>1206</v>
      </c>
      <c r="F275" s="216" t="s">
        <v>739</v>
      </c>
      <c r="G275" s="217" t="s">
        <v>1453</v>
      </c>
      <c r="H275" s="218" t="s">
        <v>1454</v>
      </c>
      <c r="I275" s="217">
        <v>74099</v>
      </c>
    </row>
    <row r="276" spans="1:9">
      <c r="A276" s="242" t="s">
        <v>1307</v>
      </c>
      <c r="B276" s="216" t="s">
        <v>771</v>
      </c>
      <c r="C276" s="216" t="s">
        <v>1310</v>
      </c>
      <c r="D276" s="216" t="s">
        <v>317</v>
      </c>
      <c r="E276" s="240" t="s">
        <v>1212</v>
      </c>
      <c r="F276" s="246" t="s">
        <v>740</v>
      </c>
      <c r="G276" s="245" t="s">
        <v>1213</v>
      </c>
      <c r="H276" s="243">
        <v>240502406</v>
      </c>
      <c r="I276" s="245">
        <v>75220</v>
      </c>
    </row>
    <row r="277" spans="1:9">
      <c r="A277" s="216" t="s">
        <v>762</v>
      </c>
      <c r="B277" s="216" t="s">
        <v>801</v>
      </c>
      <c r="C277" s="216" t="s">
        <v>1310</v>
      </c>
      <c r="D277" s="216" t="s">
        <v>317</v>
      </c>
      <c r="E277" s="240" t="s">
        <v>1212</v>
      </c>
      <c r="F277" s="246" t="s">
        <v>740</v>
      </c>
      <c r="G277" s="245" t="s">
        <v>1213</v>
      </c>
      <c r="H277" s="243">
        <v>240600154</v>
      </c>
      <c r="I277" s="245">
        <v>75211</v>
      </c>
    </row>
    <row r="278" spans="1:9">
      <c r="A278" s="216" t="s">
        <v>507</v>
      </c>
      <c r="B278" s="216" t="s">
        <v>819</v>
      </c>
      <c r="C278" s="216" t="s">
        <v>1310</v>
      </c>
      <c r="D278" s="216" t="s">
        <v>317</v>
      </c>
      <c r="E278" s="240" t="s">
        <v>1212</v>
      </c>
      <c r="F278" s="246" t="s">
        <v>739</v>
      </c>
      <c r="G278" s="245" t="s">
        <v>1214</v>
      </c>
      <c r="H278" s="243" t="s">
        <v>1215</v>
      </c>
      <c r="I278" s="245">
        <v>75180</v>
      </c>
    </row>
    <row r="279" spans="1:9">
      <c r="A279" s="216" t="s">
        <v>752</v>
      </c>
      <c r="B279" s="216" t="s">
        <v>834</v>
      </c>
      <c r="C279" s="216" t="s">
        <v>1310</v>
      </c>
      <c r="D279" s="216" t="s">
        <v>317</v>
      </c>
      <c r="E279" s="240" t="s">
        <v>1216</v>
      </c>
      <c r="F279" s="246" t="s">
        <v>739</v>
      </c>
      <c r="G279" s="245" t="s">
        <v>1217</v>
      </c>
      <c r="H279" s="243" t="s">
        <v>1218</v>
      </c>
      <c r="I279" s="245">
        <v>75990</v>
      </c>
    </row>
    <row r="280" spans="1:9">
      <c r="A280" s="216" t="s">
        <v>752</v>
      </c>
      <c r="B280" s="216" t="s">
        <v>834</v>
      </c>
      <c r="C280" s="216" t="s">
        <v>1310</v>
      </c>
      <c r="D280" s="216" t="s">
        <v>317</v>
      </c>
      <c r="E280" s="240" t="s">
        <v>1216</v>
      </c>
      <c r="F280" s="246" t="s">
        <v>739</v>
      </c>
      <c r="G280" s="245" t="s">
        <v>1217</v>
      </c>
      <c r="H280" s="243" t="s">
        <v>1219</v>
      </c>
      <c r="I280" s="245">
        <v>75991</v>
      </c>
    </row>
    <row r="281" spans="1:9">
      <c r="A281" s="216" t="s">
        <v>760</v>
      </c>
      <c r="B281" s="216" t="s">
        <v>779</v>
      </c>
      <c r="C281" s="216" t="s">
        <v>1313</v>
      </c>
      <c r="D281" s="216" t="s">
        <v>1311</v>
      </c>
      <c r="E281" s="240" t="s">
        <v>1220</v>
      </c>
      <c r="F281" s="246"/>
      <c r="G281" s="245"/>
      <c r="H281" s="243"/>
      <c r="I281" s="245">
        <v>76485</v>
      </c>
    </row>
    <row r="282" spans="1:9">
      <c r="A282" s="216" t="s">
        <v>760</v>
      </c>
      <c r="B282" s="216" t="s">
        <v>774</v>
      </c>
      <c r="C282" s="216" t="s">
        <v>1313</v>
      </c>
      <c r="D282" s="216" t="s">
        <v>1311</v>
      </c>
      <c r="E282" s="240" t="s">
        <v>1221</v>
      </c>
      <c r="F282" s="246"/>
      <c r="G282" s="245"/>
      <c r="H282" s="243"/>
      <c r="I282" s="245">
        <v>76489</v>
      </c>
    </row>
    <row r="283" spans="1:9">
      <c r="A283" s="216" t="s">
        <v>808</v>
      </c>
      <c r="B283" s="216" t="s">
        <v>832</v>
      </c>
      <c r="C283" s="216" t="s">
        <v>1310</v>
      </c>
      <c r="D283" s="216" t="s">
        <v>317</v>
      </c>
      <c r="E283" s="240" t="s">
        <v>1222</v>
      </c>
      <c r="F283" s="246"/>
      <c r="G283" s="245"/>
      <c r="H283" s="243"/>
      <c r="I283" s="245">
        <v>76200</v>
      </c>
    </row>
    <row r="284" spans="1:9">
      <c r="A284" s="216" t="s">
        <v>507</v>
      </c>
      <c r="B284" s="216" t="s">
        <v>750</v>
      </c>
      <c r="C284" s="216" t="s">
        <v>1310</v>
      </c>
      <c r="D284" s="216" t="s">
        <v>1311</v>
      </c>
      <c r="E284" s="240" t="s">
        <v>1223</v>
      </c>
      <c r="F284" s="246" t="s">
        <v>838</v>
      </c>
      <c r="G284" s="245" t="s">
        <v>1224</v>
      </c>
      <c r="H284" s="243" t="s">
        <v>1225</v>
      </c>
      <c r="I284" s="245">
        <v>75178</v>
      </c>
    </row>
    <row r="285" spans="1:9">
      <c r="A285" s="216" t="s">
        <v>821</v>
      </c>
      <c r="B285" s="216" t="s">
        <v>817</v>
      </c>
      <c r="C285" s="216" t="s">
        <v>1310</v>
      </c>
      <c r="D285" s="216" t="s">
        <v>1311</v>
      </c>
      <c r="E285" s="240" t="s">
        <v>1226</v>
      </c>
      <c r="F285" s="246" t="s">
        <v>1227</v>
      </c>
      <c r="G285" s="245" t="s">
        <v>1228</v>
      </c>
      <c r="H285" s="243" t="s">
        <v>1229</v>
      </c>
      <c r="I285" s="245">
        <v>75048</v>
      </c>
    </row>
    <row r="286" spans="1:9">
      <c r="A286" s="216" t="s">
        <v>821</v>
      </c>
      <c r="B286" s="216" t="s">
        <v>817</v>
      </c>
      <c r="C286" s="216" t="s">
        <v>1310</v>
      </c>
      <c r="D286" s="216" t="s">
        <v>1311</v>
      </c>
      <c r="E286" s="240" t="s">
        <v>1226</v>
      </c>
      <c r="F286" s="246" t="s">
        <v>1227</v>
      </c>
      <c r="G286" s="245" t="s">
        <v>1228</v>
      </c>
      <c r="H286" s="243" t="s">
        <v>1230</v>
      </c>
      <c r="I286" s="245">
        <v>75049</v>
      </c>
    </row>
    <row r="287" spans="1:9">
      <c r="A287" s="242" t="s">
        <v>1307</v>
      </c>
      <c r="B287" s="216" t="s">
        <v>835</v>
      </c>
      <c r="C287" s="216" t="s">
        <v>263</v>
      </c>
      <c r="D287" s="216" t="s">
        <v>317</v>
      </c>
      <c r="E287" s="240" t="s">
        <v>1231</v>
      </c>
      <c r="F287" s="246" t="s">
        <v>1232</v>
      </c>
      <c r="G287" s="245">
        <v>61102</v>
      </c>
      <c r="H287" s="243" t="s">
        <v>1233</v>
      </c>
      <c r="I287" s="245">
        <v>75068</v>
      </c>
    </row>
    <row r="288" spans="1:9">
      <c r="A288" s="216" t="s">
        <v>752</v>
      </c>
      <c r="B288" s="240" t="s">
        <v>753</v>
      </c>
      <c r="C288" s="216" t="s">
        <v>442</v>
      </c>
      <c r="D288" s="216" t="s">
        <v>1311</v>
      </c>
      <c r="E288" s="240" t="s">
        <v>1234</v>
      </c>
      <c r="F288" s="246" t="s">
        <v>1235</v>
      </c>
      <c r="G288" s="245" t="s">
        <v>1236</v>
      </c>
      <c r="H288" s="243">
        <v>250228</v>
      </c>
      <c r="I288" s="245">
        <v>76563</v>
      </c>
    </row>
    <row r="289" spans="1:9">
      <c r="A289" s="216" t="s">
        <v>760</v>
      </c>
      <c r="B289" s="216" t="s">
        <v>836</v>
      </c>
      <c r="C289" s="216" t="s">
        <v>1313</v>
      </c>
      <c r="D289" s="216" t="s">
        <v>28</v>
      </c>
      <c r="E289" s="240" t="s">
        <v>836</v>
      </c>
      <c r="F289" s="246" t="s">
        <v>1237</v>
      </c>
      <c r="G289" s="245" t="s">
        <v>1238</v>
      </c>
      <c r="H289" s="243">
        <v>1536320</v>
      </c>
      <c r="I289" s="245">
        <v>75047</v>
      </c>
    </row>
    <row r="290" spans="1:9">
      <c r="A290" s="216" t="s">
        <v>752</v>
      </c>
      <c r="B290" s="216" t="s">
        <v>823</v>
      </c>
      <c r="C290" s="216" t="s">
        <v>1313</v>
      </c>
      <c r="D290" s="216" t="s">
        <v>317</v>
      </c>
      <c r="E290" s="240" t="s">
        <v>1239</v>
      </c>
      <c r="F290" s="246" t="s">
        <v>1240</v>
      </c>
      <c r="G290" s="245" t="s">
        <v>1241</v>
      </c>
      <c r="H290" s="243" t="s">
        <v>1242</v>
      </c>
      <c r="I290" s="245">
        <v>76256</v>
      </c>
    </row>
    <row r="291" spans="1:9">
      <c r="A291" s="216" t="s">
        <v>752</v>
      </c>
      <c r="B291" s="216" t="s">
        <v>824</v>
      </c>
      <c r="C291" s="216" t="s">
        <v>1313</v>
      </c>
      <c r="D291" s="216" t="s">
        <v>317</v>
      </c>
      <c r="E291" s="240" t="s">
        <v>1239</v>
      </c>
      <c r="F291" s="246" t="s">
        <v>1240</v>
      </c>
      <c r="G291" s="245" t="s">
        <v>1241</v>
      </c>
      <c r="H291" s="243" t="s">
        <v>1243</v>
      </c>
      <c r="I291" s="245">
        <v>76285</v>
      </c>
    </row>
    <row r="292" spans="1:9">
      <c r="A292" s="216" t="s">
        <v>752</v>
      </c>
      <c r="B292" s="216" t="s">
        <v>825</v>
      </c>
      <c r="C292" s="216" t="s">
        <v>1313</v>
      </c>
      <c r="D292" s="216" t="s">
        <v>317</v>
      </c>
      <c r="E292" s="240" t="s">
        <v>1239</v>
      </c>
      <c r="F292" s="246" t="s">
        <v>1240</v>
      </c>
      <c r="G292" s="245" t="s">
        <v>1241</v>
      </c>
      <c r="H292" s="243" t="s">
        <v>1244</v>
      </c>
      <c r="I292" s="245">
        <v>76314</v>
      </c>
    </row>
    <row r="293" spans="1:9">
      <c r="A293" s="216" t="s">
        <v>752</v>
      </c>
      <c r="B293" s="216" t="s">
        <v>823</v>
      </c>
      <c r="C293" s="216" t="s">
        <v>442</v>
      </c>
      <c r="D293" s="216" t="s">
        <v>317</v>
      </c>
      <c r="E293" s="240" t="s">
        <v>1245</v>
      </c>
      <c r="F293" s="246" t="s">
        <v>1246</v>
      </c>
      <c r="G293" s="245" t="s">
        <v>1247</v>
      </c>
      <c r="H293" s="243">
        <v>523111229</v>
      </c>
      <c r="I293" s="245">
        <v>75035</v>
      </c>
    </row>
    <row r="294" spans="1:9">
      <c r="A294" s="216" t="s">
        <v>752</v>
      </c>
      <c r="B294" s="216" t="s">
        <v>824</v>
      </c>
      <c r="C294" s="216" t="s">
        <v>442</v>
      </c>
      <c r="D294" s="216" t="s">
        <v>317</v>
      </c>
      <c r="E294" s="240" t="s">
        <v>1245</v>
      </c>
      <c r="F294" s="246" t="s">
        <v>1246</v>
      </c>
      <c r="G294" s="245" t="s">
        <v>1247</v>
      </c>
      <c r="H294" s="243">
        <v>523111234</v>
      </c>
      <c r="I294" s="245">
        <v>75036</v>
      </c>
    </row>
    <row r="295" spans="1:9">
      <c r="A295" s="216" t="s">
        <v>752</v>
      </c>
      <c r="B295" s="216" t="s">
        <v>825</v>
      </c>
      <c r="C295" s="216" t="s">
        <v>442</v>
      </c>
      <c r="D295" s="216" t="s">
        <v>317</v>
      </c>
      <c r="E295" s="240" t="s">
        <v>1245</v>
      </c>
      <c r="F295" s="246" t="s">
        <v>1246</v>
      </c>
      <c r="G295" s="245" t="s">
        <v>1247</v>
      </c>
      <c r="H295" s="243">
        <v>523111237</v>
      </c>
      <c r="I295" s="245">
        <v>75037</v>
      </c>
    </row>
    <row r="296" spans="1:9">
      <c r="A296" s="216" t="s">
        <v>1478</v>
      </c>
      <c r="B296" s="216" t="s">
        <v>1479</v>
      </c>
      <c r="C296" s="216" t="s">
        <v>27</v>
      </c>
      <c r="D296" s="216" t="s">
        <v>28</v>
      </c>
      <c r="E296" s="240" t="s">
        <v>1248</v>
      </c>
      <c r="F296" s="216" t="s">
        <v>1468</v>
      </c>
      <c r="G296" s="217" t="s">
        <v>1469</v>
      </c>
      <c r="H296" s="218" t="s">
        <v>1470</v>
      </c>
      <c r="I296" s="217"/>
    </row>
    <row r="297" spans="1:9">
      <c r="A297" s="216" t="s">
        <v>1478</v>
      </c>
      <c r="B297" s="216" t="s">
        <v>1479</v>
      </c>
      <c r="C297" s="216" t="s">
        <v>27</v>
      </c>
      <c r="D297" s="216" t="s">
        <v>28</v>
      </c>
      <c r="E297" s="240" t="s">
        <v>1248</v>
      </c>
      <c r="F297" s="216" t="s">
        <v>1472</v>
      </c>
      <c r="G297" s="217" t="s">
        <v>1473</v>
      </c>
      <c r="H297" s="218" t="s">
        <v>1474</v>
      </c>
      <c r="I297" s="217"/>
    </row>
    <row r="298" spans="1:9">
      <c r="A298" s="216" t="s">
        <v>1478</v>
      </c>
      <c r="B298" s="216" t="s">
        <v>1479</v>
      </c>
      <c r="C298" s="216" t="s">
        <v>27</v>
      </c>
      <c r="D298" s="216" t="s">
        <v>28</v>
      </c>
      <c r="E298" s="240" t="s">
        <v>1248</v>
      </c>
      <c r="F298" s="216" t="s">
        <v>1475</v>
      </c>
      <c r="G298" s="217" t="s">
        <v>1476</v>
      </c>
      <c r="H298" s="218" t="s">
        <v>1477</v>
      </c>
      <c r="I298" s="217">
        <v>74199</v>
      </c>
    </row>
    <row r="299" spans="1:9">
      <c r="A299" s="242" t="s">
        <v>1307</v>
      </c>
      <c r="B299" s="216" t="s">
        <v>769</v>
      </c>
      <c r="C299" s="216" t="s">
        <v>27</v>
      </c>
      <c r="D299" s="216" t="s">
        <v>28</v>
      </c>
      <c r="E299" s="240" t="s">
        <v>1248</v>
      </c>
      <c r="F299" s="246" t="s">
        <v>1249</v>
      </c>
      <c r="G299" s="245" t="s">
        <v>1250</v>
      </c>
      <c r="H299" s="243">
        <v>31896</v>
      </c>
      <c r="I299" s="245">
        <v>76758</v>
      </c>
    </row>
    <row r="300" spans="1:9">
      <c r="A300" s="216" t="s">
        <v>752</v>
      </c>
      <c r="B300" s="216" t="s">
        <v>753</v>
      </c>
      <c r="C300" s="216" t="s">
        <v>27</v>
      </c>
      <c r="D300" s="216" t="s">
        <v>317</v>
      </c>
      <c r="E300" s="240" t="s">
        <v>1251</v>
      </c>
      <c r="F300" s="246" t="s">
        <v>848</v>
      </c>
      <c r="G300" s="245" t="s">
        <v>1068</v>
      </c>
      <c r="H300" s="243" t="s">
        <v>1252</v>
      </c>
      <c r="I300" s="245">
        <v>76088</v>
      </c>
    </row>
    <row r="301" spans="1:9">
      <c r="A301" s="216" t="s">
        <v>507</v>
      </c>
      <c r="B301" s="216" t="s">
        <v>802</v>
      </c>
      <c r="C301" s="216" t="s">
        <v>1310</v>
      </c>
      <c r="D301" s="216" t="s">
        <v>317</v>
      </c>
      <c r="E301" s="240" t="s">
        <v>1253</v>
      </c>
      <c r="F301" s="246" t="s">
        <v>1254</v>
      </c>
      <c r="G301" s="245" t="s">
        <v>1255</v>
      </c>
      <c r="H301" s="243" t="s">
        <v>1256</v>
      </c>
      <c r="I301" s="245">
        <v>76789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I26"/>
  <sheetViews>
    <sheetView zoomScale="70" zoomScaleNormal="70" workbookViewId="0">
      <selection activeCell="F21" sqref="F21:F22"/>
    </sheetView>
  </sheetViews>
  <sheetFormatPr baseColWidth="10" defaultColWidth="12.453125" defaultRowHeight="15.5"/>
  <cols>
    <col min="1" max="1" width="8.1796875" style="32" customWidth="1"/>
    <col min="2" max="2" width="3.81640625" style="33" bestFit="1" customWidth="1"/>
    <col min="3" max="3" width="25.54296875" style="42" customWidth="1"/>
    <col min="4" max="4" width="32.1796875" style="42" customWidth="1"/>
    <col min="5" max="5" width="51.7265625" style="34" bestFit="1" customWidth="1"/>
    <col min="6" max="6" width="25" style="37" bestFit="1" customWidth="1"/>
    <col min="7" max="7" width="14.7265625" style="37" customWidth="1"/>
    <col min="8" max="8" width="14" style="37" customWidth="1"/>
    <col min="9" max="9" width="16.453125" style="40" bestFit="1" customWidth="1"/>
    <col min="10" max="10" width="14.1796875" style="35" bestFit="1" customWidth="1"/>
    <col min="11" max="11" width="13" style="35" bestFit="1" customWidth="1"/>
    <col min="12" max="12" width="12.1796875" style="40" bestFit="1" customWidth="1"/>
    <col min="13" max="13" width="13" style="35" bestFit="1" customWidth="1"/>
    <col min="14" max="14" width="12.1796875" style="40" bestFit="1" customWidth="1"/>
    <col min="15" max="15" width="13" style="35" bestFit="1" customWidth="1"/>
    <col min="16" max="16" width="12.1796875" style="40" bestFit="1" customWidth="1"/>
    <col min="17" max="17" width="13" style="35" bestFit="1" customWidth="1"/>
    <col min="18" max="18" width="12.1796875" style="40" bestFit="1" customWidth="1"/>
    <col min="19" max="19" width="18.81640625" style="35" customWidth="1"/>
    <col min="20" max="20" width="12.1796875" style="40" bestFit="1" customWidth="1"/>
    <col min="21" max="21" width="13" style="35" bestFit="1" customWidth="1"/>
    <col min="22" max="22" width="13.7265625" style="40" customWidth="1"/>
    <col min="23" max="23" width="13" style="35" bestFit="1" customWidth="1"/>
    <col min="24" max="24" width="12.1796875" style="40" bestFit="1" customWidth="1"/>
    <col min="25" max="25" width="13" style="35" bestFit="1" customWidth="1"/>
    <col min="26" max="26" width="12.1796875" style="40" bestFit="1" customWidth="1"/>
    <col min="27" max="27" width="13" style="35" bestFit="1" customWidth="1"/>
    <col min="28" max="28" width="12.1796875" style="40" bestFit="1" customWidth="1"/>
    <col min="29" max="29" width="13" style="35" bestFit="1" customWidth="1"/>
    <col min="30" max="30" width="12.1796875" style="40" bestFit="1" customWidth="1"/>
    <col min="31" max="31" width="13" style="35" bestFit="1" customWidth="1"/>
    <col min="32" max="32" width="12.1796875" style="40" bestFit="1" customWidth="1"/>
    <col min="33" max="33" width="13" style="35" bestFit="1" customWidth="1"/>
    <col min="34" max="35" width="12.1796875" style="40" bestFit="1" customWidth="1"/>
    <col min="36" max="16384" width="12.453125" style="32"/>
  </cols>
  <sheetData>
    <row r="3" spans="2:35" ht="26.25" customHeight="1">
      <c r="B3" s="265" t="s">
        <v>554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</row>
    <row r="5" spans="2:35" ht="15.75" customHeight="1">
      <c r="K5" s="264" t="s">
        <v>555</v>
      </c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</row>
    <row r="6" spans="2:35" ht="15.75" customHeight="1">
      <c r="K6" s="261" t="s">
        <v>409</v>
      </c>
      <c r="L6" s="261"/>
      <c r="M6" s="261" t="s">
        <v>410</v>
      </c>
      <c r="N6" s="261"/>
      <c r="O6" s="261" t="s">
        <v>411</v>
      </c>
      <c r="P6" s="261"/>
      <c r="Q6" s="261" t="s">
        <v>412</v>
      </c>
      <c r="R6" s="261"/>
      <c r="S6" s="261" t="s">
        <v>413</v>
      </c>
      <c r="T6" s="261"/>
      <c r="U6" s="261" t="s">
        <v>414</v>
      </c>
      <c r="V6" s="261"/>
      <c r="W6" s="261" t="s">
        <v>415</v>
      </c>
      <c r="X6" s="261"/>
      <c r="Y6" s="261" t="s">
        <v>416</v>
      </c>
      <c r="Z6" s="261"/>
      <c r="AA6" s="261" t="s">
        <v>417</v>
      </c>
      <c r="AB6" s="261"/>
      <c r="AC6" s="261" t="s">
        <v>418</v>
      </c>
      <c r="AD6" s="261"/>
      <c r="AE6" s="261" t="s">
        <v>419</v>
      </c>
      <c r="AF6" s="261"/>
      <c r="AG6" s="261" t="s">
        <v>420</v>
      </c>
      <c r="AH6" s="261"/>
    </row>
    <row r="7" spans="2:35" s="33" customFormat="1" ht="73.5" customHeight="1">
      <c r="B7" s="4" t="s">
        <v>556</v>
      </c>
      <c r="C7" s="4" t="s">
        <v>392</v>
      </c>
      <c r="D7" s="4" t="s">
        <v>557</v>
      </c>
      <c r="E7" s="4" t="s">
        <v>558</v>
      </c>
      <c r="F7" s="4" t="s">
        <v>559</v>
      </c>
      <c r="G7" s="4" t="s">
        <v>560</v>
      </c>
      <c r="H7" s="4" t="s">
        <v>561</v>
      </c>
      <c r="I7" s="36" t="s">
        <v>562</v>
      </c>
      <c r="J7" s="4" t="s">
        <v>563</v>
      </c>
      <c r="K7" s="4" t="s">
        <v>564</v>
      </c>
      <c r="L7" s="36" t="s">
        <v>565</v>
      </c>
      <c r="M7" s="4" t="s">
        <v>564</v>
      </c>
      <c r="N7" s="36" t="s">
        <v>565</v>
      </c>
      <c r="O7" s="4" t="s">
        <v>564</v>
      </c>
      <c r="P7" s="36" t="s">
        <v>565</v>
      </c>
      <c r="Q7" s="4" t="s">
        <v>564</v>
      </c>
      <c r="R7" s="36" t="s">
        <v>565</v>
      </c>
      <c r="S7" s="4" t="s">
        <v>564</v>
      </c>
      <c r="T7" s="36" t="s">
        <v>565</v>
      </c>
      <c r="U7" s="4" t="s">
        <v>564</v>
      </c>
      <c r="V7" s="36" t="s">
        <v>565</v>
      </c>
      <c r="W7" s="4" t="s">
        <v>564</v>
      </c>
      <c r="X7" s="36" t="s">
        <v>565</v>
      </c>
      <c r="Y7" s="4" t="s">
        <v>564</v>
      </c>
      <c r="Z7" s="36" t="s">
        <v>565</v>
      </c>
      <c r="AA7" s="4" t="s">
        <v>564</v>
      </c>
      <c r="AB7" s="36" t="s">
        <v>565</v>
      </c>
      <c r="AC7" s="4" t="s">
        <v>564</v>
      </c>
      <c r="AD7" s="36" t="s">
        <v>565</v>
      </c>
      <c r="AE7" s="4" t="s">
        <v>564</v>
      </c>
      <c r="AF7" s="36" t="s">
        <v>565</v>
      </c>
      <c r="AG7" s="4" t="s">
        <v>564</v>
      </c>
      <c r="AH7" s="36" t="s">
        <v>565</v>
      </c>
      <c r="AI7" s="36" t="s">
        <v>566</v>
      </c>
    </row>
    <row r="8" spans="2:35" s="52" customFormat="1">
      <c r="B8" s="47"/>
      <c r="C8" s="54"/>
      <c r="D8" s="54"/>
      <c r="E8" s="54"/>
      <c r="F8" s="47"/>
      <c r="G8" s="56"/>
      <c r="H8" s="56"/>
      <c r="I8" s="51"/>
      <c r="J8" s="46"/>
      <c r="K8" s="46"/>
      <c r="L8" s="51"/>
      <c r="M8" s="46"/>
      <c r="N8" s="51"/>
      <c r="O8" s="46"/>
      <c r="P8" s="51"/>
      <c r="Q8" s="46"/>
      <c r="R8" s="51"/>
      <c r="S8" s="46"/>
      <c r="T8" s="51"/>
      <c r="U8" s="46"/>
      <c r="V8" s="51"/>
      <c r="W8" s="46"/>
      <c r="X8" s="51"/>
      <c r="Y8" s="46"/>
      <c r="Z8" s="51"/>
      <c r="AA8" s="46"/>
      <c r="AB8" s="51"/>
      <c r="AC8" s="46"/>
      <c r="AD8" s="51"/>
      <c r="AE8" s="46"/>
      <c r="AF8" s="51"/>
      <c r="AG8" s="46"/>
      <c r="AH8" s="51"/>
      <c r="AI8" s="51">
        <f>L8+N8+P8+R8+T8+V8+X8+Z8+AB8+AD8+AF8+AH8</f>
        <v>0</v>
      </c>
    </row>
    <row r="9" spans="2:35" s="52" customFormat="1">
      <c r="B9" s="47"/>
      <c r="C9" s="54"/>
      <c r="D9" s="54"/>
      <c r="E9" s="54"/>
      <c r="F9" s="47"/>
      <c r="G9" s="56"/>
      <c r="H9" s="56"/>
      <c r="I9" s="51"/>
      <c r="J9" s="46"/>
      <c r="K9" s="46"/>
      <c r="L9" s="51"/>
      <c r="M9" s="46"/>
      <c r="N9" s="51"/>
      <c r="O9" s="46"/>
      <c r="P9" s="51"/>
      <c r="Q9" s="46"/>
      <c r="R9" s="51"/>
      <c r="S9" s="46"/>
      <c r="T9" s="51"/>
      <c r="U9" s="46"/>
      <c r="V9" s="51"/>
      <c r="W9" s="46"/>
      <c r="X9" s="51"/>
      <c r="Y9" s="46"/>
      <c r="Z9" s="51"/>
      <c r="AA9" s="46"/>
      <c r="AB9" s="51"/>
      <c r="AC9" s="46"/>
      <c r="AD9" s="51"/>
      <c r="AE9" s="46"/>
      <c r="AF9" s="51"/>
      <c r="AG9" s="46"/>
      <c r="AH9" s="51"/>
      <c r="AI9" s="51">
        <f>L9+N9+P9+R9+T9+V9+X9+Z9+AB9+AD9+AF9+AH9</f>
        <v>0</v>
      </c>
    </row>
    <row r="10" spans="2:35" s="52" customFormat="1">
      <c r="B10" s="47"/>
      <c r="C10" s="54"/>
      <c r="D10" s="54"/>
      <c r="E10" s="54"/>
      <c r="F10" s="47"/>
      <c r="G10" s="56"/>
      <c r="H10" s="56"/>
      <c r="I10" s="51"/>
      <c r="J10" s="46"/>
      <c r="K10" s="46"/>
      <c r="L10" s="51"/>
      <c r="M10" s="46"/>
      <c r="N10" s="51"/>
      <c r="O10" s="46"/>
      <c r="P10" s="51"/>
      <c r="Q10" s="47"/>
      <c r="R10" s="51"/>
      <c r="S10" s="46"/>
      <c r="T10" s="51"/>
      <c r="U10" s="46"/>
      <c r="V10" s="51"/>
      <c r="W10" s="46"/>
      <c r="X10" s="51"/>
      <c r="Y10" s="46"/>
      <c r="Z10" s="51"/>
      <c r="AA10" s="46"/>
      <c r="AB10" s="51"/>
      <c r="AC10" s="46"/>
      <c r="AD10" s="51"/>
      <c r="AE10" s="46"/>
      <c r="AF10" s="51"/>
      <c r="AG10" s="46"/>
      <c r="AH10" s="51"/>
      <c r="AI10" s="51">
        <f t="shared" ref="AI10:AI13" si="0">L10+N10+P10+R10+T10+V10+X10+Z10+AB10+AD10+AF10+AH10</f>
        <v>0</v>
      </c>
    </row>
    <row r="11" spans="2:35" s="52" customFormat="1">
      <c r="B11" s="47"/>
      <c r="C11" s="54"/>
      <c r="D11" s="54"/>
      <c r="E11" s="54"/>
      <c r="F11" s="47"/>
      <c r="G11" s="56"/>
      <c r="H11" s="56"/>
      <c r="I11" s="51"/>
      <c r="J11" s="46"/>
      <c r="K11" s="46"/>
      <c r="L11" s="51"/>
      <c r="M11" s="46"/>
      <c r="N11" s="51"/>
      <c r="O11" s="46"/>
      <c r="P11" s="51"/>
      <c r="Q11" s="47"/>
      <c r="R11" s="51"/>
      <c r="S11" s="47"/>
      <c r="T11" s="51"/>
      <c r="U11" s="46"/>
      <c r="V11" s="51"/>
      <c r="W11" s="46"/>
      <c r="X11" s="51"/>
      <c r="Y11" s="46"/>
      <c r="Z11" s="51"/>
      <c r="AA11" s="46"/>
      <c r="AB11" s="51"/>
      <c r="AC11" s="46"/>
      <c r="AD11" s="51"/>
      <c r="AE11" s="46"/>
      <c r="AF11" s="51"/>
      <c r="AG11" s="46"/>
      <c r="AH11" s="51"/>
      <c r="AI11" s="51">
        <f>L11+N11+P11+R11+T11+V11+X11+Z11+AB11+AD11+AF11+AH11</f>
        <v>0</v>
      </c>
    </row>
    <row r="12" spans="2:35" s="52" customFormat="1">
      <c r="B12" s="47"/>
      <c r="C12" s="54"/>
      <c r="D12" s="54"/>
      <c r="E12" s="54"/>
      <c r="F12" s="47"/>
      <c r="G12" s="56"/>
      <c r="H12" s="56"/>
      <c r="I12" s="51"/>
      <c r="J12" s="46"/>
      <c r="K12" s="46"/>
      <c r="L12" s="51"/>
      <c r="M12" s="46"/>
      <c r="N12" s="51"/>
      <c r="O12" s="46"/>
      <c r="P12" s="51"/>
      <c r="Q12" s="46"/>
      <c r="R12" s="51"/>
      <c r="S12" s="46"/>
      <c r="T12" s="51"/>
      <c r="U12" s="46"/>
      <c r="V12" s="51"/>
      <c r="W12" s="46"/>
      <c r="X12" s="51"/>
      <c r="Y12" s="46"/>
      <c r="Z12" s="51"/>
      <c r="AA12" s="46"/>
      <c r="AB12" s="51"/>
      <c r="AC12" s="46"/>
      <c r="AD12" s="51"/>
      <c r="AE12" s="46"/>
      <c r="AF12" s="51"/>
      <c r="AG12" s="46"/>
      <c r="AH12" s="51"/>
      <c r="AI12" s="51">
        <f>L12+N12+P12+R12+T12+V12+X12+Z12+AB12+AD12+AF12+AH12</f>
        <v>0</v>
      </c>
    </row>
    <row r="13" spans="2:35" s="52" customFormat="1">
      <c r="B13" s="47"/>
      <c r="C13" s="54"/>
      <c r="D13" s="54"/>
      <c r="E13" s="54"/>
      <c r="F13" s="47"/>
      <c r="G13" s="56"/>
      <c r="H13" s="56"/>
      <c r="I13" s="51"/>
      <c r="J13" s="46"/>
      <c r="K13" s="46"/>
      <c r="L13" s="51"/>
      <c r="M13" s="46"/>
      <c r="N13" s="51"/>
      <c r="O13" s="46"/>
      <c r="P13" s="51"/>
      <c r="Q13" s="46"/>
      <c r="R13" s="51"/>
      <c r="S13" s="46"/>
      <c r="T13" s="51"/>
      <c r="U13" s="46"/>
      <c r="V13" s="51"/>
      <c r="W13" s="46"/>
      <c r="X13" s="51"/>
      <c r="Y13" s="46"/>
      <c r="Z13" s="51"/>
      <c r="AA13" s="46"/>
      <c r="AB13" s="51"/>
      <c r="AC13" s="46"/>
      <c r="AD13" s="51"/>
      <c r="AE13" s="46"/>
      <c r="AF13" s="51"/>
      <c r="AG13" s="46"/>
      <c r="AH13" s="51"/>
      <c r="AI13" s="51">
        <f t="shared" si="0"/>
        <v>0</v>
      </c>
    </row>
    <row r="14" spans="2:35">
      <c r="F14" s="35"/>
      <c r="G14" s="35"/>
      <c r="H14" s="35"/>
      <c r="I14" s="65">
        <f>SUM(I8:I13)</f>
        <v>0</v>
      </c>
      <c r="J14" s="38"/>
      <c r="K14" s="38"/>
      <c r="L14" s="39"/>
      <c r="M14" s="38"/>
      <c r="N14" s="39"/>
      <c r="O14" s="38"/>
      <c r="P14" s="39"/>
      <c r="Q14" s="38"/>
      <c r="R14" s="39"/>
      <c r="S14" s="38"/>
      <c r="T14" s="39"/>
      <c r="U14" s="38"/>
      <c r="V14" s="39"/>
      <c r="W14" s="38"/>
      <c r="X14" s="39"/>
      <c r="Y14" s="38"/>
      <c r="Z14" s="39"/>
      <c r="AA14" s="38"/>
      <c r="AB14" s="39"/>
      <c r="AC14" s="38"/>
      <c r="AD14" s="39"/>
      <c r="AE14" s="38"/>
      <c r="AF14" s="39"/>
      <c r="AG14" s="38"/>
      <c r="AH14" s="39"/>
      <c r="AI14" s="39"/>
    </row>
    <row r="15" spans="2:35">
      <c r="F15" s="35"/>
      <c r="G15" s="35"/>
      <c r="H15" s="35"/>
      <c r="I15" s="39"/>
      <c r="J15" s="38"/>
      <c r="K15" s="38"/>
      <c r="L15" s="39"/>
      <c r="M15" s="38"/>
      <c r="N15" s="39"/>
      <c r="O15" s="38"/>
      <c r="P15" s="39"/>
      <c r="Q15" s="38"/>
      <c r="R15" s="39"/>
      <c r="S15" s="38"/>
      <c r="T15" s="39"/>
      <c r="U15" s="38"/>
      <c r="V15" s="39"/>
      <c r="W15" s="38"/>
      <c r="X15" s="39"/>
      <c r="Y15" s="38"/>
      <c r="Z15" s="39"/>
      <c r="AA15" s="38"/>
      <c r="AB15" s="39"/>
      <c r="AC15" s="38"/>
      <c r="AD15" s="39"/>
      <c r="AE15" s="38"/>
      <c r="AF15" s="39"/>
      <c r="AG15" s="38"/>
      <c r="AH15" s="39"/>
      <c r="AI15" s="39"/>
    </row>
    <row r="16" spans="2:35" ht="26">
      <c r="B16" s="265" t="s">
        <v>638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</row>
    <row r="18" spans="2:35" ht="15.75" customHeight="1">
      <c r="G18" s="40"/>
      <c r="H18" s="35"/>
      <c r="I18" s="261" t="s">
        <v>555</v>
      </c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2"/>
      <c r="AG18" s="40"/>
      <c r="AH18" s="32"/>
      <c r="AI18" s="32"/>
    </row>
    <row r="19" spans="2:35">
      <c r="G19" s="40"/>
      <c r="H19" s="35"/>
      <c r="I19" s="261" t="s">
        <v>409</v>
      </c>
      <c r="J19" s="262"/>
      <c r="K19" s="261" t="s">
        <v>410</v>
      </c>
      <c r="L19" s="262"/>
      <c r="M19" s="261" t="s">
        <v>411</v>
      </c>
      <c r="N19" s="262"/>
      <c r="O19" s="261" t="s">
        <v>412</v>
      </c>
      <c r="P19" s="262"/>
      <c r="Q19" s="261" t="s">
        <v>413</v>
      </c>
      <c r="R19" s="262"/>
      <c r="S19" s="261" t="s">
        <v>414</v>
      </c>
      <c r="T19" s="262"/>
      <c r="U19" s="261" t="s">
        <v>415</v>
      </c>
      <c r="V19" s="262"/>
      <c r="W19" s="261" t="s">
        <v>416</v>
      </c>
      <c r="X19" s="262"/>
      <c r="Y19" s="261" t="s">
        <v>417</v>
      </c>
      <c r="Z19" s="262"/>
      <c r="AA19" s="261" t="s">
        <v>418</v>
      </c>
      <c r="AB19" s="262"/>
      <c r="AC19" s="261" t="s">
        <v>419</v>
      </c>
      <c r="AD19" s="262"/>
      <c r="AE19" s="261" t="s">
        <v>420</v>
      </c>
      <c r="AF19" s="262"/>
      <c r="AG19" s="40"/>
      <c r="AH19" s="32"/>
      <c r="AI19" s="32"/>
    </row>
    <row r="20" spans="2:35" ht="26">
      <c r="B20" s="4" t="s">
        <v>556</v>
      </c>
      <c r="C20" s="4" t="s">
        <v>392</v>
      </c>
      <c r="D20" s="4" t="s">
        <v>557</v>
      </c>
      <c r="E20" s="4" t="s">
        <v>639</v>
      </c>
      <c r="F20" s="4" t="s">
        <v>640</v>
      </c>
      <c r="G20" s="36" t="s">
        <v>641</v>
      </c>
      <c r="H20" s="4" t="s">
        <v>563</v>
      </c>
      <c r="I20" s="4" t="s">
        <v>642</v>
      </c>
      <c r="J20" s="36" t="s">
        <v>565</v>
      </c>
      <c r="K20" s="4" t="s">
        <v>642</v>
      </c>
      <c r="L20" s="36" t="s">
        <v>565</v>
      </c>
      <c r="M20" s="4" t="s">
        <v>642</v>
      </c>
      <c r="N20" s="36" t="s">
        <v>565</v>
      </c>
      <c r="O20" s="4" t="s">
        <v>642</v>
      </c>
      <c r="P20" s="36" t="s">
        <v>565</v>
      </c>
      <c r="Q20" s="4" t="s">
        <v>642</v>
      </c>
      <c r="R20" s="36" t="s">
        <v>565</v>
      </c>
      <c r="S20" s="4" t="s">
        <v>642</v>
      </c>
      <c r="T20" s="36" t="s">
        <v>565</v>
      </c>
      <c r="U20" s="4" t="s">
        <v>642</v>
      </c>
      <c r="V20" s="36" t="s">
        <v>565</v>
      </c>
      <c r="W20" s="4" t="s">
        <v>642</v>
      </c>
      <c r="X20" s="36" t="s">
        <v>565</v>
      </c>
      <c r="Y20" s="4" t="s">
        <v>642</v>
      </c>
      <c r="Z20" s="36" t="s">
        <v>565</v>
      </c>
      <c r="AA20" s="4" t="s">
        <v>642</v>
      </c>
      <c r="AB20" s="36" t="s">
        <v>565</v>
      </c>
      <c r="AC20" s="4" t="s">
        <v>642</v>
      </c>
      <c r="AD20" s="36" t="s">
        <v>565</v>
      </c>
      <c r="AE20" s="4" t="s">
        <v>642</v>
      </c>
      <c r="AF20" s="36" t="s">
        <v>565</v>
      </c>
      <c r="AG20" s="36" t="s">
        <v>566</v>
      </c>
      <c r="AH20" s="32"/>
      <c r="AI20" s="32"/>
    </row>
    <row r="21" spans="2:35" ht="27" customHeight="1">
      <c r="B21" s="5"/>
      <c r="C21" s="54"/>
      <c r="D21" s="54"/>
      <c r="E21" s="43"/>
      <c r="F21" s="5"/>
      <c r="G21" s="41"/>
      <c r="H21" s="7"/>
      <c r="I21" s="46"/>
      <c r="J21" s="51"/>
      <c r="K21" s="46"/>
      <c r="L21" s="51"/>
      <c r="M21" s="46"/>
      <c r="N21" s="51"/>
      <c r="O21" s="46"/>
      <c r="P21" s="51"/>
      <c r="Q21" s="46"/>
      <c r="R21" s="51"/>
      <c r="S21" s="234"/>
      <c r="T21" s="41"/>
      <c r="U21" s="46"/>
      <c r="V21" s="51"/>
      <c r="W21" s="46"/>
      <c r="X21" s="51"/>
      <c r="Y21" s="46"/>
      <c r="Z21" s="51"/>
      <c r="AA21" s="46"/>
      <c r="AB21" s="51"/>
      <c r="AC21" s="46"/>
      <c r="AD21" s="51"/>
      <c r="AE21" s="46"/>
      <c r="AF21" s="51"/>
      <c r="AG21" s="41">
        <f t="shared" ref="AG21:AG26" si="1">+J21+L21+N21+P21+R21+T21+V21+X21+Z21+AB21+AD21+AF21</f>
        <v>0</v>
      </c>
      <c r="AH21" s="32"/>
      <c r="AI21" s="32"/>
    </row>
    <row r="22" spans="2:35">
      <c r="B22" s="5"/>
      <c r="C22" s="43"/>
      <c r="D22" s="43"/>
      <c r="E22" s="43"/>
      <c r="F22" s="5"/>
      <c r="G22" s="41"/>
      <c r="H22" s="7"/>
      <c r="I22" s="46"/>
      <c r="J22" s="51"/>
      <c r="K22" s="46"/>
      <c r="L22" s="51"/>
      <c r="M22" s="46"/>
      <c r="N22" s="51"/>
      <c r="O22" s="46"/>
      <c r="P22" s="51"/>
      <c r="Q22" s="46"/>
      <c r="R22" s="51"/>
      <c r="S22" s="46"/>
      <c r="T22" s="51"/>
      <c r="U22" s="46"/>
      <c r="V22" s="51"/>
      <c r="W22" s="46"/>
      <c r="X22" s="51"/>
      <c r="Y22" s="46"/>
      <c r="Z22" s="51"/>
      <c r="AA22" s="46"/>
      <c r="AB22" s="51"/>
      <c r="AC22" s="46"/>
      <c r="AD22" s="51"/>
      <c r="AE22" s="46"/>
      <c r="AF22" s="51"/>
      <c r="AG22" s="41">
        <f>+J22+L22+N22+P22+R22+T22+V22+X22+Z22+AB22+AD22+AF22</f>
        <v>0</v>
      </c>
      <c r="AH22" s="32"/>
      <c r="AI22" s="32"/>
    </row>
    <row r="23" spans="2:35">
      <c r="B23" s="5"/>
      <c r="C23" s="43"/>
      <c r="D23" s="43"/>
      <c r="E23" s="43"/>
      <c r="F23" s="5"/>
      <c r="G23" s="41"/>
      <c r="H23" s="7"/>
      <c r="I23" s="46"/>
      <c r="J23" s="51"/>
      <c r="K23" s="46"/>
      <c r="L23" s="51"/>
      <c r="M23" s="46"/>
      <c r="N23" s="51"/>
      <c r="O23" s="46"/>
      <c r="P23" s="51"/>
      <c r="Q23" s="46"/>
      <c r="R23" s="51"/>
      <c r="S23" s="46"/>
      <c r="T23" s="51"/>
      <c r="U23" s="46"/>
      <c r="V23" s="51"/>
      <c r="W23" s="46"/>
      <c r="X23" s="51"/>
      <c r="Y23" s="46"/>
      <c r="Z23" s="51"/>
      <c r="AA23" s="46"/>
      <c r="AB23" s="51"/>
      <c r="AC23" s="46"/>
      <c r="AD23" s="51"/>
      <c r="AE23" s="46"/>
      <c r="AF23" s="51"/>
      <c r="AG23" s="41">
        <f t="shared" si="1"/>
        <v>0</v>
      </c>
      <c r="AH23" s="32"/>
      <c r="AI23" s="32"/>
    </row>
    <row r="24" spans="2:35">
      <c r="B24" s="5"/>
      <c r="C24" s="43"/>
      <c r="D24" s="43"/>
      <c r="E24" s="43"/>
      <c r="F24" s="5"/>
      <c r="G24" s="41"/>
      <c r="H24" s="7"/>
      <c r="I24" s="46"/>
      <c r="J24" s="51"/>
      <c r="K24" s="46"/>
      <c r="L24" s="51"/>
      <c r="M24" s="46"/>
      <c r="N24" s="51"/>
      <c r="O24" s="46"/>
      <c r="P24" s="51"/>
      <c r="Q24" s="46"/>
      <c r="R24" s="51"/>
      <c r="S24" s="46"/>
      <c r="T24" s="51"/>
      <c r="U24" s="46"/>
      <c r="V24" s="51"/>
      <c r="W24" s="46"/>
      <c r="X24" s="51"/>
      <c r="Y24" s="46"/>
      <c r="Z24" s="51"/>
      <c r="AA24" s="46"/>
      <c r="AB24" s="51"/>
      <c r="AC24" s="46"/>
      <c r="AD24" s="51"/>
      <c r="AE24" s="46"/>
      <c r="AF24" s="51"/>
      <c r="AG24" s="41">
        <f t="shared" si="1"/>
        <v>0</v>
      </c>
      <c r="AH24" s="32"/>
      <c r="AI24" s="32"/>
    </row>
    <row r="25" spans="2:35">
      <c r="B25" s="5"/>
      <c r="C25" s="43"/>
      <c r="D25" s="43"/>
      <c r="E25" s="43"/>
      <c r="F25" s="5"/>
      <c r="G25" s="41"/>
      <c r="H25" s="7"/>
      <c r="I25" s="46"/>
      <c r="J25" s="51"/>
      <c r="K25" s="46"/>
      <c r="L25" s="51"/>
      <c r="M25" s="46"/>
      <c r="N25" s="51"/>
      <c r="O25" s="46"/>
      <c r="P25" s="51"/>
      <c r="Q25" s="46"/>
      <c r="R25" s="51"/>
      <c r="S25" s="46"/>
      <c r="T25" s="51"/>
      <c r="U25" s="46"/>
      <c r="V25" s="51"/>
      <c r="W25" s="46"/>
      <c r="X25" s="51"/>
      <c r="Y25" s="46"/>
      <c r="Z25" s="51"/>
      <c r="AA25" s="46"/>
      <c r="AB25" s="51"/>
      <c r="AC25" s="46"/>
      <c r="AD25" s="51"/>
      <c r="AE25" s="46"/>
      <c r="AF25" s="51"/>
      <c r="AG25" s="41">
        <f t="shared" si="1"/>
        <v>0</v>
      </c>
      <c r="AH25" s="32"/>
      <c r="AI25" s="32"/>
    </row>
    <row r="26" spans="2:35">
      <c r="B26" s="5"/>
      <c r="C26" s="43"/>
      <c r="D26" s="43"/>
      <c r="E26" s="43"/>
      <c r="F26" s="5"/>
      <c r="G26" s="41"/>
      <c r="H26" s="7"/>
      <c r="I26" s="46"/>
      <c r="J26" s="51"/>
      <c r="K26" s="46"/>
      <c r="L26" s="51"/>
      <c r="M26" s="46"/>
      <c r="N26" s="51"/>
      <c r="O26" s="46"/>
      <c r="P26" s="51"/>
      <c r="Q26" s="46"/>
      <c r="R26" s="51"/>
      <c r="S26" s="46"/>
      <c r="T26" s="51"/>
      <c r="U26" s="46"/>
      <c r="V26" s="51"/>
      <c r="W26" s="46"/>
      <c r="X26" s="51"/>
      <c r="Y26" s="46"/>
      <c r="Z26" s="51"/>
      <c r="AA26" s="46"/>
      <c r="AB26" s="51"/>
      <c r="AC26" s="46"/>
      <c r="AD26" s="51"/>
      <c r="AE26" s="46"/>
      <c r="AF26" s="51"/>
      <c r="AG26" s="41">
        <f t="shared" si="1"/>
        <v>0</v>
      </c>
      <c r="AH26" s="32"/>
      <c r="AI26" s="32"/>
    </row>
  </sheetData>
  <mergeCells count="28">
    <mergeCell ref="K5:AH5"/>
    <mergeCell ref="B3:AI3"/>
    <mergeCell ref="B16:AI16"/>
    <mergeCell ref="Y6:Z6"/>
    <mergeCell ref="AA6:AB6"/>
    <mergeCell ref="AC6:AD6"/>
    <mergeCell ref="AE6:AF6"/>
    <mergeCell ref="AG6:AH6"/>
    <mergeCell ref="W6:X6"/>
    <mergeCell ref="K6:L6"/>
    <mergeCell ref="M6:N6"/>
    <mergeCell ref="O6:P6"/>
    <mergeCell ref="Q6:R6"/>
    <mergeCell ref="S6:T6"/>
    <mergeCell ref="U6:V6"/>
    <mergeCell ref="AE19:AF19"/>
    <mergeCell ref="I19:J19"/>
    <mergeCell ref="I18:AF18"/>
    <mergeCell ref="S19:T19"/>
    <mergeCell ref="U19:V19"/>
    <mergeCell ref="W19:X19"/>
    <mergeCell ref="Y19:Z19"/>
    <mergeCell ref="AA19:AB19"/>
    <mergeCell ref="AC19:AD19"/>
    <mergeCell ref="K19:L19"/>
    <mergeCell ref="M19:N19"/>
    <mergeCell ref="O19:P19"/>
    <mergeCell ref="Q19:R19"/>
  </mergeCells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'TABLA CÁLCULO'!$S$18:$S$23</xm:f>
          </x14:formula1>
          <xm:sqref>F21:F26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544C-CB78-4643-AFC7-5B2B1954AE02}">
  <dimension ref="A1:AJ139"/>
  <sheetViews>
    <sheetView workbookViewId="0">
      <selection activeCell="D14" sqref="D14"/>
    </sheetView>
  </sheetViews>
  <sheetFormatPr baseColWidth="10" defaultColWidth="11.453125" defaultRowHeight="14.5"/>
  <cols>
    <col min="1" max="1" width="32.26953125" bestFit="1" customWidth="1"/>
    <col min="2" max="2" width="21.54296875" bestFit="1" customWidth="1"/>
    <col min="3" max="3" width="17.81640625" bestFit="1" customWidth="1"/>
    <col min="4" max="4" width="14.7265625" bestFit="1" customWidth="1"/>
    <col min="5" max="5" width="67.26953125" bestFit="1" customWidth="1"/>
    <col min="6" max="6" width="23.54296875" bestFit="1" customWidth="1"/>
    <col min="7" max="7" width="25.7265625" bestFit="1" customWidth="1"/>
    <col min="8" max="8" width="20.54296875" bestFit="1" customWidth="1"/>
    <col min="9" max="9" width="17" bestFit="1" customWidth="1"/>
    <col min="10" max="10" width="22.81640625" bestFit="1" customWidth="1"/>
    <col min="11" max="11" width="12" bestFit="1" customWidth="1"/>
    <col min="12" max="12" width="21.1796875" bestFit="1" customWidth="1"/>
    <col min="13" max="13" width="34.26953125" bestFit="1" customWidth="1"/>
    <col min="14" max="14" width="42.54296875" bestFit="1" customWidth="1"/>
    <col min="15" max="15" width="40.7265625" bestFit="1" customWidth="1"/>
    <col min="16" max="16" width="23.81640625" bestFit="1" customWidth="1"/>
    <col min="17" max="17" width="30.81640625" bestFit="1" customWidth="1"/>
    <col min="18" max="18" width="40.7265625" bestFit="1" customWidth="1"/>
    <col min="19" max="19" width="66.1796875" bestFit="1" customWidth="1"/>
    <col min="20" max="20" width="67.81640625" bestFit="1" customWidth="1"/>
    <col min="21" max="21" width="52.81640625" bestFit="1" customWidth="1"/>
    <col min="22" max="22" width="80.1796875" bestFit="1" customWidth="1"/>
    <col min="23" max="23" width="99.1796875" bestFit="1" customWidth="1"/>
    <col min="24" max="24" width="40.81640625" bestFit="1" customWidth="1"/>
    <col min="25" max="32" width="11.54296875" bestFit="1" customWidth="1"/>
    <col min="33" max="33" width="14.1796875" bestFit="1" customWidth="1"/>
    <col min="34" max="34" width="11.54296875" bestFit="1" customWidth="1"/>
    <col min="35" max="35" width="14.1796875" bestFit="1" customWidth="1"/>
    <col min="36" max="36" width="13" bestFit="1" customWidth="1"/>
  </cols>
  <sheetData>
    <row r="1" spans="1:36">
      <c r="A1" s="50" t="s">
        <v>647</v>
      </c>
    </row>
    <row r="3" spans="1:3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409</v>
      </c>
      <c r="Z3" t="s">
        <v>410</v>
      </c>
      <c r="AA3" t="s">
        <v>411</v>
      </c>
      <c r="AB3" t="s">
        <v>412</v>
      </c>
      <c r="AC3" t="s">
        <v>413</v>
      </c>
      <c r="AD3" t="s">
        <v>414</v>
      </c>
      <c r="AE3" t="s">
        <v>415</v>
      </c>
      <c r="AF3" t="s">
        <v>416</v>
      </c>
      <c r="AG3" t="s">
        <v>417</v>
      </c>
      <c r="AH3" t="s">
        <v>418</v>
      </c>
      <c r="AI3" t="s">
        <v>419</v>
      </c>
      <c r="AJ3" t="s">
        <v>420</v>
      </c>
    </row>
    <row r="4" spans="1:36">
      <c r="A4" t="s">
        <v>519</v>
      </c>
      <c r="B4" t="s">
        <v>26</v>
      </c>
      <c r="C4" t="s">
        <v>55</v>
      </c>
      <c r="D4" t="s">
        <v>56</v>
      </c>
      <c r="E4" t="s">
        <v>65</v>
      </c>
      <c r="F4" t="s">
        <v>30</v>
      </c>
      <c r="G4" t="s">
        <v>497</v>
      </c>
      <c r="H4" t="s">
        <v>520</v>
      </c>
      <c r="J4">
        <v>2023</v>
      </c>
      <c r="K4">
        <v>8</v>
      </c>
      <c r="L4">
        <v>7</v>
      </c>
      <c r="M4" t="s">
        <v>34</v>
      </c>
      <c r="N4" t="s">
        <v>35</v>
      </c>
      <c r="O4" t="s">
        <v>36</v>
      </c>
      <c r="P4" t="s">
        <v>38</v>
      </c>
      <c r="Q4" s="49">
        <v>45627</v>
      </c>
      <c r="R4" t="s">
        <v>38</v>
      </c>
      <c r="S4">
        <v>2024</v>
      </c>
      <c r="T4" t="s">
        <v>39</v>
      </c>
      <c r="U4" t="s">
        <v>323</v>
      </c>
      <c r="V4" t="s">
        <v>479</v>
      </c>
      <c r="X4">
        <v>1</v>
      </c>
      <c r="AJ4" t="s">
        <v>422</v>
      </c>
    </row>
    <row r="5" spans="1:36">
      <c r="A5" t="s">
        <v>451</v>
      </c>
      <c r="B5" t="s">
        <v>26</v>
      </c>
      <c r="C5" t="s">
        <v>27</v>
      </c>
      <c r="E5" t="s">
        <v>453</v>
      </c>
      <c r="F5" t="s">
        <v>454</v>
      </c>
      <c r="G5" t="s">
        <v>455</v>
      </c>
      <c r="H5" t="s">
        <v>456</v>
      </c>
      <c r="J5">
        <v>2024</v>
      </c>
      <c r="K5">
        <v>8</v>
      </c>
      <c r="L5">
        <v>8</v>
      </c>
      <c r="M5" t="s">
        <v>34</v>
      </c>
      <c r="N5" t="s">
        <v>35</v>
      </c>
      <c r="O5" t="s">
        <v>36</v>
      </c>
      <c r="P5" t="s">
        <v>38</v>
      </c>
      <c r="Q5" s="49">
        <v>46174</v>
      </c>
      <c r="R5" t="s">
        <v>38</v>
      </c>
      <c r="S5">
        <v>2024</v>
      </c>
      <c r="T5" t="s">
        <v>39</v>
      </c>
      <c r="U5" t="s">
        <v>457</v>
      </c>
      <c r="V5" t="s">
        <v>452</v>
      </c>
      <c r="X5">
        <v>1</v>
      </c>
      <c r="AI5" t="s">
        <v>422</v>
      </c>
    </row>
    <row r="6" spans="1:36">
      <c r="A6" t="s">
        <v>64</v>
      </c>
      <c r="B6" t="s">
        <v>26</v>
      </c>
      <c r="C6" t="s">
        <v>55</v>
      </c>
      <c r="D6" t="s">
        <v>56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>
        <v>2020</v>
      </c>
      <c r="K6">
        <v>8</v>
      </c>
      <c r="L6">
        <v>4</v>
      </c>
      <c r="M6" t="s">
        <v>34</v>
      </c>
      <c r="N6" t="s">
        <v>35</v>
      </c>
      <c r="O6" t="s">
        <v>36</v>
      </c>
      <c r="P6" t="s">
        <v>37</v>
      </c>
      <c r="Q6" t="s">
        <v>421</v>
      </c>
      <c r="R6" t="s">
        <v>38</v>
      </c>
      <c r="S6">
        <v>2023</v>
      </c>
      <c r="T6" t="s">
        <v>62</v>
      </c>
      <c r="U6" t="s">
        <v>63</v>
      </c>
      <c r="V6" t="s">
        <v>421</v>
      </c>
      <c r="X6">
        <v>2</v>
      </c>
      <c r="AC6" t="s">
        <v>432</v>
      </c>
      <c r="AI6" t="s">
        <v>422</v>
      </c>
    </row>
    <row r="7" spans="1:36">
      <c r="A7" t="s">
        <v>64</v>
      </c>
      <c r="B7" t="s">
        <v>26</v>
      </c>
      <c r="C7" t="s">
        <v>55</v>
      </c>
      <c r="D7" t="s">
        <v>56</v>
      </c>
      <c r="E7" t="s">
        <v>65</v>
      </c>
      <c r="F7" t="s">
        <v>58</v>
      </c>
      <c r="G7" t="s">
        <v>74</v>
      </c>
      <c r="H7" t="s">
        <v>75</v>
      </c>
      <c r="I7" t="s">
        <v>76</v>
      </c>
      <c r="J7">
        <v>2020</v>
      </c>
      <c r="K7">
        <v>8</v>
      </c>
      <c r="L7">
        <v>4</v>
      </c>
      <c r="M7" t="s">
        <v>34</v>
      </c>
      <c r="N7" t="s">
        <v>35</v>
      </c>
      <c r="O7" t="s">
        <v>36</v>
      </c>
      <c r="P7" t="s">
        <v>37</v>
      </c>
      <c r="Q7" t="s">
        <v>421</v>
      </c>
      <c r="R7" t="s">
        <v>38</v>
      </c>
      <c r="S7">
        <v>2023</v>
      </c>
      <c r="T7" t="s">
        <v>62</v>
      </c>
      <c r="U7" t="s">
        <v>63</v>
      </c>
      <c r="V7" t="s">
        <v>421</v>
      </c>
      <c r="X7">
        <v>2</v>
      </c>
      <c r="AC7" t="s">
        <v>648</v>
      </c>
      <c r="AD7" t="s">
        <v>432</v>
      </c>
      <c r="AI7" t="s">
        <v>422</v>
      </c>
    </row>
    <row r="8" spans="1:36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82</v>
      </c>
      <c r="J8">
        <v>2016</v>
      </c>
      <c r="K8">
        <v>8</v>
      </c>
      <c r="L8">
        <v>0</v>
      </c>
      <c r="M8" t="s">
        <v>34</v>
      </c>
      <c r="N8" t="s">
        <v>35</v>
      </c>
      <c r="O8" t="s">
        <v>36</v>
      </c>
      <c r="P8" t="s">
        <v>37</v>
      </c>
      <c r="R8" t="s">
        <v>38</v>
      </c>
      <c r="S8">
        <v>2023</v>
      </c>
      <c r="T8" t="s">
        <v>39</v>
      </c>
      <c r="U8" t="s">
        <v>40</v>
      </c>
      <c r="V8" t="s">
        <v>546</v>
      </c>
      <c r="W8">
        <v>2427846</v>
      </c>
      <c r="X8">
        <v>2</v>
      </c>
      <c r="AD8" t="s">
        <v>432</v>
      </c>
      <c r="AJ8" t="s">
        <v>422</v>
      </c>
    </row>
    <row r="9" spans="1:36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81</v>
      </c>
      <c r="I9" t="s">
        <v>33</v>
      </c>
      <c r="J9">
        <v>2016</v>
      </c>
      <c r="K9">
        <v>8</v>
      </c>
      <c r="L9">
        <v>0</v>
      </c>
      <c r="M9" t="s">
        <v>34</v>
      </c>
      <c r="N9" t="s">
        <v>35</v>
      </c>
      <c r="O9" t="s">
        <v>36</v>
      </c>
      <c r="P9" t="s">
        <v>37</v>
      </c>
      <c r="R9" t="s">
        <v>38</v>
      </c>
      <c r="S9">
        <v>2023</v>
      </c>
      <c r="T9" t="s">
        <v>39</v>
      </c>
      <c r="U9" t="s">
        <v>40</v>
      </c>
      <c r="V9" t="s">
        <v>546</v>
      </c>
      <c r="W9">
        <v>2427846</v>
      </c>
      <c r="X9">
        <v>2</v>
      </c>
      <c r="AD9" t="s">
        <v>432</v>
      </c>
      <c r="AJ9" t="s">
        <v>422</v>
      </c>
    </row>
    <row r="10" spans="1:36">
      <c r="A10" t="s">
        <v>83</v>
      </c>
      <c r="B10" t="s">
        <v>26</v>
      </c>
      <c r="C10" t="s">
        <v>27</v>
      </c>
      <c r="D10" t="s">
        <v>28</v>
      </c>
      <c r="E10" t="s">
        <v>84</v>
      </c>
      <c r="F10" t="s">
        <v>30</v>
      </c>
      <c r="G10" t="s">
        <v>114</v>
      </c>
      <c r="H10" t="s">
        <v>115</v>
      </c>
      <c r="I10" t="s">
        <v>116</v>
      </c>
      <c r="J10">
        <v>2020</v>
      </c>
      <c r="K10">
        <v>8</v>
      </c>
      <c r="L10">
        <v>4</v>
      </c>
      <c r="M10" t="s">
        <v>89</v>
      </c>
      <c r="N10" t="s">
        <v>35</v>
      </c>
      <c r="O10" t="s">
        <v>36</v>
      </c>
      <c r="P10" t="s">
        <v>37</v>
      </c>
      <c r="Q10" t="s">
        <v>421</v>
      </c>
      <c r="R10" t="s">
        <v>38</v>
      </c>
      <c r="S10">
        <v>2023</v>
      </c>
      <c r="T10" t="s">
        <v>39</v>
      </c>
      <c r="U10" t="s">
        <v>40</v>
      </c>
      <c r="V10" t="s">
        <v>546</v>
      </c>
      <c r="W10">
        <v>2499246</v>
      </c>
      <c r="X10">
        <v>2</v>
      </c>
      <c r="AD10" t="s">
        <v>432</v>
      </c>
      <c r="AJ10" t="s">
        <v>422</v>
      </c>
    </row>
    <row r="11" spans="1:36">
      <c r="A11" t="s">
        <v>83</v>
      </c>
      <c r="B11" t="s">
        <v>26</v>
      </c>
      <c r="C11" t="s">
        <v>27</v>
      </c>
      <c r="D11" t="s">
        <v>28</v>
      </c>
      <c r="E11" t="s">
        <v>84</v>
      </c>
      <c r="F11" t="s">
        <v>98</v>
      </c>
      <c r="G11" t="s">
        <v>99</v>
      </c>
      <c r="H11" t="s">
        <v>117</v>
      </c>
      <c r="I11" t="s">
        <v>118</v>
      </c>
      <c r="J11">
        <v>2021</v>
      </c>
      <c r="K11">
        <v>8</v>
      </c>
      <c r="L11">
        <v>5</v>
      </c>
      <c r="M11" t="s">
        <v>89</v>
      </c>
      <c r="N11" t="s">
        <v>35</v>
      </c>
      <c r="O11" t="s">
        <v>36</v>
      </c>
      <c r="P11" t="s">
        <v>37</v>
      </c>
      <c r="Q11" t="s">
        <v>421</v>
      </c>
      <c r="R11" t="s">
        <v>38</v>
      </c>
      <c r="S11">
        <v>2023</v>
      </c>
      <c r="T11" t="s">
        <v>39</v>
      </c>
      <c r="U11" t="s">
        <v>40</v>
      </c>
      <c r="V11" t="s">
        <v>546</v>
      </c>
      <c r="W11">
        <v>2499246</v>
      </c>
      <c r="X11">
        <v>2</v>
      </c>
      <c r="AD11" t="s">
        <v>432</v>
      </c>
      <c r="AJ11" t="s">
        <v>422</v>
      </c>
    </row>
    <row r="12" spans="1:36">
      <c r="A12" t="s">
        <v>549</v>
      </c>
      <c r="B12" t="s">
        <v>26</v>
      </c>
      <c r="C12" t="s">
        <v>55</v>
      </c>
      <c r="D12" t="s">
        <v>28</v>
      </c>
      <c r="E12" t="s">
        <v>551</v>
      </c>
      <c r="F12" t="s">
        <v>66</v>
      </c>
      <c r="G12" t="s">
        <v>138</v>
      </c>
      <c r="H12">
        <v>8528</v>
      </c>
      <c r="J12">
        <v>2021</v>
      </c>
      <c r="K12">
        <v>8</v>
      </c>
      <c r="L12">
        <v>5</v>
      </c>
      <c r="M12" t="s">
        <v>89</v>
      </c>
      <c r="N12" t="s">
        <v>35</v>
      </c>
      <c r="O12" t="s">
        <v>36</v>
      </c>
      <c r="P12" t="s">
        <v>37</v>
      </c>
      <c r="Q12" t="s">
        <v>421</v>
      </c>
      <c r="R12" t="s">
        <v>38</v>
      </c>
      <c r="S12">
        <v>2023</v>
      </c>
      <c r="T12" t="s">
        <v>62</v>
      </c>
      <c r="U12" t="s">
        <v>63</v>
      </c>
      <c r="V12" t="s">
        <v>421</v>
      </c>
      <c r="X12">
        <v>2</v>
      </c>
      <c r="AC12" t="s">
        <v>432</v>
      </c>
      <c r="AI12" t="s">
        <v>422</v>
      </c>
    </row>
    <row r="13" spans="1:36">
      <c r="A13" t="s">
        <v>549</v>
      </c>
      <c r="B13" t="s">
        <v>26</v>
      </c>
      <c r="C13" t="s">
        <v>55</v>
      </c>
      <c r="D13" t="s">
        <v>28</v>
      </c>
      <c r="E13" t="s">
        <v>551</v>
      </c>
      <c r="F13" t="s">
        <v>66</v>
      </c>
      <c r="G13" t="s">
        <v>138</v>
      </c>
      <c r="H13" t="s">
        <v>146</v>
      </c>
      <c r="I13" t="s">
        <v>147</v>
      </c>
      <c r="J13">
        <v>2021</v>
      </c>
      <c r="K13">
        <v>8</v>
      </c>
      <c r="L13">
        <v>5</v>
      </c>
      <c r="M13" t="s">
        <v>89</v>
      </c>
      <c r="N13" t="s">
        <v>35</v>
      </c>
      <c r="O13" t="s">
        <v>36</v>
      </c>
      <c r="P13" t="s">
        <v>37</v>
      </c>
      <c r="Q13" t="s">
        <v>421</v>
      </c>
      <c r="R13" t="s">
        <v>38</v>
      </c>
      <c r="S13">
        <v>2023</v>
      </c>
      <c r="T13" t="s">
        <v>62</v>
      </c>
      <c r="U13" t="s">
        <v>63</v>
      </c>
      <c r="V13" t="s">
        <v>421</v>
      </c>
      <c r="X13">
        <v>2</v>
      </c>
      <c r="AC13" t="s">
        <v>432</v>
      </c>
      <c r="AI13" t="s">
        <v>422</v>
      </c>
    </row>
    <row r="14" spans="1:36">
      <c r="A14" t="s">
        <v>549</v>
      </c>
      <c r="B14" t="s">
        <v>26</v>
      </c>
      <c r="C14" t="s">
        <v>55</v>
      </c>
      <c r="D14" t="s">
        <v>28</v>
      </c>
      <c r="E14" t="s">
        <v>551</v>
      </c>
      <c r="F14" t="s">
        <v>66</v>
      </c>
      <c r="G14" t="s">
        <v>138</v>
      </c>
      <c r="H14" t="s">
        <v>149</v>
      </c>
      <c r="I14" t="s">
        <v>150</v>
      </c>
      <c r="J14">
        <v>2021</v>
      </c>
      <c r="K14">
        <v>8</v>
      </c>
      <c r="L14">
        <v>5</v>
      </c>
      <c r="M14" t="s">
        <v>89</v>
      </c>
      <c r="N14" t="s">
        <v>35</v>
      </c>
      <c r="O14" t="s">
        <v>36</v>
      </c>
      <c r="P14" t="s">
        <v>37</v>
      </c>
      <c r="Q14" t="s">
        <v>421</v>
      </c>
      <c r="R14" t="s">
        <v>38</v>
      </c>
      <c r="S14">
        <v>2023</v>
      </c>
      <c r="T14" t="s">
        <v>62</v>
      </c>
      <c r="U14" t="s">
        <v>63</v>
      </c>
      <c r="V14" t="s">
        <v>421</v>
      </c>
      <c r="X14">
        <v>2</v>
      </c>
      <c r="AC14" t="s">
        <v>432</v>
      </c>
      <c r="AI14" t="s">
        <v>422</v>
      </c>
    </row>
    <row r="15" spans="1:36">
      <c r="A15" t="s">
        <v>549</v>
      </c>
      <c r="B15" t="s">
        <v>26</v>
      </c>
      <c r="C15" t="s">
        <v>55</v>
      </c>
      <c r="D15" t="s">
        <v>28</v>
      </c>
      <c r="E15" t="s">
        <v>551</v>
      </c>
      <c r="F15" t="s">
        <v>66</v>
      </c>
      <c r="G15" t="s">
        <v>138</v>
      </c>
      <c r="H15" t="s">
        <v>152</v>
      </c>
      <c r="I15" t="s">
        <v>153</v>
      </c>
      <c r="J15">
        <v>2021</v>
      </c>
      <c r="K15">
        <v>8</v>
      </c>
      <c r="L15">
        <v>5</v>
      </c>
      <c r="M15" t="s">
        <v>89</v>
      </c>
      <c r="N15" t="s">
        <v>35</v>
      </c>
      <c r="O15" t="s">
        <v>36</v>
      </c>
      <c r="P15" t="s">
        <v>37</v>
      </c>
      <c r="Q15" t="s">
        <v>421</v>
      </c>
      <c r="R15" t="s">
        <v>38</v>
      </c>
      <c r="S15">
        <v>2023</v>
      </c>
      <c r="T15" t="s">
        <v>62</v>
      </c>
      <c r="U15" t="s">
        <v>63</v>
      </c>
      <c r="V15" t="s">
        <v>421</v>
      </c>
      <c r="X15">
        <v>2</v>
      </c>
      <c r="AC15" t="s">
        <v>432</v>
      </c>
      <c r="AI15" t="s">
        <v>422</v>
      </c>
    </row>
    <row r="16" spans="1:36">
      <c r="A16" t="s">
        <v>549</v>
      </c>
      <c r="B16" t="s">
        <v>26</v>
      </c>
      <c r="C16" t="s">
        <v>55</v>
      </c>
      <c r="D16" t="s">
        <v>28</v>
      </c>
      <c r="E16" t="s">
        <v>550</v>
      </c>
      <c r="F16" t="s">
        <v>66</v>
      </c>
      <c r="G16" t="s">
        <v>154</v>
      </c>
      <c r="H16" t="s">
        <v>155</v>
      </c>
      <c r="I16" t="s">
        <v>156</v>
      </c>
      <c r="J16">
        <v>2021</v>
      </c>
      <c r="K16">
        <v>8</v>
      </c>
      <c r="L16">
        <v>5</v>
      </c>
      <c r="M16" t="s">
        <v>89</v>
      </c>
      <c r="N16" t="s">
        <v>35</v>
      </c>
      <c r="O16" t="s">
        <v>36</v>
      </c>
      <c r="P16" t="s">
        <v>37</v>
      </c>
      <c r="Q16" t="s">
        <v>421</v>
      </c>
      <c r="R16" t="s">
        <v>38</v>
      </c>
      <c r="S16">
        <v>2023</v>
      </c>
      <c r="T16" t="s">
        <v>62</v>
      </c>
      <c r="U16" t="s">
        <v>63</v>
      </c>
      <c r="V16" t="s">
        <v>421</v>
      </c>
      <c r="X16">
        <v>2</v>
      </c>
      <c r="AC16" t="s">
        <v>432</v>
      </c>
      <c r="AI16" t="s">
        <v>422</v>
      </c>
    </row>
    <row r="17" spans="1:36">
      <c r="A17" t="s">
        <v>549</v>
      </c>
      <c r="B17" t="s">
        <v>26</v>
      </c>
      <c r="C17" t="s">
        <v>55</v>
      </c>
      <c r="D17" t="s">
        <v>28</v>
      </c>
      <c r="E17" t="s">
        <v>550</v>
      </c>
      <c r="F17" t="s">
        <v>66</v>
      </c>
      <c r="G17" t="s">
        <v>154</v>
      </c>
      <c r="H17" t="s">
        <v>157</v>
      </c>
      <c r="I17" t="s">
        <v>158</v>
      </c>
      <c r="J17">
        <v>2021</v>
      </c>
      <c r="K17">
        <v>8</v>
      </c>
      <c r="L17">
        <v>5</v>
      </c>
      <c r="M17" t="s">
        <v>34</v>
      </c>
      <c r="N17" t="s">
        <v>35</v>
      </c>
      <c r="O17" t="s">
        <v>36</v>
      </c>
      <c r="P17" t="s">
        <v>37</v>
      </c>
      <c r="Q17" t="s">
        <v>421</v>
      </c>
      <c r="R17" t="s">
        <v>38</v>
      </c>
      <c r="S17">
        <v>2023</v>
      </c>
      <c r="T17" t="s">
        <v>62</v>
      </c>
      <c r="U17" t="s">
        <v>63</v>
      </c>
      <c r="V17" t="s">
        <v>421</v>
      </c>
      <c r="X17">
        <v>2</v>
      </c>
      <c r="AC17" t="s">
        <v>432</v>
      </c>
      <c r="AI17" t="s">
        <v>422</v>
      </c>
    </row>
    <row r="18" spans="1:36">
      <c r="A18" t="s">
        <v>549</v>
      </c>
      <c r="B18" t="s">
        <v>26</v>
      </c>
      <c r="C18" t="s">
        <v>55</v>
      </c>
      <c r="D18" t="s">
        <v>28</v>
      </c>
      <c r="E18" t="s">
        <v>550</v>
      </c>
      <c r="F18" t="s">
        <v>66</v>
      </c>
      <c r="G18" t="s">
        <v>154</v>
      </c>
      <c r="H18" t="s">
        <v>159</v>
      </c>
      <c r="I18" t="s">
        <v>160</v>
      </c>
      <c r="J18">
        <v>2021</v>
      </c>
      <c r="K18">
        <v>8</v>
      </c>
      <c r="L18">
        <v>5</v>
      </c>
      <c r="M18" t="s">
        <v>89</v>
      </c>
      <c r="N18" t="s">
        <v>35</v>
      </c>
      <c r="O18" t="s">
        <v>36</v>
      </c>
      <c r="P18" t="s">
        <v>37</v>
      </c>
      <c r="Q18" t="s">
        <v>421</v>
      </c>
      <c r="R18" t="s">
        <v>38</v>
      </c>
      <c r="S18">
        <v>2023</v>
      </c>
      <c r="T18" t="s">
        <v>62</v>
      </c>
      <c r="U18" t="s">
        <v>63</v>
      </c>
      <c r="V18" t="s">
        <v>421</v>
      </c>
      <c r="X18">
        <v>2</v>
      </c>
      <c r="AC18" t="s">
        <v>432</v>
      </c>
      <c r="AI18" t="s">
        <v>422</v>
      </c>
    </row>
    <row r="19" spans="1:36">
      <c r="A19" t="s">
        <v>549</v>
      </c>
      <c r="B19" t="s">
        <v>26</v>
      </c>
      <c r="C19" t="s">
        <v>55</v>
      </c>
      <c r="D19" t="s">
        <v>28</v>
      </c>
      <c r="E19" t="s">
        <v>550</v>
      </c>
      <c r="F19" t="s">
        <v>66</v>
      </c>
      <c r="G19" t="s">
        <v>154</v>
      </c>
      <c r="H19" t="s">
        <v>161</v>
      </c>
      <c r="I19" t="s">
        <v>162</v>
      </c>
      <c r="J19">
        <v>2021</v>
      </c>
      <c r="K19">
        <v>8</v>
      </c>
      <c r="L19">
        <v>5</v>
      </c>
      <c r="M19" t="s">
        <v>34</v>
      </c>
      <c r="N19" t="s">
        <v>35</v>
      </c>
      <c r="O19" t="s">
        <v>36</v>
      </c>
      <c r="P19" t="s">
        <v>37</v>
      </c>
      <c r="Q19" t="s">
        <v>421</v>
      </c>
      <c r="R19" t="s">
        <v>38</v>
      </c>
      <c r="S19">
        <v>2023</v>
      </c>
      <c r="T19" t="s">
        <v>62</v>
      </c>
      <c r="U19" t="s">
        <v>63</v>
      </c>
      <c r="V19" t="s">
        <v>421</v>
      </c>
      <c r="X19">
        <v>2</v>
      </c>
      <c r="AC19" t="s">
        <v>432</v>
      </c>
      <c r="AI19" t="s">
        <v>422</v>
      </c>
    </row>
    <row r="20" spans="1:36">
      <c r="A20" t="s">
        <v>549</v>
      </c>
      <c r="B20" t="s">
        <v>26</v>
      </c>
      <c r="C20" t="s">
        <v>55</v>
      </c>
      <c r="D20" t="s">
        <v>28</v>
      </c>
      <c r="E20" t="s">
        <v>550</v>
      </c>
      <c r="F20" t="s">
        <v>66</v>
      </c>
      <c r="G20" t="s">
        <v>154</v>
      </c>
      <c r="H20" t="s">
        <v>163</v>
      </c>
      <c r="I20" t="s">
        <v>164</v>
      </c>
      <c r="J20">
        <v>2021</v>
      </c>
      <c r="K20">
        <v>8</v>
      </c>
      <c r="L20">
        <v>5</v>
      </c>
      <c r="M20" t="s">
        <v>89</v>
      </c>
      <c r="N20" t="s">
        <v>35</v>
      </c>
      <c r="O20" t="s">
        <v>36</v>
      </c>
      <c r="P20" t="s">
        <v>37</v>
      </c>
      <c r="Q20" t="s">
        <v>421</v>
      </c>
      <c r="R20" t="s">
        <v>38</v>
      </c>
      <c r="S20">
        <v>2023</v>
      </c>
      <c r="T20" t="s">
        <v>62</v>
      </c>
      <c r="U20" t="s">
        <v>63</v>
      </c>
      <c r="V20" t="s">
        <v>421</v>
      </c>
      <c r="X20">
        <v>2</v>
      </c>
      <c r="AC20" t="s">
        <v>432</v>
      </c>
      <c r="AI20" t="s">
        <v>422</v>
      </c>
    </row>
    <row r="21" spans="1:36">
      <c r="A21" t="s">
        <v>549</v>
      </c>
      <c r="B21" t="s">
        <v>26</v>
      </c>
      <c r="C21" t="s">
        <v>55</v>
      </c>
      <c r="D21" t="s">
        <v>28</v>
      </c>
      <c r="E21" t="s">
        <v>550</v>
      </c>
      <c r="F21" t="s">
        <v>66</v>
      </c>
      <c r="G21" t="s">
        <v>154</v>
      </c>
      <c r="H21" t="s">
        <v>165</v>
      </c>
      <c r="I21" t="s">
        <v>166</v>
      </c>
      <c r="J21">
        <v>2021</v>
      </c>
      <c r="K21">
        <v>8</v>
      </c>
      <c r="L21">
        <v>5</v>
      </c>
      <c r="M21" t="s">
        <v>89</v>
      </c>
      <c r="N21" t="s">
        <v>35</v>
      </c>
      <c r="O21" t="s">
        <v>36</v>
      </c>
      <c r="P21" t="s">
        <v>37</v>
      </c>
      <c r="Q21" t="s">
        <v>421</v>
      </c>
      <c r="R21" t="s">
        <v>38</v>
      </c>
      <c r="S21">
        <v>2023</v>
      </c>
      <c r="T21" t="s">
        <v>62</v>
      </c>
      <c r="U21" t="s">
        <v>63</v>
      </c>
      <c r="V21" t="s">
        <v>421</v>
      </c>
      <c r="X21">
        <v>2</v>
      </c>
      <c r="AC21" t="s">
        <v>432</v>
      </c>
      <c r="AI21" t="s">
        <v>422</v>
      </c>
    </row>
    <row r="22" spans="1:36">
      <c r="A22" t="s">
        <v>549</v>
      </c>
      <c r="B22" t="s">
        <v>26</v>
      </c>
      <c r="C22" t="s">
        <v>55</v>
      </c>
      <c r="D22" t="s">
        <v>28</v>
      </c>
      <c r="E22" t="s">
        <v>649</v>
      </c>
      <c r="F22" t="s">
        <v>66</v>
      </c>
      <c r="G22" t="s">
        <v>138</v>
      </c>
      <c r="H22">
        <v>6678</v>
      </c>
      <c r="I22" t="s">
        <v>169</v>
      </c>
      <c r="J22">
        <v>2020</v>
      </c>
      <c r="K22">
        <v>8</v>
      </c>
      <c r="L22">
        <v>4</v>
      </c>
      <c r="M22" t="s">
        <v>34</v>
      </c>
      <c r="N22" t="s">
        <v>35</v>
      </c>
      <c r="O22" t="s">
        <v>36</v>
      </c>
      <c r="P22" t="s">
        <v>37</v>
      </c>
      <c r="Q22" t="s">
        <v>421</v>
      </c>
      <c r="R22" t="s">
        <v>38</v>
      </c>
      <c r="S22">
        <v>2023</v>
      </c>
      <c r="T22" t="s">
        <v>62</v>
      </c>
      <c r="U22" t="s">
        <v>63</v>
      </c>
      <c r="V22" t="s">
        <v>421</v>
      </c>
      <c r="X22">
        <v>2</v>
      </c>
      <c r="AC22" t="s">
        <v>432</v>
      </c>
      <c r="AI22" t="s">
        <v>422</v>
      </c>
    </row>
    <row r="23" spans="1:36">
      <c r="A23" t="s">
        <v>547</v>
      </c>
      <c r="B23" t="s">
        <v>26</v>
      </c>
      <c r="C23" t="s">
        <v>55</v>
      </c>
      <c r="D23" t="s">
        <v>56</v>
      </c>
      <c r="E23" t="s">
        <v>496</v>
      </c>
      <c r="F23" t="s">
        <v>198</v>
      </c>
      <c r="G23" t="s">
        <v>121</v>
      </c>
      <c r="H23" t="s">
        <v>122</v>
      </c>
      <c r="I23" t="s">
        <v>123</v>
      </c>
      <c r="J23">
        <v>2020</v>
      </c>
      <c r="K23">
        <v>8</v>
      </c>
      <c r="L23">
        <v>4</v>
      </c>
      <c r="M23" t="s">
        <v>34</v>
      </c>
      <c r="N23" t="s">
        <v>35</v>
      </c>
      <c r="O23" t="s">
        <v>36</v>
      </c>
      <c r="P23" t="s">
        <v>37</v>
      </c>
      <c r="Q23" t="s">
        <v>421</v>
      </c>
      <c r="R23" t="s">
        <v>38</v>
      </c>
      <c r="S23">
        <v>2023</v>
      </c>
      <c r="T23" t="s">
        <v>62</v>
      </c>
      <c r="U23" t="s">
        <v>63</v>
      </c>
      <c r="V23" t="s">
        <v>421</v>
      </c>
      <c r="W23" t="s">
        <v>324</v>
      </c>
      <c r="X23">
        <v>2</v>
      </c>
      <c r="AC23" t="s">
        <v>432</v>
      </c>
      <c r="AI23" t="s">
        <v>422</v>
      </c>
    </row>
    <row r="24" spans="1:36">
      <c r="A24" t="s">
        <v>547</v>
      </c>
      <c r="B24" t="s">
        <v>26</v>
      </c>
      <c r="C24" t="s">
        <v>27</v>
      </c>
      <c r="D24" t="s">
        <v>28</v>
      </c>
      <c r="E24" t="s">
        <v>84</v>
      </c>
      <c r="F24" t="s">
        <v>98</v>
      </c>
      <c r="G24" t="s">
        <v>99</v>
      </c>
      <c r="H24" t="s">
        <v>106</v>
      </c>
      <c r="I24" t="s">
        <v>107</v>
      </c>
      <c r="J24">
        <v>2021</v>
      </c>
      <c r="K24">
        <v>8</v>
      </c>
      <c r="L24">
        <v>5</v>
      </c>
      <c r="M24" t="s">
        <v>89</v>
      </c>
      <c r="N24" t="s">
        <v>35</v>
      </c>
      <c r="O24" t="s">
        <v>36</v>
      </c>
      <c r="P24" t="s">
        <v>37</v>
      </c>
      <c r="Q24" t="s">
        <v>421</v>
      </c>
      <c r="R24" t="s">
        <v>38</v>
      </c>
      <c r="S24">
        <v>2023</v>
      </c>
      <c r="T24" t="s">
        <v>426</v>
      </c>
      <c r="U24" t="s">
        <v>40</v>
      </c>
      <c r="V24" t="s">
        <v>546</v>
      </c>
      <c r="W24">
        <v>2499246</v>
      </c>
      <c r="X24">
        <v>2</v>
      </c>
      <c r="AD24" t="s">
        <v>432</v>
      </c>
      <c r="AJ24" t="s">
        <v>422</v>
      </c>
    </row>
    <row r="25" spans="1:36">
      <c r="A25" t="s">
        <v>208</v>
      </c>
      <c r="B25" t="s">
        <v>26</v>
      </c>
      <c r="C25" t="s">
        <v>27</v>
      </c>
      <c r="D25" t="s">
        <v>28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>
        <v>2020</v>
      </c>
      <c r="K25">
        <v>8</v>
      </c>
      <c r="L25">
        <v>4</v>
      </c>
      <c r="M25" t="s">
        <v>34</v>
      </c>
      <c r="N25" t="s">
        <v>35</v>
      </c>
      <c r="O25" t="s">
        <v>36</v>
      </c>
      <c r="P25" t="s">
        <v>37</v>
      </c>
      <c r="Q25" t="s">
        <v>421</v>
      </c>
      <c r="R25" t="s">
        <v>38</v>
      </c>
      <c r="S25">
        <v>2023</v>
      </c>
      <c r="T25" t="s">
        <v>426</v>
      </c>
      <c r="U25" t="s">
        <v>40</v>
      </c>
      <c r="V25" t="s">
        <v>546</v>
      </c>
      <c r="W25">
        <v>2499246</v>
      </c>
      <c r="X25">
        <v>2</v>
      </c>
      <c r="AD25" t="s">
        <v>432</v>
      </c>
      <c r="AJ25" t="s">
        <v>422</v>
      </c>
    </row>
    <row r="26" spans="1:36">
      <c r="A26" t="s">
        <v>535</v>
      </c>
      <c r="B26" t="s">
        <v>26</v>
      </c>
      <c r="C26" t="s">
        <v>55</v>
      </c>
      <c r="D26" t="s">
        <v>56</v>
      </c>
      <c r="E26" t="s">
        <v>57</v>
      </c>
      <c r="F26" t="s">
        <v>536</v>
      </c>
      <c r="G26" t="s">
        <v>537</v>
      </c>
      <c r="H26">
        <v>30594</v>
      </c>
      <c r="J26">
        <v>2023</v>
      </c>
      <c r="K26">
        <v>8</v>
      </c>
      <c r="L26">
        <v>7</v>
      </c>
      <c r="M26" t="s">
        <v>34</v>
      </c>
      <c r="N26" t="s">
        <v>440</v>
      </c>
      <c r="O26" t="s">
        <v>36</v>
      </c>
      <c r="P26" t="s">
        <v>38</v>
      </c>
      <c r="Q26" s="49">
        <v>45984</v>
      </c>
      <c r="R26" t="s">
        <v>38</v>
      </c>
      <c r="S26">
        <v>2024</v>
      </c>
      <c r="T26" t="s">
        <v>62</v>
      </c>
      <c r="U26" t="s">
        <v>63</v>
      </c>
      <c r="V26" t="s">
        <v>650</v>
      </c>
      <c r="W26">
        <v>0</v>
      </c>
      <c r="X26">
        <v>2</v>
      </c>
      <c r="AB26" t="s">
        <v>432</v>
      </c>
      <c r="AH26" t="s">
        <v>422</v>
      </c>
    </row>
    <row r="27" spans="1:36">
      <c r="A27" t="s">
        <v>535</v>
      </c>
      <c r="B27" t="s">
        <v>26</v>
      </c>
      <c r="C27" t="s">
        <v>55</v>
      </c>
      <c r="D27" t="s">
        <v>56</v>
      </c>
      <c r="E27" t="s">
        <v>57</v>
      </c>
      <c r="F27" t="s">
        <v>536</v>
      </c>
      <c r="G27" t="s">
        <v>537</v>
      </c>
      <c r="H27">
        <v>30574</v>
      </c>
      <c r="J27">
        <v>2023</v>
      </c>
      <c r="K27">
        <v>8</v>
      </c>
      <c r="L27">
        <v>7</v>
      </c>
      <c r="M27" t="s">
        <v>34</v>
      </c>
      <c r="N27" t="s">
        <v>440</v>
      </c>
      <c r="O27" t="s">
        <v>36</v>
      </c>
      <c r="P27" t="s">
        <v>38</v>
      </c>
      <c r="Q27" s="49">
        <v>45984</v>
      </c>
      <c r="R27" t="s">
        <v>38</v>
      </c>
      <c r="S27">
        <v>2024</v>
      </c>
      <c r="T27" t="s">
        <v>62</v>
      </c>
      <c r="U27" t="s">
        <v>63</v>
      </c>
      <c r="V27" t="s">
        <v>650</v>
      </c>
      <c r="W27">
        <v>0</v>
      </c>
      <c r="X27">
        <v>2</v>
      </c>
      <c r="AB27" t="s">
        <v>432</v>
      </c>
      <c r="AH27" t="s">
        <v>422</v>
      </c>
    </row>
    <row r="28" spans="1:36">
      <c r="A28" t="s">
        <v>535</v>
      </c>
      <c r="B28" t="s">
        <v>26</v>
      </c>
      <c r="C28" t="s">
        <v>55</v>
      </c>
      <c r="D28" t="s">
        <v>56</v>
      </c>
      <c r="E28" t="s">
        <v>57</v>
      </c>
      <c r="F28" t="s">
        <v>536</v>
      </c>
      <c r="G28" t="s">
        <v>537</v>
      </c>
      <c r="H28">
        <v>30584</v>
      </c>
      <c r="J28">
        <v>2023</v>
      </c>
      <c r="K28">
        <v>8</v>
      </c>
      <c r="L28">
        <v>7</v>
      </c>
      <c r="M28" t="s">
        <v>34</v>
      </c>
      <c r="N28" t="s">
        <v>440</v>
      </c>
      <c r="O28" t="s">
        <v>36</v>
      </c>
      <c r="P28" t="s">
        <v>38</v>
      </c>
      <c r="Q28" s="49">
        <v>45984</v>
      </c>
      <c r="R28" t="s">
        <v>38</v>
      </c>
      <c r="S28">
        <v>2024</v>
      </c>
      <c r="T28" t="s">
        <v>62</v>
      </c>
      <c r="U28" t="s">
        <v>63</v>
      </c>
      <c r="V28" t="s">
        <v>650</v>
      </c>
      <c r="W28">
        <v>0</v>
      </c>
      <c r="X28">
        <v>2</v>
      </c>
      <c r="AB28" t="s">
        <v>432</v>
      </c>
      <c r="AH28" t="s">
        <v>422</v>
      </c>
    </row>
    <row r="29" spans="1:36">
      <c r="A29" t="s">
        <v>535</v>
      </c>
      <c r="B29" t="s">
        <v>26</v>
      </c>
      <c r="C29" t="s">
        <v>55</v>
      </c>
      <c r="D29" t="s">
        <v>56</v>
      </c>
      <c r="E29" t="s">
        <v>57</v>
      </c>
      <c r="F29" t="s">
        <v>536</v>
      </c>
      <c r="G29" t="s">
        <v>537</v>
      </c>
      <c r="H29">
        <v>30559</v>
      </c>
      <c r="J29">
        <v>2023</v>
      </c>
      <c r="K29">
        <v>8</v>
      </c>
      <c r="L29">
        <v>7</v>
      </c>
      <c r="M29" t="s">
        <v>34</v>
      </c>
      <c r="N29" t="s">
        <v>440</v>
      </c>
      <c r="O29" t="s">
        <v>36</v>
      </c>
      <c r="P29" t="s">
        <v>38</v>
      </c>
      <c r="Q29" s="49">
        <v>45984</v>
      </c>
      <c r="R29" t="s">
        <v>38</v>
      </c>
      <c r="S29">
        <v>2024</v>
      </c>
      <c r="T29" t="s">
        <v>62</v>
      </c>
      <c r="U29" t="s">
        <v>63</v>
      </c>
      <c r="V29" t="s">
        <v>650</v>
      </c>
      <c r="W29">
        <v>0</v>
      </c>
      <c r="X29">
        <v>2</v>
      </c>
      <c r="AB29" t="s">
        <v>432</v>
      </c>
      <c r="AH29" t="s">
        <v>422</v>
      </c>
    </row>
    <row r="30" spans="1:36">
      <c r="A30" t="s">
        <v>535</v>
      </c>
      <c r="B30" t="s">
        <v>26</v>
      </c>
      <c r="C30" t="s">
        <v>55</v>
      </c>
      <c r="D30" t="s">
        <v>56</v>
      </c>
      <c r="E30" t="s">
        <v>57</v>
      </c>
      <c r="F30" t="s">
        <v>536</v>
      </c>
      <c r="G30" t="s">
        <v>537</v>
      </c>
      <c r="H30">
        <v>30583</v>
      </c>
      <c r="J30">
        <v>2023</v>
      </c>
      <c r="K30">
        <v>8</v>
      </c>
      <c r="L30">
        <v>7</v>
      </c>
      <c r="M30" t="s">
        <v>34</v>
      </c>
      <c r="N30" t="s">
        <v>440</v>
      </c>
      <c r="O30" t="s">
        <v>36</v>
      </c>
      <c r="P30" t="s">
        <v>38</v>
      </c>
      <c r="Q30" s="49">
        <v>45984</v>
      </c>
      <c r="R30" t="s">
        <v>38</v>
      </c>
      <c r="S30">
        <v>2024</v>
      </c>
      <c r="T30" t="s">
        <v>62</v>
      </c>
      <c r="U30" t="s">
        <v>63</v>
      </c>
      <c r="V30" t="s">
        <v>650</v>
      </c>
      <c r="W30">
        <v>0</v>
      </c>
      <c r="X30">
        <v>2</v>
      </c>
      <c r="AB30" t="s">
        <v>432</v>
      </c>
      <c r="AH30" t="s">
        <v>422</v>
      </c>
    </row>
    <row r="31" spans="1:36">
      <c r="A31" t="s">
        <v>535</v>
      </c>
      <c r="B31" t="s">
        <v>26</v>
      </c>
      <c r="C31" t="s">
        <v>55</v>
      </c>
      <c r="D31" t="s">
        <v>56</v>
      </c>
      <c r="E31" t="s">
        <v>65</v>
      </c>
      <c r="F31" t="s">
        <v>171</v>
      </c>
      <c r="G31" t="s">
        <v>172</v>
      </c>
      <c r="H31" t="s">
        <v>173</v>
      </c>
      <c r="I31" t="s">
        <v>174</v>
      </c>
      <c r="J31">
        <v>2016</v>
      </c>
      <c r="K31">
        <v>8</v>
      </c>
      <c r="L31">
        <v>0</v>
      </c>
      <c r="M31" t="s">
        <v>34</v>
      </c>
      <c r="N31" t="s">
        <v>35</v>
      </c>
      <c r="O31" t="s">
        <v>36</v>
      </c>
      <c r="P31" t="s">
        <v>37</v>
      </c>
      <c r="Q31" t="s">
        <v>421</v>
      </c>
      <c r="R31" t="s">
        <v>38</v>
      </c>
      <c r="S31">
        <v>2023</v>
      </c>
      <c r="T31" t="s">
        <v>62</v>
      </c>
      <c r="U31" t="s">
        <v>63</v>
      </c>
      <c r="V31" t="s">
        <v>421</v>
      </c>
      <c r="X31">
        <v>2</v>
      </c>
      <c r="AC31" t="s">
        <v>432</v>
      </c>
      <c r="AI31" t="s">
        <v>422</v>
      </c>
    </row>
    <row r="32" spans="1:36">
      <c r="A32" t="s">
        <v>535</v>
      </c>
      <c r="B32" t="s">
        <v>26</v>
      </c>
      <c r="C32" t="s">
        <v>55</v>
      </c>
      <c r="D32" t="s">
        <v>56</v>
      </c>
      <c r="E32" t="s">
        <v>65</v>
      </c>
      <c r="F32" t="s">
        <v>171</v>
      </c>
      <c r="G32" t="s">
        <v>172</v>
      </c>
      <c r="H32" t="s">
        <v>175</v>
      </c>
      <c r="I32" t="s">
        <v>176</v>
      </c>
      <c r="J32">
        <v>2015</v>
      </c>
      <c r="K32">
        <v>8</v>
      </c>
      <c r="L32">
        <v>-1</v>
      </c>
      <c r="M32" t="s">
        <v>34</v>
      </c>
      <c r="N32" t="s">
        <v>35</v>
      </c>
      <c r="O32" t="s">
        <v>36</v>
      </c>
      <c r="P32" t="s">
        <v>37</v>
      </c>
      <c r="Q32" t="s">
        <v>421</v>
      </c>
      <c r="R32" t="s">
        <v>38</v>
      </c>
      <c r="S32">
        <v>2023</v>
      </c>
      <c r="T32" t="s">
        <v>62</v>
      </c>
      <c r="U32" t="s">
        <v>63</v>
      </c>
      <c r="V32" t="s">
        <v>421</v>
      </c>
      <c r="X32">
        <v>2</v>
      </c>
      <c r="AC32" t="s">
        <v>432</v>
      </c>
      <c r="AI32" t="s">
        <v>422</v>
      </c>
    </row>
    <row r="33" spans="1:36">
      <c r="A33" t="s">
        <v>429</v>
      </c>
      <c r="B33" t="s">
        <v>26</v>
      </c>
      <c r="C33" t="s">
        <v>55</v>
      </c>
      <c r="D33" t="s">
        <v>56</v>
      </c>
      <c r="E33" t="s">
        <v>57</v>
      </c>
      <c r="F33" t="s">
        <v>30</v>
      </c>
      <c r="G33" t="s">
        <v>78</v>
      </c>
      <c r="H33" t="s">
        <v>79</v>
      </c>
      <c r="I33" t="s">
        <v>80</v>
      </c>
      <c r="J33">
        <v>2020</v>
      </c>
      <c r="K33">
        <v>8</v>
      </c>
      <c r="L33">
        <v>4</v>
      </c>
      <c r="M33" t="s">
        <v>34</v>
      </c>
      <c r="N33" t="s">
        <v>35</v>
      </c>
      <c r="O33" t="s">
        <v>36</v>
      </c>
      <c r="P33" t="s">
        <v>37</v>
      </c>
      <c r="Q33" t="s">
        <v>421</v>
      </c>
      <c r="R33" t="s">
        <v>38</v>
      </c>
      <c r="S33">
        <v>2023</v>
      </c>
      <c r="T33" t="s">
        <v>62</v>
      </c>
      <c r="U33" t="s">
        <v>63</v>
      </c>
      <c r="V33" t="s">
        <v>421</v>
      </c>
      <c r="X33">
        <v>2</v>
      </c>
      <c r="AC33" t="s">
        <v>432</v>
      </c>
      <c r="AI33" t="s">
        <v>422</v>
      </c>
    </row>
    <row r="34" spans="1:36">
      <c r="A34" t="s">
        <v>535</v>
      </c>
      <c r="B34" t="s">
        <v>26</v>
      </c>
      <c r="C34" t="s">
        <v>55</v>
      </c>
      <c r="D34" t="s">
        <v>56</v>
      </c>
      <c r="E34" t="s">
        <v>65</v>
      </c>
      <c r="F34" t="s">
        <v>177</v>
      </c>
      <c r="G34" t="s">
        <v>178</v>
      </c>
      <c r="H34">
        <v>50200469</v>
      </c>
      <c r="I34" t="s">
        <v>179</v>
      </c>
      <c r="J34">
        <v>2016</v>
      </c>
      <c r="K34">
        <v>8</v>
      </c>
      <c r="L34">
        <v>0</v>
      </c>
      <c r="M34" t="s">
        <v>34</v>
      </c>
      <c r="N34" t="s">
        <v>35</v>
      </c>
      <c r="O34" t="s">
        <v>36</v>
      </c>
      <c r="P34" t="s">
        <v>37</v>
      </c>
      <c r="Q34" t="s">
        <v>421</v>
      </c>
      <c r="R34" t="s">
        <v>38</v>
      </c>
      <c r="S34">
        <v>2023</v>
      </c>
      <c r="T34" t="s">
        <v>62</v>
      </c>
      <c r="U34" t="s">
        <v>63</v>
      </c>
      <c r="V34" t="s">
        <v>421</v>
      </c>
      <c r="X34">
        <v>2</v>
      </c>
      <c r="AC34" t="s">
        <v>432</v>
      </c>
      <c r="AI34" t="s">
        <v>422</v>
      </c>
    </row>
    <row r="35" spans="1:36">
      <c r="A35" t="s">
        <v>535</v>
      </c>
      <c r="B35" t="s">
        <v>26</v>
      </c>
      <c r="C35" t="s">
        <v>55</v>
      </c>
      <c r="D35" t="s">
        <v>56</v>
      </c>
      <c r="E35" t="s">
        <v>65</v>
      </c>
      <c r="F35" t="s">
        <v>177</v>
      </c>
      <c r="G35" t="s">
        <v>178</v>
      </c>
      <c r="H35">
        <v>50200457</v>
      </c>
      <c r="I35" t="s">
        <v>180</v>
      </c>
      <c r="J35">
        <v>2016</v>
      </c>
      <c r="K35">
        <v>8</v>
      </c>
      <c r="L35">
        <v>0</v>
      </c>
      <c r="M35" t="s">
        <v>34</v>
      </c>
      <c r="N35" t="s">
        <v>35</v>
      </c>
      <c r="O35" t="s">
        <v>36</v>
      </c>
      <c r="P35" t="s">
        <v>37</v>
      </c>
      <c r="Q35" t="s">
        <v>421</v>
      </c>
      <c r="R35" t="s">
        <v>38</v>
      </c>
      <c r="S35">
        <v>2023</v>
      </c>
      <c r="T35" t="s">
        <v>62</v>
      </c>
      <c r="U35" t="s">
        <v>63</v>
      </c>
      <c r="V35" t="s">
        <v>421</v>
      </c>
      <c r="X35">
        <v>2</v>
      </c>
      <c r="AC35" t="s">
        <v>432</v>
      </c>
      <c r="AI35" t="s">
        <v>422</v>
      </c>
    </row>
    <row r="36" spans="1:36">
      <c r="A36" t="s">
        <v>535</v>
      </c>
      <c r="B36" t="s">
        <v>26</v>
      </c>
      <c r="C36" t="s">
        <v>55</v>
      </c>
      <c r="D36" t="s">
        <v>56</v>
      </c>
      <c r="E36" t="s">
        <v>65</v>
      </c>
      <c r="F36" t="s">
        <v>177</v>
      </c>
      <c r="G36" t="s">
        <v>178</v>
      </c>
      <c r="H36">
        <v>50200455</v>
      </c>
      <c r="I36" t="s">
        <v>182</v>
      </c>
      <c r="J36">
        <v>2016</v>
      </c>
      <c r="K36">
        <v>8</v>
      </c>
      <c r="L36">
        <v>0</v>
      </c>
      <c r="M36" t="s">
        <v>34</v>
      </c>
      <c r="N36" t="s">
        <v>35</v>
      </c>
      <c r="O36" t="s">
        <v>36</v>
      </c>
      <c r="P36" t="s">
        <v>37</v>
      </c>
      <c r="Q36" t="s">
        <v>421</v>
      </c>
      <c r="R36" t="s">
        <v>38</v>
      </c>
      <c r="S36">
        <v>2023</v>
      </c>
      <c r="T36" t="s">
        <v>62</v>
      </c>
      <c r="U36" t="s">
        <v>63</v>
      </c>
      <c r="V36" t="s">
        <v>421</v>
      </c>
      <c r="X36">
        <v>2</v>
      </c>
      <c r="AC36" t="s">
        <v>432</v>
      </c>
      <c r="AI36" t="s">
        <v>422</v>
      </c>
    </row>
    <row r="37" spans="1:36">
      <c r="A37" t="s">
        <v>535</v>
      </c>
      <c r="B37" t="s">
        <v>26</v>
      </c>
      <c r="C37" t="s">
        <v>55</v>
      </c>
      <c r="D37" t="s">
        <v>56</v>
      </c>
      <c r="E37" t="s">
        <v>65</v>
      </c>
      <c r="F37" t="s">
        <v>177</v>
      </c>
      <c r="G37" t="s">
        <v>178</v>
      </c>
      <c r="H37">
        <v>50200452</v>
      </c>
      <c r="I37" t="s">
        <v>183</v>
      </c>
      <c r="J37">
        <v>2016</v>
      </c>
      <c r="K37">
        <v>8</v>
      </c>
      <c r="L37">
        <v>0</v>
      </c>
      <c r="M37" t="s">
        <v>34</v>
      </c>
      <c r="N37" t="s">
        <v>35</v>
      </c>
      <c r="O37" t="s">
        <v>36</v>
      </c>
      <c r="P37" t="s">
        <v>37</v>
      </c>
      <c r="Q37" t="s">
        <v>421</v>
      </c>
      <c r="R37" t="s">
        <v>38</v>
      </c>
      <c r="S37">
        <v>2023</v>
      </c>
      <c r="T37" t="s">
        <v>62</v>
      </c>
      <c r="U37" t="s">
        <v>63</v>
      </c>
      <c r="V37" t="s">
        <v>421</v>
      </c>
      <c r="X37">
        <v>2</v>
      </c>
      <c r="AC37" t="s">
        <v>432</v>
      </c>
      <c r="AI37" t="s">
        <v>422</v>
      </c>
    </row>
    <row r="38" spans="1:36">
      <c r="A38" t="s">
        <v>535</v>
      </c>
      <c r="B38" t="s">
        <v>26</v>
      </c>
      <c r="C38" t="s">
        <v>55</v>
      </c>
      <c r="D38" t="s">
        <v>56</v>
      </c>
      <c r="E38" t="s">
        <v>65</v>
      </c>
      <c r="F38" t="s">
        <v>177</v>
      </c>
      <c r="G38" t="s">
        <v>178</v>
      </c>
      <c r="H38">
        <v>50200451</v>
      </c>
      <c r="I38" t="s">
        <v>184</v>
      </c>
      <c r="J38">
        <v>2016</v>
      </c>
      <c r="K38">
        <v>8</v>
      </c>
      <c r="L38">
        <v>0</v>
      </c>
      <c r="M38" t="s">
        <v>34</v>
      </c>
      <c r="N38" t="s">
        <v>35</v>
      </c>
      <c r="O38" t="s">
        <v>36</v>
      </c>
      <c r="P38" t="s">
        <v>37</v>
      </c>
      <c r="Q38" t="s">
        <v>421</v>
      </c>
      <c r="R38" t="s">
        <v>38</v>
      </c>
      <c r="S38">
        <v>2023</v>
      </c>
      <c r="T38" t="s">
        <v>62</v>
      </c>
      <c r="U38" t="s">
        <v>63</v>
      </c>
      <c r="V38" t="s">
        <v>421</v>
      </c>
      <c r="X38">
        <v>2</v>
      </c>
      <c r="AC38" t="s">
        <v>432</v>
      </c>
      <c r="AI38" t="s">
        <v>422</v>
      </c>
    </row>
    <row r="39" spans="1:36">
      <c r="A39" t="s">
        <v>433</v>
      </c>
      <c r="B39" t="s">
        <v>26</v>
      </c>
      <c r="C39" t="s">
        <v>55</v>
      </c>
      <c r="D39" t="s">
        <v>56</v>
      </c>
      <c r="E39" t="s">
        <v>65</v>
      </c>
      <c r="F39" t="s">
        <v>177</v>
      </c>
      <c r="G39" t="s">
        <v>178</v>
      </c>
      <c r="H39">
        <v>50200450</v>
      </c>
      <c r="I39" t="s">
        <v>187</v>
      </c>
      <c r="J39">
        <v>2016</v>
      </c>
      <c r="K39">
        <v>8</v>
      </c>
      <c r="L39">
        <v>0</v>
      </c>
      <c r="M39" t="s">
        <v>34</v>
      </c>
      <c r="N39" t="s">
        <v>35</v>
      </c>
      <c r="O39" t="s">
        <v>36</v>
      </c>
      <c r="P39" t="s">
        <v>37</v>
      </c>
      <c r="Q39" t="s">
        <v>421</v>
      </c>
      <c r="R39" t="s">
        <v>38</v>
      </c>
      <c r="S39">
        <v>2023</v>
      </c>
      <c r="T39" t="s">
        <v>62</v>
      </c>
      <c r="U39" t="s">
        <v>63</v>
      </c>
      <c r="V39" t="s">
        <v>421</v>
      </c>
      <c r="X39">
        <v>2</v>
      </c>
      <c r="AD39" t="s">
        <v>432</v>
      </c>
      <c r="AJ39" t="s">
        <v>422</v>
      </c>
    </row>
    <row r="40" spans="1:36">
      <c r="A40" t="s">
        <v>433</v>
      </c>
      <c r="B40" t="s">
        <v>26</v>
      </c>
      <c r="C40" t="s">
        <v>55</v>
      </c>
      <c r="D40" t="s">
        <v>56</v>
      </c>
      <c r="E40" t="s">
        <v>65</v>
      </c>
      <c r="F40" t="s">
        <v>177</v>
      </c>
      <c r="G40" t="s">
        <v>178</v>
      </c>
      <c r="H40">
        <v>50200468</v>
      </c>
      <c r="I40" t="s">
        <v>188</v>
      </c>
      <c r="J40">
        <v>2016</v>
      </c>
      <c r="K40">
        <v>8</v>
      </c>
      <c r="L40">
        <v>0</v>
      </c>
      <c r="M40" t="s">
        <v>34</v>
      </c>
      <c r="N40" t="s">
        <v>35</v>
      </c>
      <c r="O40" t="s">
        <v>36</v>
      </c>
      <c r="P40" t="s">
        <v>37</v>
      </c>
      <c r="Q40" t="s">
        <v>421</v>
      </c>
      <c r="R40" t="s">
        <v>38</v>
      </c>
      <c r="S40">
        <v>2023</v>
      </c>
      <c r="T40" t="s">
        <v>62</v>
      </c>
      <c r="U40" t="s">
        <v>63</v>
      </c>
      <c r="V40" t="s">
        <v>421</v>
      </c>
      <c r="X40">
        <v>2</v>
      </c>
      <c r="AD40" t="s">
        <v>432</v>
      </c>
      <c r="AJ40" t="s">
        <v>422</v>
      </c>
    </row>
    <row r="41" spans="1:36">
      <c r="A41" t="s">
        <v>433</v>
      </c>
      <c r="B41" t="s">
        <v>26</v>
      </c>
      <c r="C41" t="s">
        <v>55</v>
      </c>
      <c r="D41" t="s">
        <v>56</v>
      </c>
      <c r="E41" t="s">
        <v>57</v>
      </c>
      <c r="F41" t="s">
        <v>30</v>
      </c>
      <c r="G41" t="s">
        <v>78</v>
      </c>
      <c r="H41" t="s">
        <v>191</v>
      </c>
      <c r="I41" t="s">
        <v>192</v>
      </c>
      <c r="J41">
        <v>2020</v>
      </c>
      <c r="K41">
        <v>8</v>
      </c>
      <c r="L41">
        <v>4</v>
      </c>
      <c r="M41" t="s">
        <v>34</v>
      </c>
      <c r="N41" t="s">
        <v>35</v>
      </c>
      <c r="O41" t="s">
        <v>36</v>
      </c>
      <c r="P41" t="s">
        <v>37</v>
      </c>
      <c r="Q41" t="s">
        <v>421</v>
      </c>
      <c r="R41" t="s">
        <v>38</v>
      </c>
      <c r="S41">
        <v>2023</v>
      </c>
      <c r="T41" t="s">
        <v>62</v>
      </c>
      <c r="U41" t="s">
        <v>63</v>
      </c>
      <c r="V41" t="s">
        <v>421</v>
      </c>
      <c r="X41">
        <v>2</v>
      </c>
      <c r="AD41" t="s">
        <v>432</v>
      </c>
      <c r="AJ41" t="s">
        <v>422</v>
      </c>
    </row>
    <row r="42" spans="1:36">
      <c r="A42" t="s">
        <v>535</v>
      </c>
      <c r="B42" t="s">
        <v>26</v>
      </c>
      <c r="C42" t="s">
        <v>55</v>
      </c>
      <c r="D42" t="s">
        <v>56</v>
      </c>
      <c r="E42" t="s">
        <v>65</v>
      </c>
      <c r="F42" t="s">
        <v>177</v>
      </c>
      <c r="G42" t="s">
        <v>178</v>
      </c>
      <c r="H42">
        <v>50200448</v>
      </c>
      <c r="I42" t="s">
        <v>185</v>
      </c>
      <c r="J42">
        <v>2016</v>
      </c>
      <c r="K42">
        <v>8</v>
      </c>
      <c r="L42">
        <v>0</v>
      </c>
      <c r="M42" t="s">
        <v>34</v>
      </c>
      <c r="N42" t="s">
        <v>35</v>
      </c>
      <c r="O42" t="s">
        <v>36</v>
      </c>
      <c r="P42" t="s">
        <v>37</v>
      </c>
      <c r="Q42" t="s">
        <v>421</v>
      </c>
      <c r="R42" t="s">
        <v>38</v>
      </c>
      <c r="S42">
        <v>2023</v>
      </c>
      <c r="T42" t="s">
        <v>62</v>
      </c>
      <c r="U42" t="s">
        <v>63</v>
      </c>
      <c r="V42" t="s">
        <v>421</v>
      </c>
      <c r="X42">
        <v>2</v>
      </c>
      <c r="AC42" t="s">
        <v>432</v>
      </c>
      <c r="AI42" t="s">
        <v>422</v>
      </c>
    </row>
    <row r="43" spans="1:36">
      <c r="A43" t="s">
        <v>535</v>
      </c>
      <c r="B43" t="s">
        <v>26</v>
      </c>
      <c r="C43" t="s">
        <v>55</v>
      </c>
      <c r="D43" t="s">
        <v>56</v>
      </c>
      <c r="E43" t="s">
        <v>65</v>
      </c>
      <c r="F43" t="s">
        <v>177</v>
      </c>
      <c r="G43" t="s">
        <v>178</v>
      </c>
      <c r="H43">
        <v>50200444</v>
      </c>
      <c r="I43" t="s">
        <v>189</v>
      </c>
      <c r="J43">
        <v>2016</v>
      </c>
      <c r="K43">
        <v>8</v>
      </c>
      <c r="L43">
        <v>0</v>
      </c>
      <c r="M43" t="s">
        <v>34</v>
      </c>
      <c r="N43" t="s">
        <v>35</v>
      </c>
      <c r="O43" t="s">
        <v>36</v>
      </c>
      <c r="P43" t="s">
        <v>37</v>
      </c>
      <c r="Q43" t="s">
        <v>421</v>
      </c>
      <c r="R43" t="s">
        <v>38</v>
      </c>
      <c r="S43">
        <v>2023</v>
      </c>
      <c r="T43" t="s">
        <v>62</v>
      </c>
      <c r="U43" t="s">
        <v>63</v>
      </c>
      <c r="V43" t="s">
        <v>421</v>
      </c>
      <c r="X43">
        <v>2</v>
      </c>
      <c r="AC43" t="s">
        <v>432</v>
      </c>
      <c r="AI43" t="s">
        <v>422</v>
      </c>
    </row>
    <row r="44" spans="1:36">
      <c r="A44" t="s">
        <v>535</v>
      </c>
      <c r="B44" t="s">
        <v>26</v>
      </c>
      <c r="C44" t="s">
        <v>55</v>
      </c>
      <c r="D44" t="s">
        <v>56</v>
      </c>
      <c r="E44" t="s">
        <v>65</v>
      </c>
      <c r="F44" t="s">
        <v>177</v>
      </c>
      <c r="G44" t="s">
        <v>178</v>
      </c>
      <c r="H44">
        <v>50200436</v>
      </c>
      <c r="I44" t="s">
        <v>190</v>
      </c>
      <c r="J44">
        <v>2016</v>
      </c>
      <c r="K44">
        <v>8</v>
      </c>
      <c r="L44">
        <v>0</v>
      </c>
      <c r="M44" t="s">
        <v>34</v>
      </c>
      <c r="N44" t="s">
        <v>35</v>
      </c>
      <c r="O44" t="s">
        <v>36</v>
      </c>
      <c r="P44" t="s">
        <v>37</v>
      </c>
      <c r="Q44" t="s">
        <v>421</v>
      </c>
      <c r="R44" t="s">
        <v>38</v>
      </c>
      <c r="S44">
        <v>2023</v>
      </c>
      <c r="T44" t="s">
        <v>62</v>
      </c>
      <c r="U44" t="s">
        <v>63</v>
      </c>
      <c r="V44" t="s">
        <v>421</v>
      </c>
      <c r="X44">
        <v>2</v>
      </c>
      <c r="AC44" t="s">
        <v>432</v>
      </c>
      <c r="AI44" t="s">
        <v>422</v>
      </c>
    </row>
    <row r="45" spans="1:36">
      <c r="A45" t="s">
        <v>535</v>
      </c>
      <c r="B45" t="s">
        <v>26</v>
      </c>
      <c r="C45" t="s">
        <v>55</v>
      </c>
      <c r="D45" t="s">
        <v>56</v>
      </c>
      <c r="E45" t="s">
        <v>65</v>
      </c>
      <c r="F45" t="s">
        <v>66</v>
      </c>
      <c r="G45" t="s">
        <v>193</v>
      </c>
      <c r="H45">
        <v>115438</v>
      </c>
      <c r="I45" t="s">
        <v>194</v>
      </c>
      <c r="J45">
        <v>2016</v>
      </c>
      <c r="K45">
        <v>8</v>
      </c>
      <c r="L45">
        <v>0</v>
      </c>
      <c r="M45" t="s">
        <v>34</v>
      </c>
      <c r="N45" t="s">
        <v>35</v>
      </c>
      <c r="O45" t="s">
        <v>36</v>
      </c>
      <c r="P45" t="s">
        <v>37</v>
      </c>
      <c r="Q45" t="s">
        <v>421</v>
      </c>
      <c r="R45" t="s">
        <v>38</v>
      </c>
      <c r="S45">
        <v>2023</v>
      </c>
      <c r="T45" t="s">
        <v>62</v>
      </c>
      <c r="U45" t="s">
        <v>63</v>
      </c>
      <c r="V45" t="s">
        <v>421</v>
      </c>
      <c r="X45">
        <v>2</v>
      </c>
      <c r="AC45" t="s">
        <v>432</v>
      </c>
      <c r="AI45" t="s">
        <v>422</v>
      </c>
    </row>
    <row r="46" spans="1:36">
      <c r="A46" t="s">
        <v>535</v>
      </c>
      <c r="B46" t="s">
        <v>26</v>
      </c>
      <c r="C46" t="s">
        <v>55</v>
      </c>
      <c r="D46" t="s">
        <v>56</v>
      </c>
      <c r="E46" t="s">
        <v>65</v>
      </c>
      <c r="F46" t="s">
        <v>66</v>
      </c>
      <c r="G46" t="s">
        <v>193</v>
      </c>
      <c r="H46">
        <v>115409</v>
      </c>
      <c r="I46" t="s">
        <v>195</v>
      </c>
      <c r="J46">
        <v>2016</v>
      </c>
      <c r="K46">
        <v>8</v>
      </c>
      <c r="L46">
        <v>0</v>
      </c>
      <c r="M46" t="s">
        <v>34</v>
      </c>
      <c r="N46" t="s">
        <v>35</v>
      </c>
      <c r="O46" t="s">
        <v>36</v>
      </c>
      <c r="P46" t="s">
        <v>37</v>
      </c>
      <c r="Q46" t="s">
        <v>421</v>
      </c>
      <c r="R46" t="s">
        <v>38</v>
      </c>
      <c r="S46">
        <v>2023</v>
      </c>
      <c r="T46" t="s">
        <v>62</v>
      </c>
      <c r="U46" t="s">
        <v>63</v>
      </c>
      <c r="V46" t="s">
        <v>421</v>
      </c>
      <c r="X46">
        <v>2</v>
      </c>
      <c r="AC46" t="s">
        <v>432</v>
      </c>
      <c r="AI46" t="s">
        <v>422</v>
      </c>
    </row>
    <row r="47" spans="1:36">
      <c r="A47" t="s">
        <v>535</v>
      </c>
      <c r="B47" t="s">
        <v>26</v>
      </c>
      <c r="C47" t="s">
        <v>55</v>
      </c>
      <c r="D47" t="s">
        <v>56</v>
      </c>
      <c r="E47" t="s">
        <v>65</v>
      </c>
      <c r="F47" t="s">
        <v>66</v>
      </c>
      <c r="G47" t="s">
        <v>193</v>
      </c>
      <c r="H47">
        <v>115373</v>
      </c>
      <c r="I47" t="s">
        <v>196</v>
      </c>
      <c r="J47">
        <v>2016</v>
      </c>
      <c r="K47">
        <v>8</v>
      </c>
      <c r="L47">
        <v>0</v>
      </c>
      <c r="M47" t="s">
        <v>34</v>
      </c>
      <c r="N47" t="s">
        <v>35</v>
      </c>
      <c r="O47" t="s">
        <v>36</v>
      </c>
      <c r="P47" t="s">
        <v>37</v>
      </c>
      <c r="Q47" t="s">
        <v>421</v>
      </c>
      <c r="R47" t="s">
        <v>38</v>
      </c>
      <c r="S47">
        <v>2023</v>
      </c>
      <c r="T47" t="s">
        <v>62</v>
      </c>
      <c r="U47" t="s">
        <v>63</v>
      </c>
      <c r="V47" t="s">
        <v>421</v>
      </c>
      <c r="X47">
        <v>2</v>
      </c>
      <c r="AC47" t="s">
        <v>432</v>
      </c>
      <c r="AI47" t="s">
        <v>422</v>
      </c>
    </row>
    <row r="48" spans="1:36">
      <c r="A48" t="s">
        <v>535</v>
      </c>
      <c r="B48" t="s">
        <v>26</v>
      </c>
      <c r="C48" t="s">
        <v>55</v>
      </c>
      <c r="D48" t="s">
        <v>56</v>
      </c>
      <c r="E48" t="s">
        <v>496</v>
      </c>
      <c r="F48" t="s">
        <v>198</v>
      </c>
      <c r="G48" t="s">
        <v>121</v>
      </c>
      <c r="H48" t="s">
        <v>199</v>
      </c>
      <c r="I48" t="s">
        <v>200</v>
      </c>
      <c r="J48">
        <v>2016</v>
      </c>
      <c r="K48">
        <v>8</v>
      </c>
      <c r="L48">
        <v>0</v>
      </c>
      <c r="M48" t="s">
        <v>34</v>
      </c>
      <c r="N48" t="s">
        <v>35</v>
      </c>
      <c r="O48" t="s">
        <v>36</v>
      </c>
      <c r="P48" t="s">
        <v>37</v>
      </c>
      <c r="Q48" t="s">
        <v>421</v>
      </c>
      <c r="R48" t="s">
        <v>38</v>
      </c>
      <c r="S48">
        <v>2023</v>
      </c>
      <c r="T48" t="s">
        <v>62</v>
      </c>
      <c r="U48" t="s">
        <v>63</v>
      </c>
      <c r="V48" t="s">
        <v>421</v>
      </c>
      <c r="W48" t="s">
        <v>324</v>
      </c>
      <c r="X48">
        <v>2</v>
      </c>
      <c r="AC48" t="s">
        <v>432</v>
      </c>
      <c r="AI48" t="s">
        <v>422</v>
      </c>
    </row>
    <row r="49" spans="1:36">
      <c r="A49" t="s">
        <v>535</v>
      </c>
      <c r="B49" t="s">
        <v>26</v>
      </c>
      <c r="C49" t="s">
        <v>55</v>
      </c>
      <c r="D49" t="s">
        <v>56</v>
      </c>
      <c r="E49" t="s">
        <v>233</v>
      </c>
      <c r="F49" t="s">
        <v>198</v>
      </c>
      <c r="G49" t="s">
        <v>121</v>
      </c>
      <c r="H49" t="s">
        <v>201</v>
      </c>
      <c r="I49" t="s">
        <v>202</v>
      </c>
      <c r="J49">
        <v>2016</v>
      </c>
      <c r="K49">
        <v>8</v>
      </c>
      <c r="L49">
        <v>0</v>
      </c>
      <c r="M49" t="s">
        <v>34</v>
      </c>
      <c r="N49" t="s">
        <v>35</v>
      </c>
      <c r="O49" t="s">
        <v>36</v>
      </c>
      <c r="P49" t="s">
        <v>37</v>
      </c>
      <c r="Q49" t="s">
        <v>421</v>
      </c>
      <c r="R49" t="s">
        <v>38</v>
      </c>
      <c r="S49">
        <v>2023</v>
      </c>
      <c r="T49" t="s">
        <v>62</v>
      </c>
      <c r="U49" t="s">
        <v>63</v>
      </c>
      <c r="V49" t="s">
        <v>421</v>
      </c>
      <c r="W49" t="s">
        <v>324</v>
      </c>
      <c r="X49">
        <v>2</v>
      </c>
      <c r="AC49" t="s">
        <v>432</v>
      </c>
      <c r="AI49" t="s">
        <v>422</v>
      </c>
    </row>
    <row r="50" spans="1:36">
      <c r="A50" t="s">
        <v>535</v>
      </c>
      <c r="B50" t="s">
        <v>26</v>
      </c>
      <c r="C50" t="s">
        <v>55</v>
      </c>
      <c r="D50" t="s">
        <v>56</v>
      </c>
      <c r="E50" t="s">
        <v>57</v>
      </c>
      <c r="F50" t="s">
        <v>30</v>
      </c>
      <c r="G50" t="s">
        <v>78</v>
      </c>
      <c r="H50" t="s">
        <v>203</v>
      </c>
      <c r="I50" t="s">
        <v>204</v>
      </c>
      <c r="J50">
        <v>2020</v>
      </c>
      <c r="K50">
        <v>8</v>
      </c>
      <c r="L50">
        <v>4</v>
      </c>
      <c r="M50" t="s">
        <v>34</v>
      </c>
      <c r="N50" t="s">
        <v>35</v>
      </c>
      <c r="O50" t="s">
        <v>36</v>
      </c>
      <c r="P50" t="s">
        <v>37</v>
      </c>
      <c r="Q50" t="s">
        <v>421</v>
      </c>
      <c r="R50" t="s">
        <v>38</v>
      </c>
      <c r="S50">
        <v>2023</v>
      </c>
      <c r="T50" t="s">
        <v>62</v>
      </c>
      <c r="U50" t="s">
        <v>63</v>
      </c>
      <c r="V50" t="s">
        <v>421</v>
      </c>
      <c r="X50">
        <v>2</v>
      </c>
      <c r="AC50" t="s">
        <v>432</v>
      </c>
      <c r="AI50" t="s">
        <v>422</v>
      </c>
    </row>
    <row r="51" spans="1:36">
      <c r="A51" t="s">
        <v>535</v>
      </c>
      <c r="B51" t="s">
        <v>26</v>
      </c>
      <c r="C51" t="s">
        <v>55</v>
      </c>
      <c r="D51" t="s">
        <v>56</v>
      </c>
      <c r="E51" t="s">
        <v>57</v>
      </c>
      <c r="F51" t="s">
        <v>120</v>
      </c>
      <c r="G51" t="s">
        <v>205</v>
      </c>
      <c r="H51" t="s">
        <v>206</v>
      </c>
      <c r="I51" t="s">
        <v>207</v>
      </c>
      <c r="J51">
        <v>2017</v>
      </c>
      <c r="K51">
        <v>8</v>
      </c>
      <c r="L51">
        <v>1</v>
      </c>
      <c r="M51" t="s">
        <v>34</v>
      </c>
      <c r="N51" t="s">
        <v>35</v>
      </c>
      <c r="O51" t="s">
        <v>36</v>
      </c>
      <c r="P51" t="s">
        <v>37</v>
      </c>
      <c r="Q51" t="s">
        <v>421</v>
      </c>
      <c r="R51" t="s">
        <v>38</v>
      </c>
      <c r="S51">
        <v>2023</v>
      </c>
      <c r="T51" t="s">
        <v>62</v>
      </c>
      <c r="U51" t="s">
        <v>63</v>
      </c>
      <c r="V51" t="s">
        <v>421</v>
      </c>
      <c r="X51">
        <v>2</v>
      </c>
      <c r="AC51" t="s">
        <v>432</v>
      </c>
      <c r="AI51" t="s">
        <v>422</v>
      </c>
    </row>
    <row r="52" spans="1:36">
      <c r="A52" t="s">
        <v>535</v>
      </c>
      <c r="B52" t="s">
        <v>26</v>
      </c>
      <c r="C52" t="s">
        <v>55</v>
      </c>
      <c r="D52" t="s">
        <v>317</v>
      </c>
      <c r="E52" t="s">
        <v>70</v>
      </c>
      <c r="F52" t="s">
        <v>171</v>
      </c>
      <c r="G52" t="s">
        <v>297</v>
      </c>
      <c r="H52" t="s">
        <v>544</v>
      </c>
      <c r="I52" t="s">
        <v>545</v>
      </c>
      <c r="J52">
        <v>2022</v>
      </c>
      <c r="K52">
        <v>8</v>
      </c>
      <c r="L52">
        <v>6</v>
      </c>
      <c r="M52" t="s">
        <v>34</v>
      </c>
      <c r="N52" t="s">
        <v>35</v>
      </c>
      <c r="O52" t="s">
        <v>36</v>
      </c>
      <c r="P52" t="s">
        <v>38</v>
      </c>
      <c r="Q52" s="49">
        <v>45627</v>
      </c>
      <c r="R52" t="s">
        <v>38</v>
      </c>
      <c r="S52">
        <v>2024</v>
      </c>
      <c r="T52" t="s">
        <v>39</v>
      </c>
      <c r="U52" t="s">
        <v>319</v>
      </c>
      <c r="V52" t="s">
        <v>479</v>
      </c>
      <c r="X52">
        <v>2</v>
      </c>
      <c r="AD52" t="s">
        <v>432</v>
      </c>
      <c r="AJ52" t="s">
        <v>422</v>
      </c>
    </row>
    <row r="53" spans="1:36">
      <c r="A53" t="s">
        <v>535</v>
      </c>
      <c r="B53" t="s">
        <v>26</v>
      </c>
      <c r="C53" t="s">
        <v>55</v>
      </c>
      <c r="D53" t="s">
        <v>317</v>
      </c>
      <c r="E53" t="s">
        <v>70</v>
      </c>
      <c r="F53" t="s">
        <v>171</v>
      </c>
      <c r="G53" t="s">
        <v>297</v>
      </c>
      <c r="H53" t="s">
        <v>542</v>
      </c>
      <c r="I53" t="s">
        <v>543</v>
      </c>
      <c r="J53">
        <v>2022</v>
      </c>
      <c r="K53">
        <v>8</v>
      </c>
      <c r="L53">
        <v>6</v>
      </c>
      <c r="M53" t="s">
        <v>34</v>
      </c>
      <c r="N53" t="s">
        <v>35</v>
      </c>
      <c r="O53" t="s">
        <v>36</v>
      </c>
      <c r="P53" t="s">
        <v>38</v>
      </c>
      <c r="Q53" s="49">
        <v>45627</v>
      </c>
      <c r="R53" t="s">
        <v>38</v>
      </c>
      <c r="S53">
        <v>2024</v>
      </c>
      <c r="T53" t="s">
        <v>39</v>
      </c>
      <c r="U53" t="s">
        <v>319</v>
      </c>
      <c r="V53" t="s">
        <v>479</v>
      </c>
      <c r="X53">
        <v>2</v>
      </c>
      <c r="AD53" t="s">
        <v>432</v>
      </c>
      <c r="AJ53" t="s">
        <v>422</v>
      </c>
    </row>
    <row r="54" spans="1:36">
      <c r="A54" t="s">
        <v>535</v>
      </c>
      <c r="B54" t="s">
        <v>26</v>
      </c>
      <c r="C54" t="s">
        <v>55</v>
      </c>
      <c r="D54" t="s">
        <v>317</v>
      </c>
      <c r="E54" t="s">
        <v>70</v>
      </c>
      <c r="F54" t="s">
        <v>171</v>
      </c>
      <c r="G54" t="s">
        <v>297</v>
      </c>
      <c r="H54" t="s">
        <v>540</v>
      </c>
      <c r="I54" t="s">
        <v>541</v>
      </c>
      <c r="J54">
        <v>2022</v>
      </c>
      <c r="K54">
        <v>8</v>
      </c>
      <c r="L54">
        <v>6</v>
      </c>
      <c r="M54" t="s">
        <v>34</v>
      </c>
      <c r="N54" t="s">
        <v>35</v>
      </c>
      <c r="O54" t="s">
        <v>36</v>
      </c>
      <c r="P54" t="s">
        <v>38</v>
      </c>
      <c r="Q54" s="49">
        <v>45627</v>
      </c>
      <c r="R54" t="s">
        <v>38</v>
      </c>
      <c r="S54">
        <v>2024</v>
      </c>
      <c r="T54" t="s">
        <v>39</v>
      </c>
      <c r="U54" t="s">
        <v>319</v>
      </c>
      <c r="V54" t="s">
        <v>479</v>
      </c>
      <c r="X54">
        <v>2</v>
      </c>
      <c r="AD54" t="s">
        <v>432</v>
      </c>
      <c r="AJ54" t="s">
        <v>422</v>
      </c>
    </row>
    <row r="55" spans="1:36">
      <c r="A55" t="s">
        <v>535</v>
      </c>
      <c r="B55" t="s">
        <v>26</v>
      </c>
      <c r="C55" t="s">
        <v>55</v>
      </c>
      <c r="D55" t="s">
        <v>317</v>
      </c>
      <c r="E55" t="s">
        <v>70</v>
      </c>
      <c r="F55" t="s">
        <v>171</v>
      </c>
      <c r="G55" t="s">
        <v>297</v>
      </c>
      <c r="H55" t="s">
        <v>538</v>
      </c>
      <c r="I55" t="s">
        <v>539</v>
      </c>
      <c r="J55">
        <v>2022</v>
      </c>
      <c r="K55">
        <v>8</v>
      </c>
      <c r="L55">
        <v>6</v>
      </c>
      <c r="M55" t="s">
        <v>34</v>
      </c>
      <c r="N55" t="s">
        <v>35</v>
      </c>
      <c r="O55" t="s">
        <v>36</v>
      </c>
      <c r="P55" t="s">
        <v>38</v>
      </c>
      <c r="Q55" s="49">
        <v>45627</v>
      </c>
      <c r="R55" t="s">
        <v>38</v>
      </c>
      <c r="S55">
        <v>2024</v>
      </c>
      <c r="T55" t="s">
        <v>39</v>
      </c>
      <c r="U55" t="s">
        <v>319</v>
      </c>
      <c r="V55" t="s">
        <v>479</v>
      </c>
      <c r="X55">
        <v>2</v>
      </c>
      <c r="AD55" t="s">
        <v>432</v>
      </c>
      <c r="AJ55" t="s">
        <v>422</v>
      </c>
    </row>
    <row r="56" spans="1:36">
      <c r="A56" t="s">
        <v>535</v>
      </c>
      <c r="B56" t="s">
        <v>26</v>
      </c>
      <c r="C56" t="s">
        <v>55</v>
      </c>
      <c r="D56" t="s">
        <v>56</v>
      </c>
      <c r="E56" t="s">
        <v>57</v>
      </c>
      <c r="F56" t="s">
        <v>30</v>
      </c>
      <c r="G56" t="s">
        <v>78</v>
      </c>
      <c r="H56" t="s">
        <v>109</v>
      </c>
      <c r="I56" t="s">
        <v>110</v>
      </c>
      <c r="J56">
        <v>2015</v>
      </c>
      <c r="K56">
        <v>8</v>
      </c>
      <c r="L56">
        <v>-1</v>
      </c>
      <c r="M56" t="s">
        <v>34</v>
      </c>
      <c r="N56" t="s">
        <v>35</v>
      </c>
      <c r="O56" t="s">
        <v>36</v>
      </c>
      <c r="P56" t="s">
        <v>37</v>
      </c>
      <c r="Q56" t="s">
        <v>421</v>
      </c>
      <c r="R56" t="s">
        <v>38</v>
      </c>
      <c r="S56">
        <v>2023</v>
      </c>
      <c r="T56" t="s">
        <v>62</v>
      </c>
      <c r="U56" t="s">
        <v>63</v>
      </c>
      <c r="V56" t="s">
        <v>421</v>
      </c>
      <c r="X56">
        <v>2</v>
      </c>
      <c r="AD56" t="s">
        <v>432</v>
      </c>
      <c r="AJ56" t="s">
        <v>422</v>
      </c>
    </row>
    <row r="57" spans="1:36">
      <c r="A57" t="s">
        <v>535</v>
      </c>
      <c r="B57" t="s">
        <v>26</v>
      </c>
      <c r="C57" t="s">
        <v>55</v>
      </c>
      <c r="D57" t="s">
        <v>56</v>
      </c>
      <c r="E57" t="s">
        <v>70</v>
      </c>
      <c r="F57" t="s">
        <v>58</v>
      </c>
      <c r="G57" t="s">
        <v>71</v>
      </c>
      <c r="H57" t="s">
        <v>72</v>
      </c>
      <c r="I57" t="s">
        <v>73</v>
      </c>
      <c r="J57">
        <v>2015</v>
      </c>
      <c r="K57">
        <v>8</v>
      </c>
      <c r="L57">
        <v>-1</v>
      </c>
      <c r="M57" t="s">
        <v>34</v>
      </c>
      <c r="N57" t="s">
        <v>35</v>
      </c>
      <c r="O57" t="s">
        <v>36</v>
      </c>
      <c r="P57" t="s">
        <v>37</v>
      </c>
      <c r="Q57" t="s">
        <v>421</v>
      </c>
      <c r="R57" t="s">
        <v>38</v>
      </c>
      <c r="S57">
        <v>2023</v>
      </c>
      <c r="T57" t="s">
        <v>62</v>
      </c>
      <c r="U57" t="s">
        <v>63</v>
      </c>
      <c r="V57" t="s">
        <v>421</v>
      </c>
      <c r="X57">
        <v>2</v>
      </c>
      <c r="AC57" t="s">
        <v>432</v>
      </c>
      <c r="AI57" t="s">
        <v>422</v>
      </c>
    </row>
    <row r="58" spans="1:36">
      <c r="A58" t="s">
        <v>535</v>
      </c>
      <c r="B58" t="s">
        <v>26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60</v>
      </c>
      <c r="I58" t="s">
        <v>61</v>
      </c>
      <c r="J58">
        <v>2020</v>
      </c>
      <c r="K58">
        <v>8</v>
      </c>
      <c r="L58">
        <v>4</v>
      </c>
      <c r="M58" t="s">
        <v>34</v>
      </c>
      <c r="N58" t="s">
        <v>35</v>
      </c>
      <c r="O58" t="s">
        <v>36</v>
      </c>
      <c r="P58" t="s">
        <v>37</v>
      </c>
      <c r="Q58" t="s">
        <v>421</v>
      </c>
      <c r="R58" t="s">
        <v>38</v>
      </c>
      <c r="S58">
        <v>2023</v>
      </c>
      <c r="T58" t="s">
        <v>62</v>
      </c>
      <c r="U58" t="s">
        <v>63</v>
      </c>
      <c r="V58" t="s">
        <v>421</v>
      </c>
      <c r="X58">
        <v>2</v>
      </c>
      <c r="AC58" t="s">
        <v>432</v>
      </c>
      <c r="AI58" t="s">
        <v>422</v>
      </c>
    </row>
    <row r="59" spans="1:36">
      <c r="A59" t="s">
        <v>533</v>
      </c>
      <c r="B59" t="s">
        <v>26</v>
      </c>
      <c r="C59" t="s">
        <v>55</v>
      </c>
      <c r="D59" t="s">
        <v>56</v>
      </c>
      <c r="E59" t="s">
        <v>70</v>
      </c>
      <c r="F59" t="s">
        <v>218</v>
      </c>
      <c r="G59" t="s">
        <v>219</v>
      </c>
      <c r="H59" t="s">
        <v>220</v>
      </c>
      <c r="I59" t="s">
        <v>221</v>
      </c>
      <c r="J59">
        <v>2017</v>
      </c>
      <c r="K59">
        <v>8</v>
      </c>
      <c r="L59">
        <v>1</v>
      </c>
      <c r="M59" t="s">
        <v>34</v>
      </c>
      <c r="N59" t="s">
        <v>35</v>
      </c>
      <c r="O59" t="s">
        <v>36</v>
      </c>
      <c r="P59" t="s">
        <v>37</v>
      </c>
      <c r="Q59" t="s">
        <v>421</v>
      </c>
      <c r="R59" t="s">
        <v>38</v>
      </c>
      <c r="S59">
        <v>2023</v>
      </c>
      <c r="T59" t="s">
        <v>62</v>
      </c>
      <c r="U59" t="s">
        <v>63</v>
      </c>
      <c r="V59" t="s">
        <v>421</v>
      </c>
      <c r="X59">
        <v>2</v>
      </c>
      <c r="AD59" t="s">
        <v>432</v>
      </c>
      <c r="AJ59" t="s">
        <v>422</v>
      </c>
    </row>
    <row r="60" spans="1:36">
      <c r="A60" t="s">
        <v>531</v>
      </c>
      <c r="B60" t="s">
        <v>26</v>
      </c>
      <c r="C60" t="s">
        <v>55</v>
      </c>
      <c r="D60" t="s">
        <v>56</v>
      </c>
      <c r="E60" t="s">
        <v>65</v>
      </c>
      <c r="F60" t="s">
        <v>177</v>
      </c>
      <c r="G60" t="s">
        <v>178</v>
      </c>
      <c r="H60">
        <v>50200458</v>
      </c>
      <c r="I60" t="s">
        <v>223</v>
      </c>
      <c r="J60">
        <v>2016</v>
      </c>
      <c r="K60">
        <v>8</v>
      </c>
      <c r="L60">
        <v>0</v>
      </c>
      <c r="M60" t="s">
        <v>34</v>
      </c>
      <c r="N60" t="s">
        <v>35</v>
      </c>
      <c r="O60" t="s">
        <v>36</v>
      </c>
      <c r="P60" t="s">
        <v>37</v>
      </c>
      <c r="Q60" t="s">
        <v>421</v>
      </c>
      <c r="R60" t="s">
        <v>38</v>
      </c>
      <c r="S60">
        <v>2023</v>
      </c>
      <c r="T60" t="s">
        <v>62</v>
      </c>
      <c r="U60" t="s">
        <v>63</v>
      </c>
      <c r="V60" t="s">
        <v>421</v>
      </c>
      <c r="X60">
        <v>2</v>
      </c>
      <c r="AD60" t="s">
        <v>432</v>
      </c>
      <c r="AJ60" t="s">
        <v>422</v>
      </c>
    </row>
    <row r="61" spans="1:36">
      <c r="A61" t="s">
        <v>224</v>
      </c>
      <c r="B61" t="s">
        <v>26</v>
      </c>
      <c r="C61" t="s">
        <v>27</v>
      </c>
      <c r="D61" t="s">
        <v>28</v>
      </c>
      <c r="E61" t="s">
        <v>229</v>
      </c>
      <c r="F61" t="s">
        <v>210</v>
      </c>
      <c r="G61" t="s">
        <v>230</v>
      </c>
      <c r="H61" t="s">
        <v>231</v>
      </c>
      <c r="I61" t="s">
        <v>232</v>
      </c>
      <c r="J61">
        <v>2016</v>
      </c>
      <c r="K61">
        <v>8</v>
      </c>
      <c r="L61">
        <v>0</v>
      </c>
      <c r="M61" t="s">
        <v>34</v>
      </c>
      <c r="N61" t="s">
        <v>35</v>
      </c>
      <c r="O61" t="s">
        <v>36</v>
      </c>
      <c r="P61" t="s">
        <v>37</v>
      </c>
      <c r="Q61" t="s">
        <v>421</v>
      </c>
      <c r="R61" t="s">
        <v>38</v>
      </c>
      <c r="S61">
        <v>2023</v>
      </c>
      <c r="T61" t="s">
        <v>39</v>
      </c>
      <c r="U61" t="s">
        <v>445</v>
      </c>
      <c r="V61" t="s">
        <v>446</v>
      </c>
      <c r="W61">
        <v>300000</v>
      </c>
      <c r="X61">
        <v>2</v>
      </c>
      <c r="AB61" t="s">
        <v>432</v>
      </c>
      <c r="AH61" t="s">
        <v>422</v>
      </c>
    </row>
    <row r="62" spans="1:36">
      <c r="A62" t="s">
        <v>526</v>
      </c>
      <c r="B62" t="s">
        <v>26</v>
      </c>
      <c r="C62" t="s">
        <v>55</v>
      </c>
      <c r="D62" t="s">
        <v>56</v>
      </c>
      <c r="E62" t="s">
        <v>70</v>
      </c>
      <c r="F62" t="s">
        <v>225</v>
      </c>
      <c r="G62" t="s">
        <v>226</v>
      </c>
      <c r="H62" t="s">
        <v>227</v>
      </c>
      <c r="I62" t="s">
        <v>228</v>
      </c>
      <c r="J62">
        <v>2014</v>
      </c>
      <c r="K62">
        <v>8</v>
      </c>
      <c r="L62">
        <v>-2</v>
      </c>
      <c r="M62" t="s">
        <v>34</v>
      </c>
      <c r="N62" t="s">
        <v>35</v>
      </c>
      <c r="O62" t="s">
        <v>36</v>
      </c>
      <c r="P62" t="s">
        <v>37</v>
      </c>
      <c r="Q62" t="s">
        <v>421</v>
      </c>
      <c r="R62" t="s">
        <v>38</v>
      </c>
      <c r="S62">
        <v>2023</v>
      </c>
      <c r="T62" t="s">
        <v>62</v>
      </c>
      <c r="U62" t="s">
        <v>63</v>
      </c>
      <c r="V62" t="s">
        <v>421</v>
      </c>
      <c r="X62">
        <v>2</v>
      </c>
      <c r="AD62" t="s">
        <v>432</v>
      </c>
      <c r="AJ62" t="s">
        <v>422</v>
      </c>
    </row>
    <row r="63" spans="1:36">
      <c r="A63" t="s">
        <v>526</v>
      </c>
      <c r="B63" t="s">
        <v>26</v>
      </c>
      <c r="C63" t="s">
        <v>55</v>
      </c>
      <c r="D63" t="s">
        <v>56</v>
      </c>
      <c r="E63" t="s">
        <v>233</v>
      </c>
      <c r="F63" t="s">
        <v>198</v>
      </c>
      <c r="G63" t="s">
        <v>121</v>
      </c>
      <c r="H63" t="s">
        <v>234</v>
      </c>
      <c r="I63" t="s">
        <v>235</v>
      </c>
      <c r="J63">
        <v>2016</v>
      </c>
      <c r="K63">
        <v>8</v>
      </c>
      <c r="L63">
        <v>0</v>
      </c>
      <c r="M63" t="s">
        <v>34</v>
      </c>
      <c r="N63" t="s">
        <v>35</v>
      </c>
      <c r="O63" t="s">
        <v>36</v>
      </c>
      <c r="P63" t="s">
        <v>37</v>
      </c>
      <c r="Q63" t="s">
        <v>421</v>
      </c>
      <c r="R63" t="s">
        <v>38</v>
      </c>
      <c r="S63">
        <v>2023</v>
      </c>
      <c r="T63" t="s">
        <v>62</v>
      </c>
      <c r="U63" t="s">
        <v>63</v>
      </c>
      <c r="V63" t="s">
        <v>421</v>
      </c>
      <c r="W63" t="s">
        <v>324</v>
      </c>
      <c r="X63">
        <v>2</v>
      </c>
      <c r="AD63" t="s">
        <v>432</v>
      </c>
      <c r="AJ63" t="s">
        <v>422</v>
      </c>
    </row>
    <row r="64" spans="1:36">
      <c r="A64" t="s">
        <v>526</v>
      </c>
      <c r="B64" t="s">
        <v>26</v>
      </c>
      <c r="C64" t="s">
        <v>55</v>
      </c>
      <c r="D64" t="s">
        <v>56</v>
      </c>
      <c r="E64" t="s">
        <v>65</v>
      </c>
      <c r="F64" t="s">
        <v>177</v>
      </c>
      <c r="G64" t="s">
        <v>178</v>
      </c>
      <c r="H64">
        <v>50200461</v>
      </c>
      <c r="I64" t="s">
        <v>236</v>
      </c>
      <c r="J64">
        <v>2016</v>
      </c>
      <c r="K64">
        <v>8</v>
      </c>
      <c r="L64">
        <v>0</v>
      </c>
      <c r="M64" t="s">
        <v>34</v>
      </c>
      <c r="N64" t="s">
        <v>35</v>
      </c>
      <c r="O64" t="s">
        <v>36</v>
      </c>
      <c r="P64" t="s">
        <v>37</v>
      </c>
      <c r="Q64" t="s">
        <v>421</v>
      </c>
      <c r="R64" t="s">
        <v>38</v>
      </c>
      <c r="S64">
        <v>2023</v>
      </c>
      <c r="T64" t="s">
        <v>62</v>
      </c>
      <c r="U64" t="s">
        <v>63</v>
      </c>
      <c r="V64" t="s">
        <v>421</v>
      </c>
      <c r="X64">
        <v>2</v>
      </c>
      <c r="AD64" t="s">
        <v>432</v>
      </c>
      <c r="AJ64" t="s">
        <v>422</v>
      </c>
    </row>
    <row r="65" spans="1:35">
      <c r="A65" t="s">
        <v>525</v>
      </c>
      <c r="B65" t="s">
        <v>26</v>
      </c>
      <c r="C65" t="s">
        <v>263</v>
      </c>
      <c r="D65" t="s">
        <v>28</v>
      </c>
      <c r="E65" t="s">
        <v>264</v>
      </c>
      <c r="F65" t="s">
        <v>210</v>
      </c>
      <c r="G65" t="s">
        <v>265</v>
      </c>
      <c r="H65" t="s">
        <v>271</v>
      </c>
      <c r="I65" t="s">
        <v>272</v>
      </c>
      <c r="J65">
        <v>2015</v>
      </c>
      <c r="K65">
        <v>8</v>
      </c>
      <c r="L65">
        <v>-1</v>
      </c>
      <c r="M65" t="s">
        <v>34</v>
      </c>
      <c r="N65" t="s">
        <v>35</v>
      </c>
      <c r="O65" t="s">
        <v>36</v>
      </c>
      <c r="P65" t="s">
        <v>37</v>
      </c>
      <c r="Q65" t="s">
        <v>421</v>
      </c>
      <c r="R65" t="s">
        <v>38</v>
      </c>
      <c r="S65">
        <v>2023</v>
      </c>
      <c r="T65" t="s">
        <v>39</v>
      </c>
      <c r="U65" t="s">
        <v>210</v>
      </c>
      <c r="V65" t="s">
        <v>523</v>
      </c>
      <c r="X65">
        <v>2</v>
      </c>
      <c r="AB65" t="s">
        <v>432</v>
      </c>
      <c r="AH65" t="s">
        <v>422</v>
      </c>
    </row>
    <row r="66" spans="1:35">
      <c r="A66" t="s">
        <v>524</v>
      </c>
      <c r="B66" t="s">
        <v>26</v>
      </c>
      <c r="C66" t="s">
        <v>263</v>
      </c>
      <c r="D66" t="s">
        <v>28</v>
      </c>
      <c r="E66" t="s">
        <v>264</v>
      </c>
      <c r="F66" t="s">
        <v>210</v>
      </c>
      <c r="G66" t="s">
        <v>265</v>
      </c>
      <c r="H66" t="s">
        <v>266</v>
      </c>
      <c r="I66" t="s">
        <v>267</v>
      </c>
      <c r="J66">
        <v>2016</v>
      </c>
      <c r="K66">
        <v>8</v>
      </c>
      <c r="L66">
        <v>0</v>
      </c>
      <c r="M66" t="s">
        <v>34</v>
      </c>
      <c r="N66" t="s">
        <v>35</v>
      </c>
      <c r="O66" t="s">
        <v>36</v>
      </c>
      <c r="P66" t="s">
        <v>37</v>
      </c>
      <c r="Q66" t="s">
        <v>421</v>
      </c>
      <c r="R66" t="s">
        <v>38</v>
      </c>
      <c r="S66">
        <v>2023</v>
      </c>
      <c r="T66" t="s">
        <v>39</v>
      </c>
      <c r="U66" t="s">
        <v>210</v>
      </c>
      <c r="V66" t="s">
        <v>523</v>
      </c>
      <c r="X66">
        <v>2</v>
      </c>
      <c r="AB66" t="s">
        <v>432</v>
      </c>
      <c r="AH66" t="s">
        <v>422</v>
      </c>
    </row>
    <row r="67" spans="1:35">
      <c r="A67" t="s">
        <v>522</v>
      </c>
      <c r="B67" t="s">
        <v>26</v>
      </c>
      <c r="C67" t="s">
        <v>263</v>
      </c>
      <c r="D67" t="s">
        <v>28</v>
      </c>
      <c r="E67" t="s">
        <v>264</v>
      </c>
      <c r="F67" t="s">
        <v>210</v>
      </c>
      <c r="G67" t="s">
        <v>265</v>
      </c>
      <c r="H67" t="s">
        <v>269</v>
      </c>
      <c r="I67" t="s">
        <v>270</v>
      </c>
      <c r="J67">
        <v>2016</v>
      </c>
      <c r="K67">
        <v>8</v>
      </c>
      <c r="L67">
        <v>0</v>
      </c>
      <c r="M67" t="s">
        <v>34</v>
      </c>
      <c r="N67" t="s">
        <v>35</v>
      </c>
      <c r="O67" t="s">
        <v>36</v>
      </c>
      <c r="P67" t="s">
        <v>37</v>
      </c>
      <c r="Q67" t="s">
        <v>421</v>
      </c>
      <c r="R67" t="s">
        <v>38</v>
      </c>
      <c r="S67">
        <v>2023</v>
      </c>
      <c r="T67" t="s">
        <v>39</v>
      </c>
      <c r="U67" t="s">
        <v>210</v>
      </c>
      <c r="V67" t="s">
        <v>523</v>
      </c>
      <c r="X67">
        <v>2</v>
      </c>
      <c r="AB67" t="s">
        <v>432</v>
      </c>
      <c r="AH67" t="s">
        <v>422</v>
      </c>
    </row>
    <row r="68" spans="1:35">
      <c r="A68" t="s">
        <v>277</v>
      </c>
      <c r="B68" t="s">
        <v>26</v>
      </c>
      <c r="C68" t="s">
        <v>27</v>
      </c>
      <c r="D68" t="s">
        <v>56</v>
      </c>
      <c r="E68" t="s">
        <v>278</v>
      </c>
      <c r="F68" t="s">
        <v>279</v>
      </c>
      <c r="G68" t="s">
        <v>280</v>
      </c>
      <c r="H68">
        <v>1078</v>
      </c>
      <c r="I68" t="s">
        <v>281</v>
      </c>
      <c r="J68">
        <v>2015</v>
      </c>
      <c r="K68">
        <v>8</v>
      </c>
      <c r="L68">
        <v>-1</v>
      </c>
      <c r="M68" t="s">
        <v>34</v>
      </c>
      <c r="N68" t="s">
        <v>35</v>
      </c>
      <c r="O68" t="s">
        <v>36</v>
      </c>
      <c r="P68" t="s">
        <v>37</v>
      </c>
      <c r="Q68" t="s">
        <v>421</v>
      </c>
      <c r="R68" t="s">
        <v>38</v>
      </c>
      <c r="S68">
        <v>2023</v>
      </c>
      <c r="T68" t="s">
        <v>39</v>
      </c>
      <c r="U68" t="s">
        <v>445</v>
      </c>
      <c r="V68" t="s">
        <v>446</v>
      </c>
      <c r="W68">
        <v>300000</v>
      </c>
      <c r="X68">
        <v>2</v>
      </c>
      <c r="AB68" t="s">
        <v>432</v>
      </c>
      <c r="AH68" t="s">
        <v>422</v>
      </c>
    </row>
    <row r="69" spans="1:35">
      <c r="A69" t="s">
        <v>519</v>
      </c>
      <c r="B69" t="s">
        <v>26</v>
      </c>
      <c r="C69" t="s">
        <v>55</v>
      </c>
      <c r="D69" t="s">
        <v>56</v>
      </c>
      <c r="E69" t="s">
        <v>65</v>
      </c>
      <c r="F69" t="s">
        <v>171</v>
      </c>
      <c r="G69" t="s">
        <v>172</v>
      </c>
      <c r="H69" t="s">
        <v>238</v>
      </c>
      <c r="I69" t="s">
        <v>239</v>
      </c>
      <c r="J69">
        <v>2015</v>
      </c>
      <c r="K69">
        <v>8</v>
      </c>
      <c r="L69">
        <v>-1</v>
      </c>
      <c r="M69" t="s">
        <v>34</v>
      </c>
      <c r="N69" t="s">
        <v>35</v>
      </c>
      <c r="O69" t="s">
        <v>36</v>
      </c>
      <c r="P69" t="s">
        <v>37</v>
      </c>
      <c r="Q69" t="s">
        <v>421</v>
      </c>
      <c r="R69" t="s">
        <v>38</v>
      </c>
      <c r="S69">
        <v>2023</v>
      </c>
      <c r="T69" t="s">
        <v>62</v>
      </c>
      <c r="U69" t="s">
        <v>63</v>
      </c>
      <c r="V69" t="s">
        <v>421</v>
      </c>
      <c r="X69">
        <v>2</v>
      </c>
      <c r="AB69" t="s">
        <v>432</v>
      </c>
      <c r="AH69" t="s">
        <v>422</v>
      </c>
    </row>
    <row r="70" spans="1:35">
      <c r="A70" t="s">
        <v>519</v>
      </c>
      <c r="B70" t="s">
        <v>26</v>
      </c>
      <c r="C70" t="s">
        <v>55</v>
      </c>
      <c r="D70" t="s">
        <v>56</v>
      </c>
      <c r="E70" t="s">
        <v>65</v>
      </c>
      <c r="F70" t="s">
        <v>177</v>
      </c>
      <c r="G70" t="s">
        <v>178</v>
      </c>
      <c r="H70">
        <v>50200447</v>
      </c>
      <c r="I70" t="s">
        <v>240</v>
      </c>
      <c r="J70">
        <v>2016</v>
      </c>
      <c r="K70">
        <v>8</v>
      </c>
      <c r="L70">
        <v>0</v>
      </c>
      <c r="M70" t="s">
        <v>34</v>
      </c>
      <c r="N70" t="s">
        <v>35</v>
      </c>
      <c r="O70" t="s">
        <v>36</v>
      </c>
      <c r="P70" t="s">
        <v>37</v>
      </c>
      <c r="Q70" t="s">
        <v>421</v>
      </c>
      <c r="R70" t="s">
        <v>38</v>
      </c>
      <c r="S70">
        <v>2023</v>
      </c>
      <c r="T70" t="s">
        <v>62</v>
      </c>
      <c r="U70" t="s">
        <v>63</v>
      </c>
      <c r="V70" t="s">
        <v>421</v>
      </c>
      <c r="X70">
        <v>2</v>
      </c>
      <c r="AB70" t="s">
        <v>432</v>
      </c>
      <c r="AH70" t="s">
        <v>422</v>
      </c>
    </row>
    <row r="71" spans="1:35">
      <c r="A71" t="s">
        <v>450</v>
      </c>
      <c r="B71" t="s">
        <v>26</v>
      </c>
      <c r="C71" t="s">
        <v>55</v>
      </c>
      <c r="D71" t="s">
        <v>56</v>
      </c>
      <c r="E71" t="s">
        <v>70</v>
      </c>
      <c r="F71" t="s">
        <v>241</v>
      </c>
      <c r="G71" t="s">
        <v>242</v>
      </c>
      <c r="H71">
        <v>1022045</v>
      </c>
      <c r="I71" t="s">
        <v>243</v>
      </c>
      <c r="J71">
        <v>2015</v>
      </c>
      <c r="K71">
        <v>8</v>
      </c>
      <c r="L71">
        <v>-1</v>
      </c>
      <c r="M71" t="s">
        <v>34</v>
      </c>
      <c r="N71" t="s">
        <v>35</v>
      </c>
      <c r="O71" t="s">
        <v>36</v>
      </c>
      <c r="P71" t="s">
        <v>37</v>
      </c>
      <c r="Q71" t="s">
        <v>421</v>
      </c>
      <c r="R71" t="s">
        <v>38</v>
      </c>
      <c r="S71">
        <v>2023</v>
      </c>
      <c r="T71" t="s">
        <v>62</v>
      </c>
      <c r="U71" t="s">
        <v>63</v>
      </c>
      <c r="V71" t="s">
        <v>421</v>
      </c>
      <c r="X71">
        <v>2</v>
      </c>
      <c r="AB71" t="s">
        <v>432</v>
      </c>
      <c r="AH71" t="s">
        <v>422</v>
      </c>
    </row>
    <row r="72" spans="1:35">
      <c r="A72" t="s">
        <v>519</v>
      </c>
      <c r="B72" t="s">
        <v>26</v>
      </c>
      <c r="C72" t="s">
        <v>55</v>
      </c>
      <c r="D72" t="s">
        <v>56</v>
      </c>
      <c r="E72" t="s">
        <v>65</v>
      </c>
      <c r="F72" t="s">
        <v>66</v>
      </c>
      <c r="G72" t="s">
        <v>193</v>
      </c>
      <c r="H72">
        <v>115467</v>
      </c>
      <c r="I72" t="s">
        <v>244</v>
      </c>
      <c r="J72">
        <v>2016</v>
      </c>
      <c r="K72">
        <v>8</v>
      </c>
      <c r="L72">
        <v>0</v>
      </c>
      <c r="M72" t="s">
        <v>34</v>
      </c>
      <c r="N72" t="s">
        <v>35</v>
      </c>
      <c r="O72" t="s">
        <v>36</v>
      </c>
      <c r="P72" t="s">
        <v>37</v>
      </c>
      <c r="Q72" t="s">
        <v>421</v>
      </c>
      <c r="R72" t="s">
        <v>38</v>
      </c>
      <c r="S72">
        <v>2023</v>
      </c>
      <c r="T72" t="s">
        <v>62</v>
      </c>
      <c r="U72" t="s">
        <v>63</v>
      </c>
      <c r="V72" t="s">
        <v>421</v>
      </c>
      <c r="X72">
        <v>2</v>
      </c>
      <c r="AB72" t="s">
        <v>432</v>
      </c>
      <c r="AH72" t="s">
        <v>422</v>
      </c>
    </row>
    <row r="73" spans="1:35">
      <c r="A73" t="s">
        <v>519</v>
      </c>
      <c r="B73" t="s">
        <v>26</v>
      </c>
      <c r="C73" t="s">
        <v>55</v>
      </c>
      <c r="D73" t="s">
        <v>56</v>
      </c>
      <c r="E73" t="s">
        <v>65</v>
      </c>
      <c r="F73" t="s">
        <v>66</v>
      </c>
      <c r="G73" t="s">
        <v>193</v>
      </c>
      <c r="H73">
        <v>115432</v>
      </c>
      <c r="I73" t="s">
        <v>245</v>
      </c>
      <c r="J73">
        <v>2016</v>
      </c>
      <c r="K73">
        <v>8</v>
      </c>
      <c r="L73">
        <v>0</v>
      </c>
      <c r="M73" t="s">
        <v>34</v>
      </c>
      <c r="N73" t="s">
        <v>35</v>
      </c>
      <c r="O73" t="s">
        <v>36</v>
      </c>
      <c r="P73" t="s">
        <v>37</v>
      </c>
      <c r="Q73" t="s">
        <v>421</v>
      </c>
      <c r="R73" t="s">
        <v>38</v>
      </c>
      <c r="S73">
        <v>2023</v>
      </c>
      <c r="T73" t="s">
        <v>62</v>
      </c>
      <c r="U73" t="s">
        <v>63</v>
      </c>
      <c r="V73" t="s">
        <v>421</v>
      </c>
      <c r="X73">
        <v>2</v>
      </c>
      <c r="AB73" t="s">
        <v>432</v>
      </c>
      <c r="AH73" t="s">
        <v>422</v>
      </c>
    </row>
    <row r="74" spans="1:35">
      <c r="A74" t="s">
        <v>519</v>
      </c>
      <c r="B74" t="s">
        <v>26</v>
      </c>
      <c r="C74" t="s">
        <v>55</v>
      </c>
      <c r="D74" t="s">
        <v>56</v>
      </c>
      <c r="E74" t="s">
        <v>65</v>
      </c>
      <c r="F74" t="s">
        <v>66</v>
      </c>
      <c r="G74" t="s">
        <v>193</v>
      </c>
      <c r="H74">
        <v>115426</v>
      </c>
      <c r="I74" t="s">
        <v>246</v>
      </c>
      <c r="J74">
        <v>2016</v>
      </c>
      <c r="K74">
        <v>8</v>
      </c>
      <c r="L74">
        <v>0</v>
      </c>
      <c r="M74" t="s">
        <v>34</v>
      </c>
      <c r="N74" t="s">
        <v>35</v>
      </c>
      <c r="O74" t="s">
        <v>36</v>
      </c>
      <c r="P74" t="s">
        <v>37</v>
      </c>
      <c r="Q74" t="s">
        <v>421</v>
      </c>
      <c r="R74" t="s">
        <v>38</v>
      </c>
      <c r="S74">
        <v>2023</v>
      </c>
      <c r="T74" t="s">
        <v>62</v>
      </c>
      <c r="U74" t="s">
        <v>63</v>
      </c>
      <c r="V74" t="s">
        <v>421</v>
      </c>
      <c r="X74">
        <v>2</v>
      </c>
      <c r="AB74" t="s">
        <v>432</v>
      </c>
      <c r="AH74" t="s">
        <v>422</v>
      </c>
    </row>
    <row r="75" spans="1:35">
      <c r="A75" t="s">
        <v>438</v>
      </c>
      <c r="B75" t="s">
        <v>26</v>
      </c>
      <c r="C75" t="s">
        <v>55</v>
      </c>
      <c r="D75" t="s">
        <v>56</v>
      </c>
      <c r="E75" t="s">
        <v>65</v>
      </c>
      <c r="F75" t="s">
        <v>177</v>
      </c>
      <c r="G75" t="s">
        <v>178</v>
      </c>
      <c r="H75">
        <v>50200459</v>
      </c>
      <c r="I75" t="s">
        <v>249</v>
      </c>
      <c r="J75">
        <v>2016</v>
      </c>
      <c r="K75">
        <v>8</v>
      </c>
      <c r="L75">
        <v>0</v>
      </c>
      <c r="M75" t="s">
        <v>34</v>
      </c>
      <c r="N75" t="s">
        <v>35</v>
      </c>
      <c r="O75" t="s">
        <v>36</v>
      </c>
      <c r="P75" t="s">
        <v>37</v>
      </c>
      <c r="Q75" t="s">
        <v>421</v>
      </c>
      <c r="R75" t="s">
        <v>38</v>
      </c>
      <c r="S75">
        <v>2023</v>
      </c>
      <c r="T75" t="s">
        <v>62</v>
      </c>
      <c r="U75" t="s">
        <v>63</v>
      </c>
      <c r="V75" t="s">
        <v>421</v>
      </c>
      <c r="X75">
        <v>2</v>
      </c>
      <c r="AC75" t="s">
        <v>432</v>
      </c>
      <c r="AI75" t="s">
        <v>422</v>
      </c>
    </row>
    <row r="76" spans="1:35">
      <c r="A76" t="s">
        <v>438</v>
      </c>
      <c r="B76" t="s">
        <v>26</v>
      </c>
      <c r="C76" t="s">
        <v>55</v>
      </c>
      <c r="D76" t="s">
        <v>56</v>
      </c>
      <c r="E76" t="s">
        <v>233</v>
      </c>
      <c r="F76" t="s">
        <v>250</v>
      </c>
      <c r="G76" t="s">
        <v>251</v>
      </c>
      <c r="H76" t="s">
        <v>252</v>
      </c>
      <c r="I76" t="s">
        <v>253</v>
      </c>
      <c r="J76">
        <v>2014</v>
      </c>
      <c r="K76">
        <v>8</v>
      </c>
      <c r="L76">
        <v>-2</v>
      </c>
      <c r="M76" t="s">
        <v>34</v>
      </c>
      <c r="N76" t="s">
        <v>440</v>
      </c>
      <c r="O76" t="s">
        <v>36</v>
      </c>
      <c r="P76" t="s">
        <v>37</v>
      </c>
      <c r="Q76" t="s">
        <v>421</v>
      </c>
      <c r="R76" t="s">
        <v>38</v>
      </c>
      <c r="S76">
        <v>2023</v>
      </c>
      <c r="T76" t="s">
        <v>62</v>
      </c>
      <c r="U76" t="s">
        <v>63</v>
      </c>
      <c r="V76" t="s">
        <v>421</v>
      </c>
      <c r="W76" t="s">
        <v>324</v>
      </c>
      <c r="X76">
        <v>2</v>
      </c>
      <c r="AC76" t="s">
        <v>432</v>
      </c>
      <c r="AI76" t="s">
        <v>422</v>
      </c>
    </row>
    <row r="77" spans="1:35">
      <c r="A77" t="s">
        <v>519</v>
      </c>
      <c r="B77" t="s">
        <v>26</v>
      </c>
      <c r="C77" t="s">
        <v>55</v>
      </c>
      <c r="D77" t="s">
        <v>56</v>
      </c>
      <c r="E77" t="s">
        <v>65</v>
      </c>
      <c r="F77" t="s">
        <v>66</v>
      </c>
      <c r="G77" t="s">
        <v>193</v>
      </c>
      <c r="H77">
        <v>115425</v>
      </c>
      <c r="I77" t="s">
        <v>247</v>
      </c>
      <c r="J77">
        <v>2016</v>
      </c>
      <c r="K77">
        <v>8</v>
      </c>
      <c r="L77">
        <v>0</v>
      </c>
      <c r="M77" t="s">
        <v>34</v>
      </c>
      <c r="N77" t="s">
        <v>35</v>
      </c>
      <c r="O77" t="s">
        <v>36</v>
      </c>
      <c r="P77" t="s">
        <v>37</v>
      </c>
      <c r="Q77" t="s">
        <v>421</v>
      </c>
      <c r="R77" t="s">
        <v>38</v>
      </c>
      <c r="S77">
        <v>2023</v>
      </c>
      <c r="T77" t="s">
        <v>62</v>
      </c>
      <c r="U77" t="s">
        <v>63</v>
      </c>
      <c r="V77" t="s">
        <v>421</v>
      </c>
      <c r="X77">
        <v>2</v>
      </c>
      <c r="AB77" t="s">
        <v>432</v>
      </c>
      <c r="AH77" t="s">
        <v>422</v>
      </c>
    </row>
    <row r="78" spans="1:35">
      <c r="A78" t="s">
        <v>444</v>
      </c>
      <c r="B78" t="s">
        <v>26</v>
      </c>
      <c r="C78" t="s">
        <v>55</v>
      </c>
      <c r="D78" t="s">
        <v>28</v>
      </c>
      <c r="E78" t="s">
        <v>129</v>
      </c>
      <c r="F78" t="s">
        <v>254</v>
      </c>
      <c r="G78" t="s">
        <v>255</v>
      </c>
      <c r="H78" t="s">
        <v>256</v>
      </c>
      <c r="I78" t="s">
        <v>257</v>
      </c>
      <c r="J78">
        <v>2021</v>
      </c>
      <c r="K78">
        <v>8</v>
      </c>
      <c r="L78">
        <v>5</v>
      </c>
      <c r="M78" t="s">
        <v>89</v>
      </c>
      <c r="N78" t="s">
        <v>35</v>
      </c>
      <c r="O78" t="s">
        <v>36</v>
      </c>
      <c r="P78" t="s">
        <v>37</v>
      </c>
      <c r="Q78" t="s">
        <v>421</v>
      </c>
      <c r="R78" t="s">
        <v>38</v>
      </c>
      <c r="S78">
        <v>2023</v>
      </c>
      <c r="T78" t="s">
        <v>62</v>
      </c>
      <c r="U78" t="s">
        <v>63</v>
      </c>
      <c r="V78" t="s">
        <v>421</v>
      </c>
      <c r="X78">
        <v>2</v>
      </c>
      <c r="AC78" t="s">
        <v>432</v>
      </c>
      <c r="AI78" t="s">
        <v>422</v>
      </c>
    </row>
    <row r="79" spans="1:35">
      <c r="A79" t="s">
        <v>519</v>
      </c>
      <c r="B79" t="s">
        <v>26</v>
      </c>
      <c r="C79" t="s">
        <v>55</v>
      </c>
      <c r="D79" t="s">
        <v>56</v>
      </c>
      <c r="E79" t="s">
        <v>65</v>
      </c>
      <c r="F79" t="s">
        <v>66</v>
      </c>
      <c r="G79" t="s">
        <v>193</v>
      </c>
      <c r="H79">
        <v>115405</v>
      </c>
      <c r="I79" t="s">
        <v>258</v>
      </c>
      <c r="J79">
        <v>2016</v>
      </c>
      <c r="K79">
        <v>8</v>
      </c>
      <c r="L79">
        <v>0</v>
      </c>
      <c r="M79" t="s">
        <v>34</v>
      </c>
      <c r="N79" t="s">
        <v>35</v>
      </c>
      <c r="O79" t="s">
        <v>36</v>
      </c>
      <c r="P79" t="s">
        <v>37</v>
      </c>
      <c r="Q79" t="s">
        <v>421</v>
      </c>
      <c r="R79" t="s">
        <v>38</v>
      </c>
      <c r="S79">
        <v>2023</v>
      </c>
      <c r="T79" t="s">
        <v>62</v>
      </c>
      <c r="U79" t="s">
        <v>63</v>
      </c>
      <c r="V79" t="s">
        <v>421</v>
      </c>
      <c r="X79">
        <v>2</v>
      </c>
      <c r="AB79" t="s">
        <v>432</v>
      </c>
      <c r="AH79" t="s">
        <v>422</v>
      </c>
    </row>
    <row r="80" spans="1:35">
      <c r="A80" t="s">
        <v>519</v>
      </c>
      <c r="B80" t="s">
        <v>26</v>
      </c>
      <c r="C80" t="s">
        <v>55</v>
      </c>
      <c r="D80" t="s">
        <v>56</v>
      </c>
      <c r="E80" t="s">
        <v>233</v>
      </c>
      <c r="F80" t="s">
        <v>198</v>
      </c>
      <c r="G80" t="s">
        <v>121</v>
      </c>
      <c r="H80" t="s">
        <v>273</v>
      </c>
      <c r="I80" t="s">
        <v>274</v>
      </c>
      <c r="J80">
        <v>2016</v>
      </c>
      <c r="K80">
        <v>8</v>
      </c>
      <c r="L80">
        <v>0</v>
      </c>
      <c r="M80" t="s">
        <v>34</v>
      </c>
      <c r="N80" t="s">
        <v>35</v>
      </c>
      <c r="O80" t="s">
        <v>36</v>
      </c>
      <c r="P80" t="s">
        <v>37</v>
      </c>
      <c r="Q80" t="s">
        <v>421</v>
      </c>
      <c r="R80" t="s">
        <v>38</v>
      </c>
      <c r="S80">
        <v>2023</v>
      </c>
      <c r="T80" t="s">
        <v>62</v>
      </c>
      <c r="U80" t="s">
        <v>63</v>
      </c>
      <c r="V80" t="s">
        <v>421</v>
      </c>
      <c r="W80" t="s">
        <v>324</v>
      </c>
      <c r="X80">
        <v>2</v>
      </c>
      <c r="AB80" t="s">
        <v>432</v>
      </c>
      <c r="AH80" t="s">
        <v>422</v>
      </c>
    </row>
    <row r="81" spans="1:36">
      <c r="A81" t="s">
        <v>519</v>
      </c>
      <c r="B81" t="s">
        <v>26</v>
      </c>
      <c r="C81" t="s">
        <v>55</v>
      </c>
      <c r="D81" t="s">
        <v>56</v>
      </c>
      <c r="E81" t="s">
        <v>496</v>
      </c>
      <c r="F81" t="s">
        <v>198</v>
      </c>
      <c r="G81" t="s">
        <v>121</v>
      </c>
      <c r="H81" t="s">
        <v>275</v>
      </c>
      <c r="I81" t="s">
        <v>276</v>
      </c>
      <c r="J81">
        <v>2016</v>
      </c>
      <c r="K81">
        <v>8</v>
      </c>
      <c r="L81">
        <v>0</v>
      </c>
      <c r="M81" t="s">
        <v>34</v>
      </c>
      <c r="N81" t="s">
        <v>35</v>
      </c>
      <c r="O81" t="s">
        <v>36</v>
      </c>
      <c r="P81" t="s">
        <v>37</v>
      </c>
      <c r="Q81" t="s">
        <v>421</v>
      </c>
      <c r="R81" t="s">
        <v>38</v>
      </c>
      <c r="S81">
        <v>2023</v>
      </c>
      <c r="T81" t="s">
        <v>62</v>
      </c>
      <c r="U81" t="s">
        <v>63</v>
      </c>
      <c r="V81" t="s">
        <v>421</v>
      </c>
      <c r="W81" t="s">
        <v>324</v>
      </c>
      <c r="X81">
        <v>2</v>
      </c>
      <c r="AB81" t="s">
        <v>432</v>
      </c>
      <c r="AH81" t="s">
        <v>422</v>
      </c>
    </row>
    <row r="82" spans="1:36">
      <c r="A82" t="s">
        <v>518</v>
      </c>
      <c r="B82" t="s">
        <v>26</v>
      </c>
      <c r="C82" t="s">
        <v>55</v>
      </c>
      <c r="D82" t="s">
        <v>56</v>
      </c>
      <c r="E82" t="s">
        <v>70</v>
      </c>
      <c r="F82" t="s">
        <v>283</v>
      </c>
      <c r="G82" t="s">
        <v>284</v>
      </c>
      <c r="H82">
        <v>122010786</v>
      </c>
      <c r="I82" t="s">
        <v>285</v>
      </c>
      <c r="J82">
        <v>2022</v>
      </c>
      <c r="K82">
        <v>8</v>
      </c>
      <c r="L82">
        <v>6</v>
      </c>
      <c r="M82" t="s">
        <v>34</v>
      </c>
      <c r="N82" t="s">
        <v>35</v>
      </c>
      <c r="O82" t="s">
        <v>36</v>
      </c>
      <c r="P82" t="s">
        <v>37</v>
      </c>
      <c r="Q82" t="s">
        <v>421</v>
      </c>
      <c r="R82" t="s">
        <v>38</v>
      </c>
      <c r="S82">
        <v>2023</v>
      </c>
      <c r="T82" t="s">
        <v>62</v>
      </c>
      <c r="U82" t="s">
        <v>63</v>
      </c>
      <c r="V82" t="s">
        <v>421</v>
      </c>
      <c r="X82">
        <v>2</v>
      </c>
      <c r="AD82" t="s">
        <v>432</v>
      </c>
      <c r="AJ82" t="s">
        <v>422</v>
      </c>
    </row>
    <row r="83" spans="1:36">
      <c r="A83" t="s">
        <v>505</v>
      </c>
      <c r="B83" t="s">
        <v>26</v>
      </c>
      <c r="C83" t="s">
        <v>55</v>
      </c>
      <c r="D83" t="s">
        <v>56</v>
      </c>
      <c r="E83" t="s">
        <v>496</v>
      </c>
      <c r="F83" t="s">
        <v>198</v>
      </c>
      <c r="G83" t="s">
        <v>121</v>
      </c>
      <c r="H83" t="s">
        <v>287</v>
      </c>
      <c r="I83" t="s">
        <v>288</v>
      </c>
      <c r="J83">
        <v>2021</v>
      </c>
      <c r="K83">
        <v>8</v>
      </c>
      <c r="L83">
        <v>5</v>
      </c>
      <c r="M83" t="s">
        <v>34</v>
      </c>
      <c r="N83" t="s">
        <v>35</v>
      </c>
      <c r="O83" t="s">
        <v>36</v>
      </c>
      <c r="P83" t="s">
        <v>37</v>
      </c>
      <c r="Q83" t="s">
        <v>421</v>
      </c>
      <c r="R83" t="s">
        <v>38</v>
      </c>
      <c r="S83">
        <v>2023</v>
      </c>
      <c r="T83" t="s">
        <v>62</v>
      </c>
      <c r="U83" t="s">
        <v>63</v>
      </c>
      <c r="V83" t="s">
        <v>421</v>
      </c>
      <c r="W83" t="s">
        <v>324</v>
      </c>
      <c r="X83">
        <v>2</v>
      </c>
      <c r="AD83" t="s">
        <v>432</v>
      </c>
      <c r="AJ83" t="s">
        <v>422</v>
      </c>
    </row>
    <row r="84" spans="1:36">
      <c r="A84" t="s">
        <v>505</v>
      </c>
      <c r="B84" t="s">
        <v>26</v>
      </c>
      <c r="C84" t="s">
        <v>55</v>
      </c>
      <c r="D84" t="s">
        <v>56</v>
      </c>
      <c r="E84" t="s">
        <v>65</v>
      </c>
      <c r="F84" t="s">
        <v>177</v>
      </c>
      <c r="G84" t="s">
        <v>178</v>
      </c>
      <c r="H84">
        <v>50200456</v>
      </c>
      <c r="I84" t="s">
        <v>289</v>
      </c>
      <c r="J84">
        <v>2016</v>
      </c>
      <c r="K84">
        <v>8</v>
      </c>
      <c r="L84">
        <v>0</v>
      </c>
      <c r="M84" t="s">
        <v>34</v>
      </c>
      <c r="N84" t="s">
        <v>35</v>
      </c>
      <c r="O84" t="s">
        <v>36</v>
      </c>
      <c r="P84" t="s">
        <v>37</v>
      </c>
      <c r="Q84" t="s">
        <v>421</v>
      </c>
      <c r="R84" t="s">
        <v>38</v>
      </c>
      <c r="S84">
        <v>2023</v>
      </c>
      <c r="T84" t="s">
        <v>62</v>
      </c>
      <c r="U84" t="s">
        <v>63</v>
      </c>
      <c r="V84" t="s">
        <v>421</v>
      </c>
      <c r="X84">
        <v>2</v>
      </c>
      <c r="AC84" t="s">
        <v>432</v>
      </c>
      <c r="AI84" t="s">
        <v>422</v>
      </c>
    </row>
    <row r="85" spans="1:36">
      <c r="A85" t="s">
        <v>651</v>
      </c>
      <c r="B85" t="s">
        <v>26</v>
      </c>
      <c r="C85" t="s">
        <v>55</v>
      </c>
      <c r="D85" t="s">
        <v>56</v>
      </c>
      <c r="E85" t="s">
        <v>70</v>
      </c>
      <c r="F85" t="s">
        <v>58</v>
      </c>
      <c r="G85" t="s">
        <v>71</v>
      </c>
      <c r="H85" t="s">
        <v>260</v>
      </c>
      <c r="I85" t="s">
        <v>261</v>
      </c>
      <c r="J85">
        <v>2015</v>
      </c>
      <c r="K85">
        <v>8</v>
      </c>
      <c r="L85">
        <v>-1</v>
      </c>
      <c r="M85" t="s">
        <v>34</v>
      </c>
      <c r="N85" t="s">
        <v>35</v>
      </c>
      <c r="O85" t="s">
        <v>36</v>
      </c>
      <c r="P85" t="s">
        <v>37</v>
      </c>
      <c r="Q85" t="s">
        <v>421</v>
      </c>
      <c r="R85" t="s">
        <v>38</v>
      </c>
      <c r="S85">
        <v>2023</v>
      </c>
      <c r="T85" t="s">
        <v>62</v>
      </c>
      <c r="U85" t="s">
        <v>63</v>
      </c>
      <c r="V85" t="s">
        <v>421</v>
      </c>
      <c r="X85">
        <v>2</v>
      </c>
      <c r="AC85" t="s">
        <v>432</v>
      </c>
      <c r="AI85" t="s">
        <v>422</v>
      </c>
    </row>
    <row r="86" spans="1:36" ht="29">
      <c r="A86" t="s">
        <v>316</v>
      </c>
      <c r="B86" t="s">
        <v>26</v>
      </c>
      <c r="C86" t="s">
        <v>27</v>
      </c>
      <c r="D86" t="s">
        <v>28</v>
      </c>
      <c r="E86" t="s">
        <v>320</v>
      </c>
      <c r="F86" t="s">
        <v>30</v>
      </c>
      <c r="G86" t="s">
        <v>321</v>
      </c>
      <c r="H86" t="s">
        <v>322</v>
      </c>
      <c r="I86" s="213" t="s">
        <v>548</v>
      </c>
      <c r="J86">
        <v>2022</v>
      </c>
      <c r="K86">
        <v>8</v>
      </c>
      <c r="L86">
        <v>6</v>
      </c>
      <c r="M86" t="s">
        <v>34</v>
      </c>
      <c r="N86" t="s">
        <v>35</v>
      </c>
      <c r="O86" t="s">
        <v>36</v>
      </c>
      <c r="P86" t="s">
        <v>38</v>
      </c>
      <c r="Q86" s="49">
        <v>45627</v>
      </c>
      <c r="R86" t="s">
        <v>38</v>
      </c>
      <c r="S86">
        <v>2023</v>
      </c>
      <c r="T86" t="s">
        <v>39</v>
      </c>
      <c r="U86" t="s">
        <v>323</v>
      </c>
      <c r="V86" t="s">
        <v>443</v>
      </c>
      <c r="W86" t="s">
        <v>324</v>
      </c>
      <c r="X86">
        <v>2</v>
      </c>
      <c r="AD86" t="s">
        <v>432</v>
      </c>
      <c r="AJ86" t="s">
        <v>422</v>
      </c>
    </row>
    <row r="87" spans="1:36">
      <c r="A87" t="s">
        <v>494</v>
      </c>
      <c r="B87" t="s">
        <v>26</v>
      </c>
      <c r="C87" t="s">
        <v>55</v>
      </c>
      <c r="D87" t="s">
        <v>56</v>
      </c>
      <c r="E87" t="s">
        <v>65</v>
      </c>
      <c r="F87" t="s">
        <v>30</v>
      </c>
      <c r="G87" t="s">
        <v>497</v>
      </c>
      <c r="H87" t="s">
        <v>501</v>
      </c>
      <c r="J87">
        <v>2024</v>
      </c>
      <c r="K87">
        <v>8</v>
      </c>
      <c r="L87">
        <v>8</v>
      </c>
      <c r="M87" t="s">
        <v>34</v>
      </c>
      <c r="N87" t="s">
        <v>35</v>
      </c>
      <c r="O87" t="s">
        <v>36</v>
      </c>
      <c r="P87" t="s">
        <v>38</v>
      </c>
      <c r="Q87">
        <v>2026</v>
      </c>
      <c r="R87" t="s">
        <v>38</v>
      </c>
      <c r="S87">
        <v>2024</v>
      </c>
      <c r="T87" t="s">
        <v>39</v>
      </c>
      <c r="U87" t="s">
        <v>323</v>
      </c>
      <c r="V87" t="s">
        <v>499</v>
      </c>
      <c r="W87">
        <v>0</v>
      </c>
      <c r="X87">
        <v>2</v>
      </c>
      <c r="AD87" t="s">
        <v>432</v>
      </c>
      <c r="AJ87" t="s">
        <v>422</v>
      </c>
    </row>
    <row r="88" spans="1:36">
      <c r="A88" t="s">
        <v>494</v>
      </c>
      <c r="B88" t="s">
        <v>26</v>
      </c>
      <c r="C88" t="s">
        <v>55</v>
      </c>
      <c r="D88" t="s">
        <v>56</v>
      </c>
      <c r="E88" t="s">
        <v>65</v>
      </c>
      <c r="F88" t="s">
        <v>30</v>
      </c>
      <c r="G88" t="s">
        <v>497</v>
      </c>
      <c r="H88" t="s">
        <v>500</v>
      </c>
      <c r="J88">
        <v>2024</v>
      </c>
      <c r="K88">
        <v>8</v>
      </c>
      <c r="L88">
        <v>8</v>
      </c>
      <c r="M88" t="s">
        <v>34</v>
      </c>
      <c r="N88" t="s">
        <v>35</v>
      </c>
      <c r="O88" t="s">
        <v>36</v>
      </c>
      <c r="P88" t="s">
        <v>38</v>
      </c>
      <c r="Q88">
        <v>2026</v>
      </c>
      <c r="R88" t="s">
        <v>38</v>
      </c>
      <c r="S88">
        <v>2024</v>
      </c>
      <c r="T88" t="s">
        <v>39</v>
      </c>
      <c r="U88" t="s">
        <v>323</v>
      </c>
      <c r="V88" t="s">
        <v>499</v>
      </c>
      <c r="W88">
        <v>0</v>
      </c>
      <c r="X88">
        <v>2</v>
      </c>
      <c r="AD88" t="s">
        <v>432</v>
      </c>
      <c r="AJ88" t="s">
        <v>422</v>
      </c>
    </row>
    <row r="89" spans="1:36">
      <c r="A89" t="s">
        <v>494</v>
      </c>
      <c r="B89" t="s">
        <v>26</v>
      </c>
      <c r="C89" t="s">
        <v>55</v>
      </c>
      <c r="D89" t="s">
        <v>56</v>
      </c>
      <c r="E89" t="s">
        <v>65</v>
      </c>
      <c r="F89" t="s">
        <v>30</v>
      </c>
      <c r="G89" t="s">
        <v>497</v>
      </c>
      <c r="H89" t="s">
        <v>498</v>
      </c>
      <c r="J89">
        <v>2024</v>
      </c>
      <c r="K89">
        <v>8</v>
      </c>
      <c r="L89">
        <v>8</v>
      </c>
      <c r="M89" t="s">
        <v>34</v>
      </c>
      <c r="N89" t="s">
        <v>35</v>
      </c>
      <c r="O89" t="s">
        <v>36</v>
      </c>
      <c r="P89" t="s">
        <v>38</v>
      </c>
      <c r="Q89">
        <v>2026</v>
      </c>
      <c r="R89" t="s">
        <v>38</v>
      </c>
      <c r="S89">
        <v>2024</v>
      </c>
      <c r="T89" t="s">
        <v>39</v>
      </c>
      <c r="U89" t="s">
        <v>323</v>
      </c>
      <c r="V89" t="s">
        <v>499</v>
      </c>
      <c r="W89">
        <v>0</v>
      </c>
      <c r="X89">
        <v>2</v>
      </c>
      <c r="AD89" t="s">
        <v>432</v>
      </c>
      <c r="AJ89" t="s">
        <v>422</v>
      </c>
    </row>
    <row r="90" spans="1:36">
      <c r="A90" t="s">
        <v>494</v>
      </c>
      <c r="B90" t="s">
        <v>26</v>
      </c>
      <c r="C90" t="s">
        <v>55</v>
      </c>
      <c r="D90" t="s">
        <v>28</v>
      </c>
      <c r="E90" t="s">
        <v>129</v>
      </c>
      <c r="F90" t="s">
        <v>58</v>
      </c>
      <c r="G90" t="s">
        <v>291</v>
      </c>
      <c r="H90" t="s">
        <v>292</v>
      </c>
      <c r="I90" t="s">
        <v>293</v>
      </c>
      <c r="J90">
        <v>2020</v>
      </c>
      <c r="K90">
        <v>8</v>
      </c>
      <c r="L90">
        <v>4</v>
      </c>
      <c r="M90" t="s">
        <v>34</v>
      </c>
      <c r="N90" t="s">
        <v>35</v>
      </c>
      <c r="O90" t="s">
        <v>36</v>
      </c>
      <c r="P90" t="s">
        <v>37</v>
      </c>
      <c r="Q90" t="s">
        <v>421</v>
      </c>
      <c r="R90" t="s">
        <v>38</v>
      </c>
      <c r="S90">
        <v>2023</v>
      </c>
      <c r="T90" t="s">
        <v>62</v>
      </c>
      <c r="U90" t="s">
        <v>63</v>
      </c>
      <c r="V90" t="s">
        <v>421</v>
      </c>
      <c r="X90">
        <v>2</v>
      </c>
      <c r="AB90" t="s">
        <v>432</v>
      </c>
      <c r="AH90" t="s">
        <v>422</v>
      </c>
    </row>
    <row r="91" spans="1:36">
      <c r="A91" t="s">
        <v>494</v>
      </c>
      <c r="B91" t="s">
        <v>26</v>
      </c>
      <c r="C91" t="s">
        <v>55</v>
      </c>
      <c r="D91" t="s">
        <v>28</v>
      </c>
      <c r="E91" t="s">
        <v>129</v>
      </c>
      <c r="F91" t="s">
        <v>58</v>
      </c>
      <c r="G91" t="s">
        <v>291</v>
      </c>
      <c r="H91" t="s">
        <v>294</v>
      </c>
      <c r="I91" t="s">
        <v>295</v>
      </c>
      <c r="J91">
        <v>2020</v>
      </c>
      <c r="K91">
        <v>8</v>
      </c>
      <c r="L91">
        <v>4</v>
      </c>
      <c r="M91" t="s">
        <v>34</v>
      </c>
      <c r="N91" t="s">
        <v>35</v>
      </c>
      <c r="O91" t="s">
        <v>36</v>
      </c>
      <c r="P91" t="s">
        <v>37</v>
      </c>
      <c r="Q91" t="s">
        <v>421</v>
      </c>
      <c r="R91" t="s">
        <v>38</v>
      </c>
      <c r="S91">
        <v>2023</v>
      </c>
      <c r="T91" t="s">
        <v>62</v>
      </c>
      <c r="U91" t="s">
        <v>63</v>
      </c>
      <c r="V91" t="s">
        <v>421</v>
      </c>
      <c r="X91">
        <v>2</v>
      </c>
      <c r="AB91" t="s">
        <v>432</v>
      </c>
      <c r="AH91" t="s">
        <v>422</v>
      </c>
    </row>
    <row r="92" spans="1:36">
      <c r="A92" t="s">
        <v>494</v>
      </c>
      <c r="B92" t="s">
        <v>26</v>
      </c>
      <c r="C92" t="s">
        <v>55</v>
      </c>
      <c r="D92" t="s">
        <v>28</v>
      </c>
      <c r="E92" t="s">
        <v>129</v>
      </c>
      <c r="F92" t="s">
        <v>58</v>
      </c>
      <c r="G92" t="s">
        <v>291</v>
      </c>
      <c r="H92" t="s">
        <v>300</v>
      </c>
      <c r="I92" t="s">
        <v>301</v>
      </c>
      <c r="J92">
        <v>2020</v>
      </c>
      <c r="K92">
        <v>8</v>
      </c>
      <c r="L92">
        <v>4</v>
      </c>
      <c r="M92" t="s">
        <v>34</v>
      </c>
      <c r="N92" t="s">
        <v>35</v>
      </c>
      <c r="O92" t="s">
        <v>36</v>
      </c>
      <c r="P92" t="s">
        <v>37</v>
      </c>
      <c r="Q92" t="s">
        <v>421</v>
      </c>
      <c r="R92" t="s">
        <v>38</v>
      </c>
      <c r="S92">
        <v>2023</v>
      </c>
      <c r="T92" t="s">
        <v>62</v>
      </c>
      <c r="U92" t="s">
        <v>63</v>
      </c>
      <c r="V92" t="s">
        <v>421</v>
      </c>
      <c r="X92">
        <v>2</v>
      </c>
      <c r="AB92" t="s">
        <v>432</v>
      </c>
      <c r="AH92" t="s">
        <v>422</v>
      </c>
    </row>
    <row r="93" spans="1:36">
      <c r="A93" t="s">
        <v>494</v>
      </c>
      <c r="B93" t="s">
        <v>26</v>
      </c>
      <c r="C93" t="s">
        <v>55</v>
      </c>
      <c r="D93" t="s">
        <v>28</v>
      </c>
      <c r="E93" t="s">
        <v>129</v>
      </c>
      <c r="F93" t="s">
        <v>58</v>
      </c>
      <c r="G93" t="s">
        <v>291</v>
      </c>
      <c r="H93" t="s">
        <v>302</v>
      </c>
      <c r="I93" t="s">
        <v>303</v>
      </c>
      <c r="J93">
        <v>2020</v>
      </c>
      <c r="K93">
        <v>8</v>
      </c>
      <c r="L93">
        <v>4</v>
      </c>
      <c r="M93" t="s">
        <v>34</v>
      </c>
      <c r="N93" t="s">
        <v>35</v>
      </c>
      <c r="O93" t="s">
        <v>36</v>
      </c>
      <c r="P93" t="s">
        <v>37</v>
      </c>
      <c r="Q93" t="s">
        <v>421</v>
      </c>
      <c r="R93" t="s">
        <v>38</v>
      </c>
      <c r="S93">
        <v>2023</v>
      </c>
      <c r="T93" t="s">
        <v>62</v>
      </c>
      <c r="U93" t="s">
        <v>63</v>
      </c>
      <c r="V93" t="s">
        <v>421</v>
      </c>
      <c r="X93">
        <v>2</v>
      </c>
      <c r="AB93" t="s">
        <v>432</v>
      </c>
      <c r="AH93" t="s">
        <v>422</v>
      </c>
    </row>
    <row r="94" spans="1:36">
      <c r="A94" t="s">
        <v>494</v>
      </c>
      <c r="B94" t="s">
        <v>26</v>
      </c>
      <c r="C94" t="s">
        <v>55</v>
      </c>
      <c r="D94" t="s">
        <v>28</v>
      </c>
      <c r="E94" t="s">
        <v>129</v>
      </c>
      <c r="F94" t="s">
        <v>58</v>
      </c>
      <c r="G94" t="s">
        <v>291</v>
      </c>
      <c r="H94" t="s">
        <v>306</v>
      </c>
      <c r="I94" t="s">
        <v>307</v>
      </c>
      <c r="J94">
        <v>2020</v>
      </c>
      <c r="K94">
        <v>8</v>
      </c>
      <c r="L94">
        <v>4</v>
      </c>
      <c r="M94" t="s">
        <v>34</v>
      </c>
      <c r="N94" t="s">
        <v>35</v>
      </c>
      <c r="O94" t="s">
        <v>36</v>
      </c>
      <c r="P94" t="s">
        <v>37</v>
      </c>
      <c r="Q94" t="s">
        <v>421</v>
      </c>
      <c r="R94" t="s">
        <v>38</v>
      </c>
      <c r="S94">
        <v>2023</v>
      </c>
      <c r="T94" t="s">
        <v>62</v>
      </c>
      <c r="U94" t="s">
        <v>63</v>
      </c>
      <c r="V94" t="s">
        <v>421</v>
      </c>
      <c r="X94">
        <v>2</v>
      </c>
      <c r="AB94" t="s">
        <v>432</v>
      </c>
      <c r="AH94" t="s">
        <v>422</v>
      </c>
    </row>
    <row r="95" spans="1:36">
      <c r="A95" t="s">
        <v>494</v>
      </c>
      <c r="B95" t="s">
        <v>26</v>
      </c>
      <c r="C95" t="s">
        <v>55</v>
      </c>
      <c r="D95" t="s">
        <v>28</v>
      </c>
      <c r="E95" t="s">
        <v>129</v>
      </c>
      <c r="F95" t="s">
        <v>58</v>
      </c>
      <c r="G95" t="s">
        <v>291</v>
      </c>
      <c r="H95" t="s">
        <v>308</v>
      </c>
      <c r="I95" t="s">
        <v>309</v>
      </c>
      <c r="J95">
        <v>2020</v>
      </c>
      <c r="K95">
        <v>8</v>
      </c>
      <c r="L95">
        <v>4</v>
      </c>
      <c r="M95" t="s">
        <v>34</v>
      </c>
      <c r="N95" t="s">
        <v>35</v>
      </c>
      <c r="O95" t="s">
        <v>36</v>
      </c>
      <c r="P95" t="s">
        <v>37</v>
      </c>
      <c r="Q95" t="s">
        <v>421</v>
      </c>
      <c r="R95" t="s">
        <v>38</v>
      </c>
      <c r="S95">
        <v>2023</v>
      </c>
      <c r="T95" t="s">
        <v>62</v>
      </c>
      <c r="U95" t="s">
        <v>63</v>
      </c>
      <c r="V95" t="s">
        <v>421</v>
      </c>
      <c r="X95">
        <v>2</v>
      </c>
      <c r="AB95" t="s">
        <v>432</v>
      </c>
      <c r="AH95" t="s">
        <v>422</v>
      </c>
    </row>
    <row r="96" spans="1:36">
      <c r="A96" t="s">
        <v>494</v>
      </c>
      <c r="B96" t="s">
        <v>26</v>
      </c>
      <c r="C96" t="s">
        <v>55</v>
      </c>
      <c r="D96" t="s">
        <v>56</v>
      </c>
      <c r="E96" t="s">
        <v>70</v>
      </c>
      <c r="F96" t="s">
        <v>58</v>
      </c>
      <c r="G96" t="s">
        <v>71</v>
      </c>
      <c r="H96" t="s">
        <v>310</v>
      </c>
      <c r="I96" t="s">
        <v>311</v>
      </c>
      <c r="J96">
        <v>2014</v>
      </c>
      <c r="K96">
        <v>8</v>
      </c>
      <c r="L96">
        <v>-2</v>
      </c>
      <c r="M96" t="s">
        <v>34</v>
      </c>
      <c r="N96" t="s">
        <v>35</v>
      </c>
      <c r="O96" t="s">
        <v>36</v>
      </c>
      <c r="P96" t="s">
        <v>37</v>
      </c>
      <c r="Q96" t="s">
        <v>421</v>
      </c>
      <c r="R96" t="s">
        <v>38</v>
      </c>
      <c r="S96">
        <v>2023</v>
      </c>
      <c r="T96" t="s">
        <v>62</v>
      </c>
      <c r="U96" t="s">
        <v>63</v>
      </c>
      <c r="V96" t="s">
        <v>421</v>
      </c>
      <c r="X96">
        <v>2</v>
      </c>
      <c r="AB96" t="s">
        <v>432</v>
      </c>
      <c r="AH96" t="s">
        <v>422</v>
      </c>
    </row>
    <row r="97" spans="1:36">
      <c r="A97" t="s">
        <v>494</v>
      </c>
      <c r="B97" t="s">
        <v>26</v>
      </c>
      <c r="C97" t="s">
        <v>55</v>
      </c>
      <c r="D97" t="s">
        <v>56</v>
      </c>
      <c r="E97" t="s">
        <v>70</v>
      </c>
      <c r="F97" t="s">
        <v>58</v>
      </c>
      <c r="G97" t="s">
        <v>71</v>
      </c>
      <c r="H97" t="s">
        <v>312</v>
      </c>
      <c r="I97" t="s">
        <v>313</v>
      </c>
      <c r="J97">
        <v>2014</v>
      </c>
      <c r="K97">
        <v>8</v>
      </c>
      <c r="L97">
        <v>-2</v>
      </c>
      <c r="M97" t="s">
        <v>34</v>
      </c>
      <c r="N97" t="s">
        <v>35</v>
      </c>
      <c r="O97" t="s">
        <v>36</v>
      </c>
      <c r="P97" t="s">
        <v>37</v>
      </c>
      <c r="Q97" t="s">
        <v>421</v>
      </c>
      <c r="R97" t="s">
        <v>38</v>
      </c>
      <c r="S97">
        <v>2023</v>
      </c>
      <c r="T97" t="s">
        <v>62</v>
      </c>
      <c r="U97" t="s">
        <v>63</v>
      </c>
      <c r="V97" t="s">
        <v>421</v>
      </c>
      <c r="X97">
        <v>2</v>
      </c>
      <c r="AB97" t="s">
        <v>432</v>
      </c>
      <c r="AH97" t="s">
        <v>422</v>
      </c>
    </row>
    <row r="98" spans="1:36">
      <c r="A98" t="s">
        <v>451</v>
      </c>
      <c r="B98" t="s">
        <v>26</v>
      </c>
      <c r="C98" t="s">
        <v>55</v>
      </c>
      <c r="D98" t="s">
        <v>56</v>
      </c>
      <c r="E98" t="s">
        <v>70</v>
      </c>
      <c r="F98" t="s">
        <v>171</v>
      </c>
      <c r="G98" t="s">
        <v>297</v>
      </c>
      <c r="H98" t="s">
        <v>298</v>
      </c>
      <c r="I98" t="s">
        <v>299</v>
      </c>
      <c r="J98">
        <v>2017</v>
      </c>
      <c r="K98">
        <v>8</v>
      </c>
      <c r="L98">
        <v>1</v>
      </c>
      <c r="M98" t="s">
        <v>34</v>
      </c>
      <c r="N98" t="s">
        <v>35</v>
      </c>
      <c r="O98" t="s">
        <v>36</v>
      </c>
      <c r="P98" t="s">
        <v>37</v>
      </c>
      <c r="Q98" t="s">
        <v>421</v>
      </c>
      <c r="R98" t="s">
        <v>38</v>
      </c>
      <c r="S98">
        <v>2023</v>
      </c>
      <c r="T98" t="s">
        <v>62</v>
      </c>
      <c r="U98" t="s">
        <v>63</v>
      </c>
      <c r="V98" t="s">
        <v>421</v>
      </c>
      <c r="X98">
        <v>2</v>
      </c>
      <c r="AD98" t="s">
        <v>432</v>
      </c>
      <c r="AJ98" t="s">
        <v>422</v>
      </c>
    </row>
    <row r="99" spans="1:36">
      <c r="A99" t="s">
        <v>458</v>
      </c>
      <c r="B99" t="s">
        <v>26</v>
      </c>
      <c r="C99" t="s">
        <v>55</v>
      </c>
      <c r="D99" t="s">
        <v>56</v>
      </c>
      <c r="E99" t="s">
        <v>70</v>
      </c>
      <c r="F99" t="s">
        <v>171</v>
      </c>
      <c r="G99" t="s">
        <v>297</v>
      </c>
      <c r="H99" t="s">
        <v>304</v>
      </c>
      <c r="I99" t="s">
        <v>305</v>
      </c>
      <c r="J99">
        <v>2017</v>
      </c>
      <c r="K99">
        <v>8</v>
      </c>
      <c r="L99">
        <v>1</v>
      </c>
      <c r="M99" t="s">
        <v>34</v>
      </c>
      <c r="N99" t="s">
        <v>35</v>
      </c>
      <c r="O99" t="s">
        <v>36</v>
      </c>
      <c r="P99" t="s">
        <v>37</v>
      </c>
      <c r="Q99" t="s">
        <v>421</v>
      </c>
      <c r="R99" t="s">
        <v>38</v>
      </c>
      <c r="S99">
        <v>2023</v>
      </c>
      <c r="T99" t="s">
        <v>62</v>
      </c>
      <c r="U99" t="s">
        <v>63</v>
      </c>
      <c r="V99" t="s">
        <v>421</v>
      </c>
      <c r="X99">
        <v>2</v>
      </c>
      <c r="AD99" t="s">
        <v>432</v>
      </c>
      <c r="AJ99" t="s">
        <v>422</v>
      </c>
    </row>
    <row r="100" spans="1:36">
      <c r="A100" t="s">
        <v>494</v>
      </c>
      <c r="B100" t="s">
        <v>26</v>
      </c>
      <c r="C100" t="s">
        <v>55</v>
      </c>
      <c r="D100" t="s">
        <v>56</v>
      </c>
      <c r="E100" t="s">
        <v>70</v>
      </c>
      <c r="F100" t="s">
        <v>58</v>
      </c>
      <c r="G100" t="s">
        <v>71</v>
      </c>
      <c r="H100" t="s">
        <v>314</v>
      </c>
      <c r="I100" t="s">
        <v>315</v>
      </c>
      <c r="J100">
        <v>2014</v>
      </c>
      <c r="K100">
        <v>8</v>
      </c>
      <c r="L100">
        <v>-2</v>
      </c>
      <c r="M100" t="s">
        <v>34</v>
      </c>
      <c r="N100" t="s">
        <v>35</v>
      </c>
      <c r="O100" t="s">
        <v>36</v>
      </c>
      <c r="P100" t="s">
        <v>37</v>
      </c>
      <c r="Q100" t="s">
        <v>421</v>
      </c>
      <c r="R100" t="s">
        <v>38</v>
      </c>
      <c r="S100">
        <v>2023</v>
      </c>
      <c r="T100" t="s">
        <v>62</v>
      </c>
      <c r="U100" t="s">
        <v>63</v>
      </c>
      <c r="V100" t="s">
        <v>421</v>
      </c>
      <c r="X100">
        <v>2</v>
      </c>
      <c r="AB100" t="s">
        <v>432</v>
      </c>
      <c r="AH100" t="s">
        <v>422</v>
      </c>
    </row>
    <row r="101" spans="1:36">
      <c r="A101" t="s">
        <v>494</v>
      </c>
      <c r="B101" t="s">
        <v>26</v>
      </c>
      <c r="C101" t="s">
        <v>55</v>
      </c>
      <c r="D101" t="s">
        <v>317</v>
      </c>
      <c r="E101" t="s">
        <v>70</v>
      </c>
      <c r="F101" t="s">
        <v>171</v>
      </c>
      <c r="G101" t="s">
        <v>297</v>
      </c>
      <c r="H101" t="s">
        <v>318</v>
      </c>
      <c r="I101" t="s">
        <v>495</v>
      </c>
      <c r="J101">
        <v>2022</v>
      </c>
      <c r="K101">
        <v>8</v>
      </c>
      <c r="L101">
        <v>6</v>
      </c>
      <c r="M101" t="s">
        <v>34</v>
      </c>
      <c r="N101" t="s">
        <v>35</v>
      </c>
      <c r="O101" t="s">
        <v>36</v>
      </c>
      <c r="P101" t="s">
        <v>38</v>
      </c>
      <c r="Q101" s="49">
        <v>45627</v>
      </c>
      <c r="R101" t="s">
        <v>38</v>
      </c>
      <c r="S101">
        <v>2023</v>
      </c>
      <c r="T101" t="s">
        <v>39</v>
      </c>
      <c r="U101" t="s">
        <v>319</v>
      </c>
      <c r="V101" t="s">
        <v>479</v>
      </c>
      <c r="X101">
        <v>2</v>
      </c>
      <c r="AB101" t="s">
        <v>432</v>
      </c>
      <c r="AH101" t="s">
        <v>422</v>
      </c>
    </row>
    <row r="102" spans="1:36">
      <c r="A102" t="s">
        <v>494</v>
      </c>
      <c r="B102" t="s">
        <v>26</v>
      </c>
      <c r="C102" t="s">
        <v>55</v>
      </c>
      <c r="D102" t="s">
        <v>56</v>
      </c>
      <c r="E102" t="s">
        <v>70</v>
      </c>
      <c r="F102" t="s">
        <v>283</v>
      </c>
      <c r="G102" t="s">
        <v>326</v>
      </c>
      <c r="H102">
        <v>111720499</v>
      </c>
      <c r="I102" t="s">
        <v>327</v>
      </c>
      <c r="J102">
        <v>2014</v>
      </c>
      <c r="K102">
        <v>8</v>
      </c>
      <c r="L102">
        <v>-2</v>
      </c>
      <c r="M102" t="s">
        <v>34</v>
      </c>
      <c r="N102" t="s">
        <v>35</v>
      </c>
      <c r="O102" t="s">
        <v>36</v>
      </c>
      <c r="P102" t="s">
        <v>37</v>
      </c>
      <c r="Q102" t="s">
        <v>421</v>
      </c>
      <c r="R102" t="s">
        <v>38</v>
      </c>
      <c r="S102">
        <v>2023</v>
      </c>
      <c r="T102" t="s">
        <v>62</v>
      </c>
      <c r="U102" t="s">
        <v>63</v>
      </c>
      <c r="V102" t="s">
        <v>421</v>
      </c>
      <c r="X102">
        <v>2</v>
      </c>
      <c r="AB102" t="s">
        <v>432</v>
      </c>
      <c r="AH102" t="s">
        <v>422</v>
      </c>
    </row>
    <row r="103" spans="1:36">
      <c r="A103" t="s">
        <v>494</v>
      </c>
      <c r="B103" t="s">
        <v>26</v>
      </c>
      <c r="C103" t="s">
        <v>55</v>
      </c>
      <c r="D103" t="s">
        <v>56</v>
      </c>
      <c r="E103" t="s">
        <v>65</v>
      </c>
      <c r="F103" t="s">
        <v>177</v>
      </c>
      <c r="G103" t="s">
        <v>178</v>
      </c>
      <c r="H103">
        <v>50200467</v>
      </c>
      <c r="I103" t="s">
        <v>328</v>
      </c>
      <c r="J103">
        <v>2016</v>
      </c>
      <c r="K103">
        <v>8</v>
      </c>
      <c r="L103">
        <v>0</v>
      </c>
      <c r="M103" t="s">
        <v>34</v>
      </c>
      <c r="N103" t="s">
        <v>35</v>
      </c>
      <c r="O103" t="s">
        <v>36</v>
      </c>
      <c r="P103" t="s">
        <v>37</v>
      </c>
      <c r="Q103" t="s">
        <v>421</v>
      </c>
      <c r="R103" t="s">
        <v>38</v>
      </c>
      <c r="S103">
        <v>2023</v>
      </c>
      <c r="T103" t="s">
        <v>62</v>
      </c>
      <c r="U103" t="s">
        <v>63</v>
      </c>
      <c r="V103" t="s">
        <v>421</v>
      </c>
      <c r="X103">
        <v>2</v>
      </c>
      <c r="AB103" t="s">
        <v>432</v>
      </c>
      <c r="AH103" t="s">
        <v>422</v>
      </c>
    </row>
    <row r="104" spans="1:36">
      <c r="A104" t="s">
        <v>494</v>
      </c>
      <c r="B104" t="s">
        <v>26</v>
      </c>
      <c r="C104" t="s">
        <v>55</v>
      </c>
      <c r="D104" t="s">
        <v>56</v>
      </c>
      <c r="E104" t="s">
        <v>65</v>
      </c>
      <c r="F104" t="s">
        <v>177</v>
      </c>
      <c r="G104" t="s">
        <v>178</v>
      </c>
      <c r="H104">
        <v>50200454</v>
      </c>
      <c r="I104" t="s">
        <v>329</v>
      </c>
      <c r="J104">
        <v>2016</v>
      </c>
      <c r="K104">
        <v>8</v>
      </c>
      <c r="L104">
        <v>0</v>
      </c>
      <c r="M104" t="s">
        <v>34</v>
      </c>
      <c r="N104" t="s">
        <v>35</v>
      </c>
      <c r="O104" t="s">
        <v>36</v>
      </c>
      <c r="P104" t="s">
        <v>37</v>
      </c>
      <c r="Q104" t="s">
        <v>421</v>
      </c>
      <c r="R104" t="s">
        <v>38</v>
      </c>
      <c r="S104">
        <v>2023</v>
      </c>
      <c r="T104" t="s">
        <v>62</v>
      </c>
      <c r="U104" t="s">
        <v>63</v>
      </c>
      <c r="V104" t="s">
        <v>421</v>
      </c>
      <c r="X104">
        <v>2</v>
      </c>
      <c r="AB104" t="s">
        <v>432</v>
      </c>
      <c r="AH104" t="s">
        <v>422</v>
      </c>
    </row>
    <row r="105" spans="1:36">
      <c r="A105" t="s">
        <v>494</v>
      </c>
      <c r="B105" t="s">
        <v>26</v>
      </c>
      <c r="C105" t="s">
        <v>55</v>
      </c>
      <c r="D105" t="s">
        <v>56</v>
      </c>
      <c r="E105" t="s">
        <v>65</v>
      </c>
      <c r="F105" t="s">
        <v>177</v>
      </c>
      <c r="G105" t="s">
        <v>178</v>
      </c>
      <c r="H105">
        <v>50200453</v>
      </c>
      <c r="I105" t="s">
        <v>330</v>
      </c>
      <c r="J105">
        <v>2016</v>
      </c>
      <c r="K105">
        <v>8</v>
      </c>
      <c r="L105">
        <v>0</v>
      </c>
      <c r="M105" t="s">
        <v>34</v>
      </c>
      <c r="N105" t="s">
        <v>35</v>
      </c>
      <c r="O105" t="s">
        <v>36</v>
      </c>
      <c r="P105" t="s">
        <v>37</v>
      </c>
      <c r="Q105" t="s">
        <v>421</v>
      </c>
      <c r="R105" t="s">
        <v>38</v>
      </c>
      <c r="S105">
        <v>2023</v>
      </c>
      <c r="T105" t="s">
        <v>62</v>
      </c>
      <c r="U105" t="s">
        <v>63</v>
      </c>
      <c r="V105" t="s">
        <v>421</v>
      </c>
      <c r="X105">
        <v>2</v>
      </c>
      <c r="AB105" t="s">
        <v>432</v>
      </c>
      <c r="AH105" t="s">
        <v>422</v>
      </c>
    </row>
    <row r="106" spans="1:36">
      <c r="A106" t="s">
        <v>494</v>
      </c>
      <c r="B106" t="s">
        <v>26</v>
      </c>
      <c r="C106" t="s">
        <v>55</v>
      </c>
      <c r="D106" t="s">
        <v>56</v>
      </c>
      <c r="E106" t="s">
        <v>65</v>
      </c>
      <c r="F106" t="s">
        <v>177</v>
      </c>
      <c r="G106" t="s">
        <v>178</v>
      </c>
      <c r="H106">
        <v>50200446</v>
      </c>
      <c r="I106" t="s">
        <v>331</v>
      </c>
      <c r="J106">
        <v>2016</v>
      </c>
      <c r="K106">
        <v>8</v>
      </c>
      <c r="L106">
        <v>0</v>
      </c>
      <c r="M106" t="s">
        <v>34</v>
      </c>
      <c r="N106" t="s">
        <v>35</v>
      </c>
      <c r="O106" t="s">
        <v>36</v>
      </c>
      <c r="P106" t="s">
        <v>37</v>
      </c>
      <c r="Q106" t="s">
        <v>421</v>
      </c>
      <c r="R106" t="s">
        <v>38</v>
      </c>
      <c r="S106">
        <v>2023</v>
      </c>
      <c r="T106" t="s">
        <v>62</v>
      </c>
      <c r="U106" t="s">
        <v>63</v>
      </c>
      <c r="V106" t="s">
        <v>421</v>
      </c>
      <c r="X106">
        <v>2</v>
      </c>
      <c r="AB106" t="s">
        <v>432</v>
      </c>
      <c r="AH106" t="s">
        <v>422</v>
      </c>
    </row>
    <row r="107" spans="1:36">
      <c r="A107" t="s">
        <v>494</v>
      </c>
      <c r="B107" t="s">
        <v>26</v>
      </c>
      <c r="C107" t="s">
        <v>55</v>
      </c>
      <c r="D107" t="s">
        <v>56</v>
      </c>
      <c r="E107" t="s">
        <v>65</v>
      </c>
      <c r="F107" t="s">
        <v>177</v>
      </c>
      <c r="G107" t="s">
        <v>178</v>
      </c>
      <c r="H107">
        <v>50200445</v>
      </c>
      <c r="I107" t="s">
        <v>332</v>
      </c>
      <c r="J107">
        <v>2016</v>
      </c>
      <c r="K107">
        <v>8</v>
      </c>
      <c r="L107">
        <v>0</v>
      </c>
      <c r="M107" t="s">
        <v>34</v>
      </c>
      <c r="N107" t="s">
        <v>35</v>
      </c>
      <c r="O107" t="s">
        <v>36</v>
      </c>
      <c r="P107" t="s">
        <v>37</v>
      </c>
      <c r="Q107" t="s">
        <v>421</v>
      </c>
      <c r="R107" t="s">
        <v>38</v>
      </c>
      <c r="S107">
        <v>2023</v>
      </c>
      <c r="T107" t="s">
        <v>62</v>
      </c>
      <c r="U107" t="s">
        <v>63</v>
      </c>
      <c r="V107" t="s">
        <v>421</v>
      </c>
      <c r="X107">
        <v>2</v>
      </c>
      <c r="AB107" t="s">
        <v>432</v>
      </c>
      <c r="AH107" t="s">
        <v>422</v>
      </c>
    </row>
    <row r="108" spans="1:36">
      <c r="A108" t="s">
        <v>494</v>
      </c>
      <c r="B108" t="s">
        <v>26</v>
      </c>
      <c r="C108" t="s">
        <v>55</v>
      </c>
      <c r="D108" t="s">
        <v>56</v>
      </c>
      <c r="E108" t="s">
        <v>65</v>
      </c>
      <c r="F108" t="s">
        <v>177</v>
      </c>
      <c r="G108" t="s">
        <v>178</v>
      </c>
      <c r="H108">
        <v>50200443</v>
      </c>
      <c r="I108" t="s">
        <v>333</v>
      </c>
      <c r="J108">
        <v>2016</v>
      </c>
      <c r="K108">
        <v>8</v>
      </c>
      <c r="L108">
        <v>0</v>
      </c>
      <c r="M108" t="s">
        <v>34</v>
      </c>
      <c r="N108" t="s">
        <v>35</v>
      </c>
      <c r="O108" t="s">
        <v>36</v>
      </c>
      <c r="P108" t="s">
        <v>37</v>
      </c>
      <c r="Q108" t="s">
        <v>421</v>
      </c>
      <c r="R108" t="s">
        <v>38</v>
      </c>
      <c r="S108">
        <v>2023</v>
      </c>
      <c r="T108" t="s">
        <v>62</v>
      </c>
      <c r="U108" t="s">
        <v>63</v>
      </c>
      <c r="V108" t="s">
        <v>421</v>
      </c>
      <c r="X108">
        <v>2</v>
      </c>
      <c r="AB108" t="s">
        <v>432</v>
      </c>
      <c r="AH108" t="s">
        <v>422</v>
      </c>
    </row>
    <row r="109" spans="1:36">
      <c r="A109" t="s">
        <v>494</v>
      </c>
      <c r="B109" t="s">
        <v>26</v>
      </c>
      <c r="C109" t="s">
        <v>55</v>
      </c>
      <c r="D109" t="s">
        <v>56</v>
      </c>
      <c r="E109" t="s">
        <v>496</v>
      </c>
      <c r="F109" t="s">
        <v>198</v>
      </c>
      <c r="G109" t="s">
        <v>121</v>
      </c>
      <c r="H109" t="s">
        <v>335</v>
      </c>
      <c r="I109" t="s">
        <v>336</v>
      </c>
      <c r="J109">
        <v>2016</v>
      </c>
      <c r="K109">
        <v>8</v>
      </c>
      <c r="L109">
        <v>0</v>
      </c>
      <c r="M109" t="s">
        <v>34</v>
      </c>
      <c r="N109" t="s">
        <v>35</v>
      </c>
      <c r="O109" t="s">
        <v>36</v>
      </c>
      <c r="P109" t="s">
        <v>37</v>
      </c>
      <c r="Q109" t="s">
        <v>421</v>
      </c>
      <c r="R109" t="s">
        <v>38</v>
      </c>
      <c r="S109">
        <v>2023</v>
      </c>
      <c r="T109" t="s">
        <v>62</v>
      </c>
      <c r="U109" t="s">
        <v>63</v>
      </c>
      <c r="V109" t="s">
        <v>421</v>
      </c>
      <c r="W109" t="s">
        <v>324</v>
      </c>
      <c r="X109">
        <v>2</v>
      </c>
      <c r="AB109" t="s">
        <v>432</v>
      </c>
      <c r="AH109" t="s">
        <v>422</v>
      </c>
    </row>
    <row r="110" spans="1:36">
      <c r="A110" t="s">
        <v>494</v>
      </c>
      <c r="B110" t="s">
        <v>26</v>
      </c>
      <c r="C110" t="s">
        <v>55</v>
      </c>
      <c r="D110" t="s">
        <v>56</v>
      </c>
      <c r="E110" t="s">
        <v>496</v>
      </c>
      <c r="F110" t="s">
        <v>198</v>
      </c>
      <c r="G110" t="s">
        <v>121</v>
      </c>
      <c r="H110" t="s">
        <v>337</v>
      </c>
      <c r="I110" t="s">
        <v>338</v>
      </c>
      <c r="J110">
        <v>2016</v>
      </c>
      <c r="K110">
        <v>8</v>
      </c>
      <c r="L110">
        <v>0</v>
      </c>
      <c r="M110" t="s">
        <v>34</v>
      </c>
      <c r="N110" t="s">
        <v>35</v>
      </c>
      <c r="O110" t="s">
        <v>36</v>
      </c>
      <c r="P110" t="s">
        <v>37</v>
      </c>
      <c r="Q110" t="s">
        <v>421</v>
      </c>
      <c r="R110" t="s">
        <v>38</v>
      </c>
      <c r="S110">
        <v>2023</v>
      </c>
      <c r="T110" t="s">
        <v>62</v>
      </c>
      <c r="U110" t="s">
        <v>63</v>
      </c>
      <c r="V110" t="s">
        <v>421</v>
      </c>
      <c r="W110" t="s">
        <v>324</v>
      </c>
      <c r="X110">
        <v>2</v>
      </c>
      <c r="AB110" t="s">
        <v>432</v>
      </c>
      <c r="AH110" t="s">
        <v>422</v>
      </c>
    </row>
    <row r="111" spans="1:36">
      <c r="A111" t="s">
        <v>494</v>
      </c>
      <c r="B111" t="s">
        <v>26</v>
      </c>
      <c r="C111" t="s">
        <v>55</v>
      </c>
      <c r="D111" t="s">
        <v>56</v>
      </c>
      <c r="E111" t="s">
        <v>70</v>
      </c>
      <c r="F111" t="s">
        <v>171</v>
      </c>
      <c r="G111" t="s">
        <v>297</v>
      </c>
      <c r="H111" t="s">
        <v>340</v>
      </c>
      <c r="I111" t="s">
        <v>341</v>
      </c>
      <c r="J111">
        <v>2017</v>
      </c>
      <c r="K111">
        <v>8</v>
      </c>
      <c r="L111">
        <v>1</v>
      </c>
      <c r="M111" t="s">
        <v>34</v>
      </c>
      <c r="N111" t="s">
        <v>35</v>
      </c>
      <c r="O111" t="s">
        <v>36</v>
      </c>
      <c r="P111" t="s">
        <v>37</v>
      </c>
      <c r="Q111" t="s">
        <v>421</v>
      </c>
      <c r="R111" t="s">
        <v>38</v>
      </c>
      <c r="S111">
        <v>2023</v>
      </c>
      <c r="T111" t="s">
        <v>62</v>
      </c>
      <c r="U111" t="s">
        <v>63</v>
      </c>
      <c r="V111" t="s">
        <v>421</v>
      </c>
      <c r="X111">
        <v>2</v>
      </c>
      <c r="AB111" t="s">
        <v>432</v>
      </c>
      <c r="AH111" t="s">
        <v>422</v>
      </c>
    </row>
    <row r="112" spans="1:36">
      <c r="A112" t="s">
        <v>494</v>
      </c>
      <c r="B112" t="s">
        <v>26</v>
      </c>
      <c r="C112" t="s">
        <v>55</v>
      </c>
      <c r="D112" t="s">
        <v>56</v>
      </c>
      <c r="E112" t="s">
        <v>70</v>
      </c>
      <c r="F112" t="s">
        <v>171</v>
      </c>
      <c r="G112" t="s">
        <v>297</v>
      </c>
      <c r="H112" t="s">
        <v>342</v>
      </c>
      <c r="I112" t="s">
        <v>343</v>
      </c>
      <c r="J112">
        <v>2017</v>
      </c>
      <c r="K112">
        <v>8</v>
      </c>
      <c r="L112">
        <v>1</v>
      </c>
      <c r="M112" t="s">
        <v>34</v>
      </c>
      <c r="N112" t="s">
        <v>35</v>
      </c>
      <c r="O112" t="s">
        <v>36</v>
      </c>
      <c r="P112" t="s">
        <v>37</v>
      </c>
      <c r="Q112" t="s">
        <v>421</v>
      </c>
      <c r="R112" t="s">
        <v>38</v>
      </c>
      <c r="S112">
        <v>2023</v>
      </c>
      <c r="T112" t="s">
        <v>62</v>
      </c>
      <c r="U112" t="s">
        <v>63</v>
      </c>
      <c r="V112" t="s">
        <v>421</v>
      </c>
      <c r="X112">
        <v>2</v>
      </c>
      <c r="AB112" t="s">
        <v>432</v>
      </c>
      <c r="AH112" t="s">
        <v>422</v>
      </c>
    </row>
    <row r="113" spans="1:36">
      <c r="A113" t="s">
        <v>494</v>
      </c>
      <c r="B113" t="s">
        <v>26</v>
      </c>
      <c r="C113" t="s">
        <v>55</v>
      </c>
      <c r="D113" t="s">
        <v>56</v>
      </c>
      <c r="E113" t="s">
        <v>70</v>
      </c>
      <c r="F113" t="s">
        <v>171</v>
      </c>
      <c r="G113" t="s">
        <v>297</v>
      </c>
      <c r="H113" t="s">
        <v>344</v>
      </c>
      <c r="I113" t="s">
        <v>345</v>
      </c>
      <c r="J113">
        <v>2017</v>
      </c>
      <c r="K113">
        <v>8</v>
      </c>
      <c r="L113">
        <v>1</v>
      </c>
      <c r="M113" t="s">
        <v>34</v>
      </c>
      <c r="N113" t="s">
        <v>35</v>
      </c>
      <c r="O113" t="s">
        <v>36</v>
      </c>
      <c r="P113" t="s">
        <v>37</v>
      </c>
      <c r="Q113" t="s">
        <v>421</v>
      </c>
      <c r="R113" t="s">
        <v>38</v>
      </c>
      <c r="S113">
        <v>2023</v>
      </c>
      <c r="T113" t="s">
        <v>62</v>
      </c>
      <c r="U113" t="s">
        <v>63</v>
      </c>
      <c r="V113" t="s">
        <v>421</v>
      </c>
      <c r="X113">
        <v>2</v>
      </c>
      <c r="AB113" t="s">
        <v>432</v>
      </c>
      <c r="AH113" t="s">
        <v>422</v>
      </c>
    </row>
    <row r="114" spans="1:36">
      <c r="A114" t="s">
        <v>494</v>
      </c>
      <c r="B114" t="s">
        <v>26</v>
      </c>
      <c r="C114" t="s">
        <v>55</v>
      </c>
      <c r="D114" t="s">
        <v>56</v>
      </c>
      <c r="E114" t="s">
        <v>70</v>
      </c>
      <c r="F114" t="s">
        <v>171</v>
      </c>
      <c r="G114" t="s">
        <v>297</v>
      </c>
      <c r="H114" t="s">
        <v>346</v>
      </c>
      <c r="I114" t="s">
        <v>347</v>
      </c>
      <c r="J114">
        <v>2017</v>
      </c>
      <c r="K114">
        <v>8</v>
      </c>
      <c r="L114">
        <v>1</v>
      </c>
      <c r="M114" t="s">
        <v>34</v>
      </c>
      <c r="N114" t="s">
        <v>35</v>
      </c>
      <c r="O114" t="s">
        <v>36</v>
      </c>
      <c r="P114" t="s">
        <v>37</v>
      </c>
      <c r="Q114" t="s">
        <v>421</v>
      </c>
      <c r="R114" t="s">
        <v>38</v>
      </c>
      <c r="S114">
        <v>2023</v>
      </c>
      <c r="T114" t="s">
        <v>62</v>
      </c>
      <c r="U114" t="s">
        <v>63</v>
      </c>
      <c r="V114" t="s">
        <v>421</v>
      </c>
      <c r="X114">
        <v>2</v>
      </c>
      <c r="AB114" t="s">
        <v>432</v>
      </c>
      <c r="AH114" t="s">
        <v>422</v>
      </c>
    </row>
    <row r="115" spans="1:36">
      <c r="A115" t="s">
        <v>494</v>
      </c>
      <c r="B115" t="s">
        <v>26</v>
      </c>
      <c r="C115" t="s">
        <v>55</v>
      </c>
      <c r="D115" t="s">
        <v>56</v>
      </c>
      <c r="E115" t="s">
        <v>70</v>
      </c>
      <c r="F115" t="s">
        <v>171</v>
      </c>
      <c r="G115" t="s">
        <v>297</v>
      </c>
      <c r="H115" t="s">
        <v>348</v>
      </c>
      <c r="I115" t="s">
        <v>349</v>
      </c>
      <c r="J115">
        <v>2017</v>
      </c>
      <c r="K115">
        <v>8</v>
      </c>
      <c r="L115">
        <v>1</v>
      </c>
      <c r="M115" t="s">
        <v>34</v>
      </c>
      <c r="N115" t="s">
        <v>35</v>
      </c>
      <c r="O115" t="s">
        <v>36</v>
      </c>
      <c r="P115" t="s">
        <v>37</v>
      </c>
      <c r="Q115" t="s">
        <v>421</v>
      </c>
      <c r="R115" t="s">
        <v>38</v>
      </c>
      <c r="S115">
        <v>2023</v>
      </c>
      <c r="T115" t="s">
        <v>62</v>
      </c>
      <c r="U115" t="s">
        <v>63</v>
      </c>
      <c r="V115" t="s">
        <v>421</v>
      </c>
      <c r="X115">
        <v>2</v>
      </c>
      <c r="AB115" t="s">
        <v>432</v>
      </c>
      <c r="AH115" t="s">
        <v>422</v>
      </c>
    </row>
    <row r="116" spans="1:36">
      <c r="A116" t="s">
        <v>460</v>
      </c>
      <c r="B116" t="s">
        <v>26</v>
      </c>
      <c r="C116" t="s">
        <v>55</v>
      </c>
      <c r="D116" t="s">
        <v>56</v>
      </c>
      <c r="E116" t="s">
        <v>70</v>
      </c>
      <c r="F116" t="s">
        <v>364</v>
      </c>
      <c r="G116" t="s">
        <v>365</v>
      </c>
      <c r="H116">
        <v>1006012</v>
      </c>
      <c r="I116" t="s">
        <v>391</v>
      </c>
      <c r="J116">
        <v>2014</v>
      </c>
      <c r="K116">
        <v>8</v>
      </c>
      <c r="L116">
        <v>-2</v>
      </c>
      <c r="M116" t="s">
        <v>34</v>
      </c>
      <c r="N116" t="s">
        <v>35</v>
      </c>
      <c r="O116" t="s">
        <v>36</v>
      </c>
      <c r="P116" t="s">
        <v>37</v>
      </c>
      <c r="Q116" t="s">
        <v>421</v>
      </c>
      <c r="R116" t="s">
        <v>38</v>
      </c>
      <c r="S116">
        <v>2023</v>
      </c>
      <c r="T116" t="s">
        <v>62</v>
      </c>
      <c r="U116" t="s">
        <v>63</v>
      </c>
      <c r="V116" t="s">
        <v>421</v>
      </c>
      <c r="X116">
        <v>2</v>
      </c>
      <c r="AD116" t="s">
        <v>432</v>
      </c>
      <c r="AJ116" t="s">
        <v>422</v>
      </c>
    </row>
    <row r="117" spans="1:36">
      <c r="A117" t="s">
        <v>494</v>
      </c>
      <c r="B117" t="s">
        <v>26</v>
      </c>
      <c r="C117" t="s">
        <v>55</v>
      </c>
      <c r="D117" t="s">
        <v>56</v>
      </c>
      <c r="E117" t="s">
        <v>70</v>
      </c>
      <c r="F117" t="s">
        <v>171</v>
      </c>
      <c r="G117" t="s">
        <v>297</v>
      </c>
      <c r="H117" t="s">
        <v>350</v>
      </c>
      <c r="I117" t="s">
        <v>351</v>
      </c>
      <c r="J117">
        <v>2017</v>
      </c>
      <c r="K117">
        <v>8</v>
      </c>
      <c r="L117">
        <v>1</v>
      </c>
      <c r="M117" t="s">
        <v>34</v>
      </c>
      <c r="N117" t="s">
        <v>35</v>
      </c>
      <c r="O117" t="s">
        <v>36</v>
      </c>
      <c r="P117" t="s">
        <v>37</v>
      </c>
      <c r="Q117" t="s">
        <v>421</v>
      </c>
      <c r="R117" t="s">
        <v>38</v>
      </c>
      <c r="S117">
        <v>2023</v>
      </c>
      <c r="T117" t="s">
        <v>62</v>
      </c>
      <c r="U117" t="s">
        <v>63</v>
      </c>
      <c r="V117" t="s">
        <v>421</v>
      </c>
      <c r="X117">
        <v>2</v>
      </c>
      <c r="AB117" t="s">
        <v>432</v>
      </c>
      <c r="AH117" t="s">
        <v>422</v>
      </c>
    </row>
    <row r="118" spans="1:36">
      <c r="A118" t="s">
        <v>494</v>
      </c>
      <c r="B118" t="s">
        <v>26</v>
      </c>
      <c r="C118" t="s">
        <v>55</v>
      </c>
      <c r="D118" t="s">
        <v>28</v>
      </c>
      <c r="E118" t="s">
        <v>129</v>
      </c>
      <c r="F118" t="s">
        <v>66</v>
      </c>
      <c r="G118" t="s">
        <v>352</v>
      </c>
      <c r="H118">
        <v>118479</v>
      </c>
      <c r="I118" t="s">
        <v>353</v>
      </c>
      <c r="J118">
        <v>2019</v>
      </c>
      <c r="K118">
        <v>8</v>
      </c>
      <c r="L118">
        <v>3</v>
      </c>
      <c r="M118" t="s">
        <v>34</v>
      </c>
      <c r="N118" t="s">
        <v>35</v>
      </c>
      <c r="O118" t="s">
        <v>36</v>
      </c>
      <c r="P118" t="s">
        <v>37</v>
      </c>
      <c r="Q118" t="s">
        <v>421</v>
      </c>
      <c r="R118" t="s">
        <v>38</v>
      </c>
      <c r="S118">
        <v>2023</v>
      </c>
      <c r="T118" t="s">
        <v>62</v>
      </c>
      <c r="U118" t="s">
        <v>63</v>
      </c>
      <c r="V118" t="s">
        <v>421</v>
      </c>
      <c r="X118">
        <v>2</v>
      </c>
      <c r="AB118" t="s">
        <v>432</v>
      </c>
      <c r="AH118" t="s">
        <v>422</v>
      </c>
    </row>
    <row r="119" spans="1:36">
      <c r="A119" t="s">
        <v>494</v>
      </c>
      <c r="B119" t="s">
        <v>26</v>
      </c>
      <c r="C119" t="s">
        <v>55</v>
      </c>
      <c r="D119" t="s">
        <v>28</v>
      </c>
      <c r="E119" t="s">
        <v>129</v>
      </c>
      <c r="F119" t="s">
        <v>66</v>
      </c>
      <c r="G119" t="s">
        <v>130</v>
      </c>
      <c r="H119">
        <v>8355</v>
      </c>
      <c r="I119" t="s">
        <v>354</v>
      </c>
      <c r="J119">
        <v>2017</v>
      </c>
      <c r="K119">
        <v>8</v>
      </c>
      <c r="L119">
        <v>1</v>
      </c>
      <c r="M119" t="s">
        <v>34</v>
      </c>
      <c r="N119" t="s">
        <v>35</v>
      </c>
      <c r="O119" t="s">
        <v>36</v>
      </c>
      <c r="P119" t="s">
        <v>37</v>
      </c>
      <c r="Q119" t="s">
        <v>421</v>
      </c>
      <c r="R119" t="s">
        <v>38</v>
      </c>
      <c r="S119">
        <v>2023</v>
      </c>
      <c r="T119" t="s">
        <v>62</v>
      </c>
      <c r="U119" t="s">
        <v>63</v>
      </c>
      <c r="V119" t="s">
        <v>421</v>
      </c>
      <c r="X119">
        <v>2</v>
      </c>
      <c r="AB119" t="s">
        <v>432</v>
      </c>
      <c r="AH119" t="s">
        <v>422</v>
      </c>
    </row>
    <row r="120" spans="1:36">
      <c r="A120" t="s">
        <v>494</v>
      </c>
      <c r="B120" t="s">
        <v>26</v>
      </c>
      <c r="C120" t="s">
        <v>55</v>
      </c>
      <c r="D120" t="s">
        <v>28</v>
      </c>
      <c r="E120" t="s">
        <v>129</v>
      </c>
      <c r="F120" t="s">
        <v>66</v>
      </c>
      <c r="G120" t="s">
        <v>356</v>
      </c>
      <c r="H120" t="s">
        <v>357</v>
      </c>
      <c r="I120" t="s">
        <v>358</v>
      </c>
      <c r="J120">
        <v>2021</v>
      </c>
      <c r="K120">
        <v>8</v>
      </c>
      <c r="L120">
        <v>5</v>
      </c>
      <c r="M120" t="s">
        <v>34</v>
      </c>
      <c r="N120" t="s">
        <v>35</v>
      </c>
      <c r="O120" t="s">
        <v>36</v>
      </c>
      <c r="P120" t="s">
        <v>37</v>
      </c>
      <c r="Q120" t="s">
        <v>421</v>
      </c>
      <c r="R120" t="s">
        <v>38</v>
      </c>
      <c r="S120">
        <v>2023</v>
      </c>
      <c r="T120" t="s">
        <v>62</v>
      </c>
      <c r="U120" t="s">
        <v>63</v>
      </c>
      <c r="V120" t="s">
        <v>421</v>
      </c>
      <c r="X120">
        <v>2</v>
      </c>
      <c r="AB120" t="s">
        <v>432</v>
      </c>
      <c r="AH120" t="s">
        <v>422</v>
      </c>
    </row>
    <row r="121" spans="1:36">
      <c r="A121" t="s">
        <v>494</v>
      </c>
      <c r="B121" t="s">
        <v>26</v>
      </c>
      <c r="C121" t="s">
        <v>55</v>
      </c>
      <c r="D121" t="s">
        <v>28</v>
      </c>
      <c r="E121" t="s">
        <v>129</v>
      </c>
      <c r="F121" t="s">
        <v>66</v>
      </c>
      <c r="G121" t="s">
        <v>130</v>
      </c>
      <c r="H121">
        <v>8358</v>
      </c>
      <c r="I121" t="s">
        <v>359</v>
      </c>
      <c r="J121">
        <v>2017</v>
      </c>
      <c r="K121">
        <v>8</v>
      </c>
      <c r="L121">
        <v>1</v>
      </c>
      <c r="M121" t="s">
        <v>34</v>
      </c>
      <c r="N121" t="s">
        <v>35</v>
      </c>
      <c r="O121" t="s">
        <v>36</v>
      </c>
      <c r="P121" t="s">
        <v>37</v>
      </c>
      <c r="Q121" t="s">
        <v>421</v>
      </c>
      <c r="R121" t="s">
        <v>38</v>
      </c>
      <c r="S121">
        <v>2023</v>
      </c>
      <c r="T121" t="s">
        <v>62</v>
      </c>
      <c r="U121" t="s">
        <v>63</v>
      </c>
      <c r="V121" t="s">
        <v>421</v>
      </c>
      <c r="X121">
        <v>2</v>
      </c>
      <c r="AB121" t="s">
        <v>432</v>
      </c>
      <c r="AH121" t="s">
        <v>422</v>
      </c>
    </row>
    <row r="122" spans="1:36">
      <c r="A122" t="s">
        <v>494</v>
      </c>
      <c r="B122" t="s">
        <v>26</v>
      </c>
      <c r="C122" t="s">
        <v>55</v>
      </c>
      <c r="D122" t="s">
        <v>28</v>
      </c>
      <c r="E122" t="s">
        <v>129</v>
      </c>
      <c r="F122" t="s">
        <v>66</v>
      </c>
      <c r="G122" t="s">
        <v>130</v>
      </c>
      <c r="H122">
        <v>8356</v>
      </c>
      <c r="I122" t="s">
        <v>360</v>
      </c>
      <c r="J122">
        <v>2017</v>
      </c>
      <c r="K122">
        <v>8</v>
      </c>
      <c r="L122">
        <v>1</v>
      </c>
      <c r="M122" t="s">
        <v>34</v>
      </c>
      <c r="N122" t="s">
        <v>35</v>
      </c>
      <c r="O122" t="s">
        <v>36</v>
      </c>
      <c r="P122" t="s">
        <v>37</v>
      </c>
      <c r="Q122" t="s">
        <v>421</v>
      </c>
      <c r="R122" t="s">
        <v>38</v>
      </c>
      <c r="S122">
        <v>2023</v>
      </c>
      <c r="T122" t="s">
        <v>62</v>
      </c>
      <c r="U122" t="s">
        <v>63</v>
      </c>
      <c r="V122" t="s">
        <v>421</v>
      </c>
      <c r="X122">
        <v>2</v>
      </c>
      <c r="AB122" t="s">
        <v>432</v>
      </c>
      <c r="AH122" t="s">
        <v>422</v>
      </c>
    </row>
    <row r="123" spans="1:36">
      <c r="A123" t="s">
        <v>494</v>
      </c>
      <c r="B123" t="s">
        <v>26</v>
      </c>
      <c r="C123" t="s">
        <v>55</v>
      </c>
      <c r="D123" t="s">
        <v>28</v>
      </c>
      <c r="E123" t="s">
        <v>129</v>
      </c>
      <c r="F123" t="s">
        <v>66</v>
      </c>
      <c r="G123" t="s">
        <v>130</v>
      </c>
      <c r="H123">
        <v>8354</v>
      </c>
      <c r="I123" t="s">
        <v>361</v>
      </c>
      <c r="J123">
        <v>2017</v>
      </c>
      <c r="K123">
        <v>8</v>
      </c>
      <c r="L123">
        <v>1</v>
      </c>
      <c r="M123" t="s">
        <v>34</v>
      </c>
      <c r="N123" t="s">
        <v>35</v>
      </c>
      <c r="O123" t="s">
        <v>36</v>
      </c>
      <c r="P123" t="s">
        <v>37</v>
      </c>
      <c r="Q123" t="s">
        <v>421</v>
      </c>
      <c r="R123" t="s">
        <v>38</v>
      </c>
      <c r="S123">
        <v>2023</v>
      </c>
      <c r="T123" t="s">
        <v>62</v>
      </c>
      <c r="U123" t="s">
        <v>63</v>
      </c>
      <c r="V123" t="s">
        <v>421</v>
      </c>
      <c r="X123">
        <v>2</v>
      </c>
      <c r="AB123" t="s">
        <v>432</v>
      </c>
      <c r="AH123" t="s">
        <v>422</v>
      </c>
    </row>
    <row r="124" spans="1:36">
      <c r="A124" t="s">
        <v>494</v>
      </c>
      <c r="B124" t="s">
        <v>26</v>
      </c>
      <c r="C124" t="s">
        <v>55</v>
      </c>
      <c r="D124" t="s">
        <v>28</v>
      </c>
      <c r="E124" t="s">
        <v>129</v>
      </c>
      <c r="F124" t="s">
        <v>66</v>
      </c>
      <c r="G124" t="s">
        <v>130</v>
      </c>
      <c r="H124">
        <v>8357</v>
      </c>
      <c r="I124" t="s">
        <v>133</v>
      </c>
      <c r="J124">
        <v>2017</v>
      </c>
      <c r="K124">
        <v>8</v>
      </c>
      <c r="L124">
        <v>1</v>
      </c>
      <c r="M124" t="s">
        <v>34</v>
      </c>
      <c r="N124" t="s">
        <v>35</v>
      </c>
      <c r="O124" t="s">
        <v>36</v>
      </c>
      <c r="P124" t="s">
        <v>37</v>
      </c>
      <c r="Q124" t="s">
        <v>421</v>
      </c>
      <c r="R124" t="s">
        <v>38</v>
      </c>
      <c r="S124">
        <v>2023</v>
      </c>
      <c r="T124" t="s">
        <v>62</v>
      </c>
      <c r="U124" t="s">
        <v>63</v>
      </c>
      <c r="V124" t="s">
        <v>421</v>
      </c>
      <c r="X124">
        <v>2</v>
      </c>
      <c r="AB124" t="s">
        <v>432</v>
      </c>
      <c r="AD124" t="s">
        <v>648</v>
      </c>
      <c r="AJ124" t="s">
        <v>422</v>
      </c>
    </row>
    <row r="125" spans="1:36">
      <c r="A125" t="s">
        <v>494</v>
      </c>
      <c r="B125" t="s">
        <v>26</v>
      </c>
      <c r="C125" t="s">
        <v>55</v>
      </c>
      <c r="D125" t="s">
        <v>28</v>
      </c>
      <c r="E125" t="s">
        <v>129</v>
      </c>
      <c r="F125" t="s">
        <v>66</v>
      </c>
      <c r="G125" t="s">
        <v>130</v>
      </c>
      <c r="H125">
        <v>8353</v>
      </c>
      <c r="I125" t="s">
        <v>132</v>
      </c>
      <c r="J125">
        <v>2017</v>
      </c>
      <c r="K125">
        <v>8</v>
      </c>
      <c r="L125">
        <v>1</v>
      </c>
      <c r="M125" t="s">
        <v>34</v>
      </c>
      <c r="N125" t="s">
        <v>35</v>
      </c>
      <c r="O125" t="s">
        <v>36</v>
      </c>
      <c r="P125" t="s">
        <v>37</v>
      </c>
      <c r="Q125" t="s">
        <v>421</v>
      </c>
      <c r="R125" t="s">
        <v>38</v>
      </c>
      <c r="S125">
        <v>2023</v>
      </c>
      <c r="T125" t="s">
        <v>62</v>
      </c>
      <c r="U125" t="s">
        <v>63</v>
      </c>
      <c r="V125" t="s">
        <v>421</v>
      </c>
      <c r="X125">
        <v>2</v>
      </c>
      <c r="AB125" t="s">
        <v>432</v>
      </c>
      <c r="AD125" t="s">
        <v>648</v>
      </c>
      <c r="AJ125" t="s">
        <v>422</v>
      </c>
    </row>
    <row r="126" spans="1:36">
      <c r="A126" t="s">
        <v>494</v>
      </c>
      <c r="B126" t="s">
        <v>26</v>
      </c>
      <c r="C126" t="s">
        <v>55</v>
      </c>
      <c r="D126" t="s">
        <v>28</v>
      </c>
      <c r="E126" t="s">
        <v>129</v>
      </c>
      <c r="F126" t="s">
        <v>66</v>
      </c>
      <c r="G126" t="s">
        <v>130</v>
      </c>
      <c r="H126">
        <v>8352</v>
      </c>
      <c r="I126" t="s">
        <v>131</v>
      </c>
      <c r="J126">
        <v>2017</v>
      </c>
      <c r="K126">
        <v>8</v>
      </c>
      <c r="L126">
        <v>1</v>
      </c>
      <c r="M126" t="s">
        <v>34</v>
      </c>
      <c r="N126" t="s">
        <v>35</v>
      </c>
      <c r="O126" t="s">
        <v>36</v>
      </c>
      <c r="P126" t="s">
        <v>37</v>
      </c>
      <c r="Q126" t="s">
        <v>421</v>
      </c>
      <c r="R126" t="s">
        <v>38</v>
      </c>
      <c r="S126">
        <v>2023</v>
      </c>
      <c r="T126" t="s">
        <v>62</v>
      </c>
      <c r="U126" t="s">
        <v>63</v>
      </c>
      <c r="V126" t="s">
        <v>421</v>
      </c>
      <c r="X126">
        <v>2</v>
      </c>
      <c r="AB126" t="s">
        <v>432</v>
      </c>
      <c r="AD126" t="s">
        <v>648</v>
      </c>
      <c r="AJ126" t="s">
        <v>422</v>
      </c>
    </row>
    <row r="127" spans="1:36">
      <c r="A127" t="s">
        <v>493</v>
      </c>
      <c r="B127" t="s">
        <v>26</v>
      </c>
      <c r="C127" t="s">
        <v>55</v>
      </c>
      <c r="D127" t="s">
        <v>56</v>
      </c>
      <c r="E127" t="s">
        <v>65</v>
      </c>
      <c r="F127" t="s">
        <v>177</v>
      </c>
      <c r="G127" t="s">
        <v>178</v>
      </c>
      <c r="H127">
        <v>50200449</v>
      </c>
      <c r="I127" t="s">
        <v>363</v>
      </c>
      <c r="J127">
        <v>2016</v>
      </c>
      <c r="K127">
        <v>8</v>
      </c>
      <c r="L127">
        <v>0</v>
      </c>
      <c r="M127" t="s">
        <v>34</v>
      </c>
      <c r="N127" t="s">
        <v>35</v>
      </c>
      <c r="O127" t="s">
        <v>36</v>
      </c>
      <c r="P127" t="s">
        <v>37</v>
      </c>
      <c r="Q127" t="s">
        <v>421</v>
      </c>
      <c r="R127" t="s">
        <v>38</v>
      </c>
      <c r="S127">
        <v>2023</v>
      </c>
      <c r="T127" t="s">
        <v>62</v>
      </c>
      <c r="U127" t="s">
        <v>63</v>
      </c>
      <c r="V127" t="s">
        <v>421</v>
      </c>
      <c r="X127">
        <v>2</v>
      </c>
      <c r="AD127" t="s">
        <v>432</v>
      </c>
      <c r="AJ127" t="s">
        <v>422</v>
      </c>
    </row>
    <row r="128" spans="1:36">
      <c r="A128" t="s">
        <v>493</v>
      </c>
      <c r="B128" t="s">
        <v>26</v>
      </c>
      <c r="C128" t="s">
        <v>55</v>
      </c>
      <c r="D128" t="s">
        <v>56</v>
      </c>
      <c r="E128" t="s">
        <v>70</v>
      </c>
      <c r="F128" t="s">
        <v>364</v>
      </c>
      <c r="G128" t="s">
        <v>365</v>
      </c>
      <c r="H128">
        <v>1005050</v>
      </c>
      <c r="I128" t="s">
        <v>366</v>
      </c>
      <c r="J128">
        <v>2014</v>
      </c>
      <c r="K128">
        <v>8</v>
      </c>
      <c r="L128">
        <v>-2</v>
      </c>
      <c r="M128" t="s">
        <v>34</v>
      </c>
      <c r="N128" t="s">
        <v>35</v>
      </c>
      <c r="O128" t="s">
        <v>36</v>
      </c>
      <c r="P128" t="s">
        <v>37</v>
      </c>
      <c r="Q128" t="s">
        <v>421</v>
      </c>
      <c r="R128" t="s">
        <v>38</v>
      </c>
      <c r="S128">
        <v>2023</v>
      </c>
      <c r="T128" t="s">
        <v>62</v>
      </c>
      <c r="U128" t="s">
        <v>63</v>
      </c>
      <c r="V128" t="s">
        <v>421</v>
      </c>
      <c r="X128">
        <v>2</v>
      </c>
      <c r="AD128" t="s">
        <v>432</v>
      </c>
      <c r="AJ128" t="s">
        <v>422</v>
      </c>
    </row>
    <row r="129" spans="1:36">
      <c r="A129" t="s">
        <v>492</v>
      </c>
      <c r="B129" t="s">
        <v>26</v>
      </c>
      <c r="C129" t="s">
        <v>55</v>
      </c>
      <c r="D129" t="s">
        <v>56</v>
      </c>
      <c r="E129" t="s">
        <v>70</v>
      </c>
      <c r="F129" t="s">
        <v>283</v>
      </c>
      <c r="G129" t="s">
        <v>284</v>
      </c>
      <c r="H129">
        <v>122010785</v>
      </c>
      <c r="I129" t="s">
        <v>368</v>
      </c>
      <c r="J129">
        <v>2021</v>
      </c>
      <c r="K129">
        <v>8</v>
      </c>
      <c r="L129">
        <v>5</v>
      </c>
      <c r="M129" t="s">
        <v>34</v>
      </c>
      <c r="N129" t="s">
        <v>35</v>
      </c>
      <c r="O129" t="s">
        <v>36</v>
      </c>
      <c r="P129" t="s">
        <v>37</v>
      </c>
      <c r="Q129" t="s">
        <v>421</v>
      </c>
      <c r="R129" t="s">
        <v>38</v>
      </c>
      <c r="S129">
        <v>2023</v>
      </c>
      <c r="T129" t="s">
        <v>62</v>
      </c>
      <c r="U129" t="s">
        <v>63</v>
      </c>
      <c r="V129" t="s">
        <v>421</v>
      </c>
      <c r="X129">
        <v>2</v>
      </c>
      <c r="AD129" t="s">
        <v>432</v>
      </c>
      <c r="AJ129" t="s">
        <v>422</v>
      </c>
    </row>
    <row r="130" spans="1:36">
      <c r="A130" t="s">
        <v>492</v>
      </c>
      <c r="B130" t="s">
        <v>26</v>
      </c>
      <c r="C130" t="s">
        <v>55</v>
      </c>
      <c r="D130" t="s">
        <v>56</v>
      </c>
      <c r="E130" t="s">
        <v>57</v>
      </c>
      <c r="F130" t="s">
        <v>30</v>
      </c>
      <c r="G130" t="s">
        <v>78</v>
      </c>
      <c r="H130" t="s">
        <v>370</v>
      </c>
      <c r="I130" t="s">
        <v>371</v>
      </c>
      <c r="J130">
        <v>2020</v>
      </c>
      <c r="K130">
        <v>8</v>
      </c>
      <c r="L130">
        <v>4</v>
      </c>
      <c r="M130" t="s">
        <v>34</v>
      </c>
      <c r="N130" t="s">
        <v>35</v>
      </c>
      <c r="O130" t="s">
        <v>36</v>
      </c>
      <c r="P130" t="s">
        <v>37</v>
      </c>
      <c r="Q130" t="s">
        <v>421</v>
      </c>
      <c r="R130" t="s">
        <v>38</v>
      </c>
      <c r="S130">
        <v>2023</v>
      </c>
      <c r="T130" t="s">
        <v>62</v>
      </c>
      <c r="U130" t="s">
        <v>63</v>
      </c>
      <c r="V130" t="s">
        <v>421</v>
      </c>
      <c r="X130">
        <v>2</v>
      </c>
      <c r="AC130" t="s">
        <v>432</v>
      </c>
      <c r="AI130" t="s">
        <v>422</v>
      </c>
    </row>
    <row r="131" spans="1:36">
      <c r="A131" t="s">
        <v>488</v>
      </c>
      <c r="B131" t="s">
        <v>26</v>
      </c>
      <c r="C131" t="s">
        <v>55</v>
      </c>
      <c r="D131" t="s">
        <v>56</v>
      </c>
      <c r="E131" t="s">
        <v>70</v>
      </c>
      <c r="F131" t="s">
        <v>225</v>
      </c>
      <c r="G131" t="s">
        <v>226</v>
      </c>
      <c r="H131" t="s">
        <v>373</v>
      </c>
      <c r="I131" t="s">
        <v>374</v>
      </c>
      <c r="J131">
        <v>2014</v>
      </c>
      <c r="K131">
        <v>8</v>
      </c>
      <c r="L131">
        <v>-2</v>
      </c>
      <c r="M131" t="s">
        <v>34</v>
      </c>
      <c r="N131" t="s">
        <v>35</v>
      </c>
      <c r="O131" t="s">
        <v>36</v>
      </c>
      <c r="P131" t="s">
        <v>37</v>
      </c>
      <c r="Q131" t="s">
        <v>421</v>
      </c>
      <c r="R131" t="s">
        <v>38</v>
      </c>
      <c r="S131">
        <v>2023</v>
      </c>
      <c r="T131" t="s">
        <v>62</v>
      </c>
      <c r="U131" t="s">
        <v>63</v>
      </c>
      <c r="V131" t="s">
        <v>421</v>
      </c>
      <c r="X131">
        <v>2</v>
      </c>
      <c r="AD131" t="s">
        <v>432</v>
      </c>
      <c r="AJ131" t="s">
        <v>422</v>
      </c>
    </row>
    <row r="132" spans="1:36">
      <c r="A132" t="s">
        <v>481</v>
      </c>
      <c r="B132" t="s">
        <v>26</v>
      </c>
      <c r="C132" t="s">
        <v>55</v>
      </c>
      <c r="D132" t="s">
        <v>56</v>
      </c>
      <c r="E132" t="s">
        <v>70</v>
      </c>
      <c r="F132" t="s">
        <v>171</v>
      </c>
      <c r="G132" t="s">
        <v>297</v>
      </c>
      <c r="H132" t="s">
        <v>376</v>
      </c>
      <c r="I132" t="s">
        <v>377</v>
      </c>
      <c r="J132">
        <v>2017</v>
      </c>
      <c r="K132">
        <v>8</v>
      </c>
      <c r="L132">
        <v>1</v>
      </c>
      <c r="M132" t="s">
        <v>34</v>
      </c>
      <c r="N132" t="s">
        <v>35</v>
      </c>
      <c r="O132" t="s">
        <v>36</v>
      </c>
      <c r="P132" t="s">
        <v>37</v>
      </c>
      <c r="Q132" t="s">
        <v>421</v>
      </c>
      <c r="R132" t="s">
        <v>38</v>
      </c>
      <c r="S132">
        <v>2023</v>
      </c>
      <c r="T132" t="s">
        <v>62</v>
      </c>
      <c r="U132" t="s">
        <v>63</v>
      </c>
      <c r="V132" t="s">
        <v>421</v>
      </c>
      <c r="X132">
        <v>2</v>
      </c>
      <c r="AD132" t="s">
        <v>432</v>
      </c>
      <c r="AJ132" t="s">
        <v>422</v>
      </c>
    </row>
    <row r="133" spans="1:36">
      <c r="A133" t="s">
        <v>480</v>
      </c>
      <c r="B133" t="s">
        <v>26</v>
      </c>
      <c r="C133" t="s">
        <v>55</v>
      </c>
      <c r="D133" t="s">
        <v>56</v>
      </c>
      <c r="E133" t="s">
        <v>70</v>
      </c>
      <c r="F133" t="s">
        <v>171</v>
      </c>
      <c r="G133" t="s">
        <v>297</v>
      </c>
      <c r="H133" t="s">
        <v>379</v>
      </c>
      <c r="I133" t="s">
        <v>380</v>
      </c>
      <c r="J133">
        <v>2017</v>
      </c>
      <c r="K133">
        <v>8</v>
      </c>
      <c r="L133">
        <v>1</v>
      </c>
      <c r="M133" t="s">
        <v>34</v>
      </c>
      <c r="N133" t="s">
        <v>35</v>
      </c>
      <c r="O133" t="s">
        <v>36</v>
      </c>
      <c r="P133" t="s">
        <v>37</v>
      </c>
      <c r="Q133" t="s">
        <v>421</v>
      </c>
      <c r="R133" t="s">
        <v>38</v>
      </c>
      <c r="S133">
        <v>2023</v>
      </c>
      <c r="T133" t="s">
        <v>62</v>
      </c>
      <c r="U133" t="s">
        <v>63</v>
      </c>
      <c r="V133" t="s">
        <v>421</v>
      </c>
      <c r="X133">
        <v>2</v>
      </c>
      <c r="AD133" t="s">
        <v>432</v>
      </c>
      <c r="AJ133" t="s">
        <v>422</v>
      </c>
    </row>
    <row r="134" spans="1:36">
      <c r="A134" t="s">
        <v>476</v>
      </c>
      <c r="B134" t="s">
        <v>26</v>
      </c>
      <c r="C134" t="s">
        <v>55</v>
      </c>
      <c r="D134" t="s">
        <v>56</v>
      </c>
      <c r="E134" t="s">
        <v>70</v>
      </c>
      <c r="F134" t="s">
        <v>171</v>
      </c>
      <c r="G134" t="s">
        <v>297</v>
      </c>
      <c r="H134" t="s">
        <v>382</v>
      </c>
      <c r="I134" t="s">
        <v>383</v>
      </c>
      <c r="J134">
        <v>2017</v>
      </c>
      <c r="K134">
        <v>8</v>
      </c>
      <c r="L134">
        <v>1</v>
      </c>
      <c r="M134" t="s">
        <v>34</v>
      </c>
      <c r="N134" t="s">
        <v>35</v>
      </c>
      <c r="O134" t="s">
        <v>36</v>
      </c>
      <c r="P134" t="s">
        <v>37</v>
      </c>
      <c r="Q134" t="s">
        <v>421</v>
      </c>
      <c r="R134" t="s">
        <v>38</v>
      </c>
      <c r="S134">
        <v>2023</v>
      </c>
      <c r="T134" t="s">
        <v>62</v>
      </c>
      <c r="U134" t="s">
        <v>63</v>
      </c>
      <c r="V134" t="s">
        <v>421</v>
      </c>
      <c r="X134">
        <v>2</v>
      </c>
      <c r="AD134" t="s">
        <v>432</v>
      </c>
      <c r="AJ134" t="s">
        <v>422</v>
      </c>
    </row>
    <row r="135" spans="1:36">
      <c r="A135" t="s">
        <v>471</v>
      </c>
      <c r="B135" t="s">
        <v>26</v>
      </c>
      <c r="C135" t="s">
        <v>55</v>
      </c>
      <c r="D135" t="s">
        <v>56</v>
      </c>
      <c r="E135" t="s">
        <v>70</v>
      </c>
      <c r="F135" t="s">
        <v>171</v>
      </c>
      <c r="G135" t="s">
        <v>297</v>
      </c>
      <c r="H135" t="s">
        <v>385</v>
      </c>
      <c r="I135" t="s">
        <v>386</v>
      </c>
      <c r="J135">
        <v>2017</v>
      </c>
      <c r="K135">
        <v>8</v>
      </c>
      <c r="L135">
        <v>1</v>
      </c>
      <c r="M135" t="s">
        <v>34</v>
      </c>
      <c r="N135" t="s">
        <v>35</v>
      </c>
      <c r="O135" t="s">
        <v>36</v>
      </c>
      <c r="P135" t="s">
        <v>37</v>
      </c>
      <c r="Q135" t="s">
        <v>421</v>
      </c>
      <c r="R135" t="s">
        <v>38</v>
      </c>
      <c r="S135">
        <v>2023</v>
      </c>
      <c r="T135" t="s">
        <v>62</v>
      </c>
      <c r="U135" t="s">
        <v>63</v>
      </c>
      <c r="V135" t="s">
        <v>421</v>
      </c>
      <c r="X135">
        <v>2</v>
      </c>
      <c r="AD135" t="s">
        <v>432</v>
      </c>
      <c r="AJ135" t="s">
        <v>422</v>
      </c>
    </row>
    <row r="136" spans="1:36">
      <c r="A136" t="s">
        <v>470</v>
      </c>
      <c r="B136" t="s">
        <v>26</v>
      </c>
      <c r="C136" t="s">
        <v>55</v>
      </c>
      <c r="D136" t="s">
        <v>56</v>
      </c>
      <c r="E136" t="s">
        <v>70</v>
      </c>
      <c r="F136" t="s">
        <v>171</v>
      </c>
      <c r="G136" t="s">
        <v>297</v>
      </c>
      <c r="H136" t="s">
        <v>388</v>
      </c>
      <c r="I136" t="s">
        <v>389</v>
      </c>
      <c r="J136">
        <v>2017</v>
      </c>
      <c r="K136">
        <v>8</v>
      </c>
      <c r="L136">
        <v>1</v>
      </c>
      <c r="M136" t="s">
        <v>34</v>
      </c>
      <c r="N136" t="s">
        <v>35</v>
      </c>
      <c r="O136" t="s">
        <v>36</v>
      </c>
      <c r="P136" t="s">
        <v>37</v>
      </c>
      <c r="Q136" t="s">
        <v>421</v>
      </c>
      <c r="R136" t="s">
        <v>38</v>
      </c>
      <c r="S136">
        <v>2023</v>
      </c>
      <c r="T136" t="s">
        <v>62</v>
      </c>
      <c r="U136" t="s">
        <v>63</v>
      </c>
      <c r="V136" t="s">
        <v>421</v>
      </c>
      <c r="X136">
        <v>2</v>
      </c>
      <c r="AD136" t="s">
        <v>432</v>
      </c>
      <c r="AJ136" t="s">
        <v>422</v>
      </c>
    </row>
    <row r="137" spans="1:36">
      <c r="A137" t="s">
        <v>42</v>
      </c>
      <c r="B137" t="s">
        <v>26</v>
      </c>
      <c r="C137" t="s">
        <v>43</v>
      </c>
      <c r="D137" t="s">
        <v>28</v>
      </c>
      <c r="E137" t="s">
        <v>42</v>
      </c>
      <c r="F137" t="s">
        <v>44</v>
      </c>
      <c r="G137" t="s">
        <v>45</v>
      </c>
      <c r="H137" t="s">
        <v>46</v>
      </c>
      <c r="I137" t="s">
        <v>47</v>
      </c>
      <c r="J137">
        <v>2013</v>
      </c>
      <c r="K137">
        <v>8</v>
      </c>
      <c r="L137">
        <v>-3</v>
      </c>
      <c r="M137" t="s">
        <v>34</v>
      </c>
      <c r="N137" t="s">
        <v>35</v>
      </c>
      <c r="O137" t="s">
        <v>36</v>
      </c>
      <c r="P137" t="s">
        <v>37</v>
      </c>
      <c r="Q137" t="s">
        <v>421</v>
      </c>
      <c r="R137" t="s">
        <v>38</v>
      </c>
      <c r="S137">
        <v>2023</v>
      </c>
      <c r="T137" t="s">
        <v>426</v>
      </c>
      <c r="U137" t="s">
        <v>652</v>
      </c>
      <c r="V137" t="s">
        <v>653</v>
      </c>
    </row>
    <row r="138" spans="1:36">
      <c r="A138" t="s">
        <v>42</v>
      </c>
      <c r="B138" t="s">
        <v>26</v>
      </c>
      <c r="C138" t="s">
        <v>43</v>
      </c>
      <c r="D138" t="s">
        <v>28</v>
      </c>
      <c r="E138" t="s">
        <v>42</v>
      </c>
      <c r="F138" t="s">
        <v>44</v>
      </c>
      <c r="G138" t="s">
        <v>45</v>
      </c>
      <c r="H138" t="s">
        <v>49</v>
      </c>
      <c r="I138" t="s">
        <v>50</v>
      </c>
      <c r="J138">
        <v>2013</v>
      </c>
      <c r="K138">
        <v>8</v>
      </c>
      <c r="L138">
        <v>-3</v>
      </c>
      <c r="M138" t="s">
        <v>34</v>
      </c>
      <c r="N138" t="s">
        <v>35</v>
      </c>
      <c r="O138" t="s">
        <v>36</v>
      </c>
      <c r="P138" t="s">
        <v>37</v>
      </c>
      <c r="Q138" t="s">
        <v>421</v>
      </c>
      <c r="R138" t="s">
        <v>38</v>
      </c>
      <c r="S138">
        <v>2023</v>
      </c>
      <c r="T138" t="s">
        <v>426</v>
      </c>
      <c r="U138" t="s">
        <v>652</v>
      </c>
      <c r="V138" t="s">
        <v>653</v>
      </c>
    </row>
    <row r="139" spans="1:36">
      <c r="A139" t="s">
        <v>42</v>
      </c>
      <c r="B139" t="s">
        <v>26</v>
      </c>
      <c r="C139" t="s">
        <v>43</v>
      </c>
      <c r="D139" t="s">
        <v>28</v>
      </c>
      <c r="E139" t="s">
        <v>42</v>
      </c>
      <c r="F139" t="s">
        <v>44</v>
      </c>
      <c r="G139" t="s">
        <v>51</v>
      </c>
      <c r="H139" t="s">
        <v>52</v>
      </c>
      <c r="I139" t="s">
        <v>53</v>
      </c>
      <c r="J139">
        <v>2020</v>
      </c>
      <c r="K139">
        <v>8</v>
      </c>
      <c r="L139">
        <v>4</v>
      </c>
      <c r="M139" t="s">
        <v>34</v>
      </c>
      <c r="N139" t="s">
        <v>35</v>
      </c>
      <c r="O139" t="s">
        <v>36</v>
      </c>
      <c r="P139" t="s">
        <v>37</v>
      </c>
      <c r="Q139" t="s">
        <v>421</v>
      </c>
      <c r="R139" t="s">
        <v>38</v>
      </c>
      <c r="S139">
        <v>2023</v>
      </c>
      <c r="T139" t="s">
        <v>426</v>
      </c>
      <c r="U139" t="s">
        <v>652</v>
      </c>
      <c r="V139" t="s">
        <v>653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EF0F-E6ED-4040-B6E3-880C1FD2F366}">
  <dimension ref="A1:AJ4"/>
  <sheetViews>
    <sheetView workbookViewId="0">
      <selection activeCell="A3" sqref="A3:AJ4"/>
    </sheetView>
  </sheetViews>
  <sheetFormatPr baseColWidth="10" defaultColWidth="11.453125" defaultRowHeight="14.5"/>
  <cols>
    <col min="1" max="1" width="19.1796875" bestFit="1" customWidth="1"/>
    <col min="2" max="2" width="21.54296875" bestFit="1" customWidth="1"/>
    <col min="3" max="3" width="18.453125" bestFit="1" customWidth="1"/>
    <col min="4" max="4" width="12.1796875" bestFit="1" customWidth="1"/>
    <col min="5" max="5" width="18.81640625" bestFit="1" customWidth="1"/>
    <col min="6" max="8" width="11.54296875" bestFit="1" customWidth="1"/>
    <col min="9" max="9" width="17" bestFit="1" customWidth="1"/>
    <col min="10" max="10" width="22.81640625" bestFit="1" customWidth="1"/>
    <col min="11" max="11" width="12" bestFit="1" customWidth="1"/>
    <col min="12" max="12" width="21.1796875" bestFit="1" customWidth="1"/>
    <col min="13" max="13" width="34.26953125" bestFit="1" customWidth="1"/>
    <col min="14" max="14" width="42.54296875" bestFit="1" customWidth="1"/>
    <col min="15" max="15" width="40.7265625" bestFit="1" customWidth="1"/>
    <col min="16" max="16" width="23.81640625" bestFit="1" customWidth="1"/>
    <col min="17" max="17" width="30.81640625" bestFit="1" customWidth="1"/>
    <col min="18" max="18" width="40.7265625" bestFit="1" customWidth="1"/>
    <col min="19" max="19" width="66.1796875" bestFit="1" customWidth="1"/>
    <col min="20" max="20" width="67.81640625" bestFit="1" customWidth="1"/>
    <col min="21" max="21" width="52.81640625" bestFit="1" customWidth="1"/>
    <col min="22" max="22" width="80.1796875" bestFit="1" customWidth="1"/>
    <col min="23" max="23" width="99.1796875" bestFit="1" customWidth="1"/>
    <col min="24" max="24" width="40.81640625" bestFit="1" customWidth="1"/>
    <col min="25" max="32" width="11.54296875" bestFit="1" customWidth="1"/>
    <col min="33" max="33" width="14.1796875" bestFit="1" customWidth="1"/>
    <col min="34" max="34" width="11.54296875" bestFit="1" customWidth="1"/>
    <col min="35" max="35" width="14.1796875" bestFit="1" customWidth="1"/>
    <col min="36" max="36" width="13" bestFit="1" customWidth="1"/>
  </cols>
  <sheetData>
    <row r="1" spans="1:36">
      <c r="A1" s="50" t="s">
        <v>654</v>
      </c>
    </row>
    <row r="3" spans="1:3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409</v>
      </c>
      <c r="Z3" t="s">
        <v>410</v>
      </c>
      <c r="AA3" t="s">
        <v>411</v>
      </c>
      <c r="AB3" t="s">
        <v>412</v>
      </c>
      <c r="AC3" t="s">
        <v>413</v>
      </c>
      <c r="AD3" t="s">
        <v>414</v>
      </c>
      <c r="AE3" t="s">
        <v>415</v>
      </c>
      <c r="AF3" t="s">
        <v>416</v>
      </c>
      <c r="AG3" t="s">
        <v>417</v>
      </c>
      <c r="AH3" t="s">
        <v>418</v>
      </c>
      <c r="AI3" t="s">
        <v>419</v>
      </c>
      <c r="AJ3" t="s">
        <v>420</v>
      </c>
    </row>
    <row r="4" spans="1:36">
      <c r="A4" t="s">
        <v>507</v>
      </c>
      <c r="B4" t="s">
        <v>26</v>
      </c>
      <c r="C4" t="s">
        <v>423</v>
      </c>
      <c r="D4" t="s">
        <v>28</v>
      </c>
      <c r="E4" t="s">
        <v>512</v>
      </c>
      <c r="F4" t="s">
        <v>508</v>
      </c>
      <c r="G4" t="s">
        <v>513</v>
      </c>
      <c r="H4">
        <v>20638</v>
      </c>
      <c r="J4">
        <v>2024</v>
      </c>
      <c r="K4">
        <v>8</v>
      </c>
      <c r="L4">
        <v>8</v>
      </c>
      <c r="M4" t="s">
        <v>430</v>
      </c>
      <c r="N4" t="s">
        <v>440</v>
      </c>
      <c r="O4" t="s">
        <v>425</v>
      </c>
      <c r="P4" t="s">
        <v>37</v>
      </c>
      <c r="Q4" t="s">
        <v>421</v>
      </c>
      <c r="R4" t="s">
        <v>38</v>
      </c>
      <c r="S4">
        <v>2025</v>
      </c>
      <c r="T4" t="s">
        <v>426</v>
      </c>
      <c r="U4" t="s">
        <v>510</v>
      </c>
      <c r="V4" t="s">
        <v>511</v>
      </c>
      <c r="W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F67"/>
  <sheetViews>
    <sheetView topLeftCell="J1" zoomScale="70" zoomScaleNormal="70" workbookViewId="0">
      <selection activeCell="Y17" sqref="Y17"/>
    </sheetView>
  </sheetViews>
  <sheetFormatPr baseColWidth="10" defaultColWidth="11.453125" defaultRowHeight="14.5"/>
  <cols>
    <col min="1" max="1" width="17.54296875" style="1" bestFit="1" customWidth="1"/>
    <col min="2" max="2" width="46.7265625" style="1" bestFit="1" customWidth="1"/>
    <col min="3" max="13" width="11.7265625" style="1" customWidth="1"/>
    <col min="14" max="14" width="12.54296875" style="1" bestFit="1" customWidth="1"/>
    <col min="15" max="15" width="27" style="1" bestFit="1" customWidth="1"/>
    <col min="16" max="16" width="15.81640625" style="1" bestFit="1" customWidth="1"/>
    <col min="17" max="17" width="9" style="1" customWidth="1"/>
    <col min="18" max="18" width="5.453125" style="1" customWidth="1"/>
    <col min="19" max="19" width="12.54296875" style="1" bestFit="1" customWidth="1"/>
    <col min="20" max="20" width="6.26953125" style="1" customWidth="1"/>
    <col min="21" max="21" width="15.81640625" style="1" bestFit="1" customWidth="1"/>
    <col min="22" max="22" width="7.453125" style="1" customWidth="1"/>
    <col min="23" max="23" width="3.453125" style="1" bestFit="1" customWidth="1"/>
    <col min="24" max="24" width="8.26953125" style="1" customWidth="1"/>
    <col min="25" max="25" width="5.1796875" style="1" bestFit="1" customWidth="1"/>
    <col min="26" max="26" width="7.453125" style="1" customWidth="1"/>
    <col min="27" max="27" width="8" style="1" bestFit="1" customWidth="1"/>
    <col min="28" max="28" width="7.453125" style="1" customWidth="1"/>
    <col min="29" max="29" width="3" style="1" bestFit="1" customWidth="1"/>
    <col min="30" max="30" width="8.26953125" style="1" customWidth="1"/>
    <col min="31" max="33" width="15.81640625" style="1" bestFit="1" customWidth="1"/>
    <col min="34" max="34" width="12.54296875" style="1" bestFit="1" customWidth="1"/>
    <col min="35" max="40" width="15.81640625" style="1" bestFit="1" customWidth="1"/>
    <col min="41" max="41" width="12.54296875" style="1" bestFit="1" customWidth="1"/>
    <col min="42" max="16384" width="11.453125" style="1"/>
  </cols>
  <sheetData>
    <row r="3" spans="1:32">
      <c r="A3" s="1" t="s">
        <v>655</v>
      </c>
      <c r="B3" s="1" t="s">
        <v>656</v>
      </c>
    </row>
    <row r="4" spans="1:32">
      <c r="A4" s="14" t="s">
        <v>36</v>
      </c>
      <c r="B4" s="1">
        <v>276</v>
      </c>
    </row>
    <row r="5" spans="1:32">
      <c r="A5" s="14" t="s">
        <v>425</v>
      </c>
      <c r="B5" s="1">
        <v>378</v>
      </c>
    </row>
    <row r="6" spans="1:32">
      <c r="A6" s="14" t="s">
        <v>464</v>
      </c>
      <c r="B6" s="1">
        <v>39</v>
      </c>
    </row>
    <row r="7" spans="1:32">
      <c r="A7" s="14" t="s">
        <v>421</v>
      </c>
      <c r="B7" s="1">
        <v>22</v>
      </c>
    </row>
    <row r="8" spans="1:32">
      <c r="A8" s="14" t="s">
        <v>657</v>
      </c>
      <c r="B8" s="1">
        <v>715</v>
      </c>
    </row>
    <row r="9" spans="1:32">
      <c r="A9"/>
      <c r="B9"/>
    </row>
    <row r="11" spans="1:32" ht="15" thickBot="1">
      <c r="A11" s="6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32" ht="15" thickBot="1">
      <c r="A12" s="13"/>
      <c r="B12" s="74" t="s">
        <v>409</v>
      </c>
      <c r="C12" s="74" t="s">
        <v>410</v>
      </c>
      <c r="D12" s="75" t="s">
        <v>411</v>
      </c>
      <c r="E12" s="74" t="s">
        <v>412</v>
      </c>
      <c r="F12" s="74" t="s">
        <v>413</v>
      </c>
      <c r="G12" s="74" t="s">
        <v>414</v>
      </c>
      <c r="H12" s="74" t="s">
        <v>415</v>
      </c>
      <c r="I12" s="74" t="s">
        <v>416</v>
      </c>
      <c r="J12" s="74" t="s">
        <v>417</v>
      </c>
      <c r="K12" s="74" t="s">
        <v>418</v>
      </c>
      <c r="L12" s="75" t="s">
        <v>419</v>
      </c>
      <c r="M12" s="74" t="s">
        <v>420</v>
      </c>
      <c r="N12" s="2"/>
      <c r="O12" s="67" t="s">
        <v>658</v>
      </c>
      <c r="P12" s="68">
        <f>+GETPIVOTDATA("FRECUENCIA ANUAL DE MANTENIMIENTO",$A$49,"AÑO INGRESO A PLAN DE MANTENIMIENTO (2023 / 2024 / 2025 / 2026)",2023)++GETPIVOTDATA("FRECUENCIA ANUAL DE MANTENIMIENTO",$A$49,"AÑO INGRESO A PLAN DE MANTENIMIENTO (2023 / 2024 / 2025 / 2026)",2024)+++GETPIVOTDATA("FRECUENCIA ANUAL DE MANTENIMIENTO",$A$49,"AÑO INGRESO A PLAN DE MANTENIMIENTO (2023 / 2024 / 2025 / 2026)",2025)</f>
        <v>711</v>
      </c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2"/>
    </row>
    <row r="13" spans="1:32" ht="15" thickBot="1">
      <c r="A13" s="76" t="s">
        <v>659</v>
      </c>
      <c r="B13" s="86">
        <f>+COUNTIF('CATASTRO Y PLANIFICACIÓN MP'!Y16:Y151,"√")</f>
        <v>4</v>
      </c>
      <c r="C13" s="86">
        <f>+COUNTIF('CATASTRO Y PLANIFICACIÓN MP'!Z16:Z151,"√")</f>
        <v>0</v>
      </c>
      <c r="D13" s="86">
        <f>+COUNTIF('CATASTRO Y PLANIFICACIÓN MP'!AA16:AA151,"√")</f>
        <v>3</v>
      </c>
      <c r="E13" s="86">
        <f>+COUNTIF('CATASTRO Y PLANIFICACIÓN MP'!AB16:AB151,"√")</f>
        <v>0</v>
      </c>
      <c r="F13" s="86">
        <f>+COUNTIF('CATASTRO Y PLANIFICACIÓN MP'!AC16:AC151,"√")</f>
        <v>0</v>
      </c>
      <c r="G13" s="86">
        <f>+COUNTIF('CATASTRO Y PLANIFICACIÓN MP'!AD16:AD151,"√")</f>
        <v>0</v>
      </c>
      <c r="H13" s="86">
        <f>+COUNTIF('CATASTRO Y PLANIFICACIÓN MP'!AE16:AE151,"√")</f>
        <v>0</v>
      </c>
      <c r="I13" s="86">
        <f>+COUNTIF('CATASTRO Y PLANIFICACIÓN MP'!AF16:AF151,"√")</f>
        <v>0</v>
      </c>
      <c r="J13" s="86">
        <f>+COUNTIF('CATASTRO Y PLANIFICACIÓN MP'!AG16:AG151,"√")</f>
        <v>0</v>
      </c>
      <c r="K13" s="86">
        <f>+COUNTIF('CATASTRO Y PLANIFICACIÓN MP'!AH16:AH151,"√")</f>
        <v>0</v>
      </c>
      <c r="L13" s="86">
        <f>+COUNTIF('CATASTRO Y PLANIFICACIÓN MP'!AI16:AI151,"√")</f>
        <v>0</v>
      </c>
      <c r="M13" s="86">
        <f>+COUNTIF('CATASTRO Y PLANIFICACIÓN MP'!AJ16:AJ151,"√")</f>
        <v>0</v>
      </c>
      <c r="N13" s="2"/>
      <c r="O13" s="67" t="s">
        <v>660</v>
      </c>
      <c r="P13" s="68">
        <f>+SUM(B13:M13)</f>
        <v>7</v>
      </c>
      <c r="Q13" s="2"/>
      <c r="R13" s="6" t="s">
        <v>422</v>
      </c>
      <c r="S13" s="6" t="s">
        <v>661</v>
      </c>
      <c r="T13" s="6"/>
      <c r="U13" s="6" t="s">
        <v>36</v>
      </c>
      <c r="V13" s="6"/>
      <c r="W13" s="6" t="s">
        <v>38</v>
      </c>
      <c r="X13" s="6"/>
      <c r="Y13" s="6">
        <v>2025</v>
      </c>
      <c r="Z13" s="6"/>
      <c r="AA13" s="6" t="s">
        <v>62</v>
      </c>
      <c r="AB13" s="6"/>
      <c r="AC13" s="6">
        <v>1</v>
      </c>
      <c r="AE13" s="1" t="s">
        <v>439</v>
      </c>
      <c r="AF13" s="1" t="s">
        <v>440</v>
      </c>
    </row>
    <row r="14" spans="1:32" ht="15" thickBot="1">
      <c r="A14" s="76" t="s">
        <v>662</v>
      </c>
      <c r="B14" s="87" t="e">
        <f>+COUNTIF('CATASTRO Y PLANIFICACIÓN MP'!#REF!,"ꓣ")</f>
        <v>#REF!</v>
      </c>
      <c r="C14" s="87" t="e">
        <f>+COUNTIF('CATASTRO Y PLANIFICACIÓN MP'!#REF!,"ꓣ")</f>
        <v>#REF!</v>
      </c>
      <c r="D14" s="87" t="e">
        <f>+COUNTIF('CATASTRO Y PLANIFICACIÓN MP'!#REF!,"ꓣ")</f>
        <v>#REF!</v>
      </c>
      <c r="E14" s="87" t="e">
        <f>+COUNTIF('CATASTRO Y PLANIFICACIÓN MP'!#REF!,"ꓣ")</f>
        <v>#REF!</v>
      </c>
      <c r="F14" s="87" t="e">
        <f>+COUNTIF('CATASTRO Y PLANIFICACIÓN MP'!#REF!,"ꓣ")</f>
        <v>#REF!</v>
      </c>
      <c r="G14" s="87" t="e">
        <f>+COUNTIF('CATASTRO Y PLANIFICACIÓN MP'!#REF!,"ꓣ")</f>
        <v>#REF!</v>
      </c>
      <c r="H14" s="87" t="e">
        <f>+COUNTIF('CATASTRO Y PLANIFICACIÓN MP'!#REF!,"ꓣ")</f>
        <v>#REF!</v>
      </c>
      <c r="I14" s="87" t="e">
        <f>+COUNTIF('CATASTRO Y PLANIFICACIÓN MP'!#REF!,"ꓣ")</f>
        <v>#REF!</v>
      </c>
      <c r="J14" s="87" t="e">
        <f>+COUNTIF('CATASTRO Y PLANIFICACIÓN MP'!#REF!,"ꓣ")</f>
        <v>#REF!</v>
      </c>
      <c r="K14" s="87" t="e">
        <f>+COUNTIF('CATASTRO Y PLANIFICACIÓN MP'!#REF!,"ꓣ")</f>
        <v>#REF!</v>
      </c>
      <c r="L14" s="87" t="e">
        <f>+COUNTIF('CATASTRO Y PLANIFICACIÓN MP'!#REF!,"ꓣ")</f>
        <v>#REF!</v>
      </c>
      <c r="M14" s="87" t="e">
        <f>+COUNTIF('CATASTRO Y PLANIFICACIÓN MP'!#REF!,"ꓣ")</f>
        <v>#REF!</v>
      </c>
      <c r="N14" s="2"/>
      <c r="O14" s="67" t="s">
        <v>663</v>
      </c>
      <c r="P14" s="68" t="e">
        <f>+SUM(B14:M14)</f>
        <v>#REF!</v>
      </c>
      <c r="Q14" s="2"/>
      <c r="R14" s="10" t="s">
        <v>432</v>
      </c>
      <c r="S14" s="6" t="s">
        <v>664</v>
      </c>
      <c r="T14" s="6"/>
      <c r="U14" s="6" t="s">
        <v>464</v>
      </c>
      <c r="V14" s="6"/>
      <c r="W14" s="6" t="s">
        <v>37</v>
      </c>
      <c r="X14" s="6"/>
      <c r="Y14" s="6">
        <v>2026</v>
      </c>
      <c r="Z14" s="6"/>
      <c r="AA14" s="6" t="s">
        <v>39</v>
      </c>
      <c r="AB14" s="6"/>
      <c r="AC14" s="6">
        <v>2</v>
      </c>
      <c r="AE14" s="1" t="s">
        <v>665</v>
      </c>
      <c r="AF14" s="1" t="s">
        <v>482</v>
      </c>
    </row>
    <row r="15" spans="1:32" ht="15" thickBot="1">
      <c r="A15" s="11"/>
      <c r="B15" s="82" t="s">
        <v>409</v>
      </c>
      <c r="C15" s="82" t="s">
        <v>410</v>
      </c>
      <c r="D15" s="82" t="s">
        <v>411</v>
      </c>
      <c r="E15" s="82" t="s">
        <v>412</v>
      </c>
      <c r="F15" s="82" t="s">
        <v>413</v>
      </c>
      <c r="G15" s="82" t="s">
        <v>414</v>
      </c>
      <c r="H15" s="83" t="s">
        <v>415</v>
      </c>
      <c r="I15" s="82" t="s">
        <v>416</v>
      </c>
      <c r="J15" s="83" t="s">
        <v>417</v>
      </c>
      <c r="K15" s="82" t="s">
        <v>418</v>
      </c>
      <c r="L15" s="82" t="s">
        <v>419</v>
      </c>
      <c r="M15" s="82" t="s">
        <v>420</v>
      </c>
      <c r="N15" s="2"/>
      <c r="O15" s="67" t="s">
        <v>666</v>
      </c>
      <c r="P15" s="68">
        <f>+GETPIVOTDATA("FRECUENCIA ANUAL DE MANTENIMIENTO",$A$49,"CRÍTICO/ RELEVANTE / IM≥12 / NO APLICA","CRÍTICO","AÑO INGRESO A PLAN DE MANTENIMIENTO (2023 / 2024 / 2025 / 2026)",2023)+GETPIVOTDATA("FRECUENCIA ANUAL DE MANTENIMIENTO",$A$49,"CRÍTICO/ RELEVANTE / IM≥12 / NO APLICA","CRÍTICO","AÑO INGRESO A PLAN DE MANTENIMIENTO (2023 / 2024 / 2025 / 2026)",2024)++GETPIVOTDATA("FRECUENCIA ANUAL DE MANTENIMIENTO",$A$49,"CRÍTICO/ RELEVANTE / IM≥12 / NO APLICA","CRÍTICO","AÑO INGRESO A PLAN DE MANTENIMIENTO (2023 / 2024 / 2025 / 2026)",2025)</f>
        <v>272</v>
      </c>
      <c r="Q15" s="2"/>
      <c r="R15" s="10" t="s">
        <v>648</v>
      </c>
      <c r="S15" s="6" t="s">
        <v>667</v>
      </c>
      <c r="T15" s="6"/>
      <c r="U15" s="6" t="s">
        <v>668</v>
      </c>
      <c r="V15" s="6"/>
      <c r="W15" s="6"/>
      <c r="X15" s="6"/>
      <c r="Y15" s="6">
        <v>2027</v>
      </c>
      <c r="Z15" s="6"/>
      <c r="AA15" s="6" t="s">
        <v>426</v>
      </c>
      <c r="AB15" s="6"/>
      <c r="AC15" s="6">
        <v>3</v>
      </c>
      <c r="AE15" s="1" t="s">
        <v>509</v>
      </c>
      <c r="AF15" s="1" t="s">
        <v>431</v>
      </c>
    </row>
    <row r="16" spans="1:32" ht="15" thickBot="1">
      <c r="A16" s="77" t="s">
        <v>669</v>
      </c>
      <c r="B16" s="88" t="e">
        <f>+COUNTIFS('CATASTRO Y PLANIFICACIÓN MP'!#REF!,"CRÍTICO",'CATASTRO Y PLANIFICACIÓN MP'!#REF!,"√")</f>
        <v>#REF!</v>
      </c>
      <c r="C16" s="88" t="e">
        <f>+COUNTIFS('CATASTRO Y PLANIFICACIÓN MP'!#REF!,"CRÍTICO",'CATASTRO Y PLANIFICACIÓN MP'!#REF!,"√")</f>
        <v>#REF!</v>
      </c>
      <c r="D16" s="88" t="e">
        <f>+COUNTIFS('CATASTRO Y PLANIFICACIÓN MP'!#REF!,"CRÍTICO",'CATASTRO Y PLANIFICACIÓN MP'!#REF!,"√")</f>
        <v>#REF!</v>
      </c>
      <c r="E16" s="88" t="e">
        <f>+COUNTIFS('CATASTRO Y PLANIFICACIÓN MP'!#REF!,"CRÍTICO",'CATASTRO Y PLANIFICACIÓN MP'!#REF!,"√")</f>
        <v>#REF!</v>
      </c>
      <c r="F16" s="88" t="e">
        <f>+COUNTIFS('CATASTRO Y PLANIFICACIÓN MP'!#REF!,"CRÍTICO",'CATASTRO Y PLANIFICACIÓN MP'!#REF!,"√")</f>
        <v>#REF!</v>
      </c>
      <c r="G16" s="88" t="e">
        <f>+COUNTIFS('CATASTRO Y PLANIFICACIÓN MP'!#REF!,"CRÍTICO",'CATASTRO Y PLANIFICACIÓN MP'!#REF!,"√")</f>
        <v>#REF!</v>
      </c>
      <c r="H16" s="88" t="e">
        <f>+COUNTIFS('CATASTRO Y PLANIFICACIÓN MP'!#REF!,"CRÍTICO",'CATASTRO Y PLANIFICACIÓN MP'!#REF!,"√")</f>
        <v>#REF!</v>
      </c>
      <c r="I16" s="88" t="e">
        <f>+COUNTIFS('CATASTRO Y PLANIFICACIÓN MP'!#REF!,"CRÍTICO",'CATASTRO Y PLANIFICACIÓN MP'!#REF!,"√")</f>
        <v>#REF!</v>
      </c>
      <c r="J16" s="88" t="e">
        <f>+COUNTIFS('CATASTRO Y PLANIFICACIÓN MP'!#REF!,"CRÍTICO",'CATASTRO Y PLANIFICACIÓN MP'!#REF!,"√")</f>
        <v>#REF!</v>
      </c>
      <c r="K16" s="88" t="e">
        <f>+COUNTIFS('CATASTRO Y PLANIFICACIÓN MP'!#REF!,"CRÍTICO",'CATASTRO Y PLANIFICACIÓN MP'!#REF!,"√")</f>
        <v>#REF!</v>
      </c>
      <c r="L16" s="88" t="e">
        <f>+COUNTIFS('CATASTRO Y PLANIFICACIÓN MP'!#REF!,"CRÍTICO",'CATASTRO Y PLANIFICACIÓN MP'!#REF!,"√")</f>
        <v>#REF!</v>
      </c>
      <c r="M16" s="88" t="e">
        <f>+COUNTIFS('CATASTRO Y PLANIFICACIÓN MP'!#REF!,"CRÍTICO",'CATASTRO Y PLANIFICACIÓN MP'!#REF!,"√")</f>
        <v>#REF!</v>
      </c>
      <c r="N16" s="2"/>
      <c r="O16" s="67" t="s">
        <v>670</v>
      </c>
      <c r="P16" s="68">
        <f>+GETPIVOTDATA("FRECUENCIA ANUAL DE MANTENIMIENTO",$A$49,"CRÍTICO/ RELEVANTE / IM≥12 / NO APLICA","RELEVANTE","AÑO INGRESO A PLAN DE MANTENIMIENTO (2023 / 2024 / 2025 / 2026)",2023)+GETPIVOTDATA("FRECUENCIA ANUAL DE MANTENIMIENTO",$A$49,"CRÍTICO/ RELEVANTE / IM≥12 / NO APLICA","RELEVANTE","AÑO INGRESO A PLAN DE MANTENIMIENTO (2023 / 2024 / 2025 / 2026)",2024)</f>
        <v>39</v>
      </c>
      <c r="Q16" s="2"/>
      <c r="R16" s="6"/>
      <c r="S16" s="6"/>
      <c r="T16" s="6"/>
      <c r="U16" s="6" t="s">
        <v>421</v>
      </c>
      <c r="V16" s="6"/>
      <c r="W16" s="6"/>
      <c r="X16" s="6"/>
      <c r="Y16" s="6">
        <v>2028</v>
      </c>
      <c r="Z16" s="6"/>
      <c r="AA16" s="6"/>
      <c r="AB16" s="6"/>
      <c r="AC16" s="6">
        <v>4</v>
      </c>
      <c r="AE16" s="1" t="s">
        <v>671</v>
      </c>
      <c r="AF16" s="1" t="s">
        <v>672</v>
      </c>
    </row>
    <row r="17" spans="1:29" ht="15" thickBot="1">
      <c r="A17" s="77" t="s">
        <v>673</v>
      </c>
      <c r="B17" s="89" t="e">
        <f>+COUNTIFS('CATASTRO Y PLANIFICACIÓN MP'!#REF!,"RELEVANTE",'CATASTRO Y PLANIFICACIÓN MP'!#REF!,"√")</f>
        <v>#REF!</v>
      </c>
      <c r="C17" s="89" t="e">
        <f>+COUNTIFS('CATASTRO Y PLANIFICACIÓN MP'!#REF!,"RELEVANTE",'CATASTRO Y PLANIFICACIÓN MP'!#REF!,"√")</f>
        <v>#REF!</v>
      </c>
      <c r="D17" s="89" t="e">
        <f>+COUNTIFS('CATASTRO Y PLANIFICACIÓN MP'!#REF!,"RELEVANTE",'CATASTRO Y PLANIFICACIÓN MP'!#REF!,"√")</f>
        <v>#REF!</v>
      </c>
      <c r="E17" s="89" t="e">
        <f>+COUNTIFS('CATASTRO Y PLANIFICACIÓN MP'!#REF!,"RELEVANTE",'CATASTRO Y PLANIFICACIÓN MP'!#REF!,"√")</f>
        <v>#REF!</v>
      </c>
      <c r="F17" s="89" t="e">
        <f>+COUNTIFS('CATASTRO Y PLANIFICACIÓN MP'!#REF!,"RELEVANTE",'CATASTRO Y PLANIFICACIÓN MP'!#REF!,"√")</f>
        <v>#REF!</v>
      </c>
      <c r="G17" s="89" t="e">
        <f>+COUNTIFS('CATASTRO Y PLANIFICACIÓN MP'!#REF!,"RELEVANTE",'CATASTRO Y PLANIFICACIÓN MP'!#REF!,"√")</f>
        <v>#REF!</v>
      </c>
      <c r="H17" s="89" t="e">
        <f>+COUNTIFS('CATASTRO Y PLANIFICACIÓN MP'!#REF!,"RELEVANTE",'CATASTRO Y PLANIFICACIÓN MP'!#REF!,"√")</f>
        <v>#REF!</v>
      </c>
      <c r="I17" s="89" t="e">
        <f>+COUNTIFS('CATASTRO Y PLANIFICACIÓN MP'!#REF!,"RELEVANTE",'CATASTRO Y PLANIFICACIÓN MP'!#REF!,"√")</f>
        <v>#REF!</v>
      </c>
      <c r="J17" s="89" t="e">
        <f>+COUNTIFS('CATASTRO Y PLANIFICACIÓN MP'!#REF!,"RELEVANTE",'CATASTRO Y PLANIFICACIÓN MP'!#REF!,"√")</f>
        <v>#REF!</v>
      </c>
      <c r="K17" s="89" t="e">
        <f>+COUNTIFS('CATASTRO Y PLANIFICACIÓN MP'!#REF!,"RELEVANTE",'CATASTRO Y PLANIFICACIÓN MP'!#REF!,"√")</f>
        <v>#REF!</v>
      </c>
      <c r="L17" s="89" t="e">
        <f>+COUNTIFS('CATASTRO Y PLANIFICACIÓN MP'!#REF!,"RELEVANTE",'CATASTRO Y PLANIFICACIÓN MP'!#REF!,"√")</f>
        <v>#REF!</v>
      </c>
      <c r="M17" s="89" t="e">
        <f>+COUNTIFS('CATASTRO Y PLANIFICACIÓN MP'!#REF!,"RELEVANTE",'CATASTRO Y PLANIFICACIÓN MP'!#REF!,"√")</f>
        <v>#REF!</v>
      </c>
      <c r="N17" s="2"/>
      <c r="O17" s="67" t="s">
        <v>674</v>
      </c>
      <c r="P17" s="68">
        <f>+GETPIVOTDATA("FRECUENCIA ANUAL DE MANTENIMIENTO",$A$49,"CRÍTICO/ RELEVANTE / IM≥12 / NO APLICA","IM ≥ 12","AÑO INGRESO A PLAN DE MANTENIMIENTO (2023 / 2024 / 2025 / 2026)",2023)+GETPIVOTDATA("FRECUENCIA ANUAL DE MANTENIMIENTO",$A$49,"CRÍTICO/ RELEVANTE / IM≥12 / NO APLICA","IM ≥ 12","AÑO INGRESO A PLAN DE MANTENIMIENTO (2023 / 2024 / 2025 / 2026)",2024)+GETPIVOTDATA("FRECUENCIA ANUAL DE MANTENIMIENTO",$A$49,"CRÍTICO/ RELEVANTE / IM≥12 / NO APLICA","IM ≥ 12","AÑO INGRESO A PLAN DE MANTENIMIENTO (2023 / 2024 / 2025 / 2026)",2025)</f>
        <v>378</v>
      </c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6</v>
      </c>
    </row>
    <row r="18" spans="1:29" ht="15" thickBot="1">
      <c r="A18" s="77" t="s">
        <v>675</v>
      </c>
      <c r="B18" s="89" t="e">
        <f>+COUNTIFS('CATASTRO Y PLANIFICACIÓN MP'!#REF!,"IM ≥ 12",'CATASTRO Y PLANIFICACIÓN MP'!#REF!,"√")</f>
        <v>#REF!</v>
      </c>
      <c r="C18" s="89" t="e">
        <f>+COUNTIFS('CATASTRO Y PLANIFICACIÓN MP'!#REF!,"IM ≥ 12",'CATASTRO Y PLANIFICACIÓN MP'!#REF!,"√")</f>
        <v>#REF!</v>
      </c>
      <c r="D18" s="89" t="e">
        <f>+COUNTIFS('CATASTRO Y PLANIFICACIÓN MP'!#REF!,"IM ≥ 12",'CATASTRO Y PLANIFICACIÓN MP'!#REF!,"√")</f>
        <v>#REF!</v>
      </c>
      <c r="E18" s="89" t="e">
        <f>+COUNTIFS('CATASTRO Y PLANIFICACIÓN MP'!#REF!,"IM ≥ 12",'CATASTRO Y PLANIFICACIÓN MP'!#REF!,"√")</f>
        <v>#REF!</v>
      </c>
      <c r="F18" s="89" t="e">
        <f>+COUNTIFS('CATASTRO Y PLANIFICACIÓN MP'!#REF!,"IM ≥ 12",'CATASTRO Y PLANIFICACIÓN MP'!#REF!,"√")</f>
        <v>#REF!</v>
      </c>
      <c r="G18" s="89" t="e">
        <f>+COUNTIFS('CATASTRO Y PLANIFICACIÓN MP'!#REF!,"IM ≥ 12",'CATASTRO Y PLANIFICACIÓN MP'!#REF!,"√")</f>
        <v>#REF!</v>
      </c>
      <c r="H18" s="89" t="e">
        <f>+COUNTIFS('CATASTRO Y PLANIFICACIÓN MP'!#REF!,"IM ≥ 12",'CATASTRO Y PLANIFICACIÓN MP'!#REF!,"√")</f>
        <v>#REF!</v>
      </c>
      <c r="I18" s="89" t="e">
        <f>+COUNTIFS('CATASTRO Y PLANIFICACIÓN MP'!#REF!,"IM ≥ 12",'CATASTRO Y PLANIFICACIÓN MP'!#REF!,"√")</f>
        <v>#REF!</v>
      </c>
      <c r="J18" s="89" t="e">
        <f>+COUNTIFS('CATASTRO Y PLANIFICACIÓN MP'!#REF!,"IM ≥ 12",'CATASTRO Y PLANIFICACIÓN MP'!#REF!,"√")</f>
        <v>#REF!</v>
      </c>
      <c r="K18" s="89" t="e">
        <f>+COUNTIFS('CATASTRO Y PLANIFICACIÓN MP'!#REF!,"IM ≥ 12",'CATASTRO Y PLANIFICACIÓN MP'!#REF!,"√")</f>
        <v>#REF!</v>
      </c>
      <c r="L18" s="89" t="e">
        <f>+COUNTIFS('CATASTRO Y PLANIFICACIÓN MP'!#REF!,"IM ≥ 12",'CATASTRO Y PLANIFICACIÓN MP'!#REF!,"√")</f>
        <v>#REF!</v>
      </c>
      <c r="M18" s="89" t="e">
        <f>+COUNTIFS('CATASTRO Y PLANIFICACIÓN MP'!#REF!,"IM ≥ 12",'CATASTRO Y PLANIFICACIÓN MP'!#REF!,"√")</f>
        <v>#REF!</v>
      </c>
      <c r="N18" s="2"/>
      <c r="O18" s="67" t="s">
        <v>676</v>
      </c>
      <c r="P18" s="69" t="e">
        <f>+SUM(B16:M16)</f>
        <v>#REF!</v>
      </c>
      <c r="R18" s="2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12</v>
      </c>
    </row>
    <row r="19" spans="1:29" ht="15" thickBot="1">
      <c r="A19" s="78" t="s">
        <v>677</v>
      </c>
      <c r="B19" s="89" t="e">
        <f>+COUNTIFS('CATASTRO Y PLANIFICACIÓN MP'!#REF!,"CRÍTICO",'CATASTRO Y PLANIFICACIÓN MP'!#REF!,"ꓣ")</f>
        <v>#REF!</v>
      </c>
      <c r="C19" s="89" t="e">
        <f>+COUNTIFS('CATASTRO Y PLANIFICACIÓN MP'!#REF!,"CRÍTICO",'CATASTRO Y PLANIFICACIÓN MP'!#REF!,"ꓣ")</f>
        <v>#REF!</v>
      </c>
      <c r="D19" s="89" t="e">
        <f>+COUNTIFS('CATASTRO Y PLANIFICACIÓN MP'!#REF!,"CRÍTICO",'CATASTRO Y PLANIFICACIÓN MP'!#REF!,"ꓣ")</f>
        <v>#REF!</v>
      </c>
      <c r="E19" s="89" t="e">
        <f>+COUNTIFS('CATASTRO Y PLANIFICACIÓN MP'!#REF!,"CRÍTICO",'CATASTRO Y PLANIFICACIÓN MP'!#REF!,"ꓣ")</f>
        <v>#REF!</v>
      </c>
      <c r="F19" s="89" t="e">
        <f>+COUNTIFS('CATASTRO Y PLANIFICACIÓN MP'!#REF!,"CRÍTICO",'CATASTRO Y PLANIFICACIÓN MP'!#REF!,"ꓣ")</f>
        <v>#REF!</v>
      </c>
      <c r="G19" s="89" t="e">
        <f>+COUNTIFS('CATASTRO Y PLANIFICACIÓN MP'!#REF!,"CRÍTICO",'CATASTRO Y PLANIFICACIÓN MP'!#REF!,"ꓣ")</f>
        <v>#REF!</v>
      </c>
      <c r="H19" s="89" t="e">
        <f>+COUNTIFS('CATASTRO Y PLANIFICACIÓN MP'!#REF!,"CRÍTICO",'CATASTRO Y PLANIFICACIÓN MP'!#REF!,"ꓣ")</f>
        <v>#REF!</v>
      </c>
      <c r="I19" s="89" t="e">
        <f>+COUNTIFS('CATASTRO Y PLANIFICACIÓN MP'!#REF!,"CRÍTICO",'CATASTRO Y PLANIFICACIÓN MP'!#REF!,"ꓣ")</f>
        <v>#REF!</v>
      </c>
      <c r="J19" s="89" t="e">
        <f>+COUNTIFS('CATASTRO Y PLANIFICACIÓN MP'!#REF!,"CRÍTICO",'CATASTRO Y PLANIFICACIÓN MP'!#REF!,"ꓣ")</f>
        <v>#REF!</v>
      </c>
      <c r="K19" s="89" t="e">
        <f>+COUNTIFS('CATASTRO Y PLANIFICACIÓN MP'!#REF!,"CRÍTICO",'CATASTRO Y PLANIFICACIÓN MP'!#REF!,"ꓣ")</f>
        <v>#REF!</v>
      </c>
      <c r="L19" s="89" t="e">
        <f>+COUNTIFS('CATASTRO Y PLANIFICACIÓN MP'!#REF!,"CRÍTICO",'CATASTRO Y PLANIFICACIÓN MP'!#REF!,"ꓣ")</f>
        <v>#REF!</v>
      </c>
      <c r="M19" s="89" t="e">
        <f>+COUNTIFS('CATASTRO Y PLANIFICACIÓN MP'!#REF!,"CRÍTICO",'CATASTRO Y PLANIFICACIÓN MP'!#REF!,"ꓣ")</f>
        <v>#REF!</v>
      </c>
      <c r="N19" s="2"/>
      <c r="O19" s="67" t="s">
        <v>678</v>
      </c>
      <c r="P19" s="68" t="e">
        <f>+SUM(B17:M17)</f>
        <v>#REF!</v>
      </c>
      <c r="Q19" s="2"/>
      <c r="R19" s="6"/>
      <c r="S19" s="6" t="s">
        <v>645</v>
      </c>
      <c r="T19" s="6"/>
      <c r="U19" s="6"/>
      <c r="V19" s="6"/>
      <c r="W19" s="6"/>
      <c r="X19" s="6"/>
      <c r="Y19" s="6"/>
      <c r="Z19" s="6"/>
      <c r="AA19" s="6"/>
      <c r="AB19" s="6"/>
      <c r="AC19" s="2"/>
    </row>
    <row r="20" spans="1:29" ht="15" thickBot="1">
      <c r="A20" s="78" t="s">
        <v>679</v>
      </c>
      <c r="B20" s="89" t="e">
        <f>+COUNTIFS('CATASTRO Y PLANIFICACIÓN MP'!#REF!,"RELEVANTE",'CATASTRO Y PLANIFICACIÓN MP'!#REF!,"ꓣ")</f>
        <v>#REF!</v>
      </c>
      <c r="C20" s="89" t="e">
        <f>+COUNTIFS('CATASTRO Y PLANIFICACIÓN MP'!#REF!,"RELEVANTE",'CATASTRO Y PLANIFICACIÓN MP'!#REF!,"ꓣ")</f>
        <v>#REF!</v>
      </c>
      <c r="D20" s="89" t="e">
        <f>+COUNTIFS('CATASTRO Y PLANIFICACIÓN MP'!#REF!,"RELEVANTE",'CATASTRO Y PLANIFICACIÓN MP'!#REF!,"ꓣ")</f>
        <v>#REF!</v>
      </c>
      <c r="E20" s="89" t="e">
        <f>+COUNTIFS('CATASTRO Y PLANIFICACIÓN MP'!#REF!,"RELEVANTE",'CATASTRO Y PLANIFICACIÓN MP'!#REF!,"ꓣ")</f>
        <v>#REF!</v>
      </c>
      <c r="F20" s="89" t="e">
        <f>+COUNTIFS('CATASTRO Y PLANIFICACIÓN MP'!#REF!,"RELEVANTE",'CATASTRO Y PLANIFICACIÓN MP'!#REF!,"ꓣ")</f>
        <v>#REF!</v>
      </c>
      <c r="G20" s="89" t="e">
        <f>+COUNTIFS('CATASTRO Y PLANIFICACIÓN MP'!#REF!,"RELEVANTE",'CATASTRO Y PLANIFICACIÓN MP'!#REF!,"ꓣ")</f>
        <v>#REF!</v>
      </c>
      <c r="H20" s="89" t="e">
        <f>+COUNTIFS('CATASTRO Y PLANIFICACIÓN MP'!#REF!,"RELEVANTE",'CATASTRO Y PLANIFICACIÓN MP'!#REF!,"ꓣ")</f>
        <v>#REF!</v>
      </c>
      <c r="I20" s="89" t="e">
        <f>+COUNTIFS('CATASTRO Y PLANIFICACIÓN MP'!#REF!,"RELEVANTE",'CATASTRO Y PLANIFICACIÓN MP'!#REF!,"ꓣ")</f>
        <v>#REF!</v>
      </c>
      <c r="J20" s="89" t="e">
        <f>+COUNTIFS('CATASTRO Y PLANIFICACIÓN MP'!#REF!,"RELEVANTE",'CATASTRO Y PLANIFICACIÓN MP'!#REF!,"ꓣ")</f>
        <v>#REF!</v>
      </c>
      <c r="K20" s="89" t="e">
        <f>+COUNTIFS('CATASTRO Y PLANIFICACIÓN MP'!#REF!,"RELEVANTE",'CATASTRO Y PLANIFICACIÓN MP'!#REF!,"ꓣ")</f>
        <v>#REF!</v>
      </c>
      <c r="L20" s="89" t="e">
        <f>+COUNTIFS('CATASTRO Y PLANIFICACIÓN MP'!#REF!,"RELEVANTE",'CATASTRO Y PLANIFICACIÓN MP'!#REF!,"ꓣ")</f>
        <v>#REF!</v>
      </c>
      <c r="M20" s="89" t="e">
        <f>+COUNTIFS('CATASTRO Y PLANIFICACIÓN MP'!#REF!,"RELEVANTE",'CATASTRO Y PLANIFICACIÓN MP'!#REF!,"ꓣ")</f>
        <v>#REF!</v>
      </c>
      <c r="N20" s="2"/>
      <c r="O20" s="67" t="s">
        <v>680</v>
      </c>
      <c r="P20" s="68" t="e">
        <f>+SUM(B18:M18)</f>
        <v>#REF!</v>
      </c>
      <c r="Q20" s="2"/>
      <c r="R20" s="6"/>
      <c r="S20" s="6" t="s">
        <v>646</v>
      </c>
      <c r="T20" s="6"/>
      <c r="U20" s="6"/>
      <c r="V20" s="6"/>
      <c r="W20" s="6"/>
      <c r="X20" s="6"/>
      <c r="Y20" s="6"/>
      <c r="Z20" s="6"/>
      <c r="AA20" s="6"/>
      <c r="AB20" s="6"/>
      <c r="AC20" s="2"/>
    </row>
    <row r="21" spans="1:29" ht="15" thickBot="1">
      <c r="A21" s="78" t="s">
        <v>681</v>
      </c>
      <c r="B21" s="90" t="e">
        <f>+COUNTIFS('CATASTRO Y PLANIFICACIÓN MP'!#REF!,"IM ≥ 12",'CATASTRO Y PLANIFICACIÓN MP'!#REF!,"ꓣ")</f>
        <v>#REF!</v>
      </c>
      <c r="C21" s="90" t="e">
        <f>+COUNTIFS('CATASTRO Y PLANIFICACIÓN MP'!#REF!,"IM ≥ 12",'CATASTRO Y PLANIFICACIÓN MP'!#REF!,"ꓣ")</f>
        <v>#REF!</v>
      </c>
      <c r="D21" s="90" t="e">
        <f>+COUNTIFS('CATASTRO Y PLANIFICACIÓN MP'!#REF!,"IM ≥ 12",'CATASTRO Y PLANIFICACIÓN MP'!#REF!,"ꓣ")</f>
        <v>#REF!</v>
      </c>
      <c r="E21" s="90" t="e">
        <f>+COUNTIFS('CATASTRO Y PLANIFICACIÓN MP'!#REF!,"IM ≥ 12",'CATASTRO Y PLANIFICACIÓN MP'!#REF!,"ꓣ")</f>
        <v>#REF!</v>
      </c>
      <c r="F21" s="90" t="e">
        <f>+COUNTIFS('CATASTRO Y PLANIFICACIÓN MP'!#REF!,"IM ≥ 12",'CATASTRO Y PLANIFICACIÓN MP'!#REF!,"ꓣ")</f>
        <v>#REF!</v>
      </c>
      <c r="G21" s="90" t="e">
        <f>+COUNTIFS('CATASTRO Y PLANIFICACIÓN MP'!#REF!,"IM ≥ 12",'CATASTRO Y PLANIFICACIÓN MP'!#REF!,"ꓣ")</f>
        <v>#REF!</v>
      </c>
      <c r="H21" s="90" t="e">
        <f>+COUNTIFS('CATASTRO Y PLANIFICACIÓN MP'!#REF!,"IM ≥ 12",'CATASTRO Y PLANIFICACIÓN MP'!#REF!,"ꓣ")</f>
        <v>#REF!</v>
      </c>
      <c r="I21" s="90" t="e">
        <f>+COUNTIFS('CATASTRO Y PLANIFICACIÓN MP'!#REF!,"IM ≥ 12",'CATASTRO Y PLANIFICACIÓN MP'!#REF!,"ꓣ")</f>
        <v>#REF!</v>
      </c>
      <c r="J21" s="90" t="e">
        <f>+COUNTIFS('CATASTRO Y PLANIFICACIÓN MP'!#REF!,"IM ≥ 12",'CATASTRO Y PLANIFICACIÓN MP'!#REF!,"ꓣ")</f>
        <v>#REF!</v>
      </c>
      <c r="K21" s="90" t="e">
        <f>+COUNTIFS('CATASTRO Y PLANIFICACIÓN MP'!#REF!,"IM ≥ 12",'CATASTRO Y PLANIFICACIÓN MP'!#REF!,"ꓣ")</f>
        <v>#REF!</v>
      </c>
      <c r="L21" s="90" t="e">
        <f>+COUNTIFS('CATASTRO Y PLANIFICACIÓN MP'!#REF!,"IM ≥ 12",'CATASTRO Y PLANIFICACIÓN MP'!#REF!,"ꓣ")</f>
        <v>#REF!</v>
      </c>
      <c r="M21" s="90" t="e">
        <f>+COUNTIFS('CATASTRO Y PLANIFICACIÓN MP'!#REF!,"IM ≥ 12",'CATASTRO Y PLANIFICACIÓN MP'!#REF!,"ꓣ")</f>
        <v>#REF!</v>
      </c>
      <c r="N21" s="2"/>
      <c r="O21" s="2"/>
      <c r="P21" s="2"/>
      <c r="Q21" s="2"/>
      <c r="R21" s="6"/>
      <c r="S21" s="6" t="s">
        <v>682</v>
      </c>
      <c r="T21" s="6"/>
      <c r="U21" s="6"/>
      <c r="V21" s="6"/>
      <c r="W21" s="6"/>
      <c r="X21" s="6"/>
      <c r="Y21" s="6"/>
      <c r="Z21" s="6"/>
      <c r="AA21" s="6"/>
      <c r="AB21" s="6"/>
      <c r="AC21" s="2"/>
    </row>
    <row r="22" spans="1:29" ht="15" thickBot="1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"/>
      <c r="O22" s="70" t="s">
        <v>683</v>
      </c>
      <c r="P22" s="70" t="s">
        <v>684</v>
      </c>
      <c r="Q22" s="2"/>
      <c r="R22" s="6"/>
      <c r="S22" s="6" t="s">
        <v>685</v>
      </c>
      <c r="T22" s="6"/>
      <c r="U22" s="6"/>
      <c r="V22" s="6"/>
      <c r="W22" s="6"/>
      <c r="X22" s="6"/>
      <c r="Y22" s="6"/>
      <c r="Z22" s="6"/>
      <c r="AA22" s="6"/>
      <c r="AB22" s="6"/>
      <c r="AC22" s="2"/>
    </row>
    <row r="23" spans="1:29" ht="15" thickBot="1">
      <c r="A23" s="6"/>
      <c r="B23" s="74" t="s">
        <v>409</v>
      </c>
      <c r="C23" s="74" t="s">
        <v>410</v>
      </c>
      <c r="D23" s="75" t="s">
        <v>411</v>
      </c>
      <c r="E23" s="74" t="s">
        <v>412</v>
      </c>
      <c r="F23" s="74" t="s">
        <v>413</v>
      </c>
      <c r="G23" s="74" t="s">
        <v>414</v>
      </c>
      <c r="H23" s="74" t="s">
        <v>415</v>
      </c>
      <c r="I23" s="74" t="s">
        <v>416</v>
      </c>
      <c r="J23" s="74" t="s">
        <v>417</v>
      </c>
      <c r="K23" s="74" t="s">
        <v>418</v>
      </c>
      <c r="L23" s="75" t="s">
        <v>419</v>
      </c>
      <c r="M23" s="74" t="s">
        <v>420</v>
      </c>
      <c r="N23" s="2"/>
      <c r="O23" s="71" t="s">
        <v>686</v>
      </c>
      <c r="P23" s="72">
        <f>+P13/P12</f>
        <v>9.8452883263009851E-3</v>
      </c>
      <c r="Q23" s="2"/>
      <c r="R23" s="6"/>
      <c r="S23" s="6" t="s">
        <v>687</v>
      </c>
      <c r="T23" s="6"/>
      <c r="U23" s="6"/>
      <c r="V23" s="6"/>
      <c r="W23" s="6"/>
      <c r="X23" s="6"/>
      <c r="Y23" s="6"/>
      <c r="Z23" s="6"/>
      <c r="AA23" s="6"/>
      <c r="AB23" s="6"/>
      <c r="AC23" s="2"/>
    </row>
    <row r="24" spans="1:29" ht="15" thickBot="1">
      <c r="A24" s="79" t="s">
        <v>397</v>
      </c>
      <c r="B24" s="91" t="str">
        <f t="shared" ref="B24" si="0">+IFERROR(B13/(B13+B14),"")</f>
        <v/>
      </c>
      <c r="C24" s="91" t="str">
        <f t="shared" ref="C24:M24" si="1">+IFERROR(C13/(C13+C14),"")</f>
        <v/>
      </c>
      <c r="D24" s="91" t="str">
        <f t="shared" si="1"/>
        <v/>
      </c>
      <c r="E24" s="91" t="str">
        <f t="shared" si="1"/>
        <v/>
      </c>
      <c r="F24" s="91" t="str">
        <f t="shared" si="1"/>
        <v/>
      </c>
      <c r="G24" s="91" t="str">
        <f t="shared" si="1"/>
        <v/>
      </c>
      <c r="H24" s="91" t="str">
        <f t="shared" si="1"/>
        <v/>
      </c>
      <c r="I24" s="91" t="str">
        <f t="shared" si="1"/>
        <v/>
      </c>
      <c r="J24" s="91" t="str">
        <f t="shared" si="1"/>
        <v/>
      </c>
      <c r="K24" s="91" t="str">
        <f t="shared" si="1"/>
        <v/>
      </c>
      <c r="L24" s="91" t="str">
        <f t="shared" si="1"/>
        <v/>
      </c>
      <c r="M24" s="91" t="str">
        <f t="shared" si="1"/>
        <v/>
      </c>
      <c r="N24" s="2"/>
      <c r="O24" s="71" t="s">
        <v>688</v>
      </c>
      <c r="P24" s="73" t="e">
        <f>+P18/P15</f>
        <v>#REF!</v>
      </c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2"/>
    </row>
    <row r="25" spans="1:29" ht="15" thickBot="1">
      <c r="A25" s="80" t="s">
        <v>399</v>
      </c>
      <c r="B25" s="84" t="str">
        <f>+IFERROR(B16/(B16+B19),"")</f>
        <v/>
      </c>
      <c r="C25" s="84" t="str">
        <f t="shared" ref="C25:M25" si="2">+IFERROR(C16/(C16+C19),"")</f>
        <v/>
      </c>
      <c r="D25" s="84" t="str">
        <f t="shared" si="2"/>
        <v/>
      </c>
      <c r="E25" s="84" t="str">
        <f t="shared" si="2"/>
        <v/>
      </c>
      <c r="F25" s="84" t="str">
        <f t="shared" si="2"/>
        <v/>
      </c>
      <c r="G25" s="84" t="str">
        <f t="shared" si="2"/>
        <v/>
      </c>
      <c r="H25" s="84" t="str">
        <f t="shared" si="2"/>
        <v/>
      </c>
      <c r="I25" s="84" t="str">
        <f t="shared" si="2"/>
        <v/>
      </c>
      <c r="J25" s="84" t="str">
        <f t="shared" si="2"/>
        <v/>
      </c>
      <c r="K25" s="84" t="str">
        <f t="shared" si="2"/>
        <v/>
      </c>
      <c r="L25" s="84" t="str">
        <f t="shared" si="2"/>
        <v/>
      </c>
      <c r="M25" s="84" t="str">
        <f t="shared" si="2"/>
        <v/>
      </c>
      <c r="O25" s="71" t="s">
        <v>689</v>
      </c>
      <c r="P25" s="73" t="e">
        <f>+P19/P16</f>
        <v>#REF!</v>
      </c>
    </row>
    <row r="26" spans="1:29" ht="15" thickBot="1">
      <c r="A26" s="80" t="s">
        <v>400</v>
      </c>
      <c r="B26" s="84" t="str">
        <f>+IFERROR(B17/(B17+B20),"")</f>
        <v/>
      </c>
      <c r="C26" s="84" t="str">
        <f t="shared" ref="C26:M26" si="3">+IFERROR(C17/(C17+C20),"")</f>
        <v/>
      </c>
      <c r="D26" s="84" t="str">
        <f t="shared" si="3"/>
        <v/>
      </c>
      <c r="E26" s="84" t="str">
        <f t="shared" si="3"/>
        <v/>
      </c>
      <c r="F26" s="84" t="str">
        <f t="shared" si="3"/>
        <v/>
      </c>
      <c r="G26" s="84" t="str">
        <f t="shared" si="3"/>
        <v/>
      </c>
      <c r="H26" s="84" t="str">
        <f t="shared" si="3"/>
        <v/>
      </c>
      <c r="I26" s="84" t="str">
        <f t="shared" si="3"/>
        <v/>
      </c>
      <c r="J26" s="84" t="str">
        <f t="shared" si="3"/>
        <v/>
      </c>
      <c r="K26" s="84" t="str">
        <f t="shared" si="3"/>
        <v/>
      </c>
      <c r="L26" s="84" t="str">
        <f t="shared" si="3"/>
        <v/>
      </c>
      <c r="M26" s="84" t="str">
        <f t="shared" si="3"/>
        <v/>
      </c>
      <c r="O26" s="71" t="s">
        <v>690</v>
      </c>
      <c r="P26" s="73" t="e">
        <f>+P20/P17</f>
        <v>#REF!</v>
      </c>
    </row>
    <row r="27" spans="1:29" ht="15" thickBot="1">
      <c r="A27" s="81" t="s">
        <v>403</v>
      </c>
      <c r="B27" s="85" t="str">
        <f>+IFERROR(B18/(B18+B21),"")</f>
        <v/>
      </c>
      <c r="C27" s="85" t="str">
        <f t="shared" ref="C27:M27" si="4">+IFERROR(C18/(C18+C21),"")</f>
        <v/>
      </c>
      <c r="D27" s="85" t="str">
        <f t="shared" si="4"/>
        <v/>
      </c>
      <c r="E27" s="85" t="str">
        <f t="shared" si="4"/>
        <v/>
      </c>
      <c r="F27" s="85" t="str">
        <f t="shared" si="4"/>
        <v/>
      </c>
      <c r="G27" s="85" t="str">
        <f t="shared" si="4"/>
        <v/>
      </c>
      <c r="H27" s="85" t="str">
        <f t="shared" si="4"/>
        <v/>
      </c>
      <c r="I27" s="85" t="str">
        <f t="shared" si="4"/>
        <v/>
      </c>
      <c r="J27" s="85" t="str">
        <f t="shared" si="4"/>
        <v/>
      </c>
      <c r="K27" s="85" t="str">
        <f t="shared" si="4"/>
        <v/>
      </c>
      <c r="L27" s="85" t="str">
        <f t="shared" si="4"/>
        <v/>
      </c>
      <c r="M27" s="85" t="str">
        <f t="shared" si="4"/>
        <v/>
      </c>
    </row>
    <row r="29" spans="1:29" ht="26">
      <c r="A29" s="9" t="s">
        <v>401</v>
      </c>
      <c r="B29" s="92">
        <f>+SUM('SEGUIMIENTO GASTO'!I8:I13)</f>
        <v>0</v>
      </c>
      <c r="C29" s="2"/>
    </row>
    <row r="30" spans="1:29">
      <c r="A30" s="12"/>
      <c r="B30" s="93"/>
      <c r="C30" s="2"/>
    </row>
    <row r="31" spans="1:29" ht="26">
      <c r="A31" s="9" t="s">
        <v>404</v>
      </c>
      <c r="B31" s="92">
        <f>+'CATASTRO Y PLANIFICACIÓN MP'!B13</f>
        <v>0</v>
      </c>
      <c r="C31" s="2"/>
    </row>
    <row r="33" spans="1:4" ht="26">
      <c r="A33" s="9" t="s">
        <v>402</v>
      </c>
      <c r="B33" s="17">
        <f>+SUM('SEGUIMIENTO GASTO'!AI8:AI13)</f>
        <v>0</v>
      </c>
    </row>
    <row r="34" spans="1:4">
      <c r="A34" s="12"/>
      <c r="B34" s="2"/>
    </row>
    <row r="35" spans="1:4" ht="26">
      <c r="A35" s="9" t="s">
        <v>405</v>
      </c>
      <c r="B35" s="17">
        <f>+SUM('SEGUIMIENTO GASTO'!AG21:AG26)</f>
        <v>0</v>
      </c>
    </row>
    <row r="37" spans="1:4" ht="28.5" customHeight="1">
      <c r="A37" s="9" t="s">
        <v>691</v>
      </c>
      <c r="B37" s="18" t="str">
        <f>+IFERROR(B33/B29,"")</f>
        <v/>
      </c>
      <c r="D37" s="19" t="e">
        <f>1-B37</f>
        <v>#VALUE!</v>
      </c>
    </row>
    <row r="38" spans="1:4">
      <c r="D38" s="15"/>
    </row>
    <row r="39" spans="1:4" ht="27" customHeight="1">
      <c r="A39" s="9" t="s">
        <v>692</v>
      </c>
      <c r="B39" s="18" t="str">
        <f>+IFERROR(B35/B31,"")</f>
        <v/>
      </c>
      <c r="D39" s="19" t="e">
        <f>1-B39</f>
        <v>#VALUE!</v>
      </c>
    </row>
    <row r="42" spans="1:4" ht="15" customHeight="1">
      <c r="A42" s="45" t="s">
        <v>655</v>
      </c>
      <c r="B42" s="28" t="s">
        <v>693</v>
      </c>
    </row>
    <row r="43" spans="1:4">
      <c r="A43" s="27">
        <v>2023</v>
      </c>
      <c r="B43" s="66">
        <v>205667484</v>
      </c>
    </row>
    <row r="44" spans="1:4">
      <c r="A44" s="27">
        <v>2024</v>
      </c>
      <c r="B44" s="66">
        <v>8016150</v>
      </c>
    </row>
    <row r="45" spans="1:4">
      <c r="A45" s="27">
        <v>2025</v>
      </c>
      <c r="B45" s="29">
        <v>0</v>
      </c>
    </row>
    <row r="46" spans="1:4">
      <c r="A46" s="27" t="s">
        <v>694</v>
      </c>
      <c r="B46" s="29">
        <v>10800000</v>
      </c>
    </row>
    <row r="47" spans="1:4">
      <c r="A47" s="27" t="s">
        <v>657</v>
      </c>
      <c r="B47" s="66">
        <v>224483634</v>
      </c>
    </row>
    <row r="49" spans="1:2">
      <c r="A49" s="45" t="s">
        <v>655</v>
      </c>
      <c r="B49" s="28" t="s">
        <v>656</v>
      </c>
    </row>
    <row r="50" spans="1:2">
      <c r="A50" s="27">
        <v>2023</v>
      </c>
      <c r="B50" s="29">
        <v>455</v>
      </c>
    </row>
    <row r="51" spans="1:2">
      <c r="A51" s="44" t="s">
        <v>36</v>
      </c>
      <c r="B51" s="29">
        <v>234</v>
      </c>
    </row>
    <row r="52" spans="1:2">
      <c r="A52" s="44" t="s">
        <v>425</v>
      </c>
      <c r="B52" s="29">
        <v>190</v>
      </c>
    </row>
    <row r="53" spans="1:2">
      <c r="A53" s="44" t="s">
        <v>464</v>
      </c>
      <c r="B53" s="29">
        <v>31</v>
      </c>
    </row>
    <row r="54" spans="1:2">
      <c r="A54" s="44" t="s">
        <v>421</v>
      </c>
      <c r="B54" s="29"/>
    </row>
    <row r="55" spans="1:2">
      <c r="A55" s="27">
        <v>2024</v>
      </c>
      <c r="B55" s="29">
        <v>193</v>
      </c>
    </row>
    <row r="56" spans="1:2">
      <c r="A56" s="44" t="s">
        <v>36</v>
      </c>
      <c r="B56" s="29">
        <v>28</v>
      </c>
    </row>
    <row r="57" spans="1:2">
      <c r="A57" s="44" t="s">
        <v>425</v>
      </c>
      <c r="B57" s="29">
        <v>153</v>
      </c>
    </row>
    <row r="58" spans="1:2">
      <c r="A58" s="44" t="s">
        <v>464</v>
      </c>
      <c r="B58" s="29">
        <v>8</v>
      </c>
    </row>
    <row r="59" spans="1:2">
      <c r="A59" s="44" t="s">
        <v>421</v>
      </c>
      <c r="B59" s="29">
        <v>4</v>
      </c>
    </row>
    <row r="60" spans="1:2">
      <c r="A60" s="27">
        <v>2025</v>
      </c>
      <c r="B60" s="29">
        <v>63</v>
      </c>
    </row>
    <row r="61" spans="1:2">
      <c r="A61" s="44" t="s">
        <v>36</v>
      </c>
      <c r="B61" s="29">
        <v>10</v>
      </c>
    </row>
    <row r="62" spans="1:2">
      <c r="A62" s="44" t="s">
        <v>425</v>
      </c>
      <c r="B62" s="29">
        <v>35</v>
      </c>
    </row>
    <row r="63" spans="1:2">
      <c r="A63" s="44" t="s">
        <v>421</v>
      </c>
      <c r="B63" s="29">
        <v>18</v>
      </c>
    </row>
    <row r="64" spans="1:2">
      <c r="A64" s="27" t="s">
        <v>421</v>
      </c>
      <c r="B64" s="29"/>
    </row>
    <row r="65" spans="1:2">
      <c r="A65" s="44" t="s">
        <v>421</v>
      </c>
      <c r="B65" s="29"/>
    </row>
    <row r="66" spans="1:2">
      <c r="A66" s="27" t="s">
        <v>657</v>
      </c>
      <c r="B66" s="29">
        <v>711</v>
      </c>
    </row>
    <row r="67" spans="1:2">
      <c r="A67"/>
      <c r="B67"/>
    </row>
  </sheetData>
  <pageMargins left="0.7" right="0.7" top="0.75" bottom="0.75" header="0.3" footer="0.3"/>
  <pageSetup orientation="portrait" verticalDpi="0" r:id="rId4"/>
  <ignoredErrors>
    <ignoredError sqref="P15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AD9E-A34A-404F-A5A5-425ECD809437}">
  <dimension ref="A3:AI76"/>
  <sheetViews>
    <sheetView topLeftCell="E42" zoomScale="85" zoomScaleNormal="85" workbookViewId="0">
      <selection activeCell="N60" sqref="N60"/>
    </sheetView>
  </sheetViews>
  <sheetFormatPr baseColWidth="10" defaultColWidth="12.453125" defaultRowHeight="15.5"/>
  <cols>
    <col min="1" max="1" width="8.1796875" style="32" customWidth="1"/>
    <col min="2" max="2" width="6.1796875" style="33" customWidth="1"/>
    <col min="3" max="3" width="25.54296875" style="42" customWidth="1"/>
    <col min="4" max="4" width="32.1796875" style="42" customWidth="1"/>
    <col min="5" max="5" width="51.7265625" style="34" bestFit="1" customWidth="1"/>
    <col min="6" max="6" width="25" style="37" bestFit="1" customWidth="1"/>
    <col min="7" max="7" width="18.7265625" style="37" bestFit="1" customWidth="1"/>
    <col min="8" max="8" width="14" style="37" customWidth="1"/>
    <col min="9" max="9" width="20.26953125" style="40" bestFit="1" customWidth="1"/>
    <col min="10" max="10" width="14.1796875" style="35" bestFit="1" customWidth="1"/>
    <col min="11" max="11" width="13" style="35" bestFit="1" customWidth="1"/>
    <col min="12" max="12" width="12.81640625" style="40" bestFit="1" customWidth="1"/>
    <col min="13" max="13" width="13" style="35" bestFit="1" customWidth="1"/>
    <col min="14" max="14" width="12.81640625" style="40" bestFit="1" customWidth="1"/>
    <col min="15" max="15" width="13" style="35" bestFit="1" customWidth="1"/>
    <col min="16" max="16" width="12.81640625" style="40" bestFit="1" customWidth="1"/>
    <col min="17" max="17" width="13" style="35" bestFit="1" customWidth="1"/>
    <col min="18" max="18" width="14.1796875" style="40" bestFit="1" customWidth="1"/>
    <col min="19" max="19" width="18.81640625" style="35" customWidth="1"/>
    <col min="20" max="20" width="12.81640625" style="40" bestFit="1" customWidth="1"/>
    <col min="21" max="21" width="13" style="35" bestFit="1" customWidth="1"/>
    <col min="22" max="22" width="13.7265625" style="40" customWidth="1"/>
    <col min="23" max="23" width="13" style="35" bestFit="1" customWidth="1"/>
    <col min="24" max="24" width="12.81640625" style="40" bestFit="1" customWidth="1"/>
    <col min="25" max="25" width="13" style="35" bestFit="1" customWidth="1"/>
    <col min="26" max="26" width="14.1796875" style="40" bestFit="1" customWidth="1"/>
    <col min="27" max="27" width="13" style="35" bestFit="1" customWidth="1"/>
    <col min="28" max="28" width="12.81640625" style="40" bestFit="1" customWidth="1"/>
    <col min="29" max="29" width="13" style="35" bestFit="1" customWidth="1"/>
    <col min="30" max="30" width="12.1796875" style="40" bestFit="1" customWidth="1"/>
    <col min="31" max="31" width="13" style="35" bestFit="1" customWidth="1"/>
    <col min="32" max="32" width="12.1796875" style="40" bestFit="1" customWidth="1"/>
    <col min="33" max="33" width="18.7265625" style="35" bestFit="1" customWidth="1"/>
    <col min="34" max="34" width="12.1796875" style="40" bestFit="1" customWidth="1"/>
    <col min="35" max="35" width="14.1796875" style="40" bestFit="1" customWidth="1"/>
    <col min="36" max="16384" width="12.453125" style="32"/>
  </cols>
  <sheetData>
    <row r="3" spans="1:35" ht="26.25" customHeight="1">
      <c r="B3" s="265" t="s">
        <v>554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</row>
    <row r="5" spans="1:35" ht="15.75" customHeight="1">
      <c r="K5" s="264" t="s">
        <v>555</v>
      </c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</row>
    <row r="6" spans="1:35" ht="15.75" customHeight="1">
      <c r="K6" s="261" t="s">
        <v>409</v>
      </c>
      <c r="L6" s="261"/>
      <c r="M6" s="261" t="s">
        <v>410</v>
      </c>
      <c r="N6" s="261"/>
      <c r="O6" s="261" t="s">
        <v>411</v>
      </c>
      <c r="P6" s="261"/>
      <c r="Q6" s="261" t="s">
        <v>412</v>
      </c>
      <c r="R6" s="261"/>
      <c r="S6" s="261" t="s">
        <v>413</v>
      </c>
      <c r="T6" s="261"/>
      <c r="U6" s="261" t="s">
        <v>414</v>
      </c>
      <c r="V6" s="261"/>
      <c r="W6" s="261" t="s">
        <v>415</v>
      </c>
      <c r="X6" s="261"/>
      <c r="Y6" s="261" t="s">
        <v>416</v>
      </c>
      <c r="Z6" s="261"/>
      <c r="AA6" s="261" t="s">
        <v>417</v>
      </c>
      <c r="AB6" s="261"/>
      <c r="AC6" s="261" t="s">
        <v>418</v>
      </c>
      <c r="AD6" s="261"/>
      <c r="AE6" s="261" t="s">
        <v>419</v>
      </c>
      <c r="AF6" s="261"/>
      <c r="AG6" s="261" t="s">
        <v>420</v>
      </c>
      <c r="AH6" s="261"/>
    </row>
    <row r="7" spans="1:35" s="33" customFormat="1" ht="73.5" customHeight="1">
      <c r="B7" s="4" t="s">
        <v>556</v>
      </c>
      <c r="C7" s="4" t="s">
        <v>392</v>
      </c>
      <c r="D7" s="4" t="s">
        <v>557</v>
      </c>
      <c r="E7" s="4" t="s">
        <v>558</v>
      </c>
      <c r="F7" s="4" t="s">
        <v>559</v>
      </c>
      <c r="G7" s="4" t="s">
        <v>560</v>
      </c>
      <c r="H7" s="4" t="s">
        <v>561</v>
      </c>
      <c r="I7" s="36" t="s">
        <v>562</v>
      </c>
      <c r="J7" s="4" t="s">
        <v>563</v>
      </c>
      <c r="K7" s="4" t="s">
        <v>564</v>
      </c>
      <c r="L7" s="36" t="s">
        <v>565</v>
      </c>
      <c r="M7" s="4" t="s">
        <v>564</v>
      </c>
      <c r="N7" s="36" t="s">
        <v>565</v>
      </c>
      <c r="O7" s="4" t="s">
        <v>564</v>
      </c>
      <c r="P7" s="36" t="s">
        <v>565</v>
      </c>
      <c r="Q7" s="4" t="s">
        <v>564</v>
      </c>
      <c r="R7" s="36" t="s">
        <v>565</v>
      </c>
      <c r="S7" s="4" t="s">
        <v>564</v>
      </c>
      <c r="T7" s="36" t="s">
        <v>565</v>
      </c>
      <c r="U7" s="4" t="s">
        <v>564</v>
      </c>
      <c r="V7" s="36" t="s">
        <v>565</v>
      </c>
      <c r="W7" s="4" t="s">
        <v>564</v>
      </c>
      <c r="X7" s="36" t="s">
        <v>565</v>
      </c>
      <c r="Y7" s="4" t="s">
        <v>564</v>
      </c>
      <c r="Z7" s="36" t="s">
        <v>565</v>
      </c>
      <c r="AA7" s="4" t="s">
        <v>564</v>
      </c>
      <c r="AB7" s="36" t="s">
        <v>565</v>
      </c>
      <c r="AC7" s="4" t="s">
        <v>564</v>
      </c>
      <c r="AD7" s="36" t="s">
        <v>565</v>
      </c>
      <c r="AE7" s="4" t="s">
        <v>564</v>
      </c>
      <c r="AF7" s="36" t="s">
        <v>565</v>
      </c>
      <c r="AG7" s="4" t="s">
        <v>564</v>
      </c>
      <c r="AH7" s="36" t="s">
        <v>565</v>
      </c>
      <c r="AI7" s="36" t="s">
        <v>566</v>
      </c>
    </row>
    <row r="8" spans="1:35" ht="27.5">
      <c r="A8" s="52"/>
      <c r="B8" s="47">
        <v>1</v>
      </c>
      <c r="C8" s="54" t="s">
        <v>567</v>
      </c>
      <c r="D8" s="54" t="s">
        <v>394</v>
      </c>
      <c r="E8" s="55" t="s">
        <v>568</v>
      </c>
      <c r="F8" s="47" t="s">
        <v>569</v>
      </c>
      <c r="G8" s="56">
        <v>45587</v>
      </c>
      <c r="H8" s="56">
        <v>46263</v>
      </c>
      <c r="I8" s="185">
        <f>30391296+(2532608*3)</f>
        <v>37989120</v>
      </c>
      <c r="J8" s="46" t="s">
        <v>570</v>
      </c>
      <c r="K8" s="41"/>
      <c r="L8" s="185">
        <f>2532608+(2532608*3)</f>
        <v>10130432</v>
      </c>
      <c r="M8" s="51"/>
      <c r="N8" s="51">
        <v>2532608</v>
      </c>
      <c r="O8" s="51"/>
      <c r="P8" s="51">
        <v>2532608</v>
      </c>
      <c r="Q8" s="51"/>
      <c r="R8" s="51">
        <v>2532608</v>
      </c>
      <c r="S8" s="51"/>
      <c r="T8" s="51">
        <v>2532608</v>
      </c>
      <c r="U8" s="51"/>
      <c r="V8" s="51">
        <v>2532608</v>
      </c>
      <c r="W8" s="51"/>
      <c r="X8" s="51">
        <v>2532608</v>
      </c>
      <c r="Y8" s="51"/>
      <c r="Z8" s="51">
        <v>2532608</v>
      </c>
      <c r="AA8" s="51"/>
      <c r="AB8" s="51">
        <v>2532608</v>
      </c>
      <c r="AC8" s="51"/>
      <c r="AD8" s="51">
        <v>2532608</v>
      </c>
      <c r="AE8" s="51"/>
      <c r="AF8" s="51">
        <v>2532608</v>
      </c>
      <c r="AG8" s="51"/>
      <c r="AH8" s="51">
        <v>2532608</v>
      </c>
      <c r="AI8" s="51">
        <f t="shared" ref="AI8:AI59" si="0">+L8+N8+P8+R8+T8+V8+X8+Z8+AB8+AD8+AF8+AH8</f>
        <v>37989120</v>
      </c>
    </row>
    <row r="9" spans="1:35" ht="26">
      <c r="A9" s="52"/>
      <c r="B9" s="47">
        <v>2</v>
      </c>
      <c r="C9" s="54" t="s">
        <v>567</v>
      </c>
      <c r="D9" s="54" t="s">
        <v>394</v>
      </c>
      <c r="E9" s="54" t="s">
        <v>571</v>
      </c>
      <c r="F9" s="57" t="s">
        <v>466</v>
      </c>
      <c r="G9" s="56">
        <v>45274</v>
      </c>
      <c r="H9" s="56">
        <v>46005</v>
      </c>
      <c r="I9" s="51">
        <v>1900000</v>
      </c>
      <c r="J9" s="46" t="s">
        <v>570</v>
      </c>
      <c r="K9" s="46"/>
      <c r="L9" s="51"/>
      <c r="M9" s="46"/>
      <c r="N9" s="51">
        <v>600000</v>
      </c>
      <c r="O9" s="46"/>
      <c r="P9" s="51"/>
      <c r="Q9" s="46"/>
      <c r="R9" s="51"/>
      <c r="S9" s="46"/>
      <c r="T9" s="51"/>
      <c r="U9" s="46"/>
      <c r="V9" s="51">
        <v>700000</v>
      </c>
      <c r="W9" s="46"/>
      <c r="X9" s="51"/>
      <c r="Y9" s="46"/>
      <c r="Z9" s="51"/>
      <c r="AA9" s="46"/>
      <c r="AB9" s="51"/>
      <c r="AC9" s="46"/>
      <c r="AD9" s="51">
        <v>600000</v>
      </c>
      <c r="AE9" s="46"/>
      <c r="AF9" s="51"/>
      <c r="AG9" s="46"/>
      <c r="AH9" s="51"/>
      <c r="AI9" s="51">
        <f t="shared" si="0"/>
        <v>1900000</v>
      </c>
    </row>
    <row r="10" spans="1:35" ht="41.5">
      <c r="A10" s="52"/>
      <c r="B10" s="47">
        <v>3</v>
      </c>
      <c r="C10" s="54" t="s">
        <v>567</v>
      </c>
      <c r="D10" s="54" t="s">
        <v>394</v>
      </c>
      <c r="E10" s="54" t="s">
        <v>572</v>
      </c>
      <c r="F10" s="57" t="s">
        <v>462</v>
      </c>
      <c r="G10" s="56"/>
      <c r="H10" s="56"/>
      <c r="I10" s="51">
        <v>4072020</v>
      </c>
      <c r="J10" s="46" t="s">
        <v>570</v>
      </c>
      <c r="K10" s="46"/>
      <c r="L10" s="51"/>
      <c r="M10" s="46"/>
      <c r="N10" s="51"/>
      <c r="O10" s="46"/>
      <c r="P10" s="51">
        <v>407202</v>
      </c>
      <c r="Q10" s="46"/>
      <c r="R10" s="51">
        <v>407202</v>
      </c>
      <c r="S10" s="46"/>
      <c r="T10" s="51">
        <v>407202</v>
      </c>
      <c r="U10" s="46"/>
      <c r="V10" s="51">
        <v>407202</v>
      </c>
      <c r="W10" s="46"/>
      <c r="X10" s="51">
        <v>407202</v>
      </c>
      <c r="Y10" s="46"/>
      <c r="Z10" s="51">
        <v>407202</v>
      </c>
      <c r="AA10" s="46"/>
      <c r="AB10" s="51">
        <v>407202</v>
      </c>
      <c r="AC10" s="46"/>
      <c r="AD10" s="51">
        <v>407202</v>
      </c>
      <c r="AE10" s="46"/>
      <c r="AF10" s="51">
        <v>407202</v>
      </c>
      <c r="AG10" s="46"/>
      <c r="AH10" s="51">
        <v>407202</v>
      </c>
      <c r="AI10" s="51">
        <f t="shared" si="0"/>
        <v>4072020</v>
      </c>
    </row>
    <row r="11" spans="1:35" ht="44">
      <c r="A11" s="52"/>
      <c r="B11" s="47" t="s">
        <v>573</v>
      </c>
      <c r="C11" s="54" t="s">
        <v>567</v>
      </c>
      <c r="D11" s="54" t="s">
        <v>394</v>
      </c>
      <c r="E11" s="54" t="s">
        <v>574</v>
      </c>
      <c r="F11" s="57" t="s">
        <v>486</v>
      </c>
      <c r="G11" s="56">
        <v>45219</v>
      </c>
      <c r="H11" s="56">
        <v>45950</v>
      </c>
      <c r="I11" s="51">
        <v>7021000</v>
      </c>
      <c r="J11" s="46" t="s">
        <v>570</v>
      </c>
      <c r="K11" s="46"/>
      <c r="L11" s="51"/>
      <c r="M11" s="46"/>
      <c r="N11" s="51"/>
      <c r="O11" s="46"/>
      <c r="P11" s="53"/>
      <c r="Q11" s="46"/>
      <c r="R11" s="51">
        <v>3510500</v>
      </c>
      <c r="S11" s="46"/>
      <c r="T11" s="51"/>
      <c r="U11" s="46"/>
      <c r="V11" s="51"/>
      <c r="W11" s="46"/>
      <c r="X11" s="51"/>
      <c r="Y11" s="46"/>
      <c r="Z11" s="51"/>
      <c r="AA11" s="46"/>
      <c r="AB11" s="51"/>
      <c r="AC11" s="46"/>
      <c r="AD11" s="51">
        <v>3510500</v>
      </c>
      <c r="AE11" s="46"/>
      <c r="AF11" s="51"/>
      <c r="AG11" s="46"/>
      <c r="AH11" s="51"/>
      <c r="AI11" s="51">
        <f t="shared" si="0"/>
        <v>7021000</v>
      </c>
    </row>
    <row r="12" spans="1:35" ht="46.5" customHeight="1">
      <c r="A12" s="52"/>
      <c r="B12" s="47" t="s">
        <v>575</v>
      </c>
      <c r="C12" s="54" t="s">
        <v>567</v>
      </c>
      <c r="D12" s="54" t="s">
        <v>394</v>
      </c>
      <c r="E12" s="55" t="s">
        <v>576</v>
      </c>
      <c r="F12" s="57" t="s">
        <v>486</v>
      </c>
      <c r="G12" s="56">
        <v>45219</v>
      </c>
      <c r="H12" s="56">
        <v>45950</v>
      </c>
      <c r="I12" s="51">
        <v>5325974</v>
      </c>
      <c r="J12" s="46" t="s">
        <v>570</v>
      </c>
      <c r="K12" s="46"/>
      <c r="L12" s="51"/>
      <c r="M12" s="46"/>
      <c r="N12" s="51">
        <v>2662987</v>
      </c>
      <c r="O12" s="46"/>
      <c r="P12" s="53"/>
      <c r="Q12" s="46"/>
      <c r="R12" s="51"/>
      <c r="S12" s="46"/>
      <c r="T12" s="51"/>
      <c r="U12" s="46"/>
      <c r="V12" s="51"/>
      <c r="W12" s="46"/>
      <c r="X12" s="51"/>
      <c r="Y12" s="46"/>
      <c r="Z12" s="51"/>
      <c r="AA12" s="46"/>
      <c r="AB12" s="51">
        <v>2662987</v>
      </c>
      <c r="AC12" s="46"/>
      <c r="AD12" s="51"/>
      <c r="AE12" s="46"/>
      <c r="AF12" s="51"/>
      <c r="AG12" s="46"/>
      <c r="AH12" s="51"/>
      <c r="AI12" s="51">
        <f t="shared" si="0"/>
        <v>5325974</v>
      </c>
    </row>
    <row r="13" spans="1:35" ht="46.5" customHeight="1">
      <c r="A13" s="52"/>
      <c r="B13" s="47" t="s">
        <v>577</v>
      </c>
      <c r="C13" s="54" t="s">
        <v>567</v>
      </c>
      <c r="D13" s="54" t="s">
        <v>394</v>
      </c>
      <c r="E13" s="55" t="s">
        <v>578</v>
      </c>
      <c r="F13" s="57" t="s">
        <v>486</v>
      </c>
      <c r="G13" s="56">
        <v>45219</v>
      </c>
      <c r="H13" s="56">
        <v>45950</v>
      </c>
      <c r="I13" s="51">
        <v>6035504</v>
      </c>
      <c r="J13" s="46" t="s">
        <v>570</v>
      </c>
      <c r="K13" s="46"/>
      <c r="L13" s="51"/>
      <c r="M13" s="46"/>
      <c r="N13" s="51">
        <v>3017752</v>
      </c>
      <c r="O13" s="46"/>
      <c r="P13" s="53"/>
      <c r="Q13" s="46"/>
      <c r="R13" s="51"/>
      <c r="S13" s="46"/>
      <c r="T13" s="51"/>
      <c r="U13" s="46"/>
      <c r="V13" s="51"/>
      <c r="W13" s="46"/>
      <c r="X13" s="51"/>
      <c r="Y13" s="46"/>
      <c r="Z13" s="51"/>
      <c r="AA13" s="46"/>
      <c r="AB13" s="51">
        <v>3017752</v>
      </c>
      <c r="AC13" s="46"/>
      <c r="AD13" s="51"/>
      <c r="AE13" s="46"/>
      <c r="AF13" s="51"/>
      <c r="AG13" s="46"/>
      <c r="AH13" s="51"/>
      <c r="AI13" s="51">
        <f t="shared" si="0"/>
        <v>6035504</v>
      </c>
    </row>
    <row r="14" spans="1:35" ht="39">
      <c r="A14" s="52"/>
      <c r="B14" s="47">
        <v>5</v>
      </c>
      <c r="C14" s="54" t="s">
        <v>567</v>
      </c>
      <c r="D14" s="54" t="s">
        <v>394</v>
      </c>
      <c r="E14" s="55" t="s">
        <v>579</v>
      </c>
      <c r="F14" s="57" t="s">
        <v>427</v>
      </c>
      <c r="G14" s="56">
        <v>45232</v>
      </c>
      <c r="H14" s="56">
        <v>45963</v>
      </c>
      <c r="I14" s="51">
        <v>1499400</v>
      </c>
      <c r="J14" s="46" t="s">
        <v>570</v>
      </c>
      <c r="K14" s="46"/>
      <c r="L14" s="51"/>
      <c r="M14" s="46"/>
      <c r="N14" s="51"/>
      <c r="O14" s="46"/>
      <c r="P14" s="51"/>
      <c r="Q14" s="46"/>
      <c r="R14" s="51"/>
      <c r="S14" s="46"/>
      <c r="T14" s="51"/>
      <c r="U14" s="46"/>
      <c r="V14" s="51"/>
      <c r="W14" s="46"/>
      <c r="X14" s="51"/>
      <c r="Y14" s="46"/>
      <c r="Z14" s="51"/>
      <c r="AA14" s="46"/>
      <c r="AB14" s="51">
        <v>1499400</v>
      </c>
      <c r="AC14" s="46"/>
      <c r="AD14" s="51"/>
      <c r="AE14" s="46"/>
      <c r="AF14" s="51"/>
      <c r="AG14" s="46"/>
      <c r="AH14" s="51"/>
      <c r="AI14" s="51">
        <f t="shared" si="0"/>
        <v>1499400</v>
      </c>
    </row>
    <row r="15" spans="1:35" ht="39">
      <c r="A15" s="52"/>
      <c r="B15" s="47">
        <v>6</v>
      </c>
      <c r="C15" s="54" t="s">
        <v>567</v>
      </c>
      <c r="D15" s="54" t="s">
        <v>394</v>
      </c>
      <c r="E15" s="55" t="s">
        <v>580</v>
      </c>
      <c r="F15" s="47" t="s">
        <v>532</v>
      </c>
      <c r="G15" s="56">
        <v>45307</v>
      </c>
      <c r="H15" s="56">
        <v>46038</v>
      </c>
      <c r="I15" s="51">
        <v>1190000</v>
      </c>
      <c r="J15" s="46" t="s">
        <v>570</v>
      </c>
      <c r="K15" s="46"/>
      <c r="L15" s="51"/>
      <c r="M15" s="46"/>
      <c r="N15" s="51"/>
      <c r="O15" s="46"/>
      <c r="P15" s="51"/>
      <c r="Q15" s="46"/>
      <c r="R15" s="51"/>
      <c r="S15" s="46"/>
      <c r="T15" s="51"/>
      <c r="U15" s="46"/>
      <c r="V15" s="51">
        <v>1190000</v>
      </c>
      <c r="W15" s="46"/>
      <c r="X15" s="51"/>
      <c r="Y15" s="46"/>
      <c r="Z15" s="51"/>
      <c r="AA15" s="46"/>
      <c r="AB15" s="51"/>
      <c r="AC15" s="46"/>
      <c r="AD15" s="51"/>
      <c r="AE15" s="46"/>
      <c r="AF15" s="51"/>
      <c r="AG15" s="46"/>
      <c r="AH15" s="51"/>
      <c r="AI15" s="51">
        <f t="shared" si="0"/>
        <v>1190000</v>
      </c>
    </row>
    <row r="16" spans="1:35" ht="40.5">
      <c r="A16" s="52"/>
      <c r="B16" s="47">
        <v>7</v>
      </c>
      <c r="C16" s="54" t="s">
        <v>567</v>
      </c>
      <c r="D16" s="54" t="s">
        <v>394</v>
      </c>
      <c r="E16" s="54" t="s">
        <v>581</v>
      </c>
      <c r="F16" s="47" t="s">
        <v>487</v>
      </c>
      <c r="G16" s="56">
        <v>45303</v>
      </c>
      <c r="H16" s="56">
        <v>46034</v>
      </c>
      <c r="I16" s="51">
        <v>3665200</v>
      </c>
      <c r="J16" s="46" t="s">
        <v>570</v>
      </c>
      <c r="K16" s="46"/>
      <c r="L16" s="51"/>
      <c r="M16" s="46"/>
      <c r="N16" s="51">
        <v>1832600</v>
      </c>
      <c r="O16" s="46"/>
      <c r="P16" s="51"/>
      <c r="Q16" s="46"/>
      <c r="R16" s="51"/>
      <c r="S16" s="46"/>
      <c r="T16" s="51"/>
      <c r="U16" s="46"/>
      <c r="V16" s="51"/>
      <c r="W16" s="46"/>
      <c r="X16" s="51"/>
      <c r="Y16" s="46"/>
      <c r="Z16" s="51">
        <v>1832600</v>
      </c>
      <c r="AA16" s="46"/>
      <c r="AB16" s="51"/>
      <c r="AC16" s="46"/>
      <c r="AD16" s="51"/>
      <c r="AE16" s="46"/>
      <c r="AF16" s="51"/>
      <c r="AG16" s="46"/>
      <c r="AH16" s="51"/>
      <c r="AI16" s="51">
        <f t="shared" si="0"/>
        <v>3665200</v>
      </c>
    </row>
    <row r="17" spans="1:35" ht="26">
      <c r="A17" s="52"/>
      <c r="B17" s="47">
        <v>8</v>
      </c>
      <c r="C17" s="54" t="s">
        <v>567</v>
      </c>
      <c r="D17" s="54" t="s">
        <v>394</v>
      </c>
      <c r="E17" s="58" t="s">
        <v>582</v>
      </c>
      <c r="F17" s="47" t="s">
        <v>463</v>
      </c>
      <c r="G17" s="56">
        <v>45306</v>
      </c>
      <c r="H17" s="56">
        <v>46037</v>
      </c>
      <c r="I17" s="51">
        <v>1761200</v>
      </c>
      <c r="J17" s="46" t="s">
        <v>570</v>
      </c>
      <c r="K17" s="46"/>
      <c r="L17" s="51"/>
      <c r="M17" s="46"/>
      <c r="N17" s="51"/>
      <c r="O17" s="46"/>
      <c r="P17" s="51">
        <v>595000</v>
      </c>
      <c r="Q17" s="46"/>
      <c r="R17" s="51"/>
      <c r="S17" s="46"/>
      <c r="T17" s="51"/>
      <c r="U17" s="46"/>
      <c r="V17" s="51"/>
      <c r="W17" s="46"/>
      <c r="X17" s="51"/>
      <c r="Y17" s="46"/>
      <c r="Z17" s="51"/>
      <c r="AA17" s="46"/>
      <c r="AB17" s="51"/>
      <c r="AC17" s="46"/>
      <c r="AD17" s="51">
        <v>1166200</v>
      </c>
      <c r="AE17" s="46"/>
      <c r="AF17" s="51"/>
      <c r="AG17" s="46"/>
      <c r="AH17" s="51"/>
      <c r="AI17" s="51">
        <f t="shared" si="0"/>
        <v>1761200</v>
      </c>
    </row>
    <row r="18" spans="1:35" ht="54.5">
      <c r="A18" s="52"/>
      <c r="B18" s="47">
        <v>9</v>
      </c>
      <c r="C18" s="54" t="s">
        <v>567</v>
      </c>
      <c r="D18" s="54" t="s">
        <v>394</v>
      </c>
      <c r="E18" s="54" t="s">
        <v>583</v>
      </c>
      <c r="F18" s="47" t="s">
        <v>534</v>
      </c>
      <c r="G18" s="56">
        <v>45383</v>
      </c>
      <c r="H18" s="56">
        <v>46113</v>
      </c>
      <c r="I18" s="51">
        <v>1499400</v>
      </c>
      <c r="J18" s="46" t="s">
        <v>570</v>
      </c>
      <c r="K18" s="46"/>
      <c r="L18" s="51"/>
      <c r="M18" s="46"/>
      <c r="N18" s="51">
        <v>1499400</v>
      </c>
      <c r="O18" s="46"/>
      <c r="P18" s="51"/>
      <c r="Q18" s="46"/>
      <c r="R18" s="51"/>
      <c r="S18" s="46"/>
      <c r="T18" s="51"/>
      <c r="U18" s="46"/>
      <c r="V18" s="51"/>
      <c r="W18" s="46"/>
      <c r="X18" s="51"/>
      <c r="Y18" s="46"/>
      <c r="Z18" s="51"/>
      <c r="AA18" s="46"/>
      <c r="AB18" s="51"/>
      <c r="AC18" s="46"/>
      <c r="AD18" s="51"/>
      <c r="AE18" s="46"/>
      <c r="AF18" s="51"/>
      <c r="AG18" s="46"/>
      <c r="AH18" s="51"/>
      <c r="AI18" s="51">
        <f t="shared" si="0"/>
        <v>1499400</v>
      </c>
    </row>
    <row r="19" spans="1:35" ht="54.5">
      <c r="A19" s="52"/>
      <c r="B19" s="47"/>
      <c r="C19" s="54" t="s">
        <v>567</v>
      </c>
      <c r="D19" s="54" t="s">
        <v>394</v>
      </c>
      <c r="E19" s="54" t="s">
        <v>584</v>
      </c>
      <c r="F19" s="47"/>
      <c r="G19" s="56"/>
      <c r="H19" s="56"/>
      <c r="I19" s="51"/>
      <c r="J19" s="46"/>
      <c r="K19" s="46"/>
      <c r="L19" s="51"/>
      <c r="M19" s="46"/>
      <c r="N19" s="51"/>
      <c r="O19" s="46"/>
      <c r="P19" s="51"/>
      <c r="Q19" s="46"/>
      <c r="R19" s="51"/>
      <c r="S19" s="46"/>
      <c r="T19" s="51"/>
      <c r="U19" s="46"/>
      <c r="V19" s="51"/>
      <c r="W19" s="46"/>
      <c r="X19" s="51"/>
      <c r="Y19" s="46"/>
      <c r="Z19" s="51"/>
      <c r="AA19" s="46"/>
      <c r="AB19" s="51"/>
      <c r="AC19" s="46"/>
      <c r="AD19" s="51"/>
      <c r="AE19" s="46"/>
      <c r="AF19" s="51"/>
      <c r="AG19" s="46"/>
      <c r="AH19" s="51"/>
      <c r="AI19" s="51">
        <f t="shared" si="0"/>
        <v>0</v>
      </c>
    </row>
    <row r="20" spans="1:35" ht="54.5">
      <c r="A20" s="52"/>
      <c r="B20" s="47">
        <v>10</v>
      </c>
      <c r="C20" s="54" t="s">
        <v>567</v>
      </c>
      <c r="D20" s="54" t="s">
        <v>394</v>
      </c>
      <c r="E20" s="54" t="s">
        <v>585</v>
      </c>
      <c r="F20" s="47" t="s">
        <v>534</v>
      </c>
      <c r="G20" s="56">
        <v>44287</v>
      </c>
      <c r="H20" s="56">
        <v>46113</v>
      </c>
      <c r="I20" s="51">
        <v>749700</v>
      </c>
      <c r="J20" s="46" t="s">
        <v>570</v>
      </c>
      <c r="K20" s="46"/>
      <c r="L20" s="51"/>
      <c r="M20" s="46"/>
      <c r="N20" s="51"/>
      <c r="O20" s="46"/>
      <c r="P20" s="51"/>
      <c r="Q20" s="46"/>
      <c r="R20" s="51"/>
      <c r="S20" s="46"/>
      <c r="T20" s="51"/>
      <c r="U20" s="46"/>
      <c r="V20" s="51"/>
      <c r="W20" s="46"/>
      <c r="X20" s="51"/>
      <c r="Y20" s="46"/>
      <c r="Z20" s="51"/>
      <c r="AA20" s="46"/>
      <c r="AB20" s="51">
        <v>749700</v>
      </c>
      <c r="AC20" s="46"/>
      <c r="AD20" s="51"/>
      <c r="AE20" s="46"/>
      <c r="AF20" s="51"/>
      <c r="AG20" s="46"/>
      <c r="AH20" s="51"/>
      <c r="AI20" s="51">
        <f t="shared" si="0"/>
        <v>749700</v>
      </c>
    </row>
    <row r="21" spans="1:35" ht="26">
      <c r="A21" s="52"/>
      <c r="B21" s="47">
        <v>11</v>
      </c>
      <c r="C21" s="54" t="s">
        <v>567</v>
      </c>
      <c r="D21" s="54" t="s">
        <v>394</v>
      </c>
      <c r="E21" s="54" t="s">
        <v>586</v>
      </c>
      <c r="F21" s="47" t="s">
        <v>477</v>
      </c>
      <c r="G21" s="56">
        <v>45509</v>
      </c>
      <c r="H21" s="56">
        <v>46239</v>
      </c>
      <c r="I21" s="51">
        <v>3570000</v>
      </c>
      <c r="J21" s="46" t="s">
        <v>570</v>
      </c>
      <c r="K21" s="46"/>
      <c r="L21" s="51"/>
      <c r="M21" s="46"/>
      <c r="N21" s="51">
        <v>773500</v>
      </c>
      <c r="O21" s="46"/>
      <c r="P21" s="51"/>
      <c r="Q21" s="46"/>
      <c r="R21" s="51"/>
      <c r="S21" s="46"/>
      <c r="T21" s="51"/>
      <c r="U21" s="46"/>
      <c r="V21" s="51"/>
      <c r="W21" s="46"/>
      <c r="X21" s="51"/>
      <c r="Y21" s="46"/>
      <c r="Z21" s="51"/>
      <c r="AA21" s="46"/>
      <c r="AB21" s="51">
        <v>2796500</v>
      </c>
      <c r="AC21" s="46"/>
      <c r="AD21" s="51"/>
      <c r="AE21" s="46"/>
      <c r="AF21" s="51"/>
      <c r="AG21" s="46"/>
      <c r="AH21" s="51"/>
      <c r="AI21" s="51">
        <f t="shared" si="0"/>
        <v>3570000</v>
      </c>
    </row>
    <row r="22" spans="1:35" ht="26">
      <c r="A22" s="52"/>
      <c r="B22" s="47">
        <v>12</v>
      </c>
      <c r="C22" s="54" t="s">
        <v>567</v>
      </c>
      <c r="D22" s="54" t="s">
        <v>394</v>
      </c>
      <c r="E22" s="54" t="s">
        <v>587</v>
      </c>
      <c r="F22" s="47" t="s">
        <v>462</v>
      </c>
      <c r="G22" s="56"/>
      <c r="H22" s="56"/>
      <c r="I22" s="51">
        <v>250000</v>
      </c>
      <c r="J22" s="46" t="s">
        <v>570</v>
      </c>
      <c r="K22" s="46"/>
      <c r="L22" s="51"/>
      <c r="M22" s="46"/>
      <c r="N22" s="51"/>
      <c r="O22" s="46"/>
      <c r="P22" s="51"/>
      <c r="Q22" s="46"/>
      <c r="R22" s="51"/>
      <c r="S22" s="46"/>
      <c r="T22" s="51">
        <v>200000</v>
      </c>
      <c r="U22" s="46"/>
      <c r="V22" s="51"/>
      <c r="W22" s="46"/>
      <c r="X22" s="51"/>
      <c r="Y22" s="46"/>
      <c r="Z22" s="51"/>
      <c r="AA22" s="46"/>
      <c r="AB22" s="51"/>
      <c r="AC22" s="46"/>
      <c r="AD22" s="51"/>
      <c r="AE22" s="46"/>
      <c r="AF22" s="51"/>
      <c r="AG22" s="46"/>
      <c r="AH22" s="51"/>
      <c r="AI22" s="51">
        <f t="shared" si="0"/>
        <v>200000</v>
      </c>
    </row>
    <row r="23" spans="1:35" ht="26">
      <c r="A23" s="52"/>
      <c r="B23" s="47">
        <v>13</v>
      </c>
      <c r="C23" s="54" t="s">
        <v>567</v>
      </c>
      <c r="D23" s="54" t="s">
        <v>394</v>
      </c>
      <c r="E23" s="55" t="s">
        <v>588</v>
      </c>
      <c r="F23" s="47" t="s">
        <v>514</v>
      </c>
      <c r="G23" s="56">
        <v>45377</v>
      </c>
      <c r="H23" s="56">
        <v>46107</v>
      </c>
      <c r="I23" s="51">
        <v>1719550</v>
      </c>
      <c r="J23" s="46" t="s">
        <v>570</v>
      </c>
      <c r="K23" s="46"/>
      <c r="L23" s="51"/>
      <c r="M23" s="46"/>
      <c r="N23" s="51"/>
      <c r="O23" s="46"/>
      <c r="P23" s="51"/>
      <c r="Q23" s="46"/>
      <c r="R23" s="51"/>
      <c r="S23" s="46"/>
      <c r="T23" s="212">
        <v>1719550</v>
      </c>
      <c r="U23" s="46"/>
      <c r="V23" s="51"/>
      <c r="W23" s="46"/>
      <c r="X23" s="51"/>
      <c r="Y23" s="46"/>
      <c r="Z23" s="51"/>
      <c r="AA23" s="46"/>
      <c r="AB23" s="51"/>
      <c r="AC23" s="46"/>
      <c r="AD23" s="51"/>
      <c r="AE23" s="46"/>
      <c r="AF23" s="51"/>
      <c r="AG23" s="46"/>
      <c r="AH23" s="51"/>
      <c r="AI23" s="51">
        <f t="shared" si="0"/>
        <v>1719550</v>
      </c>
    </row>
    <row r="24" spans="1:35" ht="27.5">
      <c r="A24" s="52"/>
      <c r="B24" s="47">
        <v>14</v>
      </c>
      <c r="C24" s="54" t="s">
        <v>567</v>
      </c>
      <c r="D24" s="54" t="s">
        <v>394</v>
      </c>
      <c r="E24" s="54" t="s">
        <v>589</v>
      </c>
      <c r="F24" s="47" t="s">
        <v>462</v>
      </c>
      <c r="G24" s="56"/>
      <c r="H24" s="56"/>
      <c r="I24" s="51">
        <v>7380000</v>
      </c>
      <c r="J24" s="46" t="s">
        <v>570</v>
      </c>
      <c r="K24" s="46"/>
      <c r="L24" s="51"/>
      <c r="M24" s="46"/>
      <c r="N24" s="51"/>
      <c r="O24" s="46"/>
      <c r="P24" s="51"/>
      <c r="Q24" s="46"/>
      <c r="R24" s="51"/>
      <c r="S24" s="46"/>
      <c r="T24" s="51"/>
      <c r="U24" s="46"/>
      <c r="V24" s="48"/>
      <c r="W24" s="46"/>
      <c r="X24" s="51"/>
      <c r="Y24" s="46"/>
      <c r="Z24" s="51">
        <v>7380000</v>
      </c>
      <c r="AA24" s="46"/>
      <c r="AB24" s="46"/>
      <c r="AC24" s="46"/>
      <c r="AD24" s="51"/>
      <c r="AE24" s="46"/>
      <c r="AF24" s="51"/>
      <c r="AG24" s="46"/>
      <c r="AH24" s="51"/>
      <c r="AI24" s="51">
        <f>+L24+N24+P24+R24+T24+V24+X24+Z24+AB24+AD24+AF24+AH24</f>
        <v>7380000</v>
      </c>
    </row>
    <row r="25" spans="1:35" ht="29">
      <c r="A25" s="52"/>
      <c r="B25" s="47">
        <v>15</v>
      </c>
      <c r="C25" s="54" t="s">
        <v>567</v>
      </c>
      <c r="D25" s="54" t="s">
        <v>394</v>
      </c>
      <c r="E25" s="55" t="s">
        <v>590</v>
      </c>
      <c r="F25" s="47" t="s">
        <v>462</v>
      </c>
      <c r="G25" s="56"/>
      <c r="H25" s="56"/>
      <c r="I25" s="51">
        <v>600000</v>
      </c>
      <c r="J25" s="46" t="s">
        <v>570</v>
      </c>
      <c r="K25" s="46"/>
      <c r="L25" s="51"/>
      <c r="M25" s="155"/>
      <c r="N25" s="156"/>
      <c r="O25" s="46"/>
      <c r="P25" s="51"/>
      <c r="Q25" s="46"/>
      <c r="R25" s="51">
        <v>600000</v>
      </c>
      <c r="S25" s="46"/>
      <c r="T25" s="51"/>
      <c r="U25" s="46"/>
      <c r="V25" s="51"/>
      <c r="W25" s="46"/>
      <c r="X25" s="51"/>
      <c r="Y25" s="46"/>
      <c r="Z25" s="51"/>
      <c r="AA25" s="46"/>
      <c r="AB25" s="51"/>
      <c r="AC25" s="46"/>
      <c r="AD25" s="51"/>
      <c r="AE25" s="46"/>
      <c r="AF25" s="51"/>
      <c r="AG25" s="46"/>
      <c r="AH25" s="51"/>
      <c r="AI25" s="51">
        <f t="shared" si="0"/>
        <v>600000</v>
      </c>
    </row>
    <row r="26" spans="1:35" ht="39">
      <c r="A26" s="52"/>
      <c r="B26" s="47">
        <v>16</v>
      </c>
      <c r="C26" s="54" t="s">
        <v>567</v>
      </c>
      <c r="D26" s="54" t="s">
        <v>394</v>
      </c>
      <c r="E26" s="55" t="s">
        <v>591</v>
      </c>
      <c r="F26" s="47" t="s">
        <v>475</v>
      </c>
      <c r="G26" s="56">
        <v>45202</v>
      </c>
      <c r="H26" s="56">
        <v>45933</v>
      </c>
      <c r="I26" s="51">
        <v>4116500</v>
      </c>
      <c r="J26" s="46" t="s">
        <v>570</v>
      </c>
      <c r="K26" s="46"/>
      <c r="L26" s="158"/>
      <c r="M26" s="159"/>
      <c r="N26" s="160"/>
      <c r="O26" s="46"/>
      <c r="P26" s="51">
        <v>4116500</v>
      </c>
      <c r="Q26" s="46"/>
      <c r="R26" s="51"/>
      <c r="S26" s="46"/>
      <c r="T26" s="51"/>
      <c r="U26" s="46"/>
      <c r="V26" s="51"/>
      <c r="W26" s="46"/>
      <c r="X26" s="51"/>
      <c r="Y26" s="46"/>
      <c r="Z26" s="51"/>
      <c r="AA26" s="46"/>
      <c r="AB26" s="51"/>
      <c r="AC26" s="46"/>
      <c r="AD26" s="51"/>
      <c r="AE26" s="46"/>
      <c r="AF26" s="51"/>
      <c r="AG26" s="46"/>
      <c r="AH26" s="51"/>
      <c r="AI26" s="51">
        <f t="shared" si="0"/>
        <v>4116500</v>
      </c>
    </row>
    <row r="27" spans="1:35" ht="42">
      <c r="A27" s="52"/>
      <c r="B27" s="47">
        <v>17</v>
      </c>
      <c r="C27" s="54" t="s">
        <v>567</v>
      </c>
      <c r="D27" s="54" t="s">
        <v>394</v>
      </c>
      <c r="E27" s="55" t="s">
        <v>592</v>
      </c>
      <c r="F27" s="47" t="s">
        <v>449</v>
      </c>
      <c r="G27" s="56">
        <v>45140</v>
      </c>
      <c r="H27" s="56">
        <v>45871</v>
      </c>
      <c r="I27" s="51">
        <v>535500</v>
      </c>
      <c r="J27" s="46" t="s">
        <v>570</v>
      </c>
      <c r="K27" s="157"/>
      <c r="L27" s="161"/>
      <c r="M27" s="59"/>
      <c r="N27" s="162"/>
      <c r="O27" s="154"/>
      <c r="P27" s="51">
        <v>535500</v>
      </c>
      <c r="Q27" s="46"/>
      <c r="R27" s="51"/>
      <c r="S27" s="46"/>
      <c r="T27" s="51"/>
      <c r="U27" s="46"/>
      <c r="V27" s="51"/>
      <c r="W27" s="46"/>
      <c r="X27" s="51"/>
      <c r="Y27" s="46"/>
      <c r="Z27" s="51"/>
      <c r="AA27" s="46"/>
      <c r="AB27" s="46"/>
      <c r="AC27" s="46"/>
      <c r="AD27" s="51"/>
      <c r="AE27" s="46"/>
      <c r="AF27" s="51"/>
      <c r="AG27" s="46"/>
      <c r="AH27" s="51"/>
      <c r="AI27" s="51">
        <f t="shared" si="0"/>
        <v>535500</v>
      </c>
    </row>
    <row r="28" spans="1:35" ht="55">
      <c r="A28" s="52"/>
      <c r="B28" s="47" t="s">
        <v>593</v>
      </c>
      <c r="C28" s="54" t="s">
        <v>567</v>
      </c>
      <c r="D28" s="54" t="s">
        <v>394</v>
      </c>
      <c r="E28" s="55" t="s">
        <v>594</v>
      </c>
      <c r="F28" s="47" t="s">
        <v>462</v>
      </c>
      <c r="G28" s="56"/>
      <c r="H28" s="56"/>
      <c r="I28" s="51">
        <v>1071000</v>
      </c>
      <c r="J28" s="46" t="s">
        <v>570</v>
      </c>
      <c r="K28" s="157"/>
      <c r="L28" s="153"/>
      <c r="M28" s="46"/>
      <c r="N28" s="168"/>
      <c r="O28" s="154"/>
      <c r="P28" s="51"/>
      <c r="Q28" s="46"/>
      <c r="R28" s="51"/>
      <c r="S28" s="46"/>
      <c r="T28" s="51"/>
      <c r="U28" s="46"/>
      <c r="V28" s="51"/>
      <c r="W28" s="46"/>
      <c r="X28" s="51"/>
      <c r="Y28" s="46"/>
      <c r="Z28" s="51"/>
      <c r="AA28" s="46"/>
      <c r="AB28" s="51">
        <v>1071000</v>
      </c>
      <c r="AC28" s="46"/>
      <c r="AD28" s="51"/>
      <c r="AE28" s="46"/>
      <c r="AF28" s="51"/>
      <c r="AG28" s="46"/>
      <c r="AH28" s="51"/>
      <c r="AI28" s="51">
        <f t="shared" si="0"/>
        <v>1071000</v>
      </c>
    </row>
    <row r="29" spans="1:35" ht="28.5">
      <c r="A29" s="52"/>
      <c r="B29" s="47">
        <v>18</v>
      </c>
      <c r="C29" s="54" t="s">
        <v>567</v>
      </c>
      <c r="D29" s="54" t="s">
        <v>394</v>
      </c>
      <c r="E29" s="54" t="s">
        <v>595</v>
      </c>
      <c r="F29" s="47" t="s">
        <v>469</v>
      </c>
      <c r="G29" s="56">
        <v>45028</v>
      </c>
      <c r="H29" s="56">
        <v>45759</v>
      </c>
      <c r="I29" s="51">
        <v>4165000</v>
      </c>
      <c r="J29" s="46" t="s">
        <v>570</v>
      </c>
      <c r="K29" s="157"/>
      <c r="L29" s="153"/>
      <c r="M29" s="46"/>
      <c r="N29" s="51">
        <v>4165000</v>
      </c>
      <c r="O29" s="154"/>
      <c r="P29" s="51"/>
      <c r="Q29" s="46"/>
      <c r="R29" s="51"/>
      <c r="S29" s="46"/>
      <c r="T29" s="51"/>
      <c r="U29" s="46"/>
      <c r="V29" s="51"/>
      <c r="W29" s="46"/>
      <c r="X29" s="51"/>
      <c r="Y29" s="46"/>
      <c r="Z29" s="51"/>
      <c r="AA29" s="46"/>
      <c r="AB29" s="51"/>
      <c r="AC29" s="46"/>
      <c r="AD29" s="51"/>
      <c r="AE29" s="46"/>
      <c r="AF29" s="51"/>
      <c r="AG29" s="46"/>
      <c r="AH29" s="51"/>
      <c r="AI29" s="51">
        <f t="shared" si="0"/>
        <v>4165000</v>
      </c>
    </row>
    <row r="30" spans="1:35" ht="41.5">
      <c r="A30" s="52"/>
      <c r="B30" s="47" t="s">
        <v>596</v>
      </c>
      <c r="C30" s="54" t="s">
        <v>567</v>
      </c>
      <c r="D30" s="54" t="s">
        <v>394</v>
      </c>
      <c r="E30" s="54" t="s">
        <v>597</v>
      </c>
      <c r="F30" s="47" t="s">
        <v>462</v>
      </c>
      <c r="G30" s="56"/>
      <c r="H30" s="56"/>
      <c r="I30" s="51">
        <v>4998000</v>
      </c>
      <c r="J30" s="46" t="s">
        <v>570</v>
      </c>
      <c r="K30" s="157"/>
      <c r="L30" s="153"/>
      <c r="M30" s="46"/>
      <c r="N30" s="51"/>
      <c r="O30" s="154"/>
      <c r="P30" s="51"/>
      <c r="Q30" s="46"/>
      <c r="R30" s="51"/>
      <c r="S30" s="46"/>
      <c r="T30" s="51"/>
      <c r="U30" s="46"/>
      <c r="V30" s="51"/>
      <c r="W30" s="46"/>
      <c r="X30" s="51"/>
      <c r="Y30" s="46"/>
      <c r="Z30" s="51"/>
      <c r="AA30" s="46"/>
      <c r="AB30" s="51">
        <v>4998000</v>
      </c>
      <c r="AC30" s="46"/>
      <c r="AD30" s="51"/>
      <c r="AE30" s="46"/>
      <c r="AF30" s="51"/>
      <c r="AG30" s="46"/>
      <c r="AH30" s="51"/>
      <c r="AI30" s="51">
        <f t="shared" si="0"/>
        <v>4998000</v>
      </c>
    </row>
    <row r="31" spans="1:35" ht="26">
      <c r="A31" s="52"/>
      <c r="B31" s="47">
        <v>19</v>
      </c>
      <c r="C31" s="54" t="s">
        <v>567</v>
      </c>
      <c r="D31" s="54" t="s">
        <v>394</v>
      </c>
      <c r="E31" s="55" t="s">
        <v>598</v>
      </c>
      <c r="F31" s="47" t="s">
        <v>491</v>
      </c>
      <c r="G31" s="56">
        <v>45306</v>
      </c>
      <c r="H31" s="56">
        <v>46037</v>
      </c>
      <c r="I31" s="51">
        <v>9520000</v>
      </c>
      <c r="J31" s="46" t="s">
        <v>570</v>
      </c>
      <c r="K31" s="157"/>
      <c r="L31" s="51"/>
      <c r="M31" s="46"/>
      <c r="N31" s="51">
        <v>9520000</v>
      </c>
      <c r="O31" s="154"/>
      <c r="P31" s="51"/>
      <c r="Q31" s="46"/>
      <c r="R31" s="46"/>
      <c r="S31" s="46"/>
      <c r="T31" s="46"/>
      <c r="U31" s="46"/>
      <c r="V31" s="46"/>
      <c r="W31" s="46"/>
      <c r="X31" s="51"/>
      <c r="Y31" s="46"/>
      <c r="Z31" s="51"/>
      <c r="AA31" s="46"/>
      <c r="AB31" s="51"/>
      <c r="AC31" s="46"/>
      <c r="AD31" s="51"/>
      <c r="AE31" s="46"/>
      <c r="AF31" s="51"/>
      <c r="AG31" s="46"/>
      <c r="AH31" s="51"/>
      <c r="AI31" s="51">
        <f t="shared" si="0"/>
        <v>9520000</v>
      </c>
    </row>
    <row r="32" spans="1:35" ht="41.5">
      <c r="A32" s="52"/>
      <c r="B32" s="47">
        <v>20</v>
      </c>
      <c r="C32" s="54" t="s">
        <v>567</v>
      </c>
      <c r="D32" s="54" t="s">
        <v>394</v>
      </c>
      <c r="E32" s="54" t="s">
        <v>599</v>
      </c>
      <c r="F32" s="47" t="s">
        <v>506</v>
      </c>
      <c r="G32" s="56">
        <v>45006</v>
      </c>
      <c r="H32" s="56">
        <v>45709</v>
      </c>
      <c r="I32" s="185">
        <v>6072390</v>
      </c>
      <c r="J32" s="46" t="s">
        <v>570</v>
      </c>
      <c r="K32" s="157"/>
      <c r="L32" s="185">
        <f>1214478+(1214478*2)</f>
        <v>3643434</v>
      </c>
      <c r="M32" s="157"/>
      <c r="N32" s="51">
        <v>1214478</v>
      </c>
      <c r="O32" s="154"/>
      <c r="P32" s="51">
        <v>1214478</v>
      </c>
      <c r="Q32" s="46"/>
      <c r="R32" s="51"/>
      <c r="S32" s="46"/>
      <c r="T32" s="51"/>
      <c r="U32" s="46"/>
      <c r="V32" s="51"/>
      <c r="W32" s="46"/>
      <c r="X32" s="51"/>
      <c r="Y32" s="46"/>
      <c r="Z32" s="51"/>
      <c r="AA32" s="46"/>
      <c r="AB32" s="51"/>
      <c r="AC32" s="46"/>
      <c r="AD32" s="51"/>
      <c r="AE32" s="46"/>
      <c r="AF32" s="51"/>
      <c r="AG32" s="46"/>
      <c r="AH32" s="51"/>
      <c r="AI32" s="51">
        <f t="shared" ref="AI32:AI39" si="1">+L32+N32+P32+R32+T32+V32+X32+Z32+AB32+AD32+AF32+AH32</f>
        <v>6072390</v>
      </c>
    </row>
    <row r="33" spans="1:35" ht="41.5">
      <c r="A33" s="52"/>
      <c r="B33" s="47" t="s">
        <v>600</v>
      </c>
      <c r="C33" s="54" t="s">
        <v>567</v>
      </c>
      <c r="D33" s="54" t="s">
        <v>394</v>
      </c>
      <c r="E33" s="54" t="s">
        <v>601</v>
      </c>
      <c r="F33" s="47" t="s">
        <v>462</v>
      </c>
      <c r="G33" s="56"/>
      <c r="H33" s="56"/>
      <c r="I33" s="51">
        <v>34890156</v>
      </c>
      <c r="J33" s="46" t="s">
        <v>570</v>
      </c>
      <c r="K33" s="157"/>
      <c r="L33" s="51"/>
      <c r="M33" s="157"/>
      <c r="N33" s="51"/>
      <c r="O33" s="154"/>
      <c r="P33" s="51"/>
      <c r="Q33" s="46"/>
      <c r="R33" s="51">
        <v>3876684</v>
      </c>
      <c r="S33" s="46"/>
      <c r="T33" s="51">
        <v>3876684</v>
      </c>
      <c r="U33" s="46"/>
      <c r="V33" s="51">
        <v>3876684</v>
      </c>
      <c r="W33" s="46"/>
      <c r="X33" s="51">
        <v>3876684</v>
      </c>
      <c r="Y33" s="46"/>
      <c r="Z33" s="51">
        <v>3876684</v>
      </c>
      <c r="AA33" s="46"/>
      <c r="AB33" s="51">
        <v>3876684</v>
      </c>
      <c r="AC33" s="46"/>
      <c r="AD33" s="51">
        <v>3876684</v>
      </c>
      <c r="AE33" s="46"/>
      <c r="AF33" s="51">
        <v>3876684</v>
      </c>
      <c r="AG33" s="46"/>
      <c r="AH33" s="51">
        <v>3876684</v>
      </c>
      <c r="AI33" s="51">
        <f t="shared" si="1"/>
        <v>34890156</v>
      </c>
    </row>
    <row r="34" spans="1:35" ht="56.25" customHeight="1">
      <c r="A34" s="52"/>
      <c r="B34" s="47">
        <v>21</v>
      </c>
      <c r="C34" s="54" t="s">
        <v>567</v>
      </c>
      <c r="D34" s="54" t="s">
        <v>394</v>
      </c>
      <c r="E34" s="55" t="s">
        <v>602</v>
      </c>
      <c r="F34" s="47" t="s">
        <v>603</v>
      </c>
      <c r="G34" s="56">
        <v>45006</v>
      </c>
      <c r="H34" s="56">
        <v>45709</v>
      </c>
      <c r="I34" s="185">
        <v>16615375</v>
      </c>
      <c r="J34" s="46" t="s">
        <v>570</v>
      </c>
      <c r="K34" s="46"/>
      <c r="L34" s="185">
        <f>3323075+(3323075*2)</f>
        <v>9969225</v>
      </c>
      <c r="M34" s="46"/>
      <c r="N34" s="51">
        <v>3323075</v>
      </c>
      <c r="O34" s="46"/>
      <c r="P34" s="51">
        <v>3323075</v>
      </c>
      <c r="Q34" s="46"/>
      <c r="R34" s="51"/>
      <c r="S34" s="46"/>
      <c r="T34" s="51"/>
      <c r="U34" s="46"/>
      <c r="V34" s="51"/>
      <c r="W34" s="46"/>
      <c r="X34" s="51"/>
      <c r="Y34" s="46"/>
      <c r="Z34" s="51"/>
      <c r="AA34" s="46"/>
      <c r="AB34" s="51"/>
      <c r="AC34" s="46"/>
      <c r="AD34" s="51"/>
      <c r="AE34" s="46"/>
      <c r="AF34" s="51"/>
      <c r="AG34" s="46"/>
      <c r="AH34" s="51"/>
      <c r="AI34" s="51">
        <f t="shared" si="1"/>
        <v>16615375</v>
      </c>
    </row>
    <row r="35" spans="1:35" ht="56.25" customHeight="1">
      <c r="A35" s="52"/>
      <c r="B35" s="47" t="s">
        <v>604</v>
      </c>
      <c r="C35" s="54" t="s">
        <v>567</v>
      </c>
      <c r="D35" s="54" t="s">
        <v>394</v>
      </c>
      <c r="E35" s="55" t="s">
        <v>605</v>
      </c>
      <c r="F35" s="47" t="s">
        <v>462</v>
      </c>
      <c r="G35" s="56"/>
      <c r="H35" s="56"/>
      <c r="I35" s="51">
        <v>33699370.214999996</v>
      </c>
      <c r="J35" s="46" t="s">
        <v>570</v>
      </c>
      <c r="K35" s="46"/>
      <c r="L35" s="51"/>
      <c r="M35" s="46"/>
      <c r="N35" s="51"/>
      <c r="O35" s="46"/>
      <c r="P35" s="51"/>
      <c r="Q35" s="46"/>
      <c r="R35" s="51">
        <v>3744374.4683333333</v>
      </c>
      <c r="S35" s="46"/>
      <c r="T35" s="51">
        <v>3744374.4683333333</v>
      </c>
      <c r="U35" s="46"/>
      <c r="V35" s="51">
        <v>3744374.4683333333</v>
      </c>
      <c r="W35" s="46"/>
      <c r="X35" s="51">
        <v>3744374.4683333333</v>
      </c>
      <c r="Y35" s="46"/>
      <c r="Z35" s="51">
        <v>3744374.4683333333</v>
      </c>
      <c r="AA35" s="46"/>
      <c r="AB35" s="51">
        <v>3744374.4683333333</v>
      </c>
      <c r="AC35" s="46"/>
      <c r="AD35" s="51">
        <v>3744374.4683333333</v>
      </c>
      <c r="AE35" s="46"/>
      <c r="AF35" s="51">
        <v>3744374.4683333333</v>
      </c>
      <c r="AG35" s="46"/>
      <c r="AH35" s="51">
        <v>3744374.4683333333</v>
      </c>
      <c r="AI35" s="51">
        <f t="shared" si="1"/>
        <v>33699370.214999996</v>
      </c>
    </row>
    <row r="36" spans="1:35" ht="59.25" customHeight="1">
      <c r="A36" s="52"/>
      <c r="B36" s="47" t="s">
        <v>606</v>
      </c>
      <c r="C36" s="54" t="s">
        <v>567</v>
      </c>
      <c r="D36" s="54" t="s">
        <v>394</v>
      </c>
      <c r="E36" s="55" t="s">
        <v>607</v>
      </c>
      <c r="F36" s="47" t="s">
        <v>603</v>
      </c>
      <c r="G36" s="56">
        <v>45006</v>
      </c>
      <c r="H36" s="56">
        <v>45709</v>
      </c>
      <c r="I36" s="185">
        <v>10040625</v>
      </c>
      <c r="J36" s="46" t="s">
        <v>570</v>
      </c>
      <c r="K36" s="46"/>
      <c r="L36" s="185">
        <f>2008125+(2008125*2)</f>
        <v>6024375</v>
      </c>
      <c r="M36" s="46"/>
      <c r="N36" s="51">
        <v>2008125</v>
      </c>
      <c r="O36" s="46"/>
      <c r="P36" s="51">
        <v>2008125</v>
      </c>
      <c r="Q36" s="46"/>
      <c r="R36" s="51"/>
      <c r="S36" s="46"/>
      <c r="T36" s="51"/>
      <c r="U36" s="46"/>
      <c r="V36" s="51"/>
      <c r="W36" s="46"/>
      <c r="X36" s="51"/>
      <c r="Y36" s="46"/>
      <c r="Z36" s="51"/>
      <c r="AA36" s="46"/>
      <c r="AB36" s="51"/>
      <c r="AC36" s="46"/>
      <c r="AD36" s="51"/>
      <c r="AE36" s="46"/>
      <c r="AF36" s="51"/>
      <c r="AG36" s="46"/>
      <c r="AH36" s="51"/>
      <c r="AI36" s="51">
        <f t="shared" si="1"/>
        <v>10040625</v>
      </c>
    </row>
    <row r="37" spans="1:35" ht="59.25" customHeight="1">
      <c r="A37" s="52"/>
      <c r="B37" s="47" t="s">
        <v>608</v>
      </c>
      <c r="C37" s="54" t="s">
        <v>567</v>
      </c>
      <c r="D37" s="54" t="s">
        <v>394</v>
      </c>
      <c r="E37" s="55" t="s">
        <v>609</v>
      </c>
      <c r="F37" s="47" t="s">
        <v>462</v>
      </c>
      <c r="G37" s="56"/>
      <c r="H37" s="56"/>
      <c r="I37" s="51">
        <v>25895553.112500031</v>
      </c>
      <c r="J37" s="46" t="s">
        <v>570</v>
      </c>
      <c r="K37" s="46"/>
      <c r="L37" s="51"/>
      <c r="M37" s="46"/>
      <c r="N37" s="51"/>
      <c r="O37" s="46"/>
      <c r="P37" s="51"/>
      <c r="Q37" s="46"/>
      <c r="R37" s="51">
        <v>2877279.6791666667</v>
      </c>
      <c r="S37" s="46"/>
      <c r="T37" s="51">
        <v>2877280.67916667</v>
      </c>
      <c r="U37" s="46"/>
      <c r="V37" s="51">
        <v>2877281.67916667</v>
      </c>
      <c r="W37" s="46"/>
      <c r="X37" s="51">
        <v>2877282.67916667</v>
      </c>
      <c r="Y37" s="46"/>
      <c r="Z37" s="51">
        <v>2877283.67916667</v>
      </c>
      <c r="AA37" s="46"/>
      <c r="AB37" s="51">
        <v>2877284.67916667</v>
      </c>
      <c r="AC37" s="46"/>
      <c r="AD37" s="51">
        <v>2877285.67916667</v>
      </c>
      <c r="AE37" s="46"/>
      <c r="AF37" s="51">
        <v>2877286.67916667</v>
      </c>
      <c r="AG37" s="46"/>
      <c r="AH37" s="51">
        <v>2877287.67916667</v>
      </c>
      <c r="AI37" s="51">
        <f t="shared" si="1"/>
        <v>25895553.112500031</v>
      </c>
    </row>
    <row r="38" spans="1:35" ht="60.75" customHeight="1">
      <c r="A38" s="52"/>
      <c r="B38" s="47" t="s">
        <v>610</v>
      </c>
      <c r="C38" s="54" t="s">
        <v>567</v>
      </c>
      <c r="D38" s="54" t="s">
        <v>394</v>
      </c>
      <c r="E38" s="55" t="s">
        <v>611</v>
      </c>
      <c r="F38" s="47" t="s">
        <v>603</v>
      </c>
      <c r="G38" s="56">
        <v>45006</v>
      </c>
      <c r="H38" s="56">
        <v>45709</v>
      </c>
      <c r="I38" s="185">
        <v>5330210</v>
      </c>
      <c r="J38" s="46" t="s">
        <v>570</v>
      </c>
      <c r="K38" s="46"/>
      <c r="L38" s="185">
        <f>1066042+(1066042*2)</f>
        <v>3198126</v>
      </c>
      <c r="M38" s="46"/>
      <c r="N38" s="51">
        <v>1066042</v>
      </c>
      <c r="O38" s="46"/>
      <c r="P38" s="51">
        <v>1066042</v>
      </c>
      <c r="Q38" s="46"/>
      <c r="R38" s="51"/>
      <c r="S38" s="46"/>
      <c r="T38" s="51"/>
      <c r="U38" s="46"/>
      <c r="V38" s="51"/>
      <c r="W38" s="46"/>
      <c r="X38" s="51"/>
      <c r="Y38" s="46"/>
      <c r="Z38" s="51"/>
      <c r="AA38" s="46"/>
      <c r="AB38" s="51"/>
      <c r="AC38" s="46"/>
      <c r="AD38" s="51"/>
      <c r="AE38" s="46"/>
      <c r="AF38" s="51"/>
      <c r="AG38" s="46"/>
      <c r="AH38" s="51"/>
      <c r="AI38" s="51">
        <f t="shared" si="1"/>
        <v>5330210</v>
      </c>
    </row>
    <row r="39" spans="1:35" ht="60.75" customHeight="1">
      <c r="A39" s="52"/>
      <c r="B39" s="47" t="s">
        <v>612</v>
      </c>
      <c r="C39" s="54" t="s">
        <v>567</v>
      </c>
      <c r="D39" s="54" t="s">
        <v>394</v>
      </c>
      <c r="E39" s="55" t="s">
        <v>613</v>
      </c>
      <c r="F39" s="47" t="s">
        <v>462</v>
      </c>
      <c r="G39" s="56"/>
      <c r="H39" s="56"/>
      <c r="I39" s="51">
        <v>13906971</v>
      </c>
      <c r="J39" s="46" t="s">
        <v>570</v>
      </c>
      <c r="K39" s="46"/>
      <c r="L39" s="51"/>
      <c r="M39" s="46"/>
      <c r="N39" s="51"/>
      <c r="O39" s="46"/>
      <c r="P39" s="51"/>
      <c r="Q39" s="46"/>
      <c r="R39" s="51">
        <v>1545215</v>
      </c>
      <c r="S39" s="46"/>
      <c r="T39" s="51">
        <v>1545216</v>
      </c>
      <c r="U39" s="46"/>
      <c r="V39" s="51">
        <v>1545217</v>
      </c>
      <c r="W39" s="46"/>
      <c r="X39" s="51">
        <v>1545218</v>
      </c>
      <c r="Y39" s="46"/>
      <c r="Z39" s="51">
        <v>1545219</v>
      </c>
      <c r="AA39" s="46"/>
      <c r="AB39" s="51">
        <v>1545220</v>
      </c>
      <c r="AC39" s="46"/>
      <c r="AD39" s="51">
        <v>1545221</v>
      </c>
      <c r="AE39" s="46"/>
      <c r="AF39" s="51">
        <v>1545222</v>
      </c>
      <c r="AG39" s="46"/>
      <c r="AH39" s="51">
        <v>1545223</v>
      </c>
      <c r="AI39" s="51">
        <f t="shared" si="1"/>
        <v>13906971</v>
      </c>
    </row>
    <row r="40" spans="1:35" ht="29">
      <c r="A40" s="52"/>
      <c r="B40" s="47">
        <v>22</v>
      </c>
      <c r="C40" s="54" t="s">
        <v>567</v>
      </c>
      <c r="D40" s="54" t="s">
        <v>394</v>
      </c>
      <c r="E40" s="54" t="s">
        <v>614</v>
      </c>
      <c r="F40" s="47" t="s">
        <v>478</v>
      </c>
      <c r="G40" s="56">
        <v>45400</v>
      </c>
      <c r="H40" s="56">
        <v>46130</v>
      </c>
      <c r="I40" s="156">
        <v>6650000</v>
      </c>
      <c r="J40" s="46" t="s">
        <v>570</v>
      </c>
      <c r="K40" s="46"/>
      <c r="L40" s="51"/>
      <c r="M40" s="46"/>
      <c r="N40" s="51"/>
      <c r="O40" s="46"/>
      <c r="P40" s="51"/>
      <c r="Q40" s="46"/>
      <c r="R40" s="51">
        <v>6650000</v>
      </c>
      <c r="S40" s="46"/>
      <c r="T40" s="51"/>
      <c r="U40" s="46"/>
      <c r="V40" s="51"/>
      <c r="W40" s="46"/>
      <c r="X40" s="51"/>
      <c r="Y40" s="46"/>
      <c r="Z40" s="51"/>
      <c r="AA40" s="46"/>
      <c r="AB40" s="51"/>
      <c r="AC40" s="46"/>
      <c r="AD40" s="51"/>
      <c r="AE40" s="46"/>
      <c r="AF40" s="51"/>
      <c r="AG40" s="46"/>
      <c r="AH40" s="51"/>
      <c r="AI40" s="51">
        <f t="shared" si="0"/>
        <v>6650000</v>
      </c>
    </row>
    <row r="41" spans="1:35" ht="27.5">
      <c r="A41" s="52"/>
      <c r="B41" s="47">
        <v>23</v>
      </c>
      <c r="C41" s="54" t="s">
        <v>567</v>
      </c>
      <c r="D41" s="54" t="s">
        <v>394</v>
      </c>
      <c r="E41" s="55" t="s">
        <v>615</v>
      </c>
      <c r="F41" s="47" t="s">
        <v>468</v>
      </c>
      <c r="G41" s="56">
        <v>45083</v>
      </c>
      <c r="H41" s="56">
        <v>45814</v>
      </c>
      <c r="I41" s="51">
        <v>452200</v>
      </c>
      <c r="J41" s="46" t="s">
        <v>570</v>
      </c>
      <c r="K41" s="46"/>
      <c r="L41" s="153"/>
      <c r="M41" s="46"/>
      <c r="N41" s="153">
        <v>285600</v>
      </c>
      <c r="O41" s="163"/>
      <c r="P41" s="51">
        <v>166600</v>
      </c>
      <c r="Q41" s="154"/>
      <c r="R41" s="51"/>
      <c r="S41" s="46"/>
      <c r="T41" s="51"/>
      <c r="U41" s="46"/>
      <c r="V41" s="51"/>
      <c r="W41" s="46"/>
      <c r="X41" s="51"/>
      <c r="Y41" s="46"/>
      <c r="Z41" s="153"/>
      <c r="AA41" s="163"/>
      <c r="AB41" s="51"/>
      <c r="AC41" s="46"/>
      <c r="AD41" s="51"/>
      <c r="AE41" s="46"/>
      <c r="AF41" s="51"/>
      <c r="AG41" s="46"/>
      <c r="AH41" s="51"/>
      <c r="AI41" s="51">
        <f t="shared" si="0"/>
        <v>452200</v>
      </c>
    </row>
    <row r="42" spans="1:35" ht="40.5">
      <c r="A42" s="52"/>
      <c r="B42" s="47" t="s">
        <v>616</v>
      </c>
      <c r="C42" s="54" t="s">
        <v>567</v>
      </c>
      <c r="D42" s="54" t="s">
        <v>394</v>
      </c>
      <c r="E42" s="55" t="s">
        <v>617</v>
      </c>
      <c r="F42" s="47" t="s">
        <v>462</v>
      </c>
      <c r="G42" s="56"/>
      <c r="H42" s="56"/>
      <c r="I42" s="51">
        <v>747920</v>
      </c>
      <c r="J42" s="46" t="s">
        <v>570</v>
      </c>
      <c r="K42" s="46"/>
      <c r="L42" s="153"/>
      <c r="M42" s="46"/>
      <c r="N42" s="153"/>
      <c r="O42" s="157"/>
      <c r="P42" s="51"/>
      <c r="Q42" s="154"/>
      <c r="R42" s="51"/>
      <c r="S42" s="46"/>
      <c r="T42" s="51"/>
      <c r="U42" s="46"/>
      <c r="V42" s="51"/>
      <c r="W42" s="46"/>
      <c r="X42" s="51"/>
      <c r="Y42" s="46"/>
      <c r="Z42" s="153">
        <v>548000</v>
      </c>
      <c r="AA42" s="163"/>
      <c r="AB42" s="51">
        <v>199920</v>
      </c>
      <c r="AC42" s="46"/>
      <c r="AD42" s="51"/>
      <c r="AE42" s="46"/>
      <c r="AF42" s="51"/>
      <c r="AG42" s="46"/>
      <c r="AH42" s="51"/>
      <c r="AI42" s="51">
        <f t="shared" si="0"/>
        <v>747920</v>
      </c>
    </row>
    <row r="43" spans="1:35" ht="27.5">
      <c r="A43" s="52"/>
      <c r="B43" s="47">
        <v>24</v>
      </c>
      <c r="C43" s="54" t="s">
        <v>567</v>
      </c>
      <c r="D43" s="54" t="s">
        <v>394</v>
      </c>
      <c r="E43" s="55" t="s">
        <v>618</v>
      </c>
      <c r="F43" s="47" t="s">
        <v>484</v>
      </c>
      <c r="G43" s="56">
        <v>45077</v>
      </c>
      <c r="H43" s="56">
        <v>45808</v>
      </c>
      <c r="I43" s="51">
        <v>4275000</v>
      </c>
      <c r="J43" s="46" t="s">
        <v>570</v>
      </c>
      <c r="K43" s="46"/>
      <c r="L43" s="51"/>
      <c r="M43" s="46"/>
      <c r="N43" s="51"/>
      <c r="O43" s="46"/>
      <c r="P43" s="51">
        <v>4275000</v>
      </c>
      <c r="Q43" s="46"/>
      <c r="R43" s="51"/>
      <c r="S43" s="46"/>
      <c r="T43" s="51"/>
      <c r="U43" s="46"/>
      <c r="V43" s="51"/>
      <c r="W43" s="46"/>
      <c r="X43" s="51"/>
      <c r="Y43" s="46"/>
      <c r="Z43" s="51"/>
      <c r="AA43" s="46"/>
      <c r="AB43" s="51"/>
      <c r="AC43" s="46"/>
      <c r="AD43" s="51"/>
      <c r="AE43" s="46"/>
      <c r="AF43" s="51"/>
      <c r="AG43" s="46"/>
      <c r="AH43" s="51"/>
      <c r="AI43" s="51">
        <f t="shared" si="0"/>
        <v>4275000</v>
      </c>
    </row>
    <row r="44" spans="1:35" ht="27.5">
      <c r="A44" s="52"/>
      <c r="B44" s="47" t="s">
        <v>619</v>
      </c>
      <c r="C44" s="54" t="s">
        <v>567</v>
      </c>
      <c r="D44" s="54" t="s">
        <v>394</v>
      </c>
      <c r="E44" s="55" t="s">
        <v>620</v>
      </c>
      <c r="F44" s="47" t="s">
        <v>462</v>
      </c>
      <c r="G44" s="56"/>
      <c r="H44" s="56"/>
      <c r="I44" s="51">
        <v>4400000</v>
      </c>
      <c r="J44" s="46" t="s">
        <v>570</v>
      </c>
      <c r="K44" s="46"/>
      <c r="L44" s="51"/>
      <c r="M44" s="46"/>
      <c r="N44" s="51"/>
      <c r="O44" s="46"/>
      <c r="P44" s="51"/>
      <c r="Q44" s="46"/>
      <c r="R44" s="51"/>
      <c r="S44" s="46"/>
      <c r="T44" s="51"/>
      <c r="U44" s="46"/>
      <c r="V44" s="51"/>
      <c r="W44" s="46"/>
      <c r="X44" s="51"/>
      <c r="Y44" s="46"/>
      <c r="Z44" s="51"/>
      <c r="AA44" s="46"/>
      <c r="AB44" s="51"/>
      <c r="AC44" s="46"/>
      <c r="AD44" s="51">
        <v>4400000</v>
      </c>
      <c r="AE44" s="46"/>
      <c r="AF44" s="51"/>
      <c r="AG44" s="46"/>
      <c r="AH44" s="51"/>
      <c r="AI44" s="51">
        <f t="shared" si="0"/>
        <v>4400000</v>
      </c>
    </row>
    <row r="45" spans="1:35" ht="27.5">
      <c r="A45" s="52"/>
      <c r="B45" s="47">
        <v>25</v>
      </c>
      <c r="C45" s="54" t="s">
        <v>567</v>
      </c>
      <c r="D45" s="54" t="s">
        <v>394</v>
      </c>
      <c r="E45" s="54" t="s">
        <v>621</v>
      </c>
      <c r="F45" s="47" t="s">
        <v>521</v>
      </c>
      <c r="G45" s="56">
        <v>45166</v>
      </c>
      <c r="H45" s="56">
        <v>45897</v>
      </c>
      <c r="I45" s="51">
        <v>1286662</v>
      </c>
      <c r="J45" s="46" t="s">
        <v>570</v>
      </c>
      <c r="K45" s="46"/>
      <c r="L45" s="51"/>
      <c r="M45" s="46"/>
      <c r="N45" s="51"/>
      <c r="O45" s="46"/>
      <c r="P45" s="51"/>
      <c r="Q45" s="46"/>
      <c r="R45" s="51"/>
      <c r="S45" s="46"/>
      <c r="T45" s="51"/>
      <c r="U45" s="46"/>
      <c r="V45" s="51"/>
      <c r="W45" s="46"/>
      <c r="X45" s="51"/>
      <c r="Y45" s="46"/>
      <c r="Z45" s="51">
        <v>1286662</v>
      </c>
      <c r="AA45" s="46"/>
      <c r="AB45" s="51"/>
      <c r="AC45" s="46"/>
      <c r="AD45" s="51"/>
      <c r="AE45" s="46"/>
      <c r="AF45" s="51"/>
      <c r="AG45" s="46"/>
      <c r="AH45" s="51"/>
      <c r="AI45" s="51">
        <f t="shared" si="0"/>
        <v>1286662</v>
      </c>
    </row>
    <row r="46" spans="1:35" ht="42">
      <c r="A46" s="52"/>
      <c r="B46" s="47">
        <v>26</v>
      </c>
      <c r="C46" s="54" t="s">
        <v>567</v>
      </c>
      <c r="D46" s="54" t="s">
        <v>394</v>
      </c>
      <c r="E46" s="54" t="s">
        <v>622</v>
      </c>
      <c r="F46" s="47" t="s">
        <v>462</v>
      </c>
      <c r="G46" s="56"/>
      <c r="H46" s="56"/>
      <c r="I46" s="51">
        <v>1428000</v>
      </c>
      <c r="J46" s="46" t="s">
        <v>570</v>
      </c>
      <c r="K46" s="46"/>
      <c r="L46" s="51"/>
      <c r="M46" s="46"/>
      <c r="N46" s="51"/>
      <c r="O46" s="46"/>
      <c r="P46" s="51"/>
      <c r="Q46" s="46"/>
      <c r="R46" s="51"/>
      <c r="S46" s="46"/>
      <c r="T46" s="51"/>
      <c r="U46" s="46"/>
      <c r="V46" s="51"/>
      <c r="W46" s="46"/>
      <c r="X46" s="51"/>
      <c r="Y46" s="46"/>
      <c r="Z46" s="51"/>
      <c r="AA46" s="46"/>
      <c r="AB46" s="51">
        <v>1428000</v>
      </c>
      <c r="AC46" s="46"/>
      <c r="AD46" s="51"/>
      <c r="AE46" s="46"/>
      <c r="AF46" s="51"/>
      <c r="AG46" s="46"/>
      <c r="AH46" s="51"/>
      <c r="AI46" s="51">
        <f t="shared" si="0"/>
        <v>1428000</v>
      </c>
    </row>
    <row r="47" spans="1:35" ht="27.5">
      <c r="A47" s="52"/>
      <c r="B47" s="47">
        <v>27</v>
      </c>
      <c r="C47" s="54" t="s">
        <v>567</v>
      </c>
      <c r="D47" s="54" t="s">
        <v>394</v>
      </c>
      <c r="E47" s="54" t="s">
        <v>623</v>
      </c>
      <c r="F47" s="47" t="s">
        <v>446</v>
      </c>
      <c r="G47" s="56">
        <v>45247</v>
      </c>
      <c r="H47" s="56">
        <v>45978</v>
      </c>
      <c r="I47" s="51">
        <v>640000</v>
      </c>
      <c r="J47" s="46" t="s">
        <v>570</v>
      </c>
      <c r="K47" s="46"/>
      <c r="L47" s="51"/>
      <c r="M47" s="46"/>
      <c r="N47" s="51"/>
      <c r="O47" s="46"/>
      <c r="P47" s="51">
        <v>640000</v>
      </c>
      <c r="Q47" s="46"/>
      <c r="R47" s="51"/>
      <c r="S47" s="46"/>
      <c r="T47" s="51"/>
      <c r="U47" s="46"/>
      <c r="V47" s="51"/>
      <c r="W47" s="46"/>
      <c r="X47" s="51"/>
      <c r="Y47" s="46"/>
      <c r="Z47" s="51"/>
      <c r="AA47" s="46"/>
      <c r="AB47" s="51"/>
      <c r="AC47" s="46"/>
      <c r="AD47" s="51"/>
      <c r="AE47" s="46"/>
      <c r="AF47" s="51"/>
      <c r="AG47" s="46"/>
      <c r="AH47" s="51"/>
      <c r="AI47" s="51">
        <f t="shared" si="0"/>
        <v>640000</v>
      </c>
    </row>
    <row r="48" spans="1:35" ht="40.5">
      <c r="A48" s="52"/>
      <c r="B48" s="47" t="s">
        <v>624</v>
      </c>
      <c r="C48" s="54" t="s">
        <v>567</v>
      </c>
      <c r="D48" s="54" t="s">
        <v>394</v>
      </c>
      <c r="E48" s="54" t="s">
        <v>625</v>
      </c>
      <c r="F48" s="47" t="s">
        <v>462</v>
      </c>
      <c r="G48" s="56"/>
      <c r="H48" s="56"/>
      <c r="I48" s="51">
        <v>650000</v>
      </c>
      <c r="J48" s="46" t="s">
        <v>570</v>
      </c>
      <c r="K48" s="46"/>
      <c r="L48" s="51"/>
      <c r="M48" s="46"/>
      <c r="N48" s="51"/>
      <c r="O48" s="46"/>
      <c r="P48" s="51"/>
      <c r="Q48" s="46"/>
      <c r="R48" s="51"/>
      <c r="S48" s="46"/>
      <c r="T48" s="51"/>
      <c r="U48" s="46"/>
      <c r="V48" s="51"/>
      <c r="W48" s="46"/>
      <c r="X48" s="51"/>
      <c r="Y48" s="46"/>
      <c r="Z48" s="51"/>
      <c r="AA48" s="46"/>
      <c r="AB48" s="51">
        <v>650000</v>
      </c>
      <c r="AC48" s="46"/>
      <c r="AD48" s="51"/>
      <c r="AE48" s="46"/>
      <c r="AF48" s="51"/>
      <c r="AG48" s="46"/>
      <c r="AH48" s="51"/>
      <c r="AI48" s="51">
        <f>+L48+N48+P48+R48+T48+V48+X48+Z48+AB48+AD48+AF48+AH48</f>
        <v>650000</v>
      </c>
    </row>
    <row r="49" spans="1:35" ht="39">
      <c r="A49" s="52"/>
      <c r="B49" s="47" t="s">
        <v>626</v>
      </c>
      <c r="C49" s="54" t="s">
        <v>567</v>
      </c>
      <c r="D49" s="54" t="s">
        <v>394</v>
      </c>
      <c r="E49" s="54" t="s">
        <v>627</v>
      </c>
      <c r="F49" s="47" t="s">
        <v>462</v>
      </c>
      <c r="G49" s="56"/>
      <c r="H49" s="56"/>
      <c r="I49" s="51">
        <v>280000</v>
      </c>
      <c r="J49" s="46" t="s">
        <v>570</v>
      </c>
      <c r="K49" s="46"/>
      <c r="L49" s="51"/>
      <c r="M49" s="46"/>
      <c r="N49" s="51"/>
      <c r="O49" s="46"/>
      <c r="P49" s="51"/>
      <c r="Q49" s="46"/>
      <c r="R49" s="51"/>
      <c r="S49" s="46"/>
      <c r="T49" s="51"/>
      <c r="U49" s="46"/>
      <c r="V49" s="51"/>
      <c r="W49" s="46"/>
      <c r="X49" s="51"/>
      <c r="Y49" s="46"/>
      <c r="Z49" s="51"/>
      <c r="AA49" s="46"/>
      <c r="AB49" s="51">
        <v>280000</v>
      </c>
      <c r="AC49" s="46"/>
      <c r="AD49" s="51"/>
      <c r="AE49" s="46"/>
      <c r="AF49" s="51"/>
      <c r="AG49" s="46"/>
      <c r="AH49" s="51"/>
      <c r="AI49" s="51">
        <f>+L49+N49+P49+R49+T49+V49+X49+Z49+AB49+AD49+AF49+AH49</f>
        <v>280000</v>
      </c>
    </row>
    <row r="50" spans="1:35" ht="27.5">
      <c r="A50" s="52"/>
      <c r="B50" s="47">
        <v>28</v>
      </c>
      <c r="C50" s="54" t="s">
        <v>567</v>
      </c>
      <c r="D50" s="54" t="s">
        <v>394</v>
      </c>
      <c r="E50" s="54" t="s">
        <v>628</v>
      </c>
      <c r="F50" s="47" t="s">
        <v>546</v>
      </c>
      <c r="G50" s="56">
        <v>45232</v>
      </c>
      <c r="H50" s="56">
        <v>45963</v>
      </c>
      <c r="I50" s="51">
        <v>7426338</v>
      </c>
      <c r="J50" s="46" t="s">
        <v>570</v>
      </c>
      <c r="K50" s="46"/>
      <c r="L50" s="51"/>
      <c r="M50" s="46"/>
      <c r="N50" s="51"/>
      <c r="O50" s="46"/>
      <c r="P50" s="51">
        <v>7426338</v>
      </c>
      <c r="Q50" s="46"/>
      <c r="R50" s="51"/>
      <c r="S50" s="46"/>
      <c r="T50" s="51"/>
      <c r="U50" s="46"/>
      <c r="V50" s="51"/>
      <c r="W50" s="46"/>
      <c r="X50" s="51"/>
      <c r="Y50" s="46"/>
      <c r="Z50" s="51"/>
      <c r="AA50" s="46"/>
      <c r="AB50" s="51"/>
      <c r="AC50" s="46"/>
      <c r="AD50" s="51"/>
      <c r="AE50" s="46"/>
      <c r="AF50" s="51"/>
      <c r="AG50" s="46"/>
      <c r="AH50" s="51"/>
      <c r="AI50" s="51">
        <f t="shared" si="0"/>
        <v>7426338</v>
      </c>
    </row>
    <row r="51" spans="1:35" ht="40.5">
      <c r="A51" s="52"/>
      <c r="B51" s="47" t="s">
        <v>629</v>
      </c>
      <c r="C51" s="54" t="s">
        <v>567</v>
      </c>
      <c r="D51" s="54" t="s">
        <v>394</v>
      </c>
      <c r="E51" s="54" t="s">
        <v>630</v>
      </c>
      <c r="F51" s="47" t="s">
        <v>462</v>
      </c>
      <c r="G51" s="56"/>
      <c r="H51" s="56"/>
      <c r="I51" s="51">
        <v>2918416</v>
      </c>
      <c r="J51" s="46" t="s">
        <v>570</v>
      </c>
      <c r="K51" s="46"/>
      <c r="L51" s="51"/>
      <c r="M51" s="46"/>
      <c r="N51" s="51"/>
      <c r="O51" s="46"/>
      <c r="P51" s="51"/>
      <c r="Q51" s="46"/>
      <c r="R51" s="51"/>
      <c r="S51" s="46"/>
      <c r="T51" s="51"/>
      <c r="U51" s="46"/>
      <c r="V51" s="51"/>
      <c r="W51" s="46"/>
      <c r="X51" s="51"/>
      <c r="Y51" s="46"/>
      <c r="Z51" s="51"/>
      <c r="AA51" s="46"/>
      <c r="AB51" s="51">
        <v>2918416</v>
      </c>
      <c r="AC51" s="46"/>
      <c r="AD51" s="51"/>
      <c r="AE51" s="46"/>
      <c r="AF51" s="51"/>
      <c r="AG51" s="46"/>
      <c r="AH51" s="51"/>
      <c r="AI51" s="51">
        <f t="shared" si="0"/>
        <v>2918416</v>
      </c>
    </row>
    <row r="52" spans="1:35" ht="26">
      <c r="A52" s="52"/>
      <c r="B52" s="47">
        <v>29</v>
      </c>
      <c r="C52" s="54" t="s">
        <v>567</v>
      </c>
      <c r="D52" s="54" t="s">
        <v>394</v>
      </c>
      <c r="E52" s="58" t="s">
        <v>631</v>
      </c>
      <c r="F52" s="47" t="s">
        <v>485</v>
      </c>
      <c r="G52" s="56">
        <v>45303</v>
      </c>
      <c r="H52" s="56">
        <v>46034</v>
      </c>
      <c r="I52" s="51">
        <v>1600000</v>
      </c>
      <c r="J52" s="46" t="s">
        <v>570</v>
      </c>
      <c r="K52" s="46"/>
      <c r="L52" s="51"/>
      <c r="M52" s="46"/>
      <c r="N52" s="51"/>
      <c r="O52" s="46"/>
      <c r="P52" s="51">
        <v>1600000</v>
      </c>
      <c r="Q52" s="46"/>
      <c r="R52" s="51"/>
      <c r="S52" s="46"/>
      <c r="T52" s="51"/>
      <c r="U52" s="46"/>
      <c r="V52" s="51"/>
      <c r="W52" s="46"/>
      <c r="X52" s="51"/>
      <c r="Y52" s="46"/>
      <c r="Z52" s="51"/>
      <c r="AA52" s="46"/>
      <c r="AB52" s="51"/>
      <c r="AC52" s="46"/>
      <c r="AD52" s="51"/>
      <c r="AE52" s="46"/>
      <c r="AF52" s="51"/>
      <c r="AG52" s="46"/>
      <c r="AH52" s="51"/>
      <c r="AI52" s="51">
        <f t="shared" si="0"/>
        <v>1600000</v>
      </c>
    </row>
    <row r="53" spans="1:35" ht="26">
      <c r="A53" s="52"/>
      <c r="B53" s="47">
        <v>30</v>
      </c>
      <c r="C53" s="54" t="s">
        <v>567</v>
      </c>
      <c r="D53" s="54" t="s">
        <v>394</v>
      </c>
      <c r="E53" s="58" t="s">
        <v>632</v>
      </c>
      <c r="F53" s="47" t="s">
        <v>462</v>
      </c>
      <c r="G53" s="56"/>
      <c r="H53" s="56"/>
      <c r="I53" s="51">
        <v>4000000</v>
      </c>
      <c r="J53" s="46" t="s">
        <v>570</v>
      </c>
      <c r="K53" s="46"/>
      <c r="L53" s="51"/>
      <c r="M53" s="46"/>
      <c r="N53" s="51"/>
      <c r="O53" s="46"/>
      <c r="P53" s="51">
        <v>4000000</v>
      </c>
      <c r="Q53" s="46"/>
      <c r="R53" s="51"/>
      <c r="S53" s="46"/>
      <c r="T53" s="51"/>
      <c r="U53" s="46"/>
      <c r="V53" s="51"/>
      <c r="W53" s="46"/>
      <c r="X53" s="51"/>
      <c r="Y53" s="46"/>
      <c r="Z53" s="51"/>
      <c r="AA53" s="46"/>
      <c r="AB53" s="51"/>
      <c r="AC53" s="46"/>
      <c r="AD53" s="51"/>
      <c r="AE53" s="46"/>
      <c r="AF53" s="51"/>
      <c r="AG53" s="46"/>
      <c r="AH53" s="51"/>
      <c r="AI53" s="51">
        <f t="shared" si="0"/>
        <v>4000000</v>
      </c>
    </row>
    <row r="54" spans="1:35" ht="26">
      <c r="A54" s="52"/>
      <c r="B54" s="47">
        <v>31</v>
      </c>
      <c r="C54" s="54" t="s">
        <v>567</v>
      </c>
      <c r="D54" s="54" t="s">
        <v>394</v>
      </c>
      <c r="E54" s="58" t="s">
        <v>695</v>
      </c>
      <c r="F54" s="47" t="s">
        <v>462</v>
      </c>
      <c r="G54" s="56"/>
      <c r="H54" s="56"/>
      <c r="I54" s="51">
        <v>1500000</v>
      </c>
      <c r="J54" s="46" t="s">
        <v>570</v>
      </c>
      <c r="K54" s="46"/>
      <c r="L54" s="51"/>
      <c r="M54" s="46"/>
      <c r="N54" s="51"/>
      <c r="O54" s="46"/>
      <c r="P54" s="51">
        <v>750000</v>
      </c>
      <c r="Q54" s="46"/>
      <c r="R54" s="51"/>
      <c r="S54" s="46"/>
      <c r="T54" s="51"/>
      <c r="U54" s="46"/>
      <c r="V54" s="51"/>
      <c r="W54" s="46"/>
      <c r="X54" s="170"/>
      <c r="Y54" s="46"/>
      <c r="Z54" s="51"/>
      <c r="AA54" s="46"/>
      <c r="AB54" s="51">
        <v>750000</v>
      </c>
      <c r="AC54" s="46"/>
      <c r="AD54" s="51"/>
      <c r="AE54" s="46"/>
      <c r="AF54" s="51"/>
      <c r="AG54" s="46"/>
      <c r="AH54" s="51"/>
      <c r="AI54" s="51">
        <f t="shared" si="0"/>
        <v>1500000</v>
      </c>
    </row>
    <row r="55" spans="1:35">
      <c r="A55" s="52"/>
      <c r="B55" s="47">
        <v>32</v>
      </c>
      <c r="C55" s="54"/>
      <c r="D55" s="54" t="s">
        <v>394</v>
      </c>
      <c r="E55" s="58" t="s">
        <v>633</v>
      </c>
      <c r="F55" s="47" t="s">
        <v>462</v>
      </c>
      <c r="G55" s="56"/>
      <c r="H55" s="56"/>
      <c r="I55" s="51">
        <v>185640</v>
      </c>
      <c r="J55" s="46" t="s">
        <v>570</v>
      </c>
      <c r="K55" s="46"/>
      <c r="L55" s="51"/>
      <c r="M55" s="46"/>
      <c r="N55" s="51"/>
      <c r="O55" s="46"/>
      <c r="P55" s="51"/>
      <c r="Q55" s="46"/>
      <c r="R55" s="51"/>
      <c r="S55" s="46"/>
      <c r="T55" s="51"/>
      <c r="U55" s="46"/>
      <c r="V55" s="51"/>
      <c r="W55" s="46"/>
      <c r="X55" s="212">
        <v>185640</v>
      </c>
      <c r="Y55" s="46"/>
      <c r="Z55" s="51"/>
      <c r="AA55" s="46"/>
      <c r="AB55" s="51"/>
      <c r="AC55" s="46"/>
      <c r="AD55" s="51"/>
      <c r="AE55" s="46"/>
      <c r="AF55" s="51"/>
      <c r="AG55" s="46"/>
      <c r="AH55" s="51"/>
      <c r="AI55" s="51">
        <f t="shared" si="0"/>
        <v>185640</v>
      </c>
    </row>
    <row r="56" spans="1:35" ht="26">
      <c r="A56" s="52"/>
      <c r="B56" s="47">
        <v>33</v>
      </c>
      <c r="C56" s="54" t="s">
        <v>567</v>
      </c>
      <c r="D56" s="54" t="s">
        <v>394</v>
      </c>
      <c r="E56" s="58" t="s">
        <v>634</v>
      </c>
      <c r="F56" s="47" t="s">
        <v>462</v>
      </c>
      <c r="G56" s="56"/>
      <c r="H56" s="56"/>
      <c r="I56" s="51">
        <v>2000000</v>
      </c>
      <c r="J56" s="46" t="s">
        <v>570</v>
      </c>
      <c r="K56" s="46"/>
      <c r="L56" s="51"/>
      <c r="M56" s="46"/>
      <c r="N56" s="51"/>
      <c r="O56" s="46"/>
      <c r="P56" s="51"/>
      <c r="Q56" s="46"/>
      <c r="R56" s="51"/>
      <c r="S56" s="46"/>
      <c r="T56" s="51"/>
      <c r="U56" s="46"/>
      <c r="V56" s="51"/>
      <c r="W56" s="46"/>
      <c r="X56" s="51"/>
      <c r="Y56" s="46"/>
      <c r="Z56" s="51"/>
      <c r="AA56" s="46"/>
      <c r="AB56" s="51"/>
      <c r="AC56" s="46"/>
      <c r="AD56" s="51"/>
      <c r="AE56" s="46"/>
      <c r="AF56" s="51"/>
      <c r="AG56" s="46"/>
      <c r="AH56" s="51"/>
      <c r="AI56" s="51">
        <f t="shared" si="0"/>
        <v>0</v>
      </c>
    </row>
    <row r="57" spans="1:35" ht="26">
      <c r="A57" s="52"/>
      <c r="B57" s="47">
        <v>34</v>
      </c>
      <c r="C57" s="54" t="s">
        <v>567</v>
      </c>
      <c r="D57" s="54" t="s">
        <v>394</v>
      </c>
      <c r="E57" s="58" t="s">
        <v>635</v>
      </c>
      <c r="F57" s="47"/>
      <c r="G57" s="56"/>
      <c r="H57" s="56"/>
      <c r="I57" s="51">
        <v>2142000</v>
      </c>
      <c r="J57" s="46" t="s">
        <v>696</v>
      </c>
      <c r="K57" s="46"/>
      <c r="L57" s="51"/>
      <c r="M57" s="46"/>
      <c r="N57" s="51"/>
      <c r="O57" s="46"/>
      <c r="P57" s="51"/>
      <c r="Q57" s="46"/>
      <c r="R57" s="51"/>
      <c r="S57" s="46"/>
      <c r="T57" s="51"/>
      <c r="U57" s="46"/>
      <c r="V57" s="51"/>
      <c r="W57" s="46"/>
      <c r="X57" s="51"/>
      <c r="Y57" s="46"/>
      <c r="Z57" s="51"/>
      <c r="AA57" s="46"/>
      <c r="AB57" s="51"/>
      <c r="AC57" s="46"/>
      <c r="AD57" s="51">
        <v>2142000</v>
      </c>
      <c r="AE57" s="46"/>
      <c r="AF57" s="51"/>
      <c r="AG57" s="46"/>
      <c r="AH57" s="51"/>
      <c r="AI57" s="51">
        <f t="shared" si="0"/>
        <v>2142000</v>
      </c>
    </row>
    <row r="58" spans="1:35" ht="26">
      <c r="A58" s="52"/>
      <c r="B58" s="181">
        <v>35</v>
      </c>
      <c r="C58" s="206" t="s">
        <v>567</v>
      </c>
      <c r="D58" s="206" t="s">
        <v>394</v>
      </c>
      <c r="E58" s="207" t="s">
        <v>636</v>
      </c>
      <c r="F58" s="181"/>
      <c r="G58" s="208"/>
      <c r="H58" s="208"/>
      <c r="I58" s="156">
        <v>17272441.234999999</v>
      </c>
      <c r="J58" s="155" t="s">
        <v>697</v>
      </c>
      <c r="K58" s="155"/>
      <c r="L58" s="156"/>
      <c r="M58" s="155"/>
      <c r="N58" s="156"/>
      <c r="O58" s="155"/>
      <c r="P58" s="156"/>
      <c r="Q58" s="155"/>
      <c r="R58" s="156"/>
      <c r="S58" s="155"/>
      <c r="T58" s="156"/>
      <c r="U58" s="155"/>
      <c r="V58" s="156"/>
      <c r="W58" s="155"/>
      <c r="X58" s="156"/>
      <c r="Y58" s="155"/>
      <c r="Z58" s="156"/>
      <c r="AA58" s="155"/>
      <c r="AB58" s="156"/>
      <c r="AC58" s="155"/>
      <c r="AD58" s="156">
        <v>5757480.4116666662</v>
      </c>
      <c r="AE58" s="155"/>
      <c r="AF58" s="156">
        <v>5757480.4116666662</v>
      </c>
      <c r="AG58" s="155"/>
      <c r="AH58" s="156">
        <v>5757480.4116666662</v>
      </c>
      <c r="AI58" s="51">
        <f t="shared" si="0"/>
        <v>17272441.234999999</v>
      </c>
    </row>
    <row r="59" spans="1:35" ht="26.5" thickBot="1">
      <c r="A59" s="52"/>
      <c r="B59" s="182">
        <v>36</v>
      </c>
      <c r="C59" s="193" t="s">
        <v>567</v>
      </c>
      <c r="D59" s="193" t="s">
        <v>394</v>
      </c>
      <c r="E59" s="194" t="s">
        <v>637</v>
      </c>
      <c r="F59" s="195"/>
      <c r="G59" s="196"/>
      <c r="H59" s="196"/>
      <c r="I59" s="190">
        <v>4336752</v>
      </c>
      <c r="J59" s="184" t="s">
        <v>698</v>
      </c>
      <c r="K59" s="184"/>
      <c r="L59" s="183"/>
      <c r="M59" s="184"/>
      <c r="N59" s="183"/>
      <c r="O59" s="184"/>
      <c r="P59" s="183"/>
      <c r="Q59" s="184"/>
      <c r="R59" s="183">
        <v>4336752</v>
      </c>
      <c r="S59" s="184"/>
      <c r="T59" s="183"/>
      <c r="U59" s="184"/>
      <c r="V59" s="183"/>
      <c r="W59" s="184"/>
      <c r="X59" s="183"/>
      <c r="Y59" s="184"/>
      <c r="Z59" s="183"/>
      <c r="AA59" s="184"/>
      <c r="AB59" s="183"/>
      <c r="AC59" s="184"/>
      <c r="AD59" s="183"/>
      <c r="AE59" s="184"/>
      <c r="AF59" s="183"/>
      <c r="AG59" s="184"/>
      <c r="AH59" s="183"/>
      <c r="AI59" s="51">
        <f t="shared" si="0"/>
        <v>4336752</v>
      </c>
    </row>
    <row r="60" spans="1:35" ht="21">
      <c r="C60" s="205" t="s">
        <v>699</v>
      </c>
      <c r="D60" s="197"/>
      <c r="E60" s="198"/>
      <c r="F60" s="199"/>
      <c r="G60" s="199"/>
      <c r="H60" s="200"/>
      <c r="I60" s="191">
        <f>SUM(I8:I59)</f>
        <v>321276087.56250006</v>
      </c>
      <c r="J60" s="38"/>
      <c r="K60" s="38"/>
      <c r="L60" s="39"/>
      <c r="M60" s="38"/>
      <c r="N60" s="39"/>
      <c r="O60" s="38"/>
      <c r="P60" s="39"/>
      <c r="Q60" s="38"/>
      <c r="R60" s="39"/>
      <c r="S60" s="38"/>
      <c r="T60" s="39"/>
      <c r="U60" s="38"/>
      <c r="V60" s="39"/>
      <c r="W60" s="38"/>
      <c r="X60" s="39"/>
      <c r="Y60" s="38"/>
      <c r="Z60" s="39"/>
      <c r="AA60" s="38"/>
      <c r="AB60" s="39"/>
      <c r="AC60" s="38"/>
      <c r="AD60" s="39"/>
      <c r="AE60" s="38"/>
      <c r="AF60" s="39"/>
      <c r="AG60" s="38"/>
      <c r="AH60" s="39"/>
      <c r="AI60" s="39"/>
    </row>
    <row r="61" spans="1:35">
      <c r="F61" s="35"/>
      <c r="G61" s="35"/>
      <c r="H61" s="35"/>
      <c r="I61" s="39"/>
      <c r="J61" s="38"/>
      <c r="K61" s="38"/>
      <c r="L61" s="39"/>
      <c r="M61" s="38"/>
      <c r="N61" s="39"/>
      <c r="O61" s="38"/>
      <c r="P61" s="39"/>
      <c r="Q61" s="38"/>
      <c r="R61" s="39"/>
      <c r="S61" s="38"/>
      <c r="T61" s="39"/>
      <c r="U61" s="38"/>
      <c r="V61" s="39"/>
      <c r="W61" s="38"/>
      <c r="X61" s="39"/>
      <c r="Y61" s="38"/>
      <c r="Z61" s="39"/>
      <c r="AA61" s="38"/>
      <c r="AB61" s="39"/>
      <c r="AC61" s="38"/>
      <c r="AD61" s="39"/>
      <c r="AE61" s="38"/>
      <c r="AF61" s="39"/>
      <c r="AG61" s="38"/>
      <c r="AH61" s="39"/>
      <c r="AI61" s="39"/>
    </row>
    <row r="62" spans="1:35" ht="26">
      <c r="B62" s="265" t="s">
        <v>638</v>
      </c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</row>
    <row r="64" spans="1:35" ht="15.75" customHeight="1">
      <c r="G64" s="40"/>
      <c r="H64" s="35"/>
      <c r="I64" s="261" t="s">
        <v>555</v>
      </c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2"/>
      <c r="AG64" s="40"/>
      <c r="AH64" s="32"/>
      <c r="AI64" s="32"/>
    </row>
    <row r="65" spans="2:35">
      <c r="G65" s="40"/>
      <c r="H65" s="35"/>
      <c r="I65" s="261" t="s">
        <v>409</v>
      </c>
      <c r="J65" s="262"/>
      <c r="K65" s="261" t="s">
        <v>410</v>
      </c>
      <c r="L65" s="262"/>
      <c r="M65" s="261" t="s">
        <v>411</v>
      </c>
      <c r="N65" s="262"/>
      <c r="O65" s="261" t="s">
        <v>412</v>
      </c>
      <c r="P65" s="262"/>
      <c r="Q65" s="261" t="s">
        <v>413</v>
      </c>
      <c r="R65" s="262"/>
      <c r="S65" s="261" t="s">
        <v>414</v>
      </c>
      <c r="T65" s="262"/>
      <c r="U65" s="261" t="s">
        <v>415</v>
      </c>
      <c r="V65" s="262"/>
      <c r="W65" s="261" t="s">
        <v>416</v>
      </c>
      <c r="X65" s="262"/>
      <c r="Y65" s="261" t="s">
        <v>417</v>
      </c>
      <c r="Z65" s="262"/>
      <c r="AA65" s="261" t="s">
        <v>418</v>
      </c>
      <c r="AB65" s="262"/>
      <c r="AC65" s="261" t="s">
        <v>419</v>
      </c>
      <c r="AD65" s="262"/>
      <c r="AE65" s="261" t="s">
        <v>420</v>
      </c>
      <c r="AF65" s="262"/>
      <c r="AG65" s="40"/>
      <c r="AH65" s="32"/>
      <c r="AI65" s="32"/>
    </row>
    <row r="66" spans="2:35" ht="26">
      <c r="B66" s="4" t="s">
        <v>556</v>
      </c>
      <c r="C66" s="4" t="s">
        <v>392</v>
      </c>
      <c r="D66" s="4" t="s">
        <v>557</v>
      </c>
      <c r="E66" s="4" t="s">
        <v>639</v>
      </c>
      <c r="F66" s="4" t="s">
        <v>640</v>
      </c>
      <c r="G66" s="36" t="s">
        <v>641</v>
      </c>
      <c r="H66" s="4" t="s">
        <v>563</v>
      </c>
      <c r="I66" s="4" t="s">
        <v>642</v>
      </c>
      <c r="J66" s="36" t="s">
        <v>565</v>
      </c>
      <c r="K66" s="4" t="s">
        <v>642</v>
      </c>
      <c r="L66" s="36" t="s">
        <v>565</v>
      </c>
      <c r="M66" s="4" t="s">
        <v>642</v>
      </c>
      <c r="N66" s="36" t="s">
        <v>565</v>
      </c>
      <c r="O66" s="4" t="s">
        <v>642</v>
      </c>
      <c r="P66" s="36" t="s">
        <v>565</v>
      </c>
      <c r="Q66" s="4" t="s">
        <v>642</v>
      </c>
      <c r="R66" s="36" t="s">
        <v>565</v>
      </c>
      <c r="S66" s="4" t="s">
        <v>642</v>
      </c>
      <c r="T66" s="36" t="s">
        <v>565</v>
      </c>
      <c r="U66" s="4" t="s">
        <v>642</v>
      </c>
      <c r="V66" s="36" t="s">
        <v>565</v>
      </c>
      <c r="W66" s="4" t="s">
        <v>642</v>
      </c>
      <c r="X66" s="36" t="s">
        <v>565</v>
      </c>
      <c r="Y66" s="4" t="s">
        <v>642</v>
      </c>
      <c r="Z66" s="36" t="s">
        <v>565</v>
      </c>
      <c r="AA66" s="4" t="s">
        <v>642</v>
      </c>
      <c r="AB66" s="36" t="s">
        <v>565</v>
      </c>
      <c r="AC66" s="4" t="s">
        <v>642</v>
      </c>
      <c r="AD66" s="36" t="s">
        <v>565</v>
      </c>
      <c r="AE66" s="4" t="s">
        <v>642</v>
      </c>
      <c r="AF66" s="36" t="s">
        <v>565</v>
      </c>
      <c r="AG66" s="36" t="s">
        <v>566</v>
      </c>
      <c r="AH66" s="32"/>
      <c r="AI66" s="32"/>
    </row>
    <row r="67" spans="2:35">
      <c r="B67" s="5">
        <v>1</v>
      </c>
      <c r="C67" s="43" t="s">
        <v>643</v>
      </c>
      <c r="D67" s="43" t="s">
        <v>644</v>
      </c>
      <c r="E67" s="43"/>
      <c r="F67" s="5" t="s">
        <v>645</v>
      </c>
      <c r="G67" s="41">
        <v>80000000.000000045</v>
      </c>
      <c r="H67" s="7" t="s">
        <v>696</v>
      </c>
      <c r="I67" s="46"/>
      <c r="J67" s="51">
        <v>6666666.666666667</v>
      </c>
      <c r="K67" s="46"/>
      <c r="L67" s="51">
        <v>6666666.666666667</v>
      </c>
      <c r="M67" s="46"/>
      <c r="N67" s="51">
        <v>6666666.6666666698</v>
      </c>
      <c r="O67" s="46"/>
      <c r="P67" s="51">
        <v>6666666.6666666698</v>
      </c>
      <c r="Q67" s="46"/>
      <c r="R67" s="51">
        <v>6666666.6666666698</v>
      </c>
      <c r="S67" s="46"/>
      <c r="T67" s="51">
        <v>6666666.6666666698</v>
      </c>
      <c r="U67" s="46"/>
      <c r="V67" s="51">
        <v>6666666.6666666698</v>
      </c>
      <c r="W67" s="46"/>
      <c r="X67" s="51">
        <v>6666666.6666666698</v>
      </c>
      <c r="Y67" s="46"/>
      <c r="Z67" s="51">
        <v>6666666.6666666698</v>
      </c>
      <c r="AA67" s="46"/>
      <c r="AB67" s="51">
        <v>6666666.6666666698</v>
      </c>
      <c r="AC67" s="46"/>
      <c r="AD67" s="51">
        <v>6666666.6666666698</v>
      </c>
      <c r="AE67" s="46"/>
      <c r="AF67" s="51">
        <v>6666666.6666666698</v>
      </c>
      <c r="AG67" s="51">
        <f>SUM(AF67,AD67,AB67,Z67,X67,V67,T67,R67,P67,N67,L67,J67)</f>
        <v>80000000.000000045</v>
      </c>
      <c r="AH67" s="32"/>
      <c r="AI67" s="32"/>
    </row>
    <row r="68" spans="2:35" ht="32">
      <c r="B68" s="5">
        <v>3</v>
      </c>
      <c r="C68" s="186"/>
      <c r="D68" s="187"/>
      <c r="E68" s="186" t="s">
        <v>700</v>
      </c>
      <c r="F68" s="5" t="s">
        <v>645</v>
      </c>
      <c r="G68" s="41">
        <v>990000</v>
      </c>
      <c r="H68" s="7" t="s">
        <v>696</v>
      </c>
      <c r="I68" s="46"/>
      <c r="J68" s="51">
        <v>990000</v>
      </c>
      <c r="K68" s="46"/>
      <c r="L68" s="51"/>
      <c r="M68" s="46"/>
      <c r="N68" s="51"/>
      <c r="O68" s="46"/>
      <c r="P68" s="51"/>
      <c r="Q68" s="46"/>
      <c r="R68" s="51"/>
      <c r="S68" s="46"/>
      <c r="T68" s="51"/>
      <c r="U68" s="46"/>
      <c r="V68" s="51"/>
      <c r="W68" s="46"/>
      <c r="X68" s="51"/>
      <c r="Y68" s="46"/>
      <c r="Z68" s="51"/>
      <c r="AA68" s="46"/>
      <c r="AB68" s="51"/>
      <c r="AC68" s="46"/>
      <c r="AD68" s="51"/>
      <c r="AE68" s="46"/>
      <c r="AF68" s="51"/>
      <c r="AG68" s="51">
        <f t="shared" ref="AG68:AG70" si="2">SUM(AF68,AD68,AB68,Z68,X68,V68,T68,R68,P68,N68,L68,J68)</f>
        <v>990000</v>
      </c>
      <c r="AH68" s="32"/>
      <c r="AI68" s="32"/>
    </row>
    <row r="69" spans="2:35" ht="32">
      <c r="B69" s="5">
        <v>4</v>
      </c>
      <c r="C69" s="186"/>
      <c r="D69" s="187"/>
      <c r="E69" s="186" t="s">
        <v>701</v>
      </c>
      <c r="F69" s="5" t="s">
        <v>645</v>
      </c>
      <c r="G69" s="41">
        <v>1637440</v>
      </c>
      <c r="H69" s="7" t="s">
        <v>696</v>
      </c>
      <c r="I69" s="46"/>
      <c r="J69" s="51">
        <v>1637440</v>
      </c>
      <c r="K69" s="46"/>
      <c r="L69" s="51"/>
      <c r="M69" s="46"/>
      <c r="N69" s="51"/>
      <c r="O69" s="46"/>
      <c r="P69" s="51"/>
      <c r="Q69" s="46"/>
      <c r="R69" s="51"/>
      <c r="S69" s="46"/>
      <c r="T69" s="51"/>
      <c r="U69" s="46"/>
      <c r="V69" s="51"/>
      <c r="W69" s="46"/>
      <c r="X69" s="51"/>
      <c r="Y69" s="46"/>
      <c r="Z69" s="51"/>
      <c r="AA69" s="46"/>
      <c r="AB69" s="51"/>
      <c r="AC69" s="46"/>
      <c r="AD69" s="51"/>
      <c r="AE69" s="46"/>
      <c r="AF69" s="51"/>
      <c r="AG69" s="51">
        <f t="shared" si="2"/>
        <v>1637440</v>
      </c>
      <c r="AH69" s="32"/>
      <c r="AI69" s="32"/>
    </row>
    <row r="70" spans="2:35" ht="32">
      <c r="B70" s="5">
        <v>5</v>
      </c>
      <c r="C70" s="188"/>
      <c r="D70" s="189"/>
      <c r="E70" s="188" t="s">
        <v>702</v>
      </c>
      <c r="F70" s="5" t="s">
        <v>645</v>
      </c>
      <c r="G70" s="41">
        <v>1904000</v>
      </c>
      <c r="H70" s="7" t="s">
        <v>696</v>
      </c>
      <c r="I70" s="46"/>
      <c r="J70" s="51">
        <v>1904000</v>
      </c>
      <c r="K70" s="46"/>
      <c r="L70" s="51"/>
      <c r="M70" s="46"/>
      <c r="N70" s="51"/>
      <c r="O70" s="46"/>
      <c r="P70" s="51"/>
      <c r="Q70" s="46"/>
      <c r="R70" s="51"/>
      <c r="S70" s="46"/>
      <c r="T70" s="51"/>
      <c r="U70" s="46"/>
      <c r="V70" s="51"/>
      <c r="W70" s="46"/>
      <c r="X70" s="51"/>
      <c r="Y70" s="46"/>
      <c r="Z70" s="51"/>
      <c r="AA70" s="46"/>
      <c r="AB70" s="51"/>
      <c r="AC70" s="46"/>
      <c r="AD70" s="51"/>
      <c r="AE70" s="46"/>
      <c r="AF70" s="51"/>
      <c r="AG70" s="51">
        <f t="shared" si="2"/>
        <v>1904000</v>
      </c>
      <c r="AH70" s="32"/>
      <c r="AI70" s="32"/>
    </row>
    <row r="71" spans="2:35">
      <c r="B71" s="5">
        <v>6</v>
      </c>
      <c r="C71" s="43"/>
      <c r="D71" s="43"/>
      <c r="E71" s="43"/>
      <c r="F71" s="5"/>
      <c r="G71" s="41"/>
      <c r="H71" s="7" t="s">
        <v>696</v>
      </c>
      <c r="I71" s="46"/>
      <c r="J71" s="51"/>
      <c r="K71" s="46"/>
      <c r="L71" s="51"/>
      <c r="M71" s="46"/>
      <c r="N71" s="51"/>
      <c r="O71" s="46"/>
      <c r="P71" s="51"/>
      <c r="Q71" s="46"/>
      <c r="R71" s="51"/>
      <c r="S71" s="46"/>
      <c r="T71" s="51"/>
      <c r="U71" s="46"/>
      <c r="V71" s="51"/>
      <c r="W71" s="46"/>
      <c r="X71" s="51"/>
      <c r="Y71" s="46"/>
      <c r="Z71" s="51"/>
      <c r="AA71" s="46"/>
      <c r="AB71" s="51"/>
      <c r="AC71" s="46"/>
      <c r="AD71" s="51"/>
      <c r="AE71" s="46"/>
      <c r="AF71" s="51"/>
      <c r="AG71" s="51"/>
      <c r="AH71" s="32"/>
      <c r="AI71" s="32"/>
    </row>
    <row r="72" spans="2:35">
      <c r="B72" s="5">
        <v>7</v>
      </c>
      <c r="C72" s="43"/>
      <c r="D72" s="43"/>
      <c r="E72" s="43"/>
      <c r="F72" s="5"/>
      <c r="G72" s="41"/>
      <c r="H72" s="7" t="s">
        <v>696</v>
      </c>
      <c r="I72" s="46"/>
      <c r="J72" s="51"/>
      <c r="K72" s="46"/>
      <c r="L72" s="51"/>
      <c r="M72" s="46"/>
      <c r="N72" s="51"/>
      <c r="O72" s="46"/>
      <c r="P72" s="51"/>
      <c r="Q72" s="46"/>
      <c r="R72" s="51"/>
      <c r="S72" s="46"/>
      <c r="T72" s="51"/>
      <c r="U72" s="46"/>
      <c r="V72" s="51"/>
      <c r="W72" s="46"/>
      <c r="X72" s="51"/>
      <c r="Y72" s="46"/>
      <c r="Z72" s="51"/>
      <c r="AA72" s="46"/>
      <c r="AB72" s="51"/>
      <c r="AC72" s="46"/>
      <c r="AD72" s="51"/>
      <c r="AE72" s="46"/>
      <c r="AF72" s="51"/>
      <c r="AG72" s="51"/>
      <c r="AH72" s="32"/>
      <c r="AI72" s="32"/>
    </row>
    <row r="73" spans="2:35" ht="16" thickBot="1">
      <c r="B73" s="5">
        <v>8</v>
      </c>
      <c r="C73" s="201"/>
      <c r="D73" s="201"/>
      <c r="E73" s="201"/>
      <c r="F73" s="202"/>
      <c r="G73" s="41"/>
      <c r="H73" s="7" t="s">
        <v>696</v>
      </c>
      <c r="I73" s="46"/>
      <c r="J73" s="51"/>
      <c r="K73" s="46"/>
      <c r="L73" s="51"/>
      <c r="M73" s="46"/>
      <c r="N73" s="51"/>
      <c r="O73" s="46"/>
      <c r="P73" s="51"/>
      <c r="Q73" s="46"/>
      <c r="R73" s="51"/>
      <c r="S73" s="46"/>
      <c r="T73" s="51"/>
      <c r="U73" s="46"/>
      <c r="V73" s="51"/>
      <c r="W73" s="46"/>
      <c r="X73" s="51"/>
      <c r="Y73" s="46"/>
      <c r="Z73" s="51"/>
      <c r="AA73" s="46"/>
      <c r="AB73" s="51"/>
      <c r="AC73" s="46"/>
      <c r="AD73" s="51"/>
      <c r="AE73" s="46"/>
      <c r="AF73" s="51"/>
      <c r="AG73" s="156"/>
      <c r="AH73" s="32"/>
      <c r="AI73" s="32"/>
    </row>
    <row r="74" spans="2:35" ht="24" thickBot="1">
      <c r="C74" s="205" t="s">
        <v>703</v>
      </c>
      <c r="D74" s="204"/>
      <c r="E74" s="198"/>
      <c r="F74" s="203"/>
      <c r="G74" s="191">
        <f>SUM(G67:G70)</f>
        <v>84531440.000000045</v>
      </c>
      <c r="I74" s="178"/>
      <c r="J74" s="179"/>
      <c r="K74" s="178"/>
      <c r="L74" s="179"/>
      <c r="M74" s="178"/>
      <c r="N74" s="179"/>
      <c r="O74" s="178"/>
      <c r="P74" s="179"/>
      <c r="Q74" s="178"/>
      <c r="R74" s="179"/>
      <c r="S74" s="178"/>
      <c r="T74" s="179"/>
      <c r="U74" s="178"/>
      <c r="V74" s="179"/>
      <c r="W74" s="178"/>
      <c r="X74" s="179"/>
      <c r="Y74" s="178"/>
      <c r="Z74" s="179"/>
      <c r="AA74" s="178"/>
      <c r="AB74" s="179"/>
      <c r="AC74" s="178"/>
      <c r="AD74" s="179"/>
      <c r="AE74" s="178"/>
      <c r="AF74" s="179"/>
      <c r="AG74" s="192"/>
    </row>
    <row r="75" spans="2:35">
      <c r="I75" s="178"/>
      <c r="J75" s="180"/>
      <c r="K75" s="180"/>
      <c r="L75" s="178"/>
      <c r="M75" s="180"/>
      <c r="N75" s="178"/>
      <c r="O75" s="180"/>
      <c r="P75" s="178"/>
      <c r="Q75" s="180"/>
      <c r="R75" s="178"/>
      <c r="S75" s="180"/>
      <c r="T75" s="178"/>
      <c r="U75" s="180"/>
      <c r="V75" s="178"/>
      <c r="W75" s="180"/>
      <c r="X75" s="178"/>
      <c r="Y75" s="180"/>
      <c r="Z75" s="178"/>
      <c r="AA75" s="180"/>
      <c r="AB75" s="178"/>
      <c r="AC75" s="180"/>
      <c r="AD75" s="178"/>
      <c r="AE75" s="180"/>
      <c r="AF75" s="178"/>
      <c r="AG75" s="180"/>
    </row>
    <row r="76" spans="2:35">
      <c r="I76" s="178"/>
      <c r="J76" s="180"/>
      <c r="K76" s="180"/>
      <c r="L76" s="178"/>
      <c r="M76" s="180"/>
      <c r="N76" s="178"/>
      <c r="O76" s="180"/>
      <c r="P76" s="178"/>
      <c r="Q76" s="180"/>
      <c r="R76" s="178"/>
      <c r="S76" s="180"/>
      <c r="T76" s="178"/>
      <c r="U76" s="180"/>
      <c r="V76" s="178"/>
      <c r="W76" s="180"/>
      <c r="X76" s="178"/>
      <c r="Y76" s="180"/>
      <c r="Z76" s="178"/>
      <c r="AA76" s="180"/>
      <c r="AB76" s="178"/>
      <c r="AC76" s="180"/>
      <c r="AD76" s="178"/>
      <c r="AE76" s="180"/>
      <c r="AF76" s="178"/>
      <c r="AG76" s="179"/>
    </row>
  </sheetData>
  <mergeCells count="28">
    <mergeCell ref="I64:AF64"/>
    <mergeCell ref="B3:AI3"/>
    <mergeCell ref="K5:AH5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B62:AI62"/>
    <mergeCell ref="AE65:AF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</mergeCells>
  <phoneticPr fontId="6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36C0588-FF33-4E66-8560-35319DB8F071}">
          <x14:formula1>
            <xm:f>'TABLA CÁLCULO'!$S$18:$S$23</xm:f>
          </x14:formula1>
          <xm:sqref>F67:F73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80AA-FB10-4CB7-814A-C98C87F10F21}">
  <dimension ref="A3:AP5"/>
  <sheetViews>
    <sheetView workbookViewId="0">
      <selection activeCell="I26" sqref="I26"/>
    </sheetView>
  </sheetViews>
  <sheetFormatPr baseColWidth="10" defaultColWidth="11.453125" defaultRowHeight="14.5"/>
  <sheetData>
    <row r="3" spans="1:42" s="2" customFormat="1" ht="15" customHeight="1">
      <c r="A3" s="164" t="s">
        <v>429</v>
      </c>
      <c r="B3" s="146" t="s">
        <v>26</v>
      </c>
      <c r="C3" s="150" t="s">
        <v>43</v>
      </c>
      <c r="D3" s="95" t="s">
        <v>28</v>
      </c>
      <c r="E3" s="211" t="s">
        <v>704</v>
      </c>
      <c r="F3" s="129" t="s">
        <v>705</v>
      </c>
      <c r="G3" s="129" t="s">
        <v>706</v>
      </c>
      <c r="H3" s="130">
        <v>4645056</v>
      </c>
      <c r="I3" s="96" t="s">
        <v>707</v>
      </c>
      <c r="J3" s="110">
        <v>2019</v>
      </c>
      <c r="K3" s="103">
        <v>10</v>
      </c>
      <c r="L3" s="97">
        <f>+IF(J3=0," ",K3-('CATASTRO Y PLANIFICACIÓN MP'!$B$9-J3))</f>
        <v>3</v>
      </c>
      <c r="M3" s="99" t="s">
        <v>34</v>
      </c>
      <c r="N3" s="99" t="s">
        <v>35</v>
      </c>
      <c r="O3" s="99" t="s">
        <v>425</v>
      </c>
      <c r="P3" s="97" t="s">
        <v>37</v>
      </c>
      <c r="Q3" s="111" t="s">
        <v>421</v>
      </c>
      <c r="R3" s="97" t="s">
        <v>38</v>
      </c>
      <c r="S3" s="100">
        <v>2024</v>
      </c>
      <c r="T3" s="98" t="s">
        <v>39</v>
      </c>
      <c r="U3" s="99" t="s">
        <v>421</v>
      </c>
      <c r="V3" s="119" t="s">
        <v>447</v>
      </c>
      <c r="W3" s="120"/>
      <c r="X3" s="97">
        <v>1</v>
      </c>
      <c r="Y3" s="23"/>
      <c r="Z3" s="23"/>
      <c r="AA3" s="23"/>
      <c r="AB3" s="23"/>
      <c r="AC3" s="23"/>
      <c r="AD3" s="23"/>
      <c r="AE3" s="23"/>
      <c r="AF3" s="23" t="s">
        <v>648</v>
      </c>
      <c r="AG3" s="23"/>
      <c r="AH3" s="23"/>
      <c r="AI3" s="23"/>
      <c r="AJ3" s="23"/>
      <c r="AK3" s="6" t="s">
        <v>37</v>
      </c>
      <c r="AL3" s="6" t="s">
        <v>37</v>
      </c>
      <c r="AM3" s="6" t="s">
        <v>37</v>
      </c>
      <c r="AN3" s="6"/>
      <c r="AO3" s="6"/>
      <c r="AP3" s="2">
        <v>18</v>
      </c>
    </row>
    <row r="4" spans="1:42" s="2" customFormat="1" ht="15" customHeight="1">
      <c r="A4" s="164" t="s">
        <v>429</v>
      </c>
      <c r="B4" s="146" t="s">
        <v>26</v>
      </c>
      <c r="C4" s="150" t="s">
        <v>43</v>
      </c>
      <c r="D4" s="95" t="s">
        <v>28</v>
      </c>
      <c r="E4" s="211" t="s">
        <v>708</v>
      </c>
      <c r="F4" s="129" t="s">
        <v>705</v>
      </c>
      <c r="G4" s="129" t="s">
        <v>709</v>
      </c>
      <c r="H4" s="130">
        <v>4648049</v>
      </c>
      <c r="I4" s="96" t="s">
        <v>710</v>
      </c>
      <c r="J4" s="110">
        <v>2019</v>
      </c>
      <c r="K4" s="103">
        <v>10</v>
      </c>
      <c r="L4" s="97">
        <f>+IF(J4=0," ",K4-('CATASTRO Y PLANIFICACIÓN MP'!$B$9-J4))</f>
        <v>3</v>
      </c>
      <c r="M4" s="99" t="s">
        <v>34</v>
      </c>
      <c r="N4" s="99" t="s">
        <v>35</v>
      </c>
      <c r="O4" s="99" t="s">
        <v>425</v>
      </c>
      <c r="P4" s="97" t="s">
        <v>37</v>
      </c>
      <c r="Q4" s="111" t="s">
        <v>421</v>
      </c>
      <c r="R4" s="97" t="s">
        <v>38</v>
      </c>
      <c r="S4" s="100">
        <v>2024</v>
      </c>
      <c r="T4" s="98" t="s">
        <v>39</v>
      </c>
      <c r="U4" s="99" t="s">
        <v>421</v>
      </c>
      <c r="V4" s="119" t="s">
        <v>447</v>
      </c>
      <c r="W4" s="122"/>
      <c r="X4" s="123">
        <v>1</v>
      </c>
      <c r="Y4" s="23"/>
      <c r="Z4" s="23"/>
      <c r="AA4" s="23"/>
      <c r="AB4" s="23"/>
      <c r="AC4" s="23"/>
      <c r="AD4" s="23"/>
      <c r="AE4" s="23"/>
      <c r="AF4" s="23" t="s">
        <v>648</v>
      </c>
      <c r="AG4" s="23"/>
      <c r="AH4" s="23"/>
      <c r="AI4" s="23"/>
      <c r="AJ4" s="23"/>
      <c r="AK4" s="6" t="s">
        <v>37</v>
      </c>
      <c r="AL4" s="6" t="s">
        <v>37</v>
      </c>
      <c r="AM4" s="6" t="s">
        <v>37</v>
      </c>
      <c r="AN4" s="6"/>
      <c r="AO4" s="6"/>
      <c r="AP4" s="2">
        <v>20</v>
      </c>
    </row>
    <row r="5" spans="1:42" s="2" customFormat="1" ht="15" customHeight="1">
      <c r="A5" s="165" t="s">
        <v>429</v>
      </c>
      <c r="B5" s="166" t="s">
        <v>26</v>
      </c>
      <c r="C5" s="99" t="s">
        <v>43</v>
      </c>
      <c r="D5" s="95" t="s">
        <v>28</v>
      </c>
      <c r="E5" s="211" t="s">
        <v>711</v>
      </c>
      <c r="F5" s="129" t="s">
        <v>705</v>
      </c>
      <c r="G5" s="129" t="s">
        <v>712</v>
      </c>
      <c r="H5" s="130">
        <v>4648020</v>
      </c>
      <c r="I5" s="96" t="s">
        <v>713</v>
      </c>
      <c r="J5" s="110">
        <v>2019</v>
      </c>
      <c r="K5" s="103">
        <v>10</v>
      </c>
      <c r="L5" s="97">
        <f>+IF(J5=0," ",K5-('CATASTRO Y PLANIFICACIÓN MP'!$B$9-J5))</f>
        <v>3</v>
      </c>
      <c r="M5" s="99" t="s">
        <v>34</v>
      </c>
      <c r="N5" s="99" t="s">
        <v>35</v>
      </c>
      <c r="O5" s="118" t="s">
        <v>425</v>
      </c>
      <c r="P5" s="97" t="s">
        <v>37</v>
      </c>
      <c r="Q5" s="111" t="s">
        <v>421</v>
      </c>
      <c r="R5" s="97" t="s">
        <v>38</v>
      </c>
      <c r="S5" s="100">
        <v>2024</v>
      </c>
      <c r="T5" s="98" t="s">
        <v>39</v>
      </c>
      <c r="U5" s="99" t="s">
        <v>421</v>
      </c>
      <c r="V5" s="119" t="s">
        <v>447</v>
      </c>
      <c r="W5" s="122"/>
      <c r="X5" s="123">
        <v>1</v>
      </c>
      <c r="Y5" s="23"/>
      <c r="Z5" s="23"/>
      <c r="AA5" s="23"/>
      <c r="AB5" s="23"/>
      <c r="AC5" s="23"/>
      <c r="AD5" s="23"/>
      <c r="AE5" s="23"/>
      <c r="AF5" s="23" t="s">
        <v>648</v>
      </c>
      <c r="AG5" s="23"/>
      <c r="AH5" s="23"/>
      <c r="AI5" s="23"/>
      <c r="AJ5" s="23"/>
      <c r="AK5" s="6" t="s">
        <v>37</v>
      </c>
      <c r="AL5" s="6" t="s">
        <v>37</v>
      </c>
      <c r="AM5" s="6" t="s">
        <v>37</v>
      </c>
      <c r="AN5" s="6"/>
      <c r="AO5" s="6"/>
      <c r="AP5" s="2">
        <v>19</v>
      </c>
    </row>
  </sheetData>
  <conditionalFormatting sqref="Y3:AJ5">
    <cfRule type="cellIs" dxfId="11" priority="1" operator="equal">
      <formula>"x"</formula>
    </cfRule>
    <cfRule type="cellIs" dxfId="10" priority="2" operator="equal">
      <formula>"√"</formula>
    </cfRule>
    <cfRule type="cellIs" dxfId="9" priority="3" operator="equal">
      <formula>"ꓣ"</formula>
    </cfRule>
  </conditionalFormatting>
  <hyperlinks>
    <hyperlink ref="V4:V5" r:id="rId1" display="1057540-100-LE23" xr:uid="{40CF1BDF-3014-4022-A885-6442D0D01355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9000000}">
          <x14:formula1>
            <xm:f>'TABLA CÁLCULO'!$R$12:$R$15</xm:f>
          </x14:formula1>
          <xm:sqref>Y3:AJ5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6230-5B04-45FD-880A-87C29004A956}">
  <dimension ref="A1:AP10"/>
  <sheetViews>
    <sheetView workbookViewId="0">
      <selection activeCell="A6" sqref="A6"/>
    </sheetView>
  </sheetViews>
  <sheetFormatPr baseColWidth="10" defaultColWidth="11.453125" defaultRowHeight="14.5"/>
  <cols>
    <col min="1" max="1" width="50" bestFit="1" customWidth="1"/>
    <col min="5" max="5" width="56.81640625" customWidth="1"/>
    <col min="8" max="8" width="20.81640625" customWidth="1"/>
  </cols>
  <sheetData>
    <row r="1" spans="1:42" s="2" customFormat="1" ht="15" customHeight="1">
      <c r="A1" s="121" t="s">
        <v>429</v>
      </c>
      <c r="B1" s="101" t="s">
        <v>26</v>
      </c>
      <c r="C1" s="99" t="s">
        <v>263</v>
      </c>
      <c r="D1" s="95" t="s">
        <v>28</v>
      </c>
      <c r="E1" s="113" t="s">
        <v>448</v>
      </c>
      <c r="F1" s="114" t="s">
        <v>714</v>
      </c>
      <c r="G1" s="115">
        <v>2080</v>
      </c>
      <c r="H1" s="115">
        <v>3173</v>
      </c>
      <c r="I1" s="96" t="s">
        <v>715</v>
      </c>
      <c r="J1" s="116">
        <v>2016</v>
      </c>
      <c r="K1" s="117">
        <v>10</v>
      </c>
      <c r="L1" s="97">
        <f>+IF(J1=0," ",K1-('CATASTRO Y PLANIFICACIÓN MP'!$B$9-J1))</f>
        <v>0</v>
      </c>
      <c r="M1" s="104" t="s">
        <v>34</v>
      </c>
      <c r="N1" s="99" t="s">
        <v>35</v>
      </c>
      <c r="O1" s="118" t="s">
        <v>421</v>
      </c>
      <c r="P1" s="97" t="s">
        <v>37</v>
      </c>
      <c r="Q1" s="111" t="s">
        <v>421</v>
      </c>
      <c r="R1" s="97" t="s">
        <v>37</v>
      </c>
      <c r="S1" s="100"/>
      <c r="T1" s="98" t="s">
        <v>62</v>
      </c>
      <c r="U1" s="99" t="s">
        <v>63</v>
      </c>
      <c r="V1" s="105" t="s">
        <v>421</v>
      </c>
      <c r="W1" s="106"/>
      <c r="X1" s="97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6" t="s">
        <v>428</v>
      </c>
      <c r="AL1" s="6" t="s">
        <v>428</v>
      </c>
      <c r="AM1" s="6" t="s">
        <v>459</v>
      </c>
      <c r="AN1" s="6" t="s">
        <v>428</v>
      </c>
      <c r="AO1" s="6" t="s">
        <v>716</v>
      </c>
      <c r="AP1" s="2">
        <v>17</v>
      </c>
    </row>
    <row r="2" spans="1:42">
      <c r="A2" t="s">
        <v>717</v>
      </c>
    </row>
    <row r="3" spans="1:42" s="2" customFormat="1" ht="15" customHeight="1">
      <c r="A3" s="108" t="s">
        <v>390</v>
      </c>
      <c r="B3" s="101" t="s">
        <v>26</v>
      </c>
      <c r="C3" s="99" t="s">
        <v>442</v>
      </c>
      <c r="D3" s="95" t="s">
        <v>56</v>
      </c>
      <c r="E3" s="124" t="s">
        <v>461</v>
      </c>
      <c r="F3" s="107" t="s">
        <v>718</v>
      </c>
      <c r="G3" s="108" t="s">
        <v>719</v>
      </c>
      <c r="H3" s="109" t="s">
        <v>720</v>
      </c>
      <c r="I3" s="96" t="s">
        <v>721</v>
      </c>
      <c r="J3" s="110">
        <v>2016</v>
      </c>
      <c r="K3" s="103">
        <v>8</v>
      </c>
      <c r="L3" s="97">
        <f>+IF(J3=0," ",K3-('CATASTRO Y PLANIFICACIÓN MP'!$B$9-J3))</f>
        <v>-2</v>
      </c>
      <c r="M3" s="104" t="s">
        <v>34</v>
      </c>
      <c r="N3" s="99" t="s">
        <v>35</v>
      </c>
      <c r="O3" s="94" t="s">
        <v>425</v>
      </c>
      <c r="P3" s="97" t="s">
        <v>37</v>
      </c>
      <c r="Q3" s="111" t="s">
        <v>421</v>
      </c>
      <c r="R3" s="97" t="s">
        <v>38</v>
      </c>
      <c r="S3" s="100">
        <v>2023</v>
      </c>
      <c r="T3" s="98" t="s">
        <v>426</v>
      </c>
      <c r="U3" s="99" t="s">
        <v>465</v>
      </c>
      <c r="V3" s="142" t="s">
        <v>466</v>
      </c>
      <c r="W3" s="126">
        <v>300000</v>
      </c>
      <c r="X3" s="167">
        <v>3</v>
      </c>
      <c r="Y3" s="23"/>
      <c r="Z3" s="63" t="s">
        <v>422</v>
      </c>
      <c r="AA3" s="23"/>
      <c r="AB3" s="23"/>
      <c r="AC3" s="23"/>
      <c r="AD3" s="63" t="s">
        <v>422</v>
      </c>
      <c r="AE3" s="23"/>
      <c r="AF3" s="23"/>
      <c r="AG3" s="23"/>
      <c r="AH3" s="63" t="s">
        <v>422</v>
      </c>
      <c r="AI3" s="23"/>
      <c r="AJ3" s="23"/>
      <c r="AK3" s="6" t="s">
        <v>37</v>
      </c>
      <c r="AL3" s="6" t="s">
        <v>37</v>
      </c>
      <c r="AM3" s="6" t="s">
        <v>37</v>
      </c>
      <c r="AN3" s="6" t="s">
        <v>38</v>
      </c>
      <c r="AO3" s="6" t="s">
        <v>467</v>
      </c>
      <c r="AP3" s="2">
        <v>137</v>
      </c>
    </row>
    <row r="4" spans="1:42" s="2" customFormat="1" ht="15" customHeight="1">
      <c r="A4" s="108" t="s">
        <v>390</v>
      </c>
      <c r="B4" s="101" t="s">
        <v>26</v>
      </c>
      <c r="C4" s="99" t="s">
        <v>442</v>
      </c>
      <c r="D4" s="95" t="s">
        <v>56</v>
      </c>
      <c r="E4" s="124" t="s">
        <v>461</v>
      </c>
      <c r="F4" s="107" t="s">
        <v>718</v>
      </c>
      <c r="G4" s="108" t="s">
        <v>722</v>
      </c>
      <c r="H4" s="109" t="s">
        <v>723</v>
      </c>
      <c r="I4" s="96" t="s">
        <v>724</v>
      </c>
      <c r="J4" s="110">
        <v>2015</v>
      </c>
      <c r="K4" s="103">
        <v>8</v>
      </c>
      <c r="L4" s="97">
        <f>+IF(J4=0," ",K4-('CATASTRO Y PLANIFICACIÓN MP'!$B$9-J4))</f>
        <v>-3</v>
      </c>
      <c r="M4" s="104" t="s">
        <v>34</v>
      </c>
      <c r="N4" s="99" t="s">
        <v>35</v>
      </c>
      <c r="O4" s="99" t="s">
        <v>425</v>
      </c>
      <c r="P4" s="97" t="s">
        <v>37</v>
      </c>
      <c r="Q4" s="111" t="s">
        <v>421</v>
      </c>
      <c r="R4" s="97" t="s">
        <v>38</v>
      </c>
      <c r="S4" s="100">
        <v>2023</v>
      </c>
      <c r="T4" s="98" t="s">
        <v>426</v>
      </c>
      <c r="U4" s="99" t="s">
        <v>465</v>
      </c>
      <c r="V4" s="142" t="s">
        <v>466</v>
      </c>
      <c r="W4" s="126">
        <v>300000</v>
      </c>
      <c r="X4" s="167">
        <v>3</v>
      </c>
      <c r="Y4" s="23"/>
      <c r="Z4" s="63" t="s">
        <v>422</v>
      </c>
      <c r="AA4" s="23"/>
      <c r="AB4" s="23"/>
      <c r="AC4" s="23"/>
      <c r="AD4" s="63" t="s">
        <v>422</v>
      </c>
      <c r="AE4" s="23"/>
      <c r="AF4" s="23"/>
      <c r="AG4" s="23"/>
      <c r="AH4" s="63" t="s">
        <v>422</v>
      </c>
      <c r="AI4" s="23"/>
      <c r="AJ4" s="23"/>
      <c r="AK4" s="6" t="s">
        <v>37</v>
      </c>
      <c r="AL4" s="6" t="s">
        <v>37</v>
      </c>
      <c r="AM4" s="6" t="s">
        <v>37</v>
      </c>
      <c r="AN4" s="6" t="s">
        <v>38</v>
      </c>
      <c r="AO4" s="6" t="s">
        <v>467</v>
      </c>
      <c r="AP4" s="2">
        <v>138</v>
      </c>
    </row>
    <row r="5" spans="1:42">
      <c r="E5" s="108" t="s">
        <v>472</v>
      </c>
      <c r="F5" s="107" t="s">
        <v>473</v>
      </c>
      <c r="G5" s="108" t="s">
        <v>474</v>
      </c>
      <c r="H5" s="109">
        <v>220004754</v>
      </c>
      <c r="I5" s="138" t="s">
        <v>725</v>
      </c>
    </row>
    <row r="6" spans="1:42" s="2" customFormat="1" ht="15" customHeight="1">
      <c r="A6" s="108" t="s">
        <v>372</v>
      </c>
      <c r="B6" s="101" t="s">
        <v>26</v>
      </c>
      <c r="C6" s="99" t="s">
        <v>435</v>
      </c>
      <c r="D6" s="95" t="s">
        <v>436</v>
      </c>
      <c r="E6" s="139" t="s">
        <v>489</v>
      </c>
      <c r="F6" s="107" t="s">
        <v>437</v>
      </c>
      <c r="G6" s="108">
        <v>345500</v>
      </c>
      <c r="H6" s="109">
        <v>20009247</v>
      </c>
      <c r="I6" s="96" t="s">
        <v>553</v>
      </c>
      <c r="J6" s="110">
        <v>2015</v>
      </c>
      <c r="K6" s="103">
        <v>8</v>
      </c>
      <c r="L6" s="97">
        <f>+IF(J6=0," ",K6-('CATASTRO Y PLANIFICACIÓN MP'!$B$9-J6))</f>
        <v>-3</v>
      </c>
      <c r="M6" s="104" t="s">
        <v>34</v>
      </c>
      <c r="N6" s="99" t="s">
        <v>35</v>
      </c>
      <c r="O6" s="131" t="s">
        <v>425</v>
      </c>
      <c r="P6" s="97" t="s">
        <v>37</v>
      </c>
      <c r="Q6" s="111" t="s">
        <v>421</v>
      </c>
      <c r="R6" s="97" t="s">
        <v>38</v>
      </c>
      <c r="S6" s="100">
        <v>2023</v>
      </c>
      <c r="T6" s="136" t="s">
        <v>426</v>
      </c>
      <c r="U6" s="118" t="s">
        <v>490</v>
      </c>
      <c r="V6" s="142" t="s">
        <v>491</v>
      </c>
      <c r="W6" s="126"/>
      <c r="X6" s="167">
        <v>1</v>
      </c>
      <c r="Y6" s="59"/>
      <c r="Z6" s="59"/>
      <c r="AA6" s="59"/>
      <c r="AB6" s="64"/>
      <c r="AC6" s="59"/>
      <c r="AD6" s="59"/>
      <c r="AE6" s="59"/>
      <c r="AF6" s="59"/>
      <c r="AG6" s="59"/>
      <c r="AH6" s="59"/>
      <c r="AI6" s="59"/>
      <c r="AJ6" s="59"/>
      <c r="AK6" s="6"/>
      <c r="AL6" s="6"/>
      <c r="AM6" s="6"/>
      <c r="AN6" s="6"/>
      <c r="AO6" s="6" t="s">
        <v>434</v>
      </c>
      <c r="AP6" s="2">
        <v>295</v>
      </c>
    </row>
    <row r="7" spans="1:42">
      <c r="A7" s="209"/>
    </row>
    <row r="8" spans="1:42" s="2" customFormat="1" ht="15" customHeight="1">
      <c r="A8" s="108" t="s">
        <v>527</v>
      </c>
      <c r="B8" s="101" t="s">
        <v>26</v>
      </c>
      <c r="C8" s="118" t="s">
        <v>528</v>
      </c>
      <c r="D8" s="133" t="s">
        <v>424</v>
      </c>
      <c r="E8" s="108" t="s">
        <v>529</v>
      </c>
      <c r="F8" s="107" t="s">
        <v>483</v>
      </c>
      <c r="G8" s="108" t="s">
        <v>483</v>
      </c>
      <c r="H8" s="109" t="s">
        <v>441</v>
      </c>
      <c r="I8" s="134" t="s">
        <v>726</v>
      </c>
      <c r="J8" s="110">
        <v>2016</v>
      </c>
      <c r="K8" s="110">
        <v>8</v>
      </c>
      <c r="L8" s="127">
        <f>+IF(J8=0," ",K8-('CATASTRO Y PLANIFICACIÓN MP'!$B$9-J8))</f>
        <v>-2</v>
      </c>
      <c r="M8" s="135" t="s">
        <v>34</v>
      </c>
      <c r="N8" s="99" t="s">
        <v>35</v>
      </c>
      <c r="O8" s="128" t="s">
        <v>425</v>
      </c>
      <c r="P8" s="97" t="s">
        <v>37</v>
      </c>
      <c r="Q8" s="111" t="s">
        <v>421</v>
      </c>
      <c r="R8" s="97" t="s">
        <v>38</v>
      </c>
      <c r="S8" s="100">
        <v>2024</v>
      </c>
      <c r="T8" s="98" t="s">
        <v>62</v>
      </c>
      <c r="U8" s="112" t="s">
        <v>63</v>
      </c>
      <c r="V8" s="105" t="s">
        <v>421</v>
      </c>
      <c r="W8" s="106"/>
      <c r="X8" s="97">
        <v>1</v>
      </c>
      <c r="Y8" s="23"/>
      <c r="Z8" s="23"/>
      <c r="AA8" s="23"/>
      <c r="AB8" s="23"/>
      <c r="AC8" s="23"/>
      <c r="AD8" s="23"/>
      <c r="AE8" s="23"/>
      <c r="AF8" s="23"/>
      <c r="AG8" s="23"/>
      <c r="AH8" s="23" t="s">
        <v>422</v>
      </c>
      <c r="AI8" s="23"/>
      <c r="AJ8" s="23"/>
      <c r="AK8" s="6"/>
      <c r="AL8" s="6"/>
      <c r="AM8" s="6"/>
      <c r="AN8" s="6"/>
      <c r="AO8" s="6" t="s">
        <v>530</v>
      </c>
      <c r="AP8" s="2">
        <v>716</v>
      </c>
    </row>
    <row r="9" spans="1:42" s="2" customFormat="1" ht="13">
      <c r="A9" s="152" t="s">
        <v>552</v>
      </c>
      <c r="B9" s="101" t="s">
        <v>26</v>
      </c>
      <c r="C9" s="210" t="s">
        <v>27</v>
      </c>
      <c r="D9" s="151" t="s">
        <v>56</v>
      </c>
      <c r="E9" s="124" t="s">
        <v>502</v>
      </c>
      <c r="F9" s="140" t="s">
        <v>503</v>
      </c>
      <c r="G9" s="137" t="s">
        <v>504</v>
      </c>
      <c r="H9" s="141" t="s">
        <v>727</v>
      </c>
      <c r="I9" s="96" t="s">
        <v>728</v>
      </c>
      <c r="J9" s="102">
        <v>2021</v>
      </c>
      <c r="K9" s="148">
        <v>8</v>
      </c>
      <c r="L9" s="149">
        <f>+IF(J9=0," ",K9-('CATASTRO Y PLANIFICACIÓN MP'!$B$9-J9))</f>
        <v>3</v>
      </c>
      <c r="M9" s="145" t="s">
        <v>34</v>
      </c>
      <c r="N9" s="144" t="s">
        <v>35</v>
      </c>
      <c r="O9" s="143" t="s">
        <v>421</v>
      </c>
      <c r="P9" s="97" t="s">
        <v>37</v>
      </c>
      <c r="Q9" s="111" t="s">
        <v>421</v>
      </c>
      <c r="R9" s="97" t="s">
        <v>37</v>
      </c>
      <c r="S9" s="100">
        <v>2025</v>
      </c>
      <c r="T9" s="98" t="s">
        <v>39</v>
      </c>
      <c r="U9" s="118" t="s">
        <v>462</v>
      </c>
      <c r="V9" s="105" t="s">
        <v>462</v>
      </c>
      <c r="W9" s="106">
        <v>394250</v>
      </c>
      <c r="X9" s="97">
        <v>1</v>
      </c>
      <c r="Y9" s="23"/>
      <c r="Z9" s="23"/>
      <c r="AA9" s="23"/>
      <c r="AB9" s="23" t="s">
        <v>422</v>
      </c>
      <c r="AC9" s="23"/>
      <c r="AD9" s="23"/>
      <c r="AE9" s="23"/>
      <c r="AF9" s="23"/>
      <c r="AG9" s="23"/>
      <c r="AH9" s="23"/>
      <c r="AI9" s="23"/>
      <c r="AJ9" s="23"/>
      <c r="AK9" s="6"/>
      <c r="AL9" s="6"/>
      <c r="AM9" s="6"/>
      <c r="AN9" s="6"/>
      <c r="AO9" s="6"/>
      <c r="AP9" s="2">
        <v>916</v>
      </c>
    </row>
    <row r="10" spans="1:42" s="2" customFormat="1" ht="15" customHeight="1">
      <c r="A10" s="132" t="s">
        <v>507</v>
      </c>
      <c r="B10" s="101" t="s">
        <v>26</v>
      </c>
      <c r="C10" s="99" t="s">
        <v>423</v>
      </c>
      <c r="D10" s="95" t="s">
        <v>424</v>
      </c>
      <c r="E10" s="108" t="s">
        <v>515</v>
      </c>
      <c r="F10" s="125" t="s">
        <v>516</v>
      </c>
      <c r="G10" s="147" t="s">
        <v>517</v>
      </c>
      <c r="H10" s="109" t="s">
        <v>441</v>
      </c>
      <c r="I10" s="96" t="s">
        <v>729</v>
      </c>
      <c r="J10" s="110">
        <v>2016</v>
      </c>
      <c r="K10" s="148">
        <v>8</v>
      </c>
      <c r="L10" s="97">
        <f>+IF(J10=0," ",K10-('CATASTRO Y PLANIFICACIÓN MP'!$B$9-J10))</f>
        <v>-2</v>
      </c>
      <c r="M10" s="104"/>
      <c r="N10" s="99" t="s">
        <v>35</v>
      </c>
      <c r="O10" s="128" t="s">
        <v>421</v>
      </c>
      <c r="P10" s="97" t="s">
        <v>37</v>
      </c>
      <c r="Q10" s="111" t="s">
        <v>421</v>
      </c>
      <c r="R10" s="127" t="s">
        <v>37</v>
      </c>
      <c r="S10" s="100"/>
      <c r="T10" s="98" t="s">
        <v>62</v>
      </c>
      <c r="U10" s="99"/>
      <c r="V10" s="105"/>
      <c r="W10" s="106"/>
      <c r="X10" s="97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6"/>
      <c r="AL10" s="6"/>
      <c r="AM10" s="6"/>
      <c r="AN10" s="6"/>
      <c r="AO10" s="6"/>
      <c r="AP10" s="2">
        <v>506</v>
      </c>
    </row>
  </sheetData>
  <conditionalFormatting sqref="Y1:AJ1 Y3:AJ4">
    <cfRule type="cellIs" dxfId="8" priority="34" operator="equal">
      <formula>"x"</formula>
    </cfRule>
    <cfRule type="cellIs" dxfId="7" priority="35" operator="equal">
      <formula>"√"</formula>
    </cfRule>
    <cfRule type="cellIs" dxfId="6" priority="36" operator="equal">
      <formula>"ꓣ"</formula>
    </cfRule>
  </conditionalFormatting>
  <conditionalFormatting sqref="Y6:AJ6">
    <cfRule type="cellIs" dxfId="5" priority="22" operator="equal">
      <formula>"x"</formula>
    </cfRule>
    <cfRule type="cellIs" dxfId="4" priority="23" operator="equal">
      <formula>"√"</formula>
    </cfRule>
    <cfRule type="cellIs" dxfId="3" priority="24" operator="equal">
      <formula>"ꓣ"</formula>
    </cfRule>
  </conditionalFormatting>
  <conditionalFormatting sqref="Y8:AJ10">
    <cfRule type="cellIs" dxfId="2" priority="1" operator="equal">
      <formula>"x"</formula>
    </cfRule>
    <cfRule type="cellIs" dxfId="1" priority="2" operator="equal">
      <formula>"√"</formula>
    </cfRule>
    <cfRule type="cellIs" dxfId="0" priority="3" operator="equal">
      <formula>"ꓣ"</formula>
    </cfRule>
  </conditionalFormatting>
  <hyperlinks>
    <hyperlink ref="V6" r:id="rId1" xr:uid="{BEF43AB4-AD00-4508-B07C-E66EFAE43320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9000000}">
          <x14:formula1>
            <xm:f>'TABLA CÁLCULO'!$R$12:$R$15</xm:f>
          </x14:formula1>
          <xm:sqref>Y1:AJ1 Y6:AJ6 Y8:AJ8 AJ9 AD9 AB9 Y10:AJ10 Y3:AJ4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44E3-24A1-49FC-B2A5-665F90CE8600}">
  <dimension ref="G3:Y19"/>
  <sheetViews>
    <sheetView topLeftCell="F1" workbookViewId="0">
      <selection activeCell="N8" sqref="N8"/>
    </sheetView>
  </sheetViews>
  <sheetFormatPr baseColWidth="10" defaultColWidth="11.453125" defaultRowHeight="14.5"/>
  <cols>
    <col min="10" max="10" width="16.26953125" customWidth="1"/>
    <col min="11" max="11" width="16.54296875" customWidth="1"/>
    <col min="14" max="14" width="12" style="171" bestFit="1" customWidth="1"/>
    <col min="15" max="15" width="12.453125" style="171" bestFit="1" customWidth="1"/>
    <col min="16" max="16" width="12.26953125" style="171" customWidth="1"/>
    <col min="17" max="17" width="11" style="171" bestFit="1" customWidth="1"/>
    <col min="18" max="18" width="12" style="171" bestFit="1" customWidth="1"/>
    <col min="19" max="19" width="11.54296875" style="171" bestFit="1" customWidth="1"/>
    <col min="20" max="21" width="12.453125" style="171" bestFit="1" customWidth="1"/>
    <col min="22" max="22" width="12" style="171" bestFit="1" customWidth="1"/>
    <col min="23" max="23" width="12.453125" style="171" bestFit="1" customWidth="1"/>
    <col min="24" max="24" width="11.54296875" style="171" bestFit="1" customWidth="1"/>
    <col min="25" max="25" width="13.26953125" style="171" customWidth="1"/>
  </cols>
  <sheetData>
    <row r="3" spans="7:25">
      <c r="K3" t="s">
        <v>730</v>
      </c>
    </row>
    <row r="4" spans="7:25">
      <c r="N4" s="174" t="s">
        <v>409</v>
      </c>
      <c r="O4" s="174" t="s">
        <v>410</v>
      </c>
      <c r="P4" s="174" t="s">
        <v>411</v>
      </c>
      <c r="Q4" s="174" t="s">
        <v>412</v>
      </c>
      <c r="R4" s="174" t="s">
        <v>413</v>
      </c>
      <c r="S4" s="174" t="s">
        <v>414</v>
      </c>
      <c r="T4" s="174" t="s">
        <v>415</v>
      </c>
      <c r="U4" s="174" t="s">
        <v>416</v>
      </c>
      <c r="V4" s="174" t="s">
        <v>417</v>
      </c>
      <c r="W4" s="174" t="s">
        <v>418</v>
      </c>
      <c r="X4" s="174" t="s">
        <v>419</v>
      </c>
      <c r="Y4" s="174" t="s">
        <v>420</v>
      </c>
    </row>
    <row r="5" spans="7:25">
      <c r="G5" t="s">
        <v>731</v>
      </c>
      <c r="J5" s="172">
        <v>129749412</v>
      </c>
      <c r="K5" s="172">
        <v>94225664</v>
      </c>
      <c r="N5" s="174">
        <v>4459177</v>
      </c>
      <c r="O5" s="174">
        <v>1311202</v>
      </c>
      <c r="P5" s="174">
        <v>13789874</v>
      </c>
      <c r="Q5" s="174">
        <v>3426160</v>
      </c>
      <c r="R5" s="174">
        <v>14399436</v>
      </c>
      <c r="S5" s="174">
        <v>5868931</v>
      </c>
      <c r="T5" s="175">
        <v>2552550</v>
      </c>
      <c r="U5" s="174">
        <v>4225484</v>
      </c>
      <c r="V5" s="175">
        <v>299499</v>
      </c>
      <c r="W5" s="174">
        <v>5035543</v>
      </c>
      <c r="X5" s="174">
        <v>2929780</v>
      </c>
      <c r="Y5" s="174">
        <v>35928028</v>
      </c>
    </row>
    <row r="6" spans="7:25" ht="15.5">
      <c r="G6" t="s">
        <v>732</v>
      </c>
      <c r="J6" s="172">
        <v>68625151</v>
      </c>
      <c r="K6" s="172">
        <v>68625151</v>
      </c>
      <c r="M6" s="173"/>
      <c r="N6" s="176" t="s">
        <v>733</v>
      </c>
      <c r="O6" s="177">
        <v>14329317</v>
      </c>
      <c r="P6" s="176" t="s">
        <v>734</v>
      </c>
      <c r="Q6" s="176" t="s">
        <v>734</v>
      </c>
      <c r="R6" s="177">
        <v>813246</v>
      </c>
      <c r="S6" s="177">
        <v>1251787</v>
      </c>
      <c r="T6" s="177">
        <v>9930855</v>
      </c>
      <c r="U6" s="177">
        <v>16471977</v>
      </c>
      <c r="V6" s="177">
        <v>2647750</v>
      </c>
      <c r="W6" s="177">
        <v>12606091</v>
      </c>
      <c r="X6" s="177">
        <v>7355374</v>
      </c>
      <c r="Y6" s="177">
        <v>3218754</v>
      </c>
    </row>
    <row r="7" spans="7:25">
      <c r="G7" t="s">
        <v>735</v>
      </c>
      <c r="J7" s="172">
        <v>117827422</v>
      </c>
      <c r="K7" s="172">
        <v>63843665</v>
      </c>
      <c r="N7" s="174">
        <v>33320</v>
      </c>
      <c r="O7" s="174">
        <v>2975000</v>
      </c>
      <c r="P7" s="174">
        <v>6260827</v>
      </c>
      <c r="Q7" s="174">
        <v>5229842</v>
      </c>
      <c r="R7" s="174">
        <v>15315413</v>
      </c>
      <c r="S7" s="174">
        <v>6872007</v>
      </c>
      <c r="T7" s="174">
        <v>1677900</v>
      </c>
      <c r="U7" s="174">
        <v>6807078</v>
      </c>
      <c r="V7" s="174">
        <v>1892100</v>
      </c>
      <c r="W7" s="174">
        <v>3847165</v>
      </c>
      <c r="X7" s="174">
        <v>0</v>
      </c>
      <c r="Y7" s="174">
        <v>0</v>
      </c>
    </row>
    <row r="8" spans="7:25">
      <c r="G8" t="s">
        <v>736</v>
      </c>
      <c r="J8" s="169">
        <v>80000000</v>
      </c>
      <c r="N8" s="171">
        <f>$J$8/12</f>
        <v>6666666.666666667</v>
      </c>
      <c r="O8" s="171">
        <f t="shared" ref="O8:Y8" si="0">$J$8/12</f>
        <v>6666666.666666667</v>
      </c>
      <c r="P8" s="171">
        <f t="shared" si="0"/>
        <v>6666666.666666667</v>
      </c>
      <c r="Q8" s="171">
        <f t="shared" si="0"/>
        <v>6666666.666666667</v>
      </c>
      <c r="R8" s="171">
        <f t="shared" si="0"/>
        <v>6666666.666666667</v>
      </c>
      <c r="S8" s="171">
        <f t="shared" si="0"/>
        <v>6666666.666666667</v>
      </c>
      <c r="T8" s="171">
        <f t="shared" si="0"/>
        <v>6666666.666666667</v>
      </c>
      <c r="U8" s="171">
        <f t="shared" si="0"/>
        <v>6666666.666666667</v>
      </c>
      <c r="V8" s="171">
        <f t="shared" si="0"/>
        <v>6666666.666666667</v>
      </c>
      <c r="W8" s="171">
        <f t="shared" si="0"/>
        <v>6666666.666666667</v>
      </c>
      <c r="X8" s="171">
        <f t="shared" si="0"/>
        <v>6666666.666666667</v>
      </c>
      <c r="Y8" s="171">
        <f t="shared" si="0"/>
        <v>6666666.666666667</v>
      </c>
    </row>
    <row r="9" spans="7:25">
      <c r="J9" s="169"/>
    </row>
    <row r="19" spans="10:10">
      <c r="J19" s="169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Detalle1</vt:lpstr>
      <vt:lpstr>CATASTRO Y PLANIFICACIÓN MP</vt:lpstr>
      <vt:lpstr>Hoja3</vt:lpstr>
      <vt:lpstr>SEGUIMIENTO GASTO</vt:lpstr>
      <vt:lpstr>Detalle2</vt:lpstr>
      <vt:lpstr>Detalle3</vt:lpstr>
      <vt:lpstr>TABLA CÁLCULO</vt:lpstr>
      <vt:lpstr>PROYECCIÓN 2025</vt:lpstr>
      <vt:lpstr>Hoja1</vt:lpstr>
      <vt:lpstr>Hoja2</vt:lpstr>
      <vt:lpstr>proyeccion correctivos</vt:lpstr>
      <vt:lpstr>'CATASTRO Y PLANIFICACIÓN 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Álvarez Fernández</dc:creator>
  <cp:keywords/>
  <dc:description/>
  <cp:lastModifiedBy>Aten Domiciliaria</cp:lastModifiedBy>
  <cp:revision/>
  <cp:lastPrinted>2025-07-22T17:32:49Z</cp:lastPrinted>
  <dcterms:created xsi:type="dcterms:W3CDTF">2022-12-14T13:04:16Z</dcterms:created>
  <dcterms:modified xsi:type="dcterms:W3CDTF">2026-05-07T18:23:18Z</dcterms:modified>
  <cp:category/>
  <cp:contentStatus/>
</cp:coreProperties>
</file>